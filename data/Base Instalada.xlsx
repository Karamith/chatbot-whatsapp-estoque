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quinascomprint-my.sharepoint.com/personal/ricardo_almeida_comprint_com_br/Documents/PROJETOS/OUTROS/Programação/chatbot-whatsapp-estoque/data/"/>
    </mc:Choice>
  </mc:AlternateContent>
  <xr:revisionPtr revIDLastSave="465" documentId="8_{51F1F06D-6D0B-4FE8-9AF7-39931DF9B484}" xr6:coauthVersionLast="47" xr6:coauthVersionMax="47" xr10:uidLastSave="{B765FFF9-DED6-43AB-955C-1F8915F05EB3}"/>
  <bookViews>
    <workbookView xWindow="-28920" yWindow="-120" windowWidth="29040" windowHeight="15720" xr2:uid="{FA3517F6-4E5E-4958-9700-7C1440F86859}"/>
  </bookViews>
  <sheets>
    <sheet name="BASE" sheetId="1" r:id="rId1"/>
    <sheet name="SÉRIE2" sheetId="3" r:id="rId2"/>
  </sheets>
  <definedNames>
    <definedName name="_xlnm._FilterDatabase" localSheetId="0" hidden="1">BASE!$A$1:$N$109</definedName>
    <definedName name="_xlnm._FilterDatabase" localSheetId="1" hidden="1">SÉRIE2!$A$1:$N$38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H2" i="1" s="1"/>
  <c r="E84" i="1"/>
  <c r="F84" i="1" s="1"/>
  <c r="E89" i="1"/>
  <c r="F89" i="1" s="1"/>
  <c r="E9" i="1"/>
  <c r="F9" i="1" s="1"/>
  <c r="H9" i="1" s="1"/>
  <c r="E85" i="1"/>
  <c r="F85" i="1" s="1"/>
  <c r="E86" i="1"/>
  <c r="F86" i="1" s="1"/>
  <c r="E87" i="1"/>
  <c r="F87" i="1" s="1"/>
  <c r="H87" i="1" s="1"/>
  <c r="E88" i="1"/>
  <c r="F88" i="1" s="1"/>
  <c r="H88" i="1" s="1"/>
  <c r="E92" i="1"/>
  <c r="F92" i="1" s="1"/>
  <c r="H92" i="1" s="1"/>
  <c r="E95" i="1"/>
  <c r="F95" i="1" s="1"/>
  <c r="H95" i="1" s="1"/>
  <c r="E97" i="1"/>
  <c r="F97" i="1" s="1"/>
  <c r="H97" i="1" s="1"/>
  <c r="E96" i="1"/>
  <c r="F96" i="1" s="1"/>
  <c r="H96" i="1" s="1"/>
  <c r="E99" i="1"/>
  <c r="F99" i="1" s="1"/>
  <c r="H99" i="1" s="1"/>
  <c r="E98" i="1"/>
  <c r="F98" i="1" s="1"/>
  <c r="H98" i="1" s="1"/>
  <c r="E100" i="1"/>
  <c r="F100" i="1" s="1"/>
  <c r="H100" i="1" s="1"/>
  <c r="E101" i="1"/>
  <c r="F101" i="1" s="1"/>
  <c r="H101" i="1" s="1"/>
  <c r="E102" i="1"/>
  <c r="F102" i="1" s="1"/>
  <c r="H102" i="1" s="1"/>
  <c r="E103" i="1"/>
  <c r="F103" i="1" s="1"/>
  <c r="H103" i="1" s="1"/>
  <c r="E70" i="1"/>
  <c r="F70" i="1" s="1"/>
  <c r="H70" i="1" s="1"/>
  <c r="E105" i="1"/>
  <c r="F105" i="1" s="1"/>
  <c r="H105" i="1" s="1"/>
  <c r="E106" i="1"/>
  <c r="F106" i="1" s="1"/>
  <c r="H106" i="1" s="1"/>
  <c r="E107" i="1"/>
  <c r="F107" i="1" s="1"/>
  <c r="H107" i="1" s="1"/>
  <c r="E108" i="1"/>
  <c r="F108" i="1" s="1"/>
  <c r="H108" i="1" s="1"/>
  <c r="E109" i="1"/>
  <c r="F109" i="1" s="1"/>
  <c r="H109" i="1" s="1"/>
  <c r="E3" i="1"/>
  <c r="F3" i="1" s="1"/>
  <c r="H3" i="1" s="1"/>
  <c r="E4" i="1"/>
  <c r="F4" i="1" s="1"/>
  <c r="H4" i="1" s="1"/>
  <c r="E5" i="1"/>
  <c r="F5" i="1" s="1"/>
  <c r="H5" i="1" s="1"/>
  <c r="E6" i="1"/>
  <c r="F6" i="1" s="1"/>
  <c r="H6" i="1" s="1"/>
  <c r="E7" i="1"/>
  <c r="F7" i="1" s="1"/>
  <c r="H7" i="1" s="1"/>
  <c r="E33" i="1"/>
  <c r="F33" i="1" s="1"/>
  <c r="H33" i="1" s="1"/>
  <c r="E8" i="1"/>
  <c r="F8" i="1" s="1"/>
  <c r="H8" i="1" s="1"/>
  <c r="E10" i="1"/>
  <c r="F10" i="1" s="1"/>
  <c r="H10" i="1" s="1"/>
  <c r="E11" i="1"/>
  <c r="E42" i="1"/>
  <c r="F42" i="1" s="1"/>
  <c r="H42" i="1" s="1"/>
  <c r="E43" i="1"/>
  <c r="F43" i="1" s="1"/>
  <c r="H43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8" i="1"/>
  <c r="F28" i="1" s="1"/>
  <c r="E21" i="1"/>
  <c r="F21" i="1" s="1"/>
  <c r="H21" i="1" s="1"/>
  <c r="E22" i="1"/>
  <c r="F22" i="1" s="1"/>
  <c r="H22" i="1" s="1"/>
  <c r="E23" i="1"/>
  <c r="F23" i="1" s="1"/>
  <c r="H23" i="1" s="1"/>
  <c r="E24" i="1"/>
  <c r="F24" i="1" s="1"/>
  <c r="H24" i="1" s="1"/>
  <c r="E25" i="1"/>
  <c r="F25" i="1" s="1"/>
  <c r="H25" i="1" s="1"/>
  <c r="E26" i="1"/>
  <c r="F26" i="1" s="1"/>
  <c r="H26" i="1" s="1"/>
  <c r="E27" i="1"/>
  <c r="F27" i="1" s="1"/>
  <c r="H27" i="1" s="1"/>
  <c r="E60" i="1"/>
  <c r="F60" i="1" s="1"/>
  <c r="H60" i="1" s="1"/>
  <c r="E38" i="1"/>
  <c r="F38" i="1" s="1"/>
  <c r="H38" i="1" s="1"/>
  <c r="E29" i="1"/>
  <c r="F29" i="1" s="1"/>
  <c r="H29" i="1" s="1"/>
  <c r="E30" i="1"/>
  <c r="F30" i="1" s="1"/>
  <c r="H30" i="1" s="1"/>
  <c r="E31" i="1"/>
  <c r="F31" i="1" s="1"/>
  <c r="H31" i="1" s="1"/>
  <c r="E32" i="1"/>
  <c r="F32" i="1" s="1"/>
  <c r="H32" i="1" s="1"/>
  <c r="E34" i="1"/>
  <c r="F34" i="1" s="1"/>
  <c r="H34" i="1" s="1"/>
  <c r="E35" i="1"/>
  <c r="F35" i="1" s="1"/>
  <c r="H35" i="1" s="1"/>
  <c r="E36" i="1"/>
  <c r="F36" i="1" s="1"/>
  <c r="E37" i="1"/>
  <c r="F37" i="1" s="1"/>
  <c r="E39" i="1"/>
  <c r="F39" i="1" s="1"/>
  <c r="H39" i="1" s="1"/>
  <c r="E40" i="1"/>
  <c r="F40" i="1" s="1"/>
  <c r="H40" i="1" s="1"/>
  <c r="E41" i="1"/>
  <c r="F41" i="1" s="1"/>
  <c r="E44" i="1"/>
  <c r="F44" i="1" s="1"/>
  <c r="H44" i="1" s="1"/>
  <c r="E46" i="1"/>
  <c r="F46" i="1" s="1"/>
  <c r="H46" i="1" s="1"/>
  <c r="E90" i="1"/>
  <c r="F90" i="1" s="1"/>
  <c r="H90" i="1" s="1"/>
  <c r="E91" i="1"/>
  <c r="F91" i="1" s="1"/>
  <c r="H91" i="1" s="1"/>
  <c r="E47" i="1"/>
  <c r="F47" i="1" s="1"/>
  <c r="H47" i="1" s="1"/>
  <c r="E48" i="1"/>
  <c r="F48" i="1" s="1"/>
  <c r="H48" i="1" s="1"/>
  <c r="E49" i="1"/>
  <c r="F49" i="1" s="1"/>
  <c r="H49" i="1" s="1"/>
  <c r="E62" i="1"/>
  <c r="F62" i="1" s="1"/>
  <c r="H62" i="1" s="1"/>
  <c r="E93" i="1"/>
  <c r="F93" i="1" s="1"/>
  <c r="H93" i="1" s="1"/>
  <c r="E94" i="1"/>
  <c r="F94" i="1" s="1"/>
  <c r="H94" i="1" s="1"/>
  <c r="E50" i="1"/>
  <c r="F50" i="1" s="1"/>
  <c r="H50" i="1" s="1"/>
  <c r="E51" i="1"/>
  <c r="F51" i="1" s="1"/>
  <c r="H51" i="1" s="1"/>
  <c r="E52" i="1"/>
  <c r="F52" i="1" s="1"/>
  <c r="H52" i="1" s="1"/>
  <c r="E53" i="1"/>
  <c r="F53" i="1" s="1"/>
  <c r="H53" i="1" s="1"/>
  <c r="E54" i="1"/>
  <c r="F54" i="1" s="1"/>
  <c r="H54" i="1" s="1"/>
  <c r="E55" i="1"/>
  <c r="F55" i="1" s="1"/>
  <c r="H55" i="1" s="1"/>
  <c r="E56" i="1"/>
  <c r="F56" i="1" s="1"/>
  <c r="H56" i="1" s="1"/>
  <c r="E57" i="1"/>
  <c r="F57" i="1" s="1"/>
  <c r="H57" i="1" s="1"/>
  <c r="E58" i="1"/>
  <c r="F58" i="1" s="1"/>
  <c r="H58" i="1" s="1"/>
  <c r="E59" i="1"/>
  <c r="F59" i="1" s="1"/>
  <c r="E61" i="1"/>
  <c r="E45" i="1"/>
  <c r="F45" i="1" s="1"/>
  <c r="H45" i="1" s="1"/>
  <c r="E63" i="1"/>
  <c r="F63" i="1" s="1"/>
  <c r="H63" i="1" s="1"/>
  <c r="E64" i="1"/>
  <c r="F64" i="1" s="1"/>
  <c r="H64" i="1" s="1"/>
  <c r="E65" i="1"/>
  <c r="F65" i="1" s="1"/>
  <c r="E66" i="1"/>
  <c r="F66" i="1" s="1"/>
  <c r="H66" i="1" s="1"/>
  <c r="E67" i="1"/>
  <c r="F67" i="1" s="1"/>
  <c r="H67" i="1" s="1"/>
  <c r="E68" i="1"/>
  <c r="F68" i="1" s="1"/>
  <c r="H68" i="1" s="1"/>
  <c r="E71" i="1"/>
  <c r="F71" i="1" s="1"/>
  <c r="E72" i="1"/>
  <c r="F72" i="1" s="1"/>
  <c r="H72" i="1" s="1"/>
  <c r="E73" i="1"/>
  <c r="F73" i="1" s="1"/>
  <c r="H73" i="1" s="1"/>
  <c r="E74" i="1"/>
  <c r="F74" i="1" s="1"/>
  <c r="H74" i="1" s="1"/>
  <c r="E75" i="1"/>
  <c r="F75" i="1" s="1"/>
  <c r="H75" i="1" s="1"/>
  <c r="E76" i="1"/>
  <c r="F76" i="1" s="1"/>
  <c r="H76" i="1" s="1"/>
  <c r="E77" i="1"/>
  <c r="F77" i="1" s="1"/>
  <c r="E78" i="1"/>
  <c r="F78" i="1" s="1"/>
  <c r="H78" i="1" s="1"/>
  <c r="E79" i="1"/>
  <c r="F79" i="1" s="1"/>
  <c r="H79" i="1" s="1"/>
  <c r="E80" i="1"/>
  <c r="F80" i="1" s="1"/>
  <c r="H80" i="1" s="1"/>
  <c r="E81" i="1"/>
  <c r="F81" i="1" s="1"/>
  <c r="H81" i="1" s="1"/>
  <c r="E83" i="1"/>
  <c r="F83" i="1" s="1"/>
  <c r="H83" i="1" s="1"/>
  <c r="E82" i="1"/>
  <c r="F82" i="1" s="1"/>
  <c r="H82" i="1" s="1"/>
  <c r="F11" i="1" l="1"/>
  <c r="H11" i="1" s="1"/>
  <c r="F61" i="1"/>
  <c r="H61" i="1" s="1"/>
</calcChain>
</file>

<file path=xl/sharedStrings.xml><?xml version="1.0" encoding="utf-8"?>
<sst xmlns="http://schemas.openxmlformats.org/spreadsheetml/2006/main" count="787" uniqueCount="203">
  <si>
    <t>CLIENTE</t>
  </si>
  <si>
    <t>TIPO</t>
  </si>
  <si>
    <t>INÍCIO</t>
  </si>
  <si>
    <t>FINAL</t>
  </si>
  <si>
    <t>Hoje</t>
  </si>
  <si>
    <t>DIAS</t>
  </si>
  <si>
    <t>EPTO</t>
  </si>
  <si>
    <t>Serviços</t>
  </si>
  <si>
    <t>SÉRIE</t>
  </si>
  <si>
    <t>Install Date</t>
  </si>
  <si>
    <t>OBS</t>
  </si>
  <si>
    <t>COVERAGE</t>
  </si>
  <si>
    <t>Next Bill</t>
  </si>
  <si>
    <t>META</t>
  </si>
  <si>
    <t>AARON</t>
  </si>
  <si>
    <t>T&amp;M</t>
  </si>
  <si>
    <t>HP INDIGO 6K</t>
  </si>
  <si>
    <t>AVULSO</t>
  </si>
  <si>
    <t>SÉRIE 3</t>
  </si>
  <si>
    <t>ALL4LABELS</t>
  </si>
  <si>
    <t>CHNL PRTNR 0V PRESS</t>
  </si>
  <si>
    <t>HP INDIGO WS6000</t>
  </si>
  <si>
    <t>HP INDIGO 6900</t>
  </si>
  <si>
    <t>HP INDIGO 20K</t>
  </si>
  <si>
    <t>SÉRIE 4</t>
  </si>
  <si>
    <t xml:space="preserve">ALPHA COLOR  </t>
  </si>
  <si>
    <t>HP INDIGO WS6800</t>
  </si>
  <si>
    <t>ARTCHIK</t>
  </si>
  <si>
    <t>WTY CHNL INSTALL</t>
  </si>
  <si>
    <t>HP INDIGO 6K+</t>
  </si>
  <si>
    <t>ASTER GRAF LTDA</t>
  </si>
  <si>
    <t>HP INDIGO 7500</t>
  </si>
  <si>
    <t>HP INDIGO 7900</t>
  </si>
  <si>
    <t>ATUALCARD</t>
  </si>
  <si>
    <t>HP INDIGO 12K</t>
  </si>
  <si>
    <t>CIF</t>
  </si>
  <si>
    <t>FECHAR RATS 60 DIAS</t>
  </si>
  <si>
    <t>BRASILATA</t>
  </si>
  <si>
    <t>HP INDIGO 25K</t>
  </si>
  <si>
    <t>CAREPACK</t>
  </si>
  <si>
    <t>BRASMOLDE</t>
  </si>
  <si>
    <t>Mão de obra coberta  até 20/08/26</t>
  </si>
  <si>
    <t>BRAZICOLOR</t>
  </si>
  <si>
    <t>10 HORAS MENSAIS</t>
  </si>
  <si>
    <t>CONFIRMAR CONTRATO SERVIÇOS</t>
  </si>
  <si>
    <t xml:space="preserve">CAMARGO </t>
  </si>
  <si>
    <t>HP INDIGO 20K (323)</t>
  </si>
  <si>
    <t>14 HORAS MENSAIS. TRIMESTRAL</t>
  </si>
  <si>
    <t xml:space="preserve">CAMARGO  </t>
  </si>
  <si>
    <t>HP INDIGO 20K (136)</t>
  </si>
  <si>
    <t>CATUAI RÓTULOS</t>
  </si>
  <si>
    <t xml:space="preserve">WTY CHNL PRTNR </t>
  </si>
  <si>
    <t xml:space="preserve">CCL LABEL </t>
  </si>
  <si>
    <t>COMPRINT</t>
  </si>
  <si>
    <t>COMPULASER</t>
  </si>
  <si>
    <t>CPAD</t>
  </si>
  <si>
    <t>DELPAK EMBALAGENS</t>
  </si>
  <si>
    <t>PREPAY PI HW</t>
  </si>
  <si>
    <t xml:space="preserve">DIGIPIX   </t>
  </si>
  <si>
    <t>HP INDIGO W7250</t>
  </si>
  <si>
    <t>TEM CONTRATO E SERVIÇOS</t>
  </si>
  <si>
    <t>DIGITAL PRINTZ</t>
  </si>
  <si>
    <t xml:space="preserve">ELYON   </t>
  </si>
  <si>
    <t>HP INDIGO 10K</t>
  </si>
  <si>
    <t>SERVIÇOS INCLUSOS NO COMODATO</t>
  </si>
  <si>
    <t>ETIQECIA</t>
  </si>
  <si>
    <t>HP INDIGO WS6600</t>
  </si>
  <si>
    <t>ETIQUEPRESS</t>
  </si>
  <si>
    <t>FERF WAY LTDA</t>
  </si>
  <si>
    <t>FITATEX</t>
  </si>
  <si>
    <t>FLEXA RÓTULOS</t>
  </si>
  <si>
    <t>FLEXUL</t>
  </si>
  <si>
    <t xml:space="preserve">FORMA CERTA </t>
  </si>
  <si>
    <t xml:space="preserve">HP INDIGO 100K </t>
  </si>
  <si>
    <t>SÉRIE 5</t>
  </si>
  <si>
    <t>HP INDIGO 120K</t>
  </si>
  <si>
    <t>FTD</t>
  </si>
  <si>
    <t>FUTURA EXPRESS</t>
  </si>
  <si>
    <t>HP INDIGO 7600</t>
  </si>
  <si>
    <t xml:space="preserve">GONCALVES </t>
  </si>
  <si>
    <t>HP INDIGO 35K</t>
  </si>
  <si>
    <t>GARANTIA</t>
  </si>
  <si>
    <t>Mão de obra coberta  até 01/04/27</t>
  </si>
  <si>
    <t>GRÁFICA ATHALAIA</t>
  </si>
  <si>
    <t>GRAFICA JB</t>
  </si>
  <si>
    <t>HP INDIGO 15K</t>
  </si>
  <si>
    <t>GRÁFICA MÁXIMA</t>
  </si>
  <si>
    <t>GRAFICA MR</t>
  </si>
  <si>
    <t xml:space="preserve">GRAFIX </t>
  </si>
  <si>
    <t>HAWAII</t>
  </si>
  <si>
    <t>HELLOGRAF</t>
  </si>
  <si>
    <t>INDEMETAL</t>
  </si>
  <si>
    <t>SEM INFORMAÇÃO</t>
  </si>
  <si>
    <t>INOVE</t>
  </si>
  <si>
    <t>IPSIS</t>
  </si>
  <si>
    <t>JM EMBALAGENS</t>
  </si>
  <si>
    <t xml:space="preserve">LABORPRINT   </t>
  </si>
  <si>
    <t>HP INDIGO 7800</t>
  </si>
  <si>
    <t>LAV DENIN LTDA</t>
  </si>
  <si>
    <t>LOG&amp;PRINT</t>
  </si>
  <si>
    <t>20 Horas mensais. Fechamento trimestral</t>
  </si>
  <si>
    <t>LOYOLA</t>
  </si>
  <si>
    <t>MACK COLOR</t>
  </si>
  <si>
    <t>MAYER</t>
  </si>
  <si>
    <t>HP INDIGO 7K</t>
  </si>
  <si>
    <t>MEGA LABEL</t>
  </si>
  <si>
    <t>META BRASIL</t>
  </si>
  <si>
    <t>MIDIOGRAF</t>
  </si>
  <si>
    <t>MULTIGRAFICA</t>
  </si>
  <si>
    <t>MULTIPRINT</t>
  </si>
  <si>
    <t>OTIMA GRAFICA</t>
  </si>
  <si>
    <t>100 hrs disponíveis até 01/10/2027</t>
  </si>
  <si>
    <t>Fechamento mensal de horas</t>
  </si>
  <si>
    <t>OUTLABEL</t>
  </si>
  <si>
    <t xml:space="preserve">P+E </t>
  </si>
  <si>
    <t>RATS 2026</t>
  </si>
  <si>
    <t xml:space="preserve">PACKSTER </t>
  </si>
  <si>
    <t>Verificar horas usadas (fechamento Michele)</t>
  </si>
  <si>
    <t xml:space="preserve">PIGMA    </t>
  </si>
  <si>
    <t>HP INDIGO 18K</t>
  </si>
  <si>
    <t>SERVIÇOS ATÉ 27/11/27</t>
  </si>
  <si>
    <t>CIF ATÉ 27/11/26</t>
  </si>
  <si>
    <t>PIXEL HOUSE</t>
  </si>
  <si>
    <t xml:space="preserve">12 horas mensais. </t>
  </si>
  <si>
    <t xml:space="preserve">PLASUTIL   </t>
  </si>
  <si>
    <t xml:space="preserve">PRAKOLAR    </t>
  </si>
  <si>
    <t xml:space="preserve">PRINTI    </t>
  </si>
  <si>
    <t>6M GARANTIA + 18 MESES PPID</t>
  </si>
  <si>
    <t>CHNL PRTNR SHRD PRESS</t>
  </si>
  <si>
    <t>36 horas mensais para as 2 HP's</t>
  </si>
  <si>
    <t>QUADRANTE</t>
  </si>
  <si>
    <t>REDOMA</t>
  </si>
  <si>
    <t>REPROSET</t>
  </si>
  <si>
    <t>90 DIAS A PARTIR DO COI</t>
  </si>
  <si>
    <t>REÚNA</t>
  </si>
  <si>
    <t xml:space="preserve">SCHOOL PICTURE </t>
  </si>
  <si>
    <t>HP INDIGO 7000</t>
  </si>
  <si>
    <t>SERITEC</t>
  </si>
  <si>
    <t>SKY GRÁFICA</t>
  </si>
  <si>
    <t>SOBRAL</t>
  </si>
  <si>
    <t>SOFTCOLOR</t>
  </si>
  <si>
    <t>STGRAF</t>
  </si>
  <si>
    <t xml:space="preserve">STGRAF   </t>
  </si>
  <si>
    <t>TECNOBLU</t>
  </si>
  <si>
    <t>THALES</t>
  </si>
  <si>
    <t>Contrato de horas</t>
  </si>
  <si>
    <t>UNIGRÁFICA</t>
  </si>
  <si>
    <t>VALGROUP</t>
  </si>
  <si>
    <t>HP INDIGO 200K</t>
  </si>
  <si>
    <t>VITAFOR</t>
  </si>
  <si>
    <t>VR LABEL</t>
  </si>
  <si>
    <t xml:space="preserve">ZANGRAF  </t>
  </si>
  <si>
    <t>ZAP GRÁFICA</t>
  </si>
  <si>
    <t>Start Date</t>
  </si>
  <si>
    <t>End Date</t>
  </si>
  <si>
    <t>Cust Mach Series</t>
  </si>
  <si>
    <t>Coverage</t>
  </si>
  <si>
    <t>Last Billed</t>
  </si>
  <si>
    <t>BRINDES TIP LTDA</t>
  </si>
  <si>
    <t>TIME n MATERIALS</t>
  </si>
  <si>
    <t>HP INDIGO R3050</t>
  </si>
  <si>
    <t>VENDA</t>
  </si>
  <si>
    <t>SERIES2</t>
  </si>
  <si>
    <t>CLASSLABEL</t>
  </si>
  <si>
    <t>HP INDIGO PRESS WS4050</t>
  </si>
  <si>
    <t>COPIADORA NACIONAL</t>
  </si>
  <si>
    <t>HP INDIGO 5500</t>
  </si>
  <si>
    <t>COPIADORA SUCCESS</t>
  </si>
  <si>
    <t>CORGRAF GRAFICA E EDITORA LT</t>
  </si>
  <si>
    <t>CSI Label Rótulos e Etiqueta</t>
  </si>
  <si>
    <t>HP INDIGO WS4500</t>
  </si>
  <si>
    <t>D&amp;A Print - Rótulos e Etique</t>
  </si>
  <si>
    <t>DIPIX RAPID GRAPHICS</t>
  </si>
  <si>
    <t>ETIQUEPRESS ETIQUETAS E ADES</t>
  </si>
  <si>
    <t>FAC FORM IMPRESSOS LTDA</t>
  </si>
  <si>
    <t>FOTO DEBIASI PRO LTDA</t>
  </si>
  <si>
    <t>FUJIOKA ELETRO IMAGEM S.A</t>
  </si>
  <si>
    <t>HP INDIGO 5600</t>
  </si>
  <si>
    <t>GEMAR EMBALAGENS</t>
  </si>
  <si>
    <t>GOLDLABEL</t>
  </si>
  <si>
    <t>HP INDIGO WS4050</t>
  </si>
  <si>
    <t>Gráfica Araruna</t>
  </si>
  <si>
    <t>GRAFICA CAPITAL LTDA</t>
  </si>
  <si>
    <t>Gráfica Cedáblio</t>
  </si>
  <si>
    <t>GRAFICA COMETA LTDA</t>
  </si>
  <si>
    <t>HP INDIGO WS4600</t>
  </si>
  <si>
    <t>GRAFICA NATAL EDITORA LTDA-M</t>
  </si>
  <si>
    <t>HP INDIGO 3550</t>
  </si>
  <si>
    <t>GRAFICA NOVO MUNDO</t>
  </si>
  <si>
    <t>GRUPO LRX ROTULOS E ETIQUETA</t>
  </si>
  <si>
    <t>IMPRESS SOLUÇÕES</t>
  </si>
  <si>
    <t>INTERFILL INDUSTRIA LIMITADA</t>
  </si>
  <si>
    <t>HP INDIGO 5000</t>
  </si>
  <si>
    <t>MAXCOR IND DE ETIQUETAS LTDA</t>
  </si>
  <si>
    <t>MENTOR GERENCIAMIENTO</t>
  </si>
  <si>
    <t>Multiprint Etiquetas Ltda</t>
  </si>
  <si>
    <t>PROJETIK</t>
  </si>
  <si>
    <t>PROMTEC ETIQUETAS E ROTULOS</t>
  </si>
  <si>
    <t>HP INDIGO WS4600 DIGITAL</t>
  </si>
  <si>
    <t>REDE EDITORA GRAFICA</t>
  </si>
  <si>
    <t>ROTULAR PRINT</t>
  </si>
  <si>
    <t>SINGULAR LABEL DO BRASIL LTD</t>
  </si>
  <si>
    <t>ULTRAPRESS EDITORA E GRAFICA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</si>
</sst>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,##0.00###"/>
    <numFmt numFmtId="165" formatCode="dd/mm/yy;@"/>
  </numFmts>
  <fonts count="5" x14ac:knownFonts="1">
    <font>
      <sz val="11"/>
      <color theme="1"/>
      <name val="Aptos Narrow"/>
      <family val="2"/>
      <scheme val="minor"/>
    </font>
    <font>
      <sz val="8"/>
      <color rgb="FF000000"/>
      <name val="Microsoft Sans Serif"/>
      <family val="2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0" fillId="3" borderId="0" xfId="0" applyFill="1"/>
    <xf numFmtId="0" fontId="2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57CD-294C-4E76-82E5-66AB1487D8F3}">
  <dimension ref="A1:O109"/>
  <sheetViews>
    <sheetView tabSelected="1" zoomScaleNormal="100" workbookViewId="0">
      <pane ySplit="1" topLeftCell="A49" activePane="bottomLeft" state="frozen"/>
      <selection pane="bottomLeft" activeCell="A99" sqref="A99"/>
    </sheetView>
  </sheetViews>
  <sheetFormatPr defaultRowHeight="14.5" x14ac:dyDescent="0.35"/>
  <cols>
    <col min="1" max="1" width="18.26953125" bestFit="1" customWidth="1"/>
    <col min="2" max="2" width="21.26953125" bestFit="1" customWidth="1"/>
    <col min="3" max="3" width="10.7265625" style="7" bestFit="1" customWidth="1"/>
    <col min="4" max="4" width="10" style="7" bestFit="1" customWidth="1"/>
    <col min="5" max="5" width="9.1796875" style="7" bestFit="1" customWidth="1"/>
    <col min="6" max="6" width="9.26953125" style="7" bestFit="1" customWidth="1"/>
    <col min="7" max="7" width="17.26953125" style="32" bestFit="1" customWidth="1"/>
    <col min="8" max="8" width="9.453125" style="7" bestFit="1" customWidth="1"/>
    <col min="9" max="9" width="33" style="7" bestFit="1" customWidth="1"/>
    <col min="10" max="10" width="10.1796875" style="7" bestFit="1" customWidth="1"/>
    <col min="11" max="11" width="14.453125" style="7" bestFit="1" customWidth="1"/>
    <col min="12" max="12" width="35.26953125" style="7" bestFit="1" customWidth="1"/>
    <col min="13" max="13" width="14.26953125" style="7" bestFit="1" customWidth="1"/>
    <col min="14" max="14" width="12" style="7" bestFit="1" customWidth="1"/>
    <col min="15" max="15" width="5.26953125" style="20" bestFit="1" customWidth="1"/>
  </cols>
  <sheetData>
    <row r="1" spans="1:15" s="4" customFormat="1" x14ac:dyDescent="0.35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1</v>
      </c>
      <c r="I1" s="17" t="s">
        <v>7</v>
      </c>
      <c r="J1" s="17" t="s">
        <v>8</v>
      </c>
      <c r="K1" s="17" t="s">
        <v>9</v>
      </c>
      <c r="L1" s="17" t="s">
        <v>10</v>
      </c>
      <c r="M1" s="18" t="s">
        <v>11</v>
      </c>
      <c r="N1" s="17" t="s">
        <v>12</v>
      </c>
      <c r="O1" s="18" t="s">
        <v>13</v>
      </c>
    </row>
    <row r="2" spans="1:15" x14ac:dyDescent="0.35">
      <c r="A2" s="2" t="s">
        <v>14</v>
      </c>
      <c r="B2" s="2" t="s">
        <v>15</v>
      </c>
      <c r="C2" s="13">
        <v>46046</v>
      </c>
      <c r="D2" s="13">
        <v>46234</v>
      </c>
      <c r="E2" s="13">
        <f t="shared" ref="E2:E33" ca="1" si="0">TODAY()</f>
        <v>46226</v>
      </c>
      <c r="F2" s="11">
        <f t="shared" ref="F2:F33" ca="1" si="1">D2-E2</f>
        <v>8</v>
      </c>
      <c r="G2" s="12" t="s">
        <v>16</v>
      </c>
      <c r="H2" s="6" t="str">
        <f t="shared" ref="H2:H11" ca="1" si="2">IF(F2&lt;=0,"VENDA","CAREPACK")</f>
        <v>CAREPACK</v>
      </c>
      <c r="I2" s="9" t="s">
        <v>17</v>
      </c>
      <c r="J2" s="11" t="s">
        <v>18</v>
      </c>
      <c r="K2" s="13">
        <v>45315</v>
      </c>
      <c r="L2" s="13"/>
      <c r="M2" s="33"/>
      <c r="N2" s="13"/>
      <c r="O2" s="19">
        <v>90</v>
      </c>
    </row>
    <row r="3" spans="1:15" x14ac:dyDescent="0.35">
      <c r="A3" s="2" t="s">
        <v>19</v>
      </c>
      <c r="B3" s="2" t="s">
        <v>20</v>
      </c>
      <c r="C3" s="13">
        <v>45717</v>
      </c>
      <c r="D3" s="13">
        <v>51501</v>
      </c>
      <c r="E3" s="13">
        <f t="shared" ca="1" si="0"/>
        <v>46226</v>
      </c>
      <c r="F3" s="11">
        <f t="shared" ca="1" si="1"/>
        <v>5275</v>
      </c>
      <c r="G3" s="12" t="s">
        <v>21</v>
      </c>
      <c r="H3" s="6" t="str">
        <f t="shared" ca="1" si="2"/>
        <v>CAREPACK</v>
      </c>
      <c r="I3" s="9" t="s">
        <v>17</v>
      </c>
      <c r="J3" s="11" t="s">
        <v>18</v>
      </c>
      <c r="K3" s="13">
        <v>40368</v>
      </c>
      <c r="L3" s="13"/>
      <c r="M3" s="33"/>
      <c r="N3" s="13"/>
      <c r="O3" s="19">
        <v>90</v>
      </c>
    </row>
    <row r="4" spans="1:15" x14ac:dyDescent="0.35">
      <c r="A4" s="2" t="s">
        <v>19</v>
      </c>
      <c r="B4" s="2" t="s">
        <v>20</v>
      </c>
      <c r="C4" s="13">
        <v>45292</v>
      </c>
      <c r="D4" s="13">
        <v>51501</v>
      </c>
      <c r="E4" s="13">
        <f t="shared" ca="1" si="0"/>
        <v>46226</v>
      </c>
      <c r="F4" s="11">
        <f t="shared" ca="1" si="1"/>
        <v>5275</v>
      </c>
      <c r="G4" s="12" t="s">
        <v>22</v>
      </c>
      <c r="H4" s="6" t="str">
        <f t="shared" ca="1" si="2"/>
        <v>CAREPACK</v>
      </c>
      <c r="I4" s="9" t="s">
        <v>17</v>
      </c>
      <c r="J4" s="11" t="s">
        <v>18</v>
      </c>
      <c r="K4" s="13">
        <v>43627</v>
      </c>
      <c r="L4" s="13"/>
      <c r="M4" s="33"/>
      <c r="N4" s="13"/>
      <c r="O4" s="19">
        <v>90</v>
      </c>
    </row>
    <row r="5" spans="1:15" x14ac:dyDescent="0.35">
      <c r="A5" s="2" t="s">
        <v>19</v>
      </c>
      <c r="B5" s="2" t="s">
        <v>15</v>
      </c>
      <c r="C5" s="13">
        <v>45627</v>
      </c>
      <c r="D5" s="13">
        <v>51501</v>
      </c>
      <c r="E5" s="13">
        <f t="shared" ca="1" si="0"/>
        <v>46226</v>
      </c>
      <c r="F5" s="11">
        <f t="shared" ca="1" si="1"/>
        <v>5275</v>
      </c>
      <c r="G5" s="12" t="s">
        <v>23</v>
      </c>
      <c r="H5" s="6" t="str">
        <f t="shared" ca="1" si="2"/>
        <v>CAREPACK</v>
      </c>
      <c r="I5" s="9" t="s">
        <v>17</v>
      </c>
      <c r="J5" s="11" t="s">
        <v>24</v>
      </c>
      <c r="K5" s="13">
        <v>45385</v>
      </c>
      <c r="L5" s="13"/>
      <c r="M5" s="33"/>
      <c r="N5" s="13"/>
      <c r="O5" s="19">
        <v>90</v>
      </c>
    </row>
    <row r="6" spans="1:15" x14ac:dyDescent="0.35">
      <c r="A6" s="2" t="s">
        <v>25</v>
      </c>
      <c r="B6" s="2" t="s">
        <v>20</v>
      </c>
      <c r="C6" s="13">
        <v>45962</v>
      </c>
      <c r="D6" s="13">
        <v>46265</v>
      </c>
      <c r="E6" s="13">
        <f t="shared" ca="1" si="0"/>
        <v>46226</v>
      </c>
      <c r="F6" s="11">
        <f t="shared" ca="1" si="1"/>
        <v>39</v>
      </c>
      <c r="G6" s="12" t="s">
        <v>26</v>
      </c>
      <c r="H6" s="6" t="str">
        <f t="shared" ca="1" si="2"/>
        <v>CAREPACK</v>
      </c>
      <c r="I6" s="9" t="s">
        <v>17</v>
      </c>
      <c r="J6" s="11" t="s">
        <v>18</v>
      </c>
      <c r="K6" s="13">
        <v>42118</v>
      </c>
      <c r="L6" s="13"/>
      <c r="M6" s="33"/>
      <c r="N6" s="13"/>
      <c r="O6" s="19">
        <v>90</v>
      </c>
    </row>
    <row r="7" spans="1:15" x14ac:dyDescent="0.35">
      <c r="A7" s="2" t="s">
        <v>25</v>
      </c>
      <c r="B7" s="2" t="s">
        <v>20</v>
      </c>
      <c r="C7" s="13">
        <v>45992</v>
      </c>
      <c r="D7" s="13">
        <v>46265</v>
      </c>
      <c r="E7" s="13">
        <f t="shared" ca="1" si="0"/>
        <v>46226</v>
      </c>
      <c r="F7" s="11">
        <f t="shared" ca="1" si="1"/>
        <v>39</v>
      </c>
      <c r="G7" s="12" t="s">
        <v>23</v>
      </c>
      <c r="H7" s="6" t="str">
        <f t="shared" ca="1" si="2"/>
        <v>CAREPACK</v>
      </c>
      <c r="I7" s="9" t="s">
        <v>17</v>
      </c>
      <c r="J7" s="11" t="s">
        <v>24</v>
      </c>
      <c r="K7" s="13">
        <v>42755</v>
      </c>
      <c r="L7" s="13"/>
      <c r="M7" s="33"/>
      <c r="N7" s="13"/>
      <c r="O7" s="19">
        <v>90</v>
      </c>
    </row>
    <row r="8" spans="1:15" x14ac:dyDescent="0.35">
      <c r="A8" s="2" t="s">
        <v>27</v>
      </c>
      <c r="B8" s="2" t="s">
        <v>28</v>
      </c>
      <c r="C8" s="13">
        <v>45999</v>
      </c>
      <c r="D8" s="13">
        <v>46061</v>
      </c>
      <c r="E8" s="13">
        <f t="shared" ca="1" si="0"/>
        <v>46226</v>
      </c>
      <c r="F8" s="11">
        <f t="shared" ca="1" si="1"/>
        <v>-165</v>
      </c>
      <c r="G8" s="12" t="s">
        <v>29</v>
      </c>
      <c r="H8" s="6" t="str">
        <f t="shared" ca="1" si="2"/>
        <v>VENDA</v>
      </c>
      <c r="I8" s="9" t="s">
        <v>17</v>
      </c>
      <c r="J8" s="11" t="s">
        <v>18</v>
      </c>
      <c r="K8" s="13">
        <v>45965</v>
      </c>
      <c r="L8" s="21"/>
      <c r="M8" s="33"/>
      <c r="N8" s="13"/>
      <c r="O8" s="19">
        <v>90</v>
      </c>
    </row>
    <row r="9" spans="1:15" x14ac:dyDescent="0.35">
      <c r="A9" s="2" t="s">
        <v>27</v>
      </c>
      <c r="B9" s="2" t="s">
        <v>15</v>
      </c>
      <c r="C9" s="13">
        <v>45999</v>
      </c>
      <c r="D9" s="13">
        <v>45824</v>
      </c>
      <c r="E9" s="13">
        <f t="shared" ca="1" si="0"/>
        <v>46226</v>
      </c>
      <c r="F9" s="11">
        <f t="shared" ca="1" si="1"/>
        <v>-402</v>
      </c>
      <c r="G9" s="12" t="s">
        <v>22</v>
      </c>
      <c r="H9" s="6" t="str">
        <f t="shared" ca="1" si="2"/>
        <v>VENDA</v>
      </c>
      <c r="I9" s="9" t="s">
        <v>17</v>
      </c>
      <c r="J9" s="11" t="s">
        <v>18</v>
      </c>
      <c r="K9" s="13"/>
      <c r="L9" s="21"/>
      <c r="M9" s="33"/>
      <c r="N9" s="13"/>
      <c r="O9" s="19">
        <v>90</v>
      </c>
    </row>
    <row r="10" spans="1:15" x14ac:dyDescent="0.35">
      <c r="A10" s="2" t="s">
        <v>30</v>
      </c>
      <c r="B10" s="2" t="s">
        <v>15</v>
      </c>
      <c r="C10" s="13">
        <v>45670</v>
      </c>
      <c r="D10" s="13">
        <v>44196</v>
      </c>
      <c r="E10" s="13">
        <f t="shared" ca="1" si="0"/>
        <v>46226</v>
      </c>
      <c r="F10" s="11">
        <f t="shared" ca="1" si="1"/>
        <v>-2030</v>
      </c>
      <c r="G10" s="12" t="s">
        <v>31</v>
      </c>
      <c r="H10" s="6" t="str">
        <f t="shared" ca="1" si="2"/>
        <v>VENDA</v>
      </c>
      <c r="I10" s="9" t="s">
        <v>17</v>
      </c>
      <c r="J10" s="11" t="s">
        <v>18</v>
      </c>
      <c r="K10" s="13">
        <v>45670</v>
      </c>
      <c r="L10" s="21"/>
      <c r="M10" s="33"/>
      <c r="N10" s="13"/>
      <c r="O10" s="19"/>
    </row>
    <row r="11" spans="1:15" x14ac:dyDescent="0.35">
      <c r="A11" s="8" t="s">
        <v>30</v>
      </c>
      <c r="B11" s="2" t="s">
        <v>15</v>
      </c>
      <c r="C11" s="14">
        <v>44909</v>
      </c>
      <c r="D11" s="13">
        <v>44196</v>
      </c>
      <c r="E11" s="13">
        <f t="shared" ca="1" si="0"/>
        <v>46226</v>
      </c>
      <c r="F11" s="11">
        <f t="shared" ca="1" si="1"/>
        <v>-2030</v>
      </c>
      <c r="G11" s="12" t="s">
        <v>32</v>
      </c>
      <c r="H11" s="6" t="str">
        <f t="shared" ca="1" si="2"/>
        <v>VENDA</v>
      </c>
      <c r="I11" s="9" t="s">
        <v>17</v>
      </c>
      <c r="J11" s="11" t="s">
        <v>18</v>
      </c>
      <c r="K11" s="14">
        <v>43581</v>
      </c>
      <c r="L11" s="21"/>
      <c r="M11" s="15"/>
      <c r="N11" s="14"/>
      <c r="O11" s="19">
        <v>90</v>
      </c>
    </row>
    <row r="12" spans="1:15" x14ac:dyDescent="0.35">
      <c r="A12" s="8" t="s">
        <v>33</v>
      </c>
      <c r="B12" s="8" t="s">
        <v>20</v>
      </c>
      <c r="C12" s="14">
        <v>45992</v>
      </c>
      <c r="D12" s="14">
        <v>46356</v>
      </c>
      <c r="E12" s="13">
        <f t="shared" ca="1" si="0"/>
        <v>46226</v>
      </c>
      <c r="F12" s="11">
        <f t="shared" ca="1" si="1"/>
        <v>130</v>
      </c>
      <c r="G12" s="12" t="s">
        <v>34</v>
      </c>
      <c r="H12" s="9" t="s">
        <v>35</v>
      </c>
      <c r="I12" s="9" t="s">
        <v>17</v>
      </c>
      <c r="J12" s="11" t="s">
        <v>24</v>
      </c>
      <c r="K12" s="14">
        <v>43224</v>
      </c>
      <c r="L12" s="21" t="s">
        <v>36</v>
      </c>
      <c r="M12" s="15"/>
      <c r="N12" s="14"/>
      <c r="O12" s="19">
        <v>90</v>
      </c>
    </row>
    <row r="13" spans="1:15" x14ac:dyDescent="0.35">
      <c r="A13" s="8" t="s">
        <v>37</v>
      </c>
      <c r="B13" s="8" t="s">
        <v>20</v>
      </c>
      <c r="C13" s="14">
        <v>45566</v>
      </c>
      <c r="D13" s="14">
        <v>46326</v>
      </c>
      <c r="E13" s="13">
        <f t="shared" ca="1" si="0"/>
        <v>46226</v>
      </c>
      <c r="F13" s="11">
        <f t="shared" ca="1" si="1"/>
        <v>100</v>
      </c>
      <c r="G13" s="12" t="s">
        <v>38</v>
      </c>
      <c r="H13" s="9" t="s">
        <v>39</v>
      </c>
      <c r="I13" s="9" t="s">
        <v>17</v>
      </c>
      <c r="J13" s="11" t="s">
        <v>24</v>
      </c>
      <c r="K13" s="14">
        <v>45149</v>
      </c>
      <c r="L13" s="21" t="s">
        <v>36</v>
      </c>
      <c r="M13" s="15"/>
      <c r="N13" s="14"/>
      <c r="O13" s="19">
        <v>90</v>
      </c>
    </row>
    <row r="14" spans="1:15" x14ac:dyDescent="0.35">
      <c r="A14" s="8" t="s">
        <v>40</v>
      </c>
      <c r="B14" s="8" t="s">
        <v>20</v>
      </c>
      <c r="C14" s="14">
        <v>45890</v>
      </c>
      <c r="D14" s="14">
        <v>46619</v>
      </c>
      <c r="E14" s="13">
        <f t="shared" ca="1" si="0"/>
        <v>46226</v>
      </c>
      <c r="F14" s="11">
        <f t="shared" ca="1" si="1"/>
        <v>393</v>
      </c>
      <c r="G14" s="12" t="s">
        <v>16</v>
      </c>
      <c r="H14" s="9" t="s">
        <v>39</v>
      </c>
      <c r="I14" s="9" t="s">
        <v>41</v>
      </c>
      <c r="J14" s="11" t="s">
        <v>18</v>
      </c>
      <c r="K14" s="14">
        <v>45890</v>
      </c>
      <c r="L14" s="21"/>
      <c r="M14" s="15"/>
      <c r="N14" s="14"/>
      <c r="O14" s="19">
        <v>90</v>
      </c>
    </row>
    <row r="15" spans="1:15" x14ac:dyDescent="0.35">
      <c r="A15" s="8" t="s">
        <v>42</v>
      </c>
      <c r="B15" s="8" t="s">
        <v>20</v>
      </c>
      <c r="C15" s="14">
        <v>45962</v>
      </c>
      <c r="D15" s="14">
        <v>51501</v>
      </c>
      <c r="E15" s="13">
        <f t="shared" ca="1" si="0"/>
        <v>46226</v>
      </c>
      <c r="F15" s="11">
        <f t="shared" ca="1" si="1"/>
        <v>5275</v>
      </c>
      <c r="G15" s="12" t="s">
        <v>26</v>
      </c>
      <c r="H15" s="9" t="s">
        <v>39</v>
      </c>
      <c r="I15" s="9" t="s">
        <v>43</v>
      </c>
      <c r="J15" s="11" t="s">
        <v>18</v>
      </c>
      <c r="K15" s="14">
        <v>41969</v>
      </c>
      <c r="L15" s="21" t="s">
        <v>44</v>
      </c>
      <c r="M15" s="15"/>
      <c r="N15" s="14"/>
      <c r="O15" s="19">
        <v>90</v>
      </c>
    </row>
    <row r="16" spans="1:15" x14ac:dyDescent="0.35">
      <c r="A16" s="8" t="s">
        <v>45</v>
      </c>
      <c r="B16" s="8" t="s">
        <v>20</v>
      </c>
      <c r="C16" s="14">
        <v>46082</v>
      </c>
      <c r="D16" s="14">
        <v>46446</v>
      </c>
      <c r="E16" s="13">
        <f t="shared" ca="1" si="0"/>
        <v>46226</v>
      </c>
      <c r="F16" s="11">
        <f t="shared" ca="1" si="1"/>
        <v>220</v>
      </c>
      <c r="G16" s="12" t="s">
        <v>46</v>
      </c>
      <c r="H16" s="9" t="s">
        <v>35</v>
      </c>
      <c r="I16" s="9" t="s">
        <v>47</v>
      </c>
      <c r="J16" s="11" t="s">
        <v>24</v>
      </c>
      <c r="K16" s="14">
        <v>42353</v>
      </c>
      <c r="L16" s="14"/>
      <c r="M16" s="15"/>
      <c r="N16" s="14"/>
      <c r="O16" s="19">
        <v>90</v>
      </c>
    </row>
    <row r="17" spans="1:15" x14ac:dyDescent="0.35">
      <c r="A17" s="8" t="s">
        <v>48</v>
      </c>
      <c r="B17" s="8" t="s">
        <v>20</v>
      </c>
      <c r="C17" s="14">
        <v>46082</v>
      </c>
      <c r="D17" s="14">
        <v>46446</v>
      </c>
      <c r="E17" s="13">
        <f t="shared" ca="1" si="0"/>
        <v>46226</v>
      </c>
      <c r="F17" s="11">
        <f t="shared" ca="1" si="1"/>
        <v>220</v>
      </c>
      <c r="G17" s="12" t="s">
        <v>49</v>
      </c>
      <c r="H17" s="9" t="s">
        <v>35</v>
      </c>
      <c r="I17" s="9" t="s">
        <v>47</v>
      </c>
      <c r="J17" s="11" t="s">
        <v>24</v>
      </c>
      <c r="K17" s="14">
        <v>45524</v>
      </c>
      <c r="L17" s="14"/>
      <c r="M17" s="15"/>
      <c r="N17" s="14"/>
      <c r="O17" s="19">
        <v>90</v>
      </c>
    </row>
    <row r="18" spans="1:15" x14ac:dyDescent="0.35">
      <c r="A18" s="8" t="s">
        <v>50</v>
      </c>
      <c r="B18" s="8" t="s">
        <v>51</v>
      </c>
      <c r="C18" s="14">
        <v>45950</v>
      </c>
      <c r="D18" s="14">
        <v>46863</v>
      </c>
      <c r="E18" s="13">
        <f t="shared" ca="1" si="0"/>
        <v>46226</v>
      </c>
      <c r="F18" s="11">
        <f t="shared" ca="1" si="1"/>
        <v>637</v>
      </c>
      <c r="G18" s="12" t="s">
        <v>16</v>
      </c>
      <c r="H18" s="9" t="s">
        <v>39</v>
      </c>
      <c r="I18" s="9" t="s">
        <v>17</v>
      </c>
      <c r="J18" s="11" t="s">
        <v>18</v>
      </c>
      <c r="K18" s="14">
        <v>45950</v>
      </c>
      <c r="L18" s="14"/>
      <c r="M18" s="15"/>
      <c r="N18" s="14"/>
      <c r="O18" s="19">
        <v>90</v>
      </c>
    </row>
    <row r="19" spans="1:15" x14ac:dyDescent="0.35">
      <c r="A19" s="8" t="s">
        <v>52</v>
      </c>
      <c r="B19" s="2" t="s">
        <v>15</v>
      </c>
      <c r="C19" s="14">
        <v>42564</v>
      </c>
      <c r="D19" s="14">
        <v>51501</v>
      </c>
      <c r="E19" s="13">
        <f t="shared" ca="1" si="0"/>
        <v>46226</v>
      </c>
      <c r="F19" s="11">
        <f t="shared" ca="1" si="1"/>
        <v>5275</v>
      </c>
      <c r="G19" s="12" t="s">
        <v>26</v>
      </c>
      <c r="H19" s="9" t="s">
        <v>39</v>
      </c>
      <c r="I19" s="9" t="s">
        <v>17</v>
      </c>
      <c r="J19" s="11" t="s">
        <v>18</v>
      </c>
      <c r="K19" s="14">
        <v>42198</v>
      </c>
      <c r="L19" s="14"/>
      <c r="M19" s="15"/>
      <c r="N19" s="14"/>
      <c r="O19" s="19">
        <v>90</v>
      </c>
    </row>
    <row r="20" spans="1:15" x14ac:dyDescent="0.35">
      <c r="A20" s="8" t="s">
        <v>53</v>
      </c>
      <c r="B20" s="8" t="s">
        <v>20</v>
      </c>
      <c r="C20" s="14">
        <v>46028</v>
      </c>
      <c r="D20" s="14">
        <v>51501</v>
      </c>
      <c r="E20" s="13">
        <f t="shared" ca="1" si="0"/>
        <v>46226</v>
      </c>
      <c r="F20" s="11">
        <f t="shared" ca="1" si="1"/>
        <v>5275</v>
      </c>
      <c r="G20" s="12" t="s">
        <v>16</v>
      </c>
      <c r="H20" s="9" t="s">
        <v>39</v>
      </c>
      <c r="I20" s="9" t="s">
        <v>17</v>
      </c>
      <c r="J20" s="11" t="s">
        <v>18</v>
      </c>
      <c r="K20" s="14">
        <v>45602</v>
      </c>
      <c r="L20" s="22"/>
      <c r="M20" s="15"/>
      <c r="N20" s="14"/>
      <c r="O20" s="19">
        <v>90</v>
      </c>
    </row>
    <row r="21" spans="1:15" x14ac:dyDescent="0.35">
      <c r="A21" s="8" t="s">
        <v>54</v>
      </c>
      <c r="B21" s="2" t="s">
        <v>15</v>
      </c>
      <c r="C21" s="14">
        <v>44911</v>
      </c>
      <c r="D21" s="13">
        <v>44196</v>
      </c>
      <c r="E21" s="13">
        <f t="shared" ca="1" si="0"/>
        <v>46226</v>
      </c>
      <c r="F21" s="11">
        <f t="shared" ca="1" si="1"/>
        <v>-2030</v>
      </c>
      <c r="G21" s="12" t="s">
        <v>31</v>
      </c>
      <c r="H21" s="9" t="str">
        <f t="shared" ref="H21:H27" ca="1" si="3">IF(F21&lt;=0, "VENDA","CAREPACK")</f>
        <v>VENDA</v>
      </c>
      <c r="I21" s="9" t="s">
        <v>17</v>
      </c>
      <c r="J21" s="11" t="s">
        <v>18</v>
      </c>
      <c r="K21" s="14">
        <v>40801</v>
      </c>
      <c r="L21" s="22"/>
      <c r="M21" s="15"/>
      <c r="N21" s="14"/>
      <c r="O21" s="19">
        <v>90</v>
      </c>
    </row>
    <row r="22" spans="1:15" x14ac:dyDescent="0.35">
      <c r="A22" s="8" t="s">
        <v>55</v>
      </c>
      <c r="B22" s="2" t="s">
        <v>15</v>
      </c>
      <c r="C22" s="14">
        <v>45352</v>
      </c>
      <c r="D22" s="13">
        <v>44196</v>
      </c>
      <c r="E22" s="13">
        <f t="shared" ca="1" si="0"/>
        <v>46226</v>
      </c>
      <c r="F22" s="11">
        <f t="shared" ca="1" si="1"/>
        <v>-2030</v>
      </c>
      <c r="G22" s="12" t="s">
        <v>32</v>
      </c>
      <c r="H22" s="9" t="str">
        <f t="shared" ca="1" si="3"/>
        <v>VENDA</v>
      </c>
      <c r="I22" s="9" t="s">
        <v>17</v>
      </c>
      <c r="J22" s="11" t="s">
        <v>18</v>
      </c>
      <c r="K22" s="14">
        <v>44089</v>
      </c>
      <c r="L22" s="22"/>
      <c r="M22" s="15"/>
      <c r="N22" s="14"/>
      <c r="O22" s="19">
        <v>90</v>
      </c>
    </row>
    <row r="23" spans="1:15" x14ac:dyDescent="0.35">
      <c r="A23" s="8" t="s">
        <v>56</v>
      </c>
      <c r="B23" s="8" t="s">
        <v>57</v>
      </c>
      <c r="C23" s="14">
        <v>45444</v>
      </c>
      <c r="D23" s="14">
        <v>46203</v>
      </c>
      <c r="E23" s="13">
        <f t="shared" ca="1" si="0"/>
        <v>46226</v>
      </c>
      <c r="F23" s="11">
        <f t="shared" ca="1" si="1"/>
        <v>-23</v>
      </c>
      <c r="G23" s="12" t="s">
        <v>38</v>
      </c>
      <c r="H23" s="9" t="str">
        <f t="shared" ca="1" si="3"/>
        <v>VENDA</v>
      </c>
      <c r="I23" s="9" t="s">
        <v>17</v>
      </c>
      <c r="J23" s="11" t="s">
        <v>24</v>
      </c>
      <c r="K23" s="14">
        <v>45261</v>
      </c>
      <c r="L23" s="22"/>
      <c r="M23" s="15"/>
      <c r="N23" s="14"/>
      <c r="O23" s="19">
        <v>90</v>
      </c>
    </row>
    <row r="24" spans="1:15" x14ac:dyDescent="0.35">
      <c r="A24" s="23" t="s">
        <v>58</v>
      </c>
      <c r="B24" s="23" t="s">
        <v>20</v>
      </c>
      <c r="C24" s="25">
        <v>45962</v>
      </c>
      <c r="D24" s="14">
        <v>46203</v>
      </c>
      <c r="E24" s="26">
        <f t="shared" ca="1" si="0"/>
        <v>46226</v>
      </c>
      <c r="F24" s="27">
        <f t="shared" ca="1" si="1"/>
        <v>-23</v>
      </c>
      <c r="G24" s="31" t="s">
        <v>59</v>
      </c>
      <c r="H24" s="9" t="str">
        <f t="shared" ca="1" si="3"/>
        <v>VENDA</v>
      </c>
      <c r="I24" s="28" t="s">
        <v>60</v>
      </c>
      <c r="J24" s="27" t="s">
        <v>18</v>
      </c>
      <c r="K24" s="25">
        <v>41290</v>
      </c>
      <c r="L24" s="21" t="s">
        <v>44</v>
      </c>
      <c r="M24" s="34"/>
      <c r="N24" s="25"/>
      <c r="O24" s="19">
        <v>90</v>
      </c>
    </row>
    <row r="25" spans="1:15" x14ac:dyDescent="0.35">
      <c r="A25" s="23" t="s">
        <v>58</v>
      </c>
      <c r="B25" s="23" t="s">
        <v>20</v>
      </c>
      <c r="C25" s="25">
        <v>45962</v>
      </c>
      <c r="D25" s="14">
        <v>46203</v>
      </c>
      <c r="E25" s="26">
        <f t="shared" ca="1" si="0"/>
        <v>46226</v>
      </c>
      <c r="F25" s="27">
        <f t="shared" ca="1" si="1"/>
        <v>-23</v>
      </c>
      <c r="G25" s="31" t="s">
        <v>59</v>
      </c>
      <c r="H25" s="9" t="str">
        <f t="shared" ca="1" si="3"/>
        <v>VENDA</v>
      </c>
      <c r="I25" s="28" t="s">
        <v>60</v>
      </c>
      <c r="J25" s="27" t="s">
        <v>18</v>
      </c>
      <c r="K25" s="25">
        <v>42989</v>
      </c>
      <c r="L25" s="21" t="s">
        <v>44</v>
      </c>
      <c r="M25" s="34"/>
      <c r="N25" s="25"/>
      <c r="O25" s="19">
        <v>90</v>
      </c>
    </row>
    <row r="26" spans="1:15" x14ac:dyDescent="0.35">
      <c r="A26" s="8" t="s">
        <v>58</v>
      </c>
      <c r="B26" s="2" t="s">
        <v>15</v>
      </c>
      <c r="C26" s="14">
        <v>45383</v>
      </c>
      <c r="D26" s="13">
        <v>44196</v>
      </c>
      <c r="E26" s="13">
        <f t="shared" ca="1" si="0"/>
        <v>46226</v>
      </c>
      <c r="F26" s="11">
        <f t="shared" ca="1" si="1"/>
        <v>-2030</v>
      </c>
      <c r="G26" s="12" t="s">
        <v>34</v>
      </c>
      <c r="H26" s="9" t="str">
        <f t="shared" ca="1" si="3"/>
        <v>VENDA</v>
      </c>
      <c r="I26" s="28" t="s">
        <v>60</v>
      </c>
      <c r="J26" s="11" t="s">
        <v>24</v>
      </c>
      <c r="K26" s="14">
        <v>43186</v>
      </c>
      <c r="L26" s="21" t="s">
        <v>44</v>
      </c>
      <c r="M26" s="15"/>
      <c r="N26" s="14"/>
      <c r="O26" s="19">
        <v>90</v>
      </c>
    </row>
    <row r="27" spans="1:15" x14ac:dyDescent="0.35">
      <c r="A27" s="8" t="s">
        <v>61</v>
      </c>
      <c r="B27" s="8" t="s">
        <v>20</v>
      </c>
      <c r="C27" s="14">
        <v>45992</v>
      </c>
      <c r="D27" s="14">
        <v>46477</v>
      </c>
      <c r="E27" s="13">
        <f t="shared" ca="1" si="0"/>
        <v>46226</v>
      </c>
      <c r="F27" s="11">
        <f t="shared" ca="1" si="1"/>
        <v>251</v>
      </c>
      <c r="G27" s="12" t="s">
        <v>34</v>
      </c>
      <c r="H27" s="9" t="str">
        <f t="shared" ca="1" si="3"/>
        <v>CAREPACK</v>
      </c>
      <c r="I27" s="9" t="s">
        <v>17</v>
      </c>
      <c r="J27" s="11" t="s">
        <v>24</v>
      </c>
      <c r="K27" s="14">
        <v>43923</v>
      </c>
      <c r="L27" s="21" t="s">
        <v>36</v>
      </c>
      <c r="M27" s="15"/>
      <c r="N27" s="14"/>
      <c r="O27" s="19">
        <v>90</v>
      </c>
    </row>
    <row r="28" spans="1:15" s="30" customFormat="1" x14ac:dyDescent="0.35">
      <c r="A28" s="8" t="s">
        <v>62</v>
      </c>
      <c r="B28" s="8" t="s">
        <v>20</v>
      </c>
      <c r="C28" s="14">
        <v>45689</v>
      </c>
      <c r="D28" s="14">
        <v>51501</v>
      </c>
      <c r="E28" s="13">
        <f t="shared" ca="1" si="0"/>
        <v>46226</v>
      </c>
      <c r="F28" s="11">
        <f t="shared" ca="1" si="1"/>
        <v>5275</v>
      </c>
      <c r="G28" s="12" t="s">
        <v>63</v>
      </c>
      <c r="H28" s="9" t="s">
        <v>35</v>
      </c>
      <c r="I28" s="9" t="s">
        <v>64</v>
      </c>
      <c r="J28" s="11" t="s">
        <v>24</v>
      </c>
      <c r="K28" s="14">
        <v>42347</v>
      </c>
      <c r="L28" s="22"/>
      <c r="M28" s="15"/>
      <c r="N28" s="14"/>
      <c r="O28" s="29">
        <v>90</v>
      </c>
    </row>
    <row r="29" spans="1:15" s="30" customFormat="1" x14ac:dyDescent="0.35">
      <c r="A29" s="8" t="s">
        <v>62</v>
      </c>
      <c r="B29" s="2" t="s">
        <v>15</v>
      </c>
      <c r="C29" s="14">
        <v>43891</v>
      </c>
      <c r="D29" s="13">
        <v>44196</v>
      </c>
      <c r="E29" s="13">
        <f t="shared" ca="1" si="0"/>
        <v>46226</v>
      </c>
      <c r="F29" s="11">
        <f t="shared" ca="1" si="1"/>
        <v>-2030</v>
      </c>
      <c r="G29" s="12" t="s">
        <v>32</v>
      </c>
      <c r="H29" s="9" t="str">
        <f ca="1">IF(F29&lt;=0, "VENDA","CAREPACK")</f>
        <v>VENDA</v>
      </c>
      <c r="I29" s="9" t="s">
        <v>17</v>
      </c>
      <c r="J29" s="11" t="s">
        <v>18</v>
      </c>
      <c r="K29" s="14">
        <v>43283</v>
      </c>
      <c r="L29" s="14"/>
      <c r="M29" s="15"/>
      <c r="N29" s="14"/>
      <c r="O29" s="29">
        <v>90</v>
      </c>
    </row>
    <row r="30" spans="1:15" x14ac:dyDescent="0.35">
      <c r="A30" s="8" t="s">
        <v>65</v>
      </c>
      <c r="B30" s="2" t="s">
        <v>15</v>
      </c>
      <c r="C30" s="14">
        <v>45925</v>
      </c>
      <c r="D30" s="13">
        <v>44196</v>
      </c>
      <c r="E30" s="13">
        <f t="shared" ca="1" si="0"/>
        <v>46226</v>
      </c>
      <c r="F30" s="11">
        <f t="shared" ca="1" si="1"/>
        <v>-2030</v>
      </c>
      <c r="G30" s="12" t="s">
        <v>66</v>
      </c>
      <c r="H30" s="9" t="str">
        <f ca="1">IF(F30&lt;=0, "VENDA","CAREPACK")</f>
        <v>VENDA</v>
      </c>
      <c r="I30" s="9" t="s">
        <v>17</v>
      </c>
      <c r="J30" s="11" t="s">
        <v>18</v>
      </c>
      <c r="K30" s="14">
        <v>45925</v>
      </c>
      <c r="L30" s="14"/>
      <c r="M30" s="15"/>
      <c r="N30" s="14"/>
      <c r="O30" s="19">
        <v>90</v>
      </c>
    </row>
    <row r="31" spans="1:15" x14ac:dyDescent="0.35">
      <c r="A31" s="23" t="s">
        <v>67</v>
      </c>
      <c r="B31" s="23" t="s">
        <v>57</v>
      </c>
      <c r="C31" s="25">
        <v>45928</v>
      </c>
      <c r="D31" s="25">
        <v>46473</v>
      </c>
      <c r="E31" s="26">
        <f t="shared" ca="1" si="0"/>
        <v>46226</v>
      </c>
      <c r="F31" s="27">
        <f t="shared" ca="1" si="1"/>
        <v>247</v>
      </c>
      <c r="G31" s="31" t="s">
        <v>16</v>
      </c>
      <c r="H31" s="9" t="str">
        <f ca="1">IF(F31&lt;=0, "VENDA","CAREPACK")</f>
        <v>CAREPACK</v>
      </c>
      <c r="I31" s="9" t="s">
        <v>17</v>
      </c>
      <c r="J31" s="27" t="s">
        <v>18</v>
      </c>
      <c r="K31" s="25">
        <v>45744</v>
      </c>
      <c r="L31" s="25"/>
      <c r="M31" s="34"/>
      <c r="N31" s="25"/>
      <c r="O31" s="19">
        <v>90</v>
      </c>
    </row>
    <row r="32" spans="1:15" ht="14.25" customHeight="1" x14ac:dyDescent="0.35">
      <c r="A32" s="8" t="s">
        <v>68</v>
      </c>
      <c r="B32" s="2" t="s">
        <v>15</v>
      </c>
      <c r="C32" s="14">
        <v>45139</v>
      </c>
      <c r="D32" s="13">
        <v>44196</v>
      </c>
      <c r="E32" s="13">
        <f t="shared" ca="1" si="0"/>
        <v>46226</v>
      </c>
      <c r="F32" s="11">
        <f t="shared" ca="1" si="1"/>
        <v>-2030</v>
      </c>
      <c r="G32" s="12" t="s">
        <v>31</v>
      </c>
      <c r="H32" s="9" t="str">
        <f ca="1">IF(F32&lt;=0, "VENDA","CAREPACK")</f>
        <v>VENDA</v>
      </c>
      <c r="I32" s="9" t="s">
        <v>17</v>
      </c>
      <c r="J32" s="11" t="s">
        <v>18</v>
      </c>
      <c r="K32" s="14">
        <v>40892</v>
      </c>
      <c r="L32" s="14"/>
      <c r="M32" s="15"/>
      <c r="N32" s="14"/>
      <c r="O32" s="19">
        <v>90</v>
      </c>
    </row>
    <row r="33" spans="1:15" x14ac:dyDescent="0.35">
      <c r="A33" s="2" t="s">
        <v>69</v>
      </c>
      <c r="B33" s="2" t="s">
        <v>15</v>
      </c>
      <c r="C33" s="13">
        <v>45017</v>
      </c>
      <c r="D33" s="13">
        <v>44196</v>
      </c>
      <c r="E33" s="13">
        <f t="shared" ca="1" si="0"/>
        <v>46226</v>
      </c>
      <c r="F33" s="11">
        <f t="shared" ca="1" si="1"/>
        <v>-2030</v>
      </c>
      <c r="G33" s="12" t="s">
        <v>22</v>
      </c>
      <c r="H33" s="6" t="str">
        <f ca="1">IF(F33&lt;=0,"VENDA","CAREPACK")</f>
        <v>VENDA</v>
      </c>
      <c r="I33" s="9" t="s">
        <v>17</v>
      </c>
      <c r="J33" s="11" t="s">
        <v>18</v>
      </c>
      <c r="K33" s="13">
        <v>44682</v>
      </c>
      <c r="L33" s="21"/>
      <c r="M33" s="33"/>
      <c r="N33" s="13"/>
      <c r="O33" s="19">
        <v>90</v>
      </c>
    </row>
    <row r="34" spans="1:15" x14ac:dyDescent="0.35">
      <c r="A34" s="8" t="s">
        <v>70</v>
      </c>
      <c r="B34" s="2" t="s">
        <v>15</v>
      </c>
      <c r="C34" s="14">
        <v>44165</v>
      </c>
      <c r="D34" s="13">
        <v>44196</v>
      </c>
      <c r="E34" s="13">
        <f t="shared" ref="E34:E68" ca="1" si="4">TODAY()</f>
        <v>46226</v>
      </c>
      <c r="F34" s="11">
        <f t="shared" ref="F34:F65" ca="1" si="5">D34-E34</f>
        <v>-2030</v>
      </c>
      <c r="G34" s="12" t="s">
        <v>21</v>
      </c>
      <c r="H34" s="9" t="str">
        <f ca="1">IF(F34&lt;=0, "VENDA","CAREPACK")</f>
        <v>VENDA</v>
      </c>
      <c r="I34" s="9" t="s">
        <v>17</v>
      </c>
      <c r="J34" s="11" t="s">
        <v>18</v>
      </c>
      <c r="K34" s="14">
        <v>40736</v>
      </c>
      <c r="L34" s="14"/>
      <c r="M34" s="15"/>
      <c r="N34" s="14"/>
      <c r="O34" s="19">
        <v>90</v>
      </c>
    </row>
    <row r="35" spans="1:15" x14ac:dyDescent="0.35">
      <c r="A35" s="8" t="s">
        <v>71</v>
      </c>
      <c r="B35" s="8" t="s">
        <v>57</v>
      </c>
      <c r="C35" s="14">
        <v>45896</v>
      </c>
      <c r="D35" s="14">
        <v>46625</v>
      </c>
      <c r="E35" s="13">
        <f t="shared" ca="1" si="4"/>
        <v>46226</v>
      </c>
      <c r="F35" s="11">
        <f t="shared" ca="1" si="5"/>
        <v>399</v>
      </c>
      <c r="G35" s="12" t="s">
        <v>16</v>
      </c>
      <c r="H35" s="9" t="str">
        <f ca="1">IF(F35&lt;=0, "VENDA","CAREPACK")</f>
        <v>CAREPACK</v>
      </c>
      <c r="I35" s="9" t="s">
        <v>17</v>
      </c>
      <c r="J35" s="11" t="s">
        <v>18</v>
      </c>
      <c r="K35" s="14">
        <v>45714</v>
      </c>
      <c r="L35" s="14"/>
      <c r="M35" s="15"/>
      <c r="N35" s="14"/>
      <c r="O35" s="19">
        <v>90</v>
      </c>
    </row>
    <row r="36" spans="1:15" s="30" customFormat="1" ht="15" customHeight="1" x14ac:dyDescent="0.35">
      <c r="A36" s="8" t="s">
        <v>72</v>
      </c>
      <c r="B36" s="8" t="s">
        <v>20</v>
      </c>
      <c r="C36" s="14">
        <v>45870</v>
      </c>
      <c r="D36" s="14">
        <v>46477</v>
      </c>
      <c r="E36" s="13">
        <f t="shared" ca="1" si="4"/>
        <v>46226</v>
      </c>
      <c r="F36" s="11">
        <f t="shared" ca="1" si="5"/>
        <v>251</v>
      </c>
      <c r="G36" s="12" t="s">
        <v>73</v>
      </c>
      <c r="H36" s="9" t="s">
        <v>35</v>
      </c>
      <c r="I36" s="9" t="s">
        <v>17</v>
      </c>
      <c r="J36" s="12" t="s">
        <v>74</v>
      </c>
      <c r="K36" s="14">
        <v>44896</v>
      </c>
      <c r="L36" s="14"/>
      <c r="M36" s="15"/>
      <c r="N36" s="14"/>
      <c r="O36" s="29">
        <v>90</v>
      </c>
    </row>
    <row r="37" spans="1:15" x14ac:dyDescent="0.35">
      <c r="A37" s="8" t="s">
        <v>72</v>
      </c>
      <c r="B37" s="8" t="s">
        <v>20</v>
      </c>
      <c r="C37" s="14">
        <v>46090</v>
      </c>
      <c r="D37" s="14">
        <v>46455</v>
      </c>
      <c r="E37" s="13">
        <f t="shared" ca="1" si="4"/>
        <v>46226</v>
      </c>
      <c r="F37" s="11">
        <f t="shared" ca="1" si="5"/>
        <v>229</v>
      </c>
      <c r="G37" s="12" t="s">
        <v>75</v>
      </c>
      <c r="H37" s="9" t="s">
        <v>35</v>
      </c>
      <c r="I37" s="9" t="s">
        <v>17</v>
      </c>
      <c r="J37" s="12" t="s">
        <v>74</v>
      </c>
      <c r="K37" s="14">
        <v>46455</v>
      </c>
      <c r="L37" s="14"/>
      <c r="M37" s="15"/>
      <c r="N37" s="14"/>
      <c r="O37" s="19">
        <v>90</v>
      </c>
    </row>
    <row r="38" spans="1:15" x14ac:dyDescent="0.35">
      <c r="A38" s="8" t="s">
        <v>76</v>
      </c>
      <c r="B38" s="8" t="s">
        <v>57</v>
      </c>
      <c r="C38" s="14">
        <v>45661</v>
      </c>
      <c r="D38" s="14">
        <v>46206</v>
      </c>
      <c r="E38" s="13">
        <f t="shared" ca="1" si="4"/>
        <v>46226</v>
      </c>
      <c r="F38" s="11">
        <f t="shared" ca="1" si="5"/>
        <v>-20</v>
      </c>
      <c r="G38" s="12" t="s">
        <v>73</v>
      </c>
      <c r="H38" s="9" t="str">
        <f ca="1">IF(F38&lt;=0, "VENDA","CAREPACK")</f>
        <v>VENDA</v>
      </c>
      <c r="I38" s="9" t="s">
        <v>17</v>
      </c>
      <c r="J38" s="12" t="s">
        <v>74</v>
      </c>
      <c r="K38" s="14">
        <v>45477</v>
      </c>
      <c r="L38" s="22"/>
      <c r="M38" s="15"/>
      <c r="N38" s="14"/>
      <c r="O38" s="19">
        <v>90</v>
      </c>
    </row>
    <row r="39" spans="1:15" x14ac:dyDescent="0.35">
      <c r="A39" s="8" t="s">
        <v>77</v>
      </c>
      <c r="B39" s="2" t="s">
        <v>15</v>
      </c>
      <c r="C39" s="14">
        <v>44909</v>
      </c>
      <c r="D39" s="13">
        <v>44196</v>
      </c>
      <c r="E39" s="13">
        <f t="shared" ca="1" si="4"/>
        <v>46226</v>
      </c>
      <c r="F39" s="11">
        <f t="shared" ca="1" si="5"/>
        <v>-2030</v>
      </c>
      <c r="G39" s="12" t="s">
        <v>31</v>
      </c>
      <c r="H39" s="9" t="str">
        <f ca="1">IF(F39&lt;=0, "VENDA","CAREPACK")</f>
        <v>VENDA</v>
      </c>
      <c r="I39" s="9" t="s">
        <v>17</v>
      </c>
      <c r="J39" s="11" t="s">
        <v>18</v>
      </c>
      <c r="K39" s="14">
        <v>40711</v>
      </c>
      <c r="L39" s="14"/>
      <c r="M39" s="15"/>
      <c r="N39" s="14"/>
      <c r="O39" s="19">
        <v>90</v>
      </c>
    </row>
    <row r="40" spans="1:15" x14ac:dyDescent="0.35">
      <c r="A40" s="8" t="s">
        <v>77</v>
      </c>
      <c r="B40" s="2" t="s">
        <v>15</v>
      </c>
      <c r="C40" s="14">
        <v>44909</v>
      </c>
      <c r="D40" s="13">
        <v>44196</v>
      </c>
      <c r="E40" s="13">
        <f t="shared" ca="1" si="4"/>
        <v>46226</v>
      </c>
      <c r="F40" s="11">
        <f t="shared" ca="1" si="5"/>
        <v>-2030</v>
      </c>
      <c r="G40" s="12" t="s">
        <v>78</v>
      </c>
      <c r="H40" s="9" t="str">
        <f ca="1">IF(F40&lt;=0, "VENDA","CAREPACK")</f>
        <v>VENDA</v>
      </c>
      <c r="I40" s="9" t="s">
        <v>17</v>
      </c>
      <c r="J40" s="11" t="s">
        <v>18</v>
      </c>
      <c r="K40" s="14">
        <v>41809</v>
      </c>
      <c r="L40" s="14"/>
      <c r="M40" s="15"/>
      <c r="N40" s="14"/>
      <c r="O40" s="19">
        <v>90</v>
      </c>
    </row>
    <row r="41" spans="1:15" x14ac:dyDescent="0.35">
      <c r="A41" s="23" t="s">
        <v>79</v>
      </c>
      <c r="B41" s="24" t="s">
        <v>28</v>
      </c>
      <c r="C41" s="25">
        <v>46114</v>
      </c>
      <c r="D41" s="25">
        <v>47579</v>
      </c>
      <c r="E41" s="26">
        <f t="shared" ca="1" si="4"/>
        <v>46226</v>
      </c>
      <c r="F41" s="27">
        <f t="shared" ca="1" si="5"/>
        <v>1353</v>
      </c>
      <c r="G41" s="31" t="s">
        <v>80</v>
      </c>
      <c r="H41" s="28" t="s">
        <v>81</v>
      </c>
      <c r="I41" s="28" t="s">
        <v>82</v>
      </c>
      <c r="J41" s="27" t="s">
        <v>24</v>
      </c>
      <c r="K41" s="25">
        <v>45959</v>
      </c>
      <c r="L41" s="25"/>
      <c r="M41" s="34"/>
      <c r="N41" s="25"/>
      <c r="O41" s="19">
        <v>90</v>
      </c>
    </row>
    <row r="42" spans="1:15" x14ac:dyDescent="0.35">
      <c r="A42" s="8" t="s">
        <v>83</v>
      </c>
      <c r="B42" s="2" t="s">
        <v>15</v>
      </c>
      <c r="C42" s="14">
        <v>44909</v>
      </c>
      <c r="D42" s="13">
        <v>44196</v>
      </c>
      <c r="E42" s="13">
        <f t="shared" ca="1" si="4"/>
        <v>46226</v>
      </c>
      <c r="F42" s="11">
        <f t="shared" ca="1" si="5"/>
        <v>-2030</v>
      </c>
      <c r="G42" s="12" t="s">
        <v>31</v>
      </c>
      <c r="H42" s="6" t="str">
        <f ca="1">IF(F42&lt;=0,"VENDA","CAREPACK")</f>
        <v>VENDA</v>
      </c>
      <c r="I42" s="9" t="s">
        <v>17</v>
      </c>
      <c r="J42" s="11" t="s">
        <v>18</v>
      </c>
      <c r="K42" s="14">
        <v>41166</v>
      </c>
      <c r="L42" s="21"/>
      <c r="M42" s="15"/>
      <c r="N42" s="14"/>
      <c r="O42" s="19">
        <v>90</v>
      </c>
    </row>
    <row r="43" spans="1:15" x14ac:dyDescent="0.35">
      <c r="A43" s="8" t="s">
        <v>83</v>
      </c>
      <c r="B43" s="2" t="s">
        <v>15</v>
      </c>
      <c r="C43" s="14">
        <v>45625</v>
      </c>
      <c r="D43" s="13">
        <v>44196</v>
      </c>
      <c r="E43" s="13">
        <f t="shared" ca="1" si="4"/>
        <v>46226</v>
      </c>
      <c r="F43" s="11">
        <f t="shared" ca="1" si="5"/>
        <v>-2030</v>
      </c>
      <c r="G43" s="12" t="s">
        <v>32</v>
      </c>
      <c r="H43" s="6" t="str">
        <f ca="1">IF(F43&lt;=0,"VENDA","CAREPACK")</f>
        <v>VENDA</v>
      </c>
      <c r="I43" s="9" t="s">
        <v>17</v>
      </c>
      <c r="J43" s="11" t="s">
        <v>18</v>
      </c>
      <c r="K43" s="14">
        <v>45625</v>
      </c>
      <c r="L43" s="21"/>
      <c r="M43" s="15"/>
      <c r="N43" s="14"/>
      <c r="O43" s="19">
        <v>90</v>
      </c>
    </row>
    <row r="44" spans="1:15" s="30" customFormat="1" x14ac:dyDescent="0.35">
      <c r="A44" s="8" t="s">
        <v>84</v>
      </c>
      <c r="B44" s="8" t="s">
        <v>57</v>
      </c>
      <c r="C44" s="14">
        <v>45783</v>
      </c>
      <c r="D44" s="14">
        <v>46331</v>
      </c>
      <c r="E44" s="13">
        <f t="shared" ca="1" si="4"/>
        <v>46226</v>
      </c>
      <c r="F44" s="11">
        <f t="shared" ca="1" si="5"/>
        <v>105</v>
      </c>
      <c r="G44" s="12" t="s">
        <v>85</v>
      </c>
      <c r="H44" s="9" t="str">
        <f t="shared" ref="H44:H58" ca="1" si="6">IF(F44&lt;=0, "VENDA","CAREPACK")</f>
        <v>CAREPACK</v>
      </c>
      <c r="I44" s="9" t="s">
        <v>17</v>
      </c>
      <c r="J44" s="11" t="s">
        <v>24</v>
      </c>
      <c r="K44" s="14">
        <v>45602</v>
      </c>
      <c r="L44" s="14"/>
      <c r="M44" s="15"/>
      <c r="N44" s="14"/>
      <c r="O44" s="29">
        <v>90</v>
      </c>
    </row>
    <row r="45" spans="1:15" x14ac:dyDescent="0.35">
      <c r="A45" s="8" t="s">
        <v>86</v>
      </c>
      <c r="B45" s="2" t="s">
        <v>15</v>
      </c>
      <c r="C45" s="14">
        <v>45583</v>
      </c>
      <c r="D45" s="13">
        <v>44196</v>
      </c>
      <c r="E45" s="13">
        <f t="shared" ca="1" si="4"/>
        <v>46226</v>
      </c>
      <c r="F45" s="11">
        <f t="shared" ca="1" si="5"/>
        <v>-2030</v>
      </c>
      <c r="G45" s="12" t="s">
        <v>31</v>
      </c>
      <c r="H45" s="9" t="str">
        <f t="shared" ca="1" si="6"/>
        <v>VENDA</v>
      </c>
      <c r="I45" s="9" t="s">
        <v>17</v>
      </c>
      <c r="J45" s="11" t="s">
        <v>18</v>
      </c>
      <c r="K45" s="14">
        <v>45583</v>
      </c>
      <c r="L45" s="14"/>
      <c r="M45" s="15"/>
      <c r="N45" s="14"/>
      <c r="O45" s="19">
        <v>90</v>
      </c>
    </row>
    <row r="46" spans="1:15" x14ac:dyDescent="0.35">
      <c r="A46" s="8" t="s">
        <v>87</v>
      </c>
      <c r="B46" s="8" t="s">
        <v>57</v>
      </c>
      <c r="C46" s="14">
        <v>45541</v>
      </c>
      <c r="D46" s="14">
        <v>46573</v>
      </c>
      <c r="E46" s="13">
        <f t="shared" ca="1" si="4"/>
        <v>46226</v>
      </c>
      <c r="F46" s="11">
        <f t="shared" ca="1" si="5"/>
        <v>347</v>
      </c>
      <c r="G46" s="12" t="s">
        <v>16</v>
      </c>
      <c r="H46" s="9" t="str">
        <f t="shared" ca="1" si="6"/>
        <v>CAREPACK</v>
      </c>
      <c r="I46" s="9" t="s">
        <v>17</v>
      </c>
      <c r="J46" s="11" t="s">
        <v>18</v>
      </c>
      <c r="K46" s="14">
        <v>44810</v>
      </c>
      <c r="L46" s="14"/>
      <c r="M46" s="15"/>
      <c r="N46" s="14"/>
      <c r="O46" s="19">
        <v>90</v>
      </c>
    </row>
    <row r="47" spans="1:15" x14ac:dyDescent="0.35">
      <c r="A47" s="8" t="s">
        <v>88</v>
      </c>
      <c r="B47" s="2" t="s">
        <v>15</v>
      </c>
      <c r="C47" s="14">
        <v>45505</v>
      </c>
      <c r="D47" s="13">
        <v>44196</v>
      </c>
      <c r="E47" s="13">
        <f t="shared" ca="1" si="4"/>
        <v>46226</v>
      </c>
      <c r="F47" s="11">
        <f t="shared" ca="1" si="5"/>
        <v>-2030</v>
      </c>
      <c r="G47" s="12" t="s">
        <v>21</v>
      </c>
      <c r="H47" s="9" t="str">
        <f t="shared" ca="1" si="6"/>
        <v>VENDA</v>
      </c>
      <c r="I47" s="9" t="s">
        <v>17</v>
      </c>
      <c r="J47" s="11" t="s">
        <v>18</v>
      </c>
      <c r="K47" s="14">
        <v>44655</v>
      </c>
      <c r="L47" s="14"/>
      <c r="M47" s="15"/>
      <c r="N47" s="14"/>
      <c r="O47" s="19">
        <v>90</v>
      </c>
    </row>
    <row r="48" spans="1:15" x14ac:dyDescent="0.35">
      <c r="A48" s="8" t="s">
        <v>89</v>
      </c>
      <c r="B48" s="8" t="s">
        <v>20</v>
      </c>
      <c r="C48" s="14">
        <v>45992</v>
      </c>
      <c r="D48" s="14">
        <v>46265</v>
      </c>
      <c r="E48" s="13">
        <f t="shared" ca="1" si="4"/>
        <v>46226</v>
      </c>
      <c r="F48" s="11">
        <f t="shared" ca="1" si="5"/>
        <v>39</v>
      </c>
      <c r="G48" s="12" t="s">
        <v>63</v>
      </c>
      <c r="H48" s="9" t="str">
        <f t="shared" ca="1" si="6"/>
        <v>CAREPACK</v>
      </c>
      <c r="I48" s="9" t="s">
        <v>17</v>
      </c>
      <c r="J48" s="11" t="s">
        <v>24</v>
      </c>
      <c r="K48" s="14">
        <v>42781</v>
      </c>
      <c r="L48" s="21" t="s">
        <v>36</v>
      </c>
      <c r="M48" s="15"/>
      <c r="N48" s="14"/>
      <c r="O48" s="19">
        <v>90</v>
      </c>
    </row>
    <row r="49" spans="1:15" x14ac:dyDescent="0.35">
      <c r="A49" s="8" t="s">
        <v>90</v>
      </c>
      <c r="B49" s="2" t="s">
        <v>15</v>
      </c>
      <c r="C49" s="14">
        <v>44946</v>
      </c>
      <c r="D49" s="13">
        <v>44196</v>
      </c>
      <c r="E49" s="13">
        <f t="shared" ca="1" si="4"/>
        <v>46226</v>
      </c>
      <c r="F49" s="11">
        <f t="shared" ca="1" si="5"/>
        <v>-2030</v>
      </c>
      <c r="G49" s="12" t="s">
        <v>63</v>
      </c>
      <c r="H49" s="9" t="str">
        <f t="shared" ca="1" si="6"/>
        <v>VENDA</v>
      </c>
      <c r="I49" s="9" t="s">
        <v>17</v>
      </c>
      <c r="J49" s="11" t="s">
        <v>24</v>
      </c>
      <c r="K49" s="14">
        <v>44946</v>
      </c>
      <c r="L49" s="14"/>
      <c r="M49" s="15"/>
      <c r="N49" s="14"/>
      <c r="O49" s="19">
        <v>90</v>
      </c>
    </row>
    <row r="50" spans="1:15" x14ac:dyDescent="0.35">
      <c r="A50" s="8" t="s">
        <v>91</v>
      </c>
      <c r="B50" s="8" t="s">
        <v>57</v>
      </c>
      <c r="C50" s="14">
        <v>45870</v>
      </c>
      <c r="D50" s="14">
        <v>46234</v>
      </c>
      <c r="E50" s="13">
        <f t="shared" ca="1" si="4"/>
        <v>46226</v>
      </c>
      <c r="F50" s="11">
        <f t="shared" ca="1" si="5"/>
        <v>8</v>
      </c>
      <c r="G50" s="12" t="s">
        <v>26</v>
      </c>
      <c r="H50" s="9" t="str">
        <f t="shared" ca="1" si="6"/>
        <v>CAREPACK</v>
      </c>
      <c r="I50" s="9" t="s">
        <v>92</v>
      </c>
      <c r="J50" s="11" t="s">
        <v>18</v>
      </c>
      <c r="K50" s="14">
        <v>42744</v>
      </c>
      <c r="L50" s="21" t="s">
        <v>36</v>
      </c>
      <c r="M50" s="15"/>
      <c r="N50" s="14"/>
      <c r="O50" s="19">
        <v>90</v>
      </c>
    </row>
    <row r="51" spans="1:15" x14ac:dyDescent="0.35">
      <c r="A51" s="8" t="s">
        <v>91</v>
      </c>
      <c r="B51" s="8" t="s">
        <v>57</v>
      </c>
      <c r="C51" s="14">
        <v>45870</v>
      </c>
      <c r="D51" s="14">
        <v>46234</v>
      </c>
      <c r="E51" s="13">
        <f t="shared" ca="1" si="4"/>
        <v>46226</v>
      </c>
      <c r="F51" s="11">
        <f t="shared" ca="1" si="5"/>
        <v>8</v>
      </c>
      <c r="G51" s="12" t="s">
        <v>22</v>
      </c>
      <c r="H51" s="9" t="str">
        <f t="shared" ca="1" si="6"/>
        <v>CAREPACK</v>
      </c>
      <c r="I51" s="9" t="s">
        <v>92</v>
      </c>
      <c r="J51" s="11" t="s">
        <v>18</v>
      </c>
      <c r="K51" s="14">
        <v>43733</v>
      </c>
      <c r="L51" s="21" t="s">
        <v>36</v>
      </c>
      <c r="M51" s="15"/>
      <c r="N51" s="14"/>
      <c r="O51" s="19">
        <v>90</v>
      </c>
    </row>
    <row r="52" spans="1:15" x14ac:dyDescent="0.35">
      <c r="A52" s="8" t="s">
        <v>91</v>
      </c>
      <c r="B52" s="8" t="s">
        <v>57</v>
      </c>
      <c r="C52" s="14">
        <v>46033</v>
      </c>
      <c r="D52" s="14">
        <v>46213</v>
      </c>
      <c r="E52" s="13">
        <f t="shared" ca="1" si="4"/>
        <v>46226</v>
      </c>
      <c r="F52" s="11">
        <f t="shared" ca="1" si="5"/>
        <v>-13</v>
      </c>
      <c r="G52" s="12" t="s">
        <v>16</v>
      </c>
      <c r="H52" s="9" t="str">
        <f t="shared" ca="1" si="6"/>
        <v>VENDA</v>
      </c>
      <c r="I52" s="9" t="s">
        <v>92</v>
      </c>
      <c r="J52" s="11" t="s">
        <v>18</v>
      </c>
      <c r="K52" s="14">
        <v>45849</v>
      </c>
      <c r="L52" s="21" t="s">
        <v>36</v>
      </c>
      <c r="M52" s="15"/>
      <c r="N52" s="14"/>
      <c r="O52" s="19">
        <v>90</v>
      </c>
    </row>
    <row r="53" spans="1:15" s="30" customFormat="1" x14ac:dyDescent="0.35">
      <c r="A53" s="8" t="s">
        <v>93</v>
      </c>
      <c r="B53" s="2" t="s">
        <v>15</v>
      </c>
      <c r="C53" s="14">
        <v>44902</v>
      </c>
      <c r="D53" s="13">
        <v>44196</v>
      </c>
      <c r="E53" s="13">
        <f t="shared" ca="1" si="4"/>
        <v>46226</v>
      </c>
      <c r="F53" s="11">
        <f t="shared" ca="1" si="5"/>
        <v>-2030</v>
      </c>
      <c r="G53" s="12" t="s">
        <v>78</v>
      </c>
      <c r="H53" s="9" t="str">
        <f t="shared" ca="1" si="6"/>
        <v>VENDA</v>
      </c>
      <c r="I53" s="9" t="s">
        <v>17</v>
      </c>
      <c r="J53" s="11" t="s">
        <v>18</v>
      </c>
      <c r="K53" s="14">
        <v>41320</v>
      </c>
      <c r="L53" s="14"/>
      <c r="M53" s="15"/>
      <c r="N53" s="14"/>
      <c r="O53" s="29">
        <v>90</v>
      </c>
    </row>
    <row r="54" spans="1:15" s="30" customFormat="1" x14ac:dyDescent="0.35">
      <c r="A54" s="8" t="s">
        <v>94</v>
      </c>
      <c r="B54" s="8" t="s">
        <v>20</v>
      </c>
      <c r="C54" s="14">
        <v>45992</v>
      </c>
      <c r="D54" s="14">
        <v>46387</v>
      </c>
      <c r="E54" s="13">
        <f t="shared" ca="1" si="4"/>
        <v>46226</v>
      </c>
      <c r="F54" s="11">
        <f t="shared" ca="1" si="5"/>
        <v>161</v>
      </c>
      <c r="G54" s="12" t="s">
        <v>63</v>
      </c>
      <c r="H54" s="9" t="str">
        <f t="shared" ca="1" si="6"/>
        <v>CAREPACK</v>
      </c>
      <c r="I54" s="9" t="s">
        <v>17</v>
      </c>
      <c r="J54" s="11" t="s">
        <v>24</v>
      </c>
      <c r="K54" s="14">
        <v>42447</v>
      </c>
      <c r="L54" s="14"/>
      <c r="M54" s="15"/>
      <c r="N54" s="14"/>
      <c r="O54" s="29">
        <v>90</v>
      </c>
    </row>
    <row r="55" spans="1:15" x14ac:dyDescent="0.35">
      <c r="A55" s="8" t="s">
        <v>95</v>
      </c>
      <c r="B55" s="2" t="s">
        <v>15</v>
      </c>
      <c r="C55" s="14">
        <v>44835</v>
      </c>
      <c r="D55" s="13">
        <v>44196</v>
      </c>
      <c r="E55" s="13">
        <f t="shared" ca="1" si="4"/>
        <v>46226</v>
      </c>
      <c r="F55" s="11">
        <f t="shared" ca="1" si="5"/>
        <v>-2030</v>
      </c>
      <c r="G55" s="12" t="s">
        <v>22</v>
      </c>
      <c r="H55" s="9" t="str">
        <f t="shared" ca="1" si="6"/>
        <v>VENDA</v>
      </c>
      <c r="I55" s="9" t="s">
        <v>17</v>
      </c>
      <c r="J55" s="11" t="s">
        <v>18</v>
      </c>
      <c r="K55" s="14">
        <v>43693</v>
      </c>
      <c r="L55" s="14"/>
      <c r="M55" s="15"/>
      <c r="N55" s="14"/>
      <c r="O55" s="19">
        <v>90</v>
      </c>
    </row>
    <row r="56" spans="1:15" x14ac:dyDescent="0.35">
      <c r="A56" s="8" t="s">
        <v>96</v>
      </c>
      <c r="B56" s="2" t="s">
        <v>15</v>
      </c>
      <c r="C56" s="14">
        <v>44841</v>
      </c>
      <c r="D56" s="13">
        <v>44196</v>
      </c>
      <c r="E56" s="13">
        <f t="shared" ca="1" si="4"/>
        <v>46226</v>
      </c>
      <c r="F56" s="11">
        <f t="shared" ca="1" si="5"/>
        <v>-2030</v>
      </c>
      <c r="G56" s="12" t="s">
        <v>97</v>
      </c>
      <c r="H56" s="9" t="str">
        <f t="shared" ca="1" si="6"/>
        <v>VENDA</v>
      </c>
      <c r="I56" s="9" t="s">
        <v>17</v>
      </c>
      <c r="J56" s="11" t="s">
        <v>18</v>
      </c>
      <c r="K56" s="14">
        <v>41887</v>
      </c>
      <c r="L56" s="14"/>
      <c r="M56" s="15"/>
      <c r="N56" s="14"/>
      <c r="O56" s="19">
        <v>90</v>
      </c>
    </row>
    <row r="57" spans="1:15" x14ac:dyDescent="0.35">
      <c r="A57" s="8" t="s">
        <v>96</v>
      </c>
      <c r="B57" s="2" t="s">
        <v>15</v>
      </c>
      <c r="C57" s="14">
        <v>44841</v>
      </c>
      <c r="D57" s="13">
        <v>44196</v>
      </c>
      <c r="E57" s="13">
        <f t="shared" ca="1" si="4"/>
        <v>46226</v>
      </c>
      <c r="F57" s="11">
        <f t="shared" ca="1" si="5"/>
        <v>-2030</v>
      </c>
      <c r="G57" s="12" t="s">
        <v>63</v>
      </c>
      <c r="H57" s="9" t="str">
        <f t="shared" ca="1" si="6"/>
        <v>VENDA</v>
      </c>
      <c r="I57" s="9" t="s">
        <v>17</v>
      </c>
      <c r="J57" s="11" t="s">
        <v>24</v>
      </c>
      <c r="K57" s="14">
        <v>42216</v>
      </c>
      <c r="L57" s="14"/>
      <c r="M57" s="15"/>
      <c r="N57" s="14"/>
      <c r="O57" s="19">
        <v>90</v>
      </c>
    </row>
    <row r="58" spans="1:15" x14ac:dyDescent="0.35">
      <c r="A58" s="8" t="s">
        <v>98</v>
      </c>
      <c r="B58" s="2" t="s">
        <v>15</v>
      </c>
      <c r="C58" s="14">
        <v>45566</v>
      </c>
      <c r="D58" s="13">
        <v>44196</v>
      </c>
      <c r="E58" s="13">
        <f t="shared" ca="1" si="4"/>
        <v>46226</v>
      </c>
      <c r="F58" s="11">
        <f t="shared" ca="1" si="5"/>
        <v>-2030</v>
      </c>
      <c r="G58" s="12" t="s">
        <v>31</v>
      </c>
      <c r="H58" s="9" t="str">
        <f t="shared" ca="1" si="6"/>
        <v>VENDA</v>
      </c>
      <c r="I58" s="9" t="s">
        <v>17</v>
      </c>
      <c r="J58" s="11" t="s">
        <v>18</v>
      </c>
      <c r="K58" s="14">
        <v>45566</v>
      </c>
      <c r="L58" s="14"/>
      <c r="M58" s="15"/>
      <c r="N58" s="14"/>
      <c r="O58" s="19">
        <v>90</v>
      </c>
    </row>
    <row r="59" spans="1:15" x14ac:dyDescent="0.35">
      <c r="A59" s="8" t="s">
        <v>99</v>
      </c>
      <c r="B59" s="8" t="s">
        <v>20</v>
      </c>
      <c r="C59" s="14">
        <v>45992</v>
      </c>
      <c r="D59" s="14">
        <v>46295</v>
      </c>
      <c r="E59" s="13">
        <f t="shared" ca="1" si="4"/>
        <v>46226</v>
      </c>
      <c r="F59" s="11">
        <f t="shared" ca="1" si="5"/>
        <v>69</v>
      </c>
      <c r="G59" s="12" t="s">
        <v>34</v>
      </c>
      <c r="H59" s="9" t="s">
        <v>35</v>
      </c>
      <c r="I59" s="9" t="s">
        <v>100</v>
      </c>
      <c r="J59" s="11" t="s">
        <v>24</v>
      </c>
      <c r="K59" s="14">
        <v>43262</v>
      </c>
      <c r="L59" s="14"/>
      <c r="M59" s="15"/>
      <c r="N59" s="14"/>
      <c r="O59" s="19">
        <v>90</v>
      </c>
    </row>
    <row r="60" spans="1:15" x14ac:dyDescent="0.35">
      <c r="A60" s="8" t="s">
        <v>101</v>
      </c>
      <c r="B60" s="2" t="s">
        <v>15</v>
      </c>
      <c r="C60" s="14">
        <v>44621</v>
      </c>
      <c r="D60" s="13">
        <v>44196</v>
      </c>
      <c r="E60" s="13">
        <f t="shared" ca="1" si="4"/>
        <v>46226</v>
      </c>
      <c r="F60" s="11">
        <f t="shared" ca="1" si="5"/>
        <v>-2030</v>
      </c>
      <c r="G60" s="12" t="s">
        <v>32</v>
      </c>
      <c r="H60" s="9" t="str">
        <f ca="1">IF(F60&lt;=0, "VENDA","CAREPACK")</f>
        <v>VENDA</v>
      </c>
      <c r="I60" s="9" t="s">
        <v>17</v>
      </c>
      <c r="J60" s="11" t="s">
        <v>18</v>
      </c>
      <c r="K60" s="14">
        <v>43693</v>
      </c>
      <c r="L60" s="22"/>
      <c r="M60" s="15"/>
      <c r="N60" s="14"/>
      <c r="O60" s="19">
        <v>90</v>
      </c>
    </row>
    <row r="61" spans="1:15" x14ac:dyDescent="0.35">
      <c r="A61" s="8" t="s">
        <v>102</v>
      </c>
      <c r="B61" s="8" t="s">
        <v>20</v>
      </c>
      <c r="C61" s="14">
        <v>45962</v>
      </c>
      <c r="D61" s="14">
        <v>46022</v>
      </c>
      <c r="E61" s="13">
        <f t="shared" ca="1" si="4"/>
        <v>46226</v>
      </c>
      <c r="F61" s="11">
        <f t="shared" ca="1" si="5"/>
        <v>-204</v>
      </c>
      <c r="G61" s="12" t="s">
        <v>66</v>
      </c>
      <c r="H61" s="9" t="str">
        <f ca="1">IF(F61&lt;=0, "VENDA","CAREPACK")</f>
        <v>VENDA</v>
      </c>
      <c r="I61" s="9" t="s">
        <v>17</v>
      </c>
      <c r="J61" s="11" t="s">
        <v>18</v>
      </c>
      <c r="K61" s="14">
        <v>40924</v>
      </c>
      <c r="L61" s="14"/>
      <c r="M61" s="15"/>
      <c r="N61" s="14"/>
      <c r="O61" s="19">
        <v>90</v>
      </c>
    </row>
    <row r="62" spans="1:15" x14ac:dyDescent="0.35">
      <c r="A62" s="8" t="s">
        <v>103</v>
      </c>
      <c r="B62" s="2" t="s">
        <v>15</v>
      </c>
      <c r="C62" s="14">
        <v>45528</v>
      </c>
      <c r="D62" s="13">
        <v>44196</v>
      </c>
      <c r="E62" s="13">
        <f t="shared" ca="1" si="4"/>
        <v>46226</v>
      </c>
      <c r="F62" s="11">
        <f t="shared" ca="1" si="5"/>
        <v>-2030</v>
      </c>
      <c r="G62" s="12" t="s">
        <v>104</v>
      </c>
      <c r="H62" s="9" t="str">
        <f ca="1">IF(F62&lt;=0, "VENDA","CAREPACK")</f>
        <v>VENDA</v>
      </c>
      <c r="I62" s="9" t="s">
        <v>17</v>
      </c>
      <c r="J62" s="11" t="s">
        <v>18</v>
      </c>
      <c r="K62" s="14">
        <v>44981</v>
      </c>
      <c r="L62" s="14"/>
      <c r="M62" s="15"/>
      <c r="N62" s="14"/>
      <c r="O62" s="19">
        <v>90</v>
      </c>
    </row>
    <row r="63" spans="1:15" x14ac:dyDescent="0.35">
      <c r="A63" s="8" t="s">
        <v>105</v>
      </c>
      <c r="B63" s="2" t="s">
        <v>15</v>
      </c>
      <c r="C63" s="14">
        <v>45962</v>
      </c>
      <c r="D63" s="13">
        <v>44196</v>
      </c>
      <c r="E63" s="13">
        <f t="shared" ca="1" si="4"/>
        <v>46226</v>
      </c>
      <c r="F63" s="11">
        <f t="shared" ca="1" si="5"/>
        <v>-2030</v>
      </c>
      <c r="G63" s="12" t="s">
        <v>66</v>
      </c>
      <c r="H63" s="9" t="str">
        <f ca="1">IF(F63&lt;=0, "VENDA","CAREPACK")</f>
        <v>VENDA</v>
      </c>
      <c r="I63" s="9" t="s">
        <v>17</v>
      </c>
      <c r="J63" s="11" t="s">
        <v>18</v>
      </c>
      <c r="K63" s="14">
        <v>41421</v>
      </c>
      <c r="L63" s="14"/>
      <c r="M63" s="15"/>
      <c r="N63" s="14"/>
      <c r="O63" s="19">
        <v>90</v>
      </c>
    </row>
    <row r="64" spans="1:15" x14ac:dyDescent="0.35">
      <c r="A64" s="23" t="s">
        <v>105</v>
      </c>
      <c r="B64" s="24" t="s">
        <v>15</v>
      </c>
      <c r="C64" s="25">
        <v>45962</v>
      </c>
      <c r="D64" s="25">
        <v>46082</v>
      </c>
      <c r="E64" s="26">
        <f t="shared" ca="1" si="4"/>
        <v>46226</v>
      </c>
      <c r="F64" s="27">
        <f t="shared" ca="1" si="5"/>
        <v>-144</v>
      </c>
      <c r="G64" s="31" t="s">
        <v>16</v>
      </c>
      <c r="H64" s="9" t="str">
        <f ca="1">IF(F64&lt;=0, "VENDA","CAREPACK")</f>
        <v>VENDA</v>
      </c>
      <c r="I64" s="9" t="s">
        <v>17</v>
      </c>
      <c r="J64" s="27" t="s">
        <v>18</v>
      </c>
      <c r="K64" s="25">
        <v>45492</v>
      </c>
      <c r="L64" s="25"/>
      <c r="M64" s="34"/>
      <c r="N64" s="25"/>
      <c r="O64" s="19">
        <v>90</v>
      </c>
    </row>
    <row r="65" spans="1:15" x14ac:dyDescent="0.35">
      <c r="A65" s="8" t="s">
        <v>106</v>
      </c>
      <c r="B65" s="8" t="s">
        <v>20</v>
      </c>
      <c r="C65" s="14">
        <v>45992</v>
      </c>
      <c r="D65" s="14">
        <v>46203</v>
      </c>
      <c r="E65" s="13">
        <f t="shared" ca="1" si="4"/>
        <v>46226</v>
      </c>
      <c r="F65" s="11">
        <f t="shared" ca="1" si="5"/>
        <v>-23</v>
      </c>
      <c r="G65" s="12" t="s">
        <v>63</v>
      </c>
      <c r="H65" s="9" t="s">
        <v>35</v>
      </c>
      <c r="I65" s="9" t="s">
        <v>92</v>
      </c>
      <c r="J65" s="11" t="s">
        <v>24</v>
      </c>
      <c r="K65" s="14">
        <v>42082</v>
      </c>
      <c r="L65" s="14"/>
      <c r="M65" s="15"/>
      <c r="N65" s="14"/>
      <c r="O65" s="19">
        <v>90</v>
      </c>
    </row>
    <row r="66" spans="1:15" x14ac:dyDescent="0.35">
      <c r="A66" s="8" t="s">
        <v>107</v>
      </c>
      <c r="B66" s="2" t="s">
        <v>15</v>
      </c>
      <c r="C66" s="14">
        <v>44777</v>
      </c>
      <c r="D66" s="13">
        <v>44196</v>
      </c>
      <c r="E66" s="13">
        <f t="shared" ca="1" si="4"/>
        <v>46226</v>
      </c>
      <c r="F66" s="11">
        <f t="shared" ref="F66:F68" ca="1" si="7">D66-E66</f>
        <v>-2030</v>
      </c>
      <c r="G66" s="12" t="s">
        <v>31</v>
      </c>
      <c r="H66" s="9" t="str">
        <f ca="1">IF(F66&lt;=0, "VENDA","CAREPACK")</f>
        <v>VENDA</v>
      </c>
      <c r="I66" s="9" t="s">
        <v>17</v>
      </c>
      <c r="J66" s="11" t="s">
        <v>18</v>
      </c>
      <c r="K66" s="14">
        <v>41066</v>
      </c>
      <c r="L66" s="14"/>
      <c r="M66" s="15"/>
      <c r="N66" s="14"/>
      <c r="O66" s="19">
        <v>90</v>
      </c>
    </row>
    <row r="67" spans="1:15" x14ac:dyDescent="0.35">
      <c r="A67" s="8" t="s">
        <v>107</v>
      </c>
      <c r="B67" s="2" t="s">
        <v>15</v>
      </c>
      <c r="C67" s="14">
        <v>45929</v>
      </c>
      <c r="D67" s="13">
        <v>44196</v>
      </c>
      <c r="E67" s="13">
        <f t="shared" ca="1" si="4"/>
        <v>46226</v>
      </c>
      <c r="F67" s="11">
        <f t="shared" ca="1" si="7"/>
        <v>-2030</v>
      </c>
      <c r="G67" s="12" t="s">
        <v>63</v>
      </c>
      <c r="H67" s="9" t="str">
        <f ca="1">IF(F67&lt;=0, "VENDA","CAREPACK")</f>
        <v>VENDA</v>
      </c>
      <c r="I67" s="9" t="s">
        <v>17</v>
      </c>
      <c r="J67" s="11" t="s">
        <v>24</v>
      </c>
      <c r="K67" s="14">
        <v>45198</v>
      </c>
      <c r="L67" s="14"/>
      <c r="M67" s="15"/>
      <c r="N67" s="14"/>
      <c r="O67" s="19">
        <v>90</v>
      </c>
    </row>
    <row r="68" spans="1:15" s="30" customFormat="1" x14ac:dyDescent="0.35">
      <c r="A68" s="8" t="s">
        <v>108</v>
      </c>
      <c r="B68" s="2" t="s">
        <v>15</v>
      </c>
      <c r="C68" s="14">
        <v>45719</v>
      </c>
      <c r="D68" s="13">
        <v>44196</v>
      </c>
      <c r="E68" s="13">
        <f t="shared" ca="1" si="4"/>
        <v>46226</v>
      </c>
      <c r="F68" s="11">
        <f t="shared" ca="1" si="7"/>
        <v>-2030</v>
      </c>
      <c r="G68" s="12" t="s">
        <v>32</v>
      </c>
      <c r="H68" s="9" t="str">
        <f ca="1">IF(F68&lt;=0, "VENDA","CAREPACK")</f>
        <v>VENDA</v>
      </c>
      <c r="I68" s="9" t="s">
        <v>17</v>
      </c>
      <c r="J68" s="11" t="s">
        <v>18</v>
      </c>
      <c r="K68" s="14">
        <v>43661</v>
      </c>
      <c r="L68" s="14"/>
      <c r="M68" s="15"/>
      <c r="N68" s="14"/>
      <c r="O68" s="29">
        <v>90</v>
      </c>
    </row>
    <row r="69" spans="1:15" x14ac:dyDescent="0.35">
      <c r="A69" s="8" t="s">
        <v>109</v>
      </c>
      <c r="B69" s="2"/>
      <c r="C69" s="14"/>
      <c r="D69" s="13"/>
      <c r="E69" s="13"/>
      <c r="F69" s="11"/>
      <c r="G69" s="12"/>
      <c r="H69" s="9"/>
      <c r="I69" s="9" t="s">
        <v>17</v>
      </c>
      <c r="J69" s="11"/>
      <c r="K69" s="14"/>
      <c r="L69" s="14"/>
      <c r="M69" s="15"/>
      <c r="N69" s="14"/>
      <c r="O69" s="19">
        <v>90</v>
      </c>
    </row>
    <row r="70" spans="1:15" x14ac:dyDescent="0.35">
      <c r="A70" s="23" t="s">
        <v>109</v>
      </c>
      <c r="B70" s="24" t="s">
        <v>15</v>
      </c>
      <c r="C70" s="25">
        <v>46054</v>
      </c>
      <c r="D70" s="26">
        <v>44196</v>
      </c>
      <c r="E70" s="25">
        <f t="shared" ref="E70:E103" ca="1" si="8">TODAY()</f>
        <v>46226</v>
      </c>
      <c r="F70" s="27">
        <f t="shared" ref="F70:F103" ca="1" si="9">D70-E70</f>
        <v>-2030</v>
      </c>
      <c r="G70" s="31" t="s">
        <v>22</v>
      </c>
      <c r="H70" s="28" t="str">
        <f ca="1">IF(F70&lt;=0, "VENDA","CAREPACK")</f>
        <v>VENDA</v>
      </c>
      <c r="I70" s="28"/>
      <c r="J70" s="27" t="s">
        <v>18</v>
      </c>
      <c r="K70" s="25">
        <v>44036</v>
      </c>
      <c r="L70" s="25"/>
      <c r="M70" s="34"/>
      <c r="N70" s="25"/>
      <c r="O70" s="19">
        <v>90</v>
      </c>
    </row>
    <row r="71" spans="1:15" x14ac:dyDescent="0.35">
      <c r="A71" s="8" t="s">
        <v>110</v>
      </c>
      <c r="B71" s="8" t="s">
        <v>20</v>
      </c>
      <c r="C71" s="14">
        <v>45992</v>
      </c>
      <c r="D71" s="14">
        <v>46326</v>
      </c>
      <c r="E71" s="13">
        <f t="shared" ca="1" si="8"/>
        <v>46226</v>
      </c>
      <c r="F71" s="11">
        <f t="shared" ca="1" si="9"/>
        <v>100</v>
      </c>
      <c r="G71" s="12" t="s">
        <v>34</v>
      </c>
      <c r="H71" s="9" t="s">
        <v>35</v>
      </c>
      <c r="I71" s="9" t="s">
        <v>111</v>
      </c>
      <c r="J71" s="11" t="s">
        <v>24</v>
      </c>
      <c r="K71" s="14">
        <v>44841</v>
      </c>
      <c r="L71" s="14" t="s">
        <v>112</v>
      </c>
      <c r="M71" s="15"/>
      <c r="N71" s="14"/>
      <c r="O71" s="19">
        <v>90</v>
      </c>
    </row>
    <row r="72" spans="1:15" x14ac:dyDescent="0.35">
      <c r="A72" s="8" t="s">
        <v>113</v>
      </c>
      <c r="B72" s="8" t="s">
        <v>20</v>
      </c>
      <c r="C72" s="14">
        <v>45962</v>
      </c>
      <c r="D72" s="14">
        <v>46265</v>
      </c>
      <c r="E72" s="13">
        <f t="shared" ca="1" si="8"/>
        <v>46226</v>
      </c>
      <c r="F72" s="11">
        <f t="shared" ca="1" si="9"/>
        <v>39</v>
      </c>
      <c r="G72" s="12" t="s">
        <v>66</v>
      </c>
      <c r="H72" s="9" t="str">
        <f ca="1">IF(F72&lt;=0, "VENDA","CAREPACK")</f>
        <v>CAREPACK</v>
      </c>
      <c r="I72" s="9" t="s">
        <v>17</v>
      </c>
      <c r="J72" s="11" t="s">
        <v>18</v>
      </c>
      <c r="K72" s="14">
        <v>42040</v>
      </c>
      <c r="L72" s="14"/>
      <c r="M72" s="15"/>
      <c r="N72" s="14"/>
      <c r="O72" s="19"/>
    </row>
    <row r="73" spans="1:15" x14ac:dyDescent="0.35">
      <c r="A73" s="8" t="s">
        <v>113</v>
      </c>
      <c r="B73" s="8" t="s">
        <v>20</v>
      </c>
      <c r="C73" s="14">
        <v>45962</v>
      </c>
      <c r="D73" s="14">
        <v>46265</v>
      </c>
      <c r="E73" s="13">
        <f t="shared" ca="1" si="8"/>
        <v>46226</v>
      </c>
      <c r="F73" s="11">
        <f t="shared" ca="1" si="9"/>
        <v>39</v>
      </c>
      <c r="G73" s="12" t="s">
        <v>22</v>
      </c>
      <c r="H73" s="9" t="str">
        <f ca="1">IF(F73&lt;=0, "VENDA","CAREPACK")</f>
        <v>CAREPACK</v>
      </c>
      <c r="I73" s="9" t="s">
        <v>17</v>
      </c>
      <c r="J73" s="11" t="s">
        <v>18</v>
      </c>
      <c r="K73" s="14">
        <v>43733</v>
      </c>
      <c r="L73" s="14"/>
      <c r="M73" s="15"/>
      <c r="N73" s="14"/>
      <c r="O73" s="19">
        <v>90</v>
      </c>
    </row>
    <row r="74" spans="1:15" x14ac:dyDescent="0.35">
      <c r="A74" s="8" t="s">
        <v>114</v>
      </c>
      <c r="B74" s="2" t="s">
        <v>15</v>
      </c>
      <c r="C74" s="14">
        <v>46204</v>
      </c>
      <c r="D74" s="13">
        <v>46568</v>
      </c>
      <c r="E74" s="13">
        <f t="shared" ca="1" si="8"/>
        <v>46226</v>
      </c>
      <c r="F74" s="11">
        <f t="shared" ca="1" si="9"/>
        <v>342</v>
      </c>
      <c r="G74" s="12" t="s">
        <v>32</v>
      </c>
      <c r="H74" s="9" t="str">
        <f ca="1">IF(F74&lt;=0, "VENDA","CAREPACK")</f>
        <v>CAREPACK</v>
      </c>
      <c r="I74" s="9" t="s">
        <v>17</v>
      </c>
      <c r="J74" s="11" t="s">
        <v>18</v>
      </c>
      <c r="K74" s="14">
        <v>45999</v>
      </c>
      <c r="L74" s="14" t="s">
        <v>115</v>
      </c>
      <c r="M74" s="15"/>
      <c r="N74" s="14"/>
      <c r="O74" s="19">
        <v>90</v>
      </c>
    </row>
    <row r="75" spans="1:15" x14ac:dyDescent="0.35">
      <c r="A75" s="8" t="s">
        <v>114</v>
      </c>
      <c r="B75" s="8" t="s">
        <v>57</v>
      </c>
      <c r="C75" s="14">
        <v>45555</v>
      </c>
      <c r="D75" s="14">
        <v>46465</v>
      </c>
      <c r="E75" s="13">
        <f t="shared" ca="1" si="8"/>
        <v>46226</v>
      </c>
      <c r="F75" s="11">
        <f t="shared" ca="1" si="9"/>
        <v>239</v>
      </c>
      <c r="G75" s="12" t="s">
        <v>85</v>
      </c>
      <c r="H75" s="9" t="str">
        <f ca="1">IF(F75&lt;=0, "VENDA","CAREPACK")</f>
        <v>CAREPACK</v>
      </c>
      <c r="I75" s="9" t="s">
        <v>17</v>
      </c>
      <c r="J75" s="11" t="s">
        <v>24</v>
      </c>
      <c r="K75" s="14">
        <v>45371</v>
      </c>
      <c r="L75" s="14" t="s">
        <v>115</v>
      </c>
      <c r="M75" s="15"/>
      <c r="N75" s="14"/>
      <c r="O75" s="19">
        <v>90</v>
      </c>
    </row>
    <row r="76" spans="1:15" x14ac:dyDescent="0.35">
      <c r="A76" s="8" t="s">
        <v>116</v>
      </c>
      <c r="B76" s="2" t="s">
        <v>15</v>
      </c>
      <c r="C76" s="14">
        <v>45639</v>
      </c>
      <c r="D76" s="13">
        <v>44196</v>
      </c>
      <c r="E76" s="13">
        <f t="shared" ca="1" si="8"/>
        <v>46226</v>
      </c>
      <c r="F76" s="11">
        <f t="shared" ca="1" si="9"/>
        <v>-2030</v>
      </c>
      <c r="G76" s="12" t="s">
        <v>23</v>
      </c>
      <c r="H76" s="9" t="str">
        <f ca="1">IF(F76&lt;=0, "VENDA","CAREPACK")</f>
        <v>VENDA</v>
      </c>
      <c r="I76" s="9" t="s">
        <v>43</v>
      </c>
      <c r="J76" s="11" t="s">
        <v>24</v>
      </c>
      <c r="K76" s="14">
        <v>45273</v>
      </c>
      <c r="L76" s="14" t="s">
        <v>117</v>
      </c>
      <c r="M76" s="15"/>
      <c r="N76" s="14"/>
      <c r="O76" s="19">
        <v>90</v>
      </c>
    </row>
    <row r="77" spans="1:15" x14ac:dyDescent="0.35">
      <c r="A77" s="8" t="s">
        <v>118</v>
      </c>
      <c r="B77" s="8" t="s">
        <v>51</v>
      </c>
      <c r="C77" s="14">
        <v>45989</v>
      </c>
      <c r="D77" s="14">
        <v>47449</v>
      </c>
      <c r="E77" s="13">
        <f t="shared" ca="1" si="8"/>
        <v>46226</v>
      </c>
      <c r="F77" s="11">
        <f t="shared" ca="1" si="9"/>
        <v>1223</v>
      </c>
      <c r="G77" s="12" t="s">
        <v>119</v>
      </c>
      <c r="H77" s="9" t="s">
        <v>35</v>
      </c>
      <c r="I77" s="9" t="s">
        <v>120</v>
      </c>
      <c r="J77" s="11" t="s">
        <v>24</v>
      </c>
      <c r="K77" s="14">
        <v>45989</v>
      </c>
      <c r="L77" s="14" t="s">
        <v>121</v>
      </c>
      <c r="M77" s="15"/>
      <c r="N77" s="14"/>
      <c r="O77" s="19">
        <v>90</v>
      </c>
    </row>
    <row r="78" spans="1:15" x14ac:dyDescent="0.35">
      <c r="A78" s="8" t="s">
        <v>122</v>
      </c>
      <c r="B78" s="2" t="s">
        <v>15</v>
      </c>
      <c r="C78" s="14">
        <v>45039</v>
      </c>
      <c r="D78" s="13">
        <v>44196</v>
      </c>
      <c r="E78" s="13">
        <f t="shared" ca="1" si="8"/>
        <v>46226</v>
      </c>
      <c r="F78" s="11">
        <f t="shared" ca="1" si="9"/>
        <v>-2030</v>
      </c>
      <c r="G78" s="12" t="s">
        <v>34</v>
      </c>
      <c r="H78" s="9" t="str">
        <f t="shared" ref="H78:H83" ca="1" si="10">IF(F78&lt;=0, "VENDA","CAREPACK")</f>
        <v>VENDA</v>
      </c>
      <c r="I78" s="9" t="s">
        <v>123</v>
      </c>
      <c r="J78" s="11" t="s">
        <v>24</v>
      </c>
      <c r="K78" s="14">
        <v>43984</v>
      </c>
      <c r="L78" s="14"/>
      <c r="M78" s="15"/>
      <c r="N78" s="14"/>
      <c r="O78" s="19">
        <v>90</v>
      </c>
    </row>
    <row r="79" spans="1:15" x14ac:dyDescent="0.35">
      <c r="A79" s="8" t="s">
        <v>124</v>
      </c>
      <c r="B79" s="2" t="s">
        <v>15</v>
      </c>
      <c r="C79" s="14">
        <v>43749</v>
      </c>
      <c r="D79" s="13">
        <v>44196</v>
      </c>
      <c r="E79" s="13">
        <f t="shared" ca="1" si="8"/>
        <v>46226</v>
      </c>
      <c r="F79" s="11">
        <f t="shared" ca="1" si="9"/>
        <v>-2030</v>
      </c>
      <c r="G79" s="12" t="s">
        <v>66</v>
      </c>
      <c r="H79" s="9" t="str">
        <f t="shared" ca="1" si="10"/>
        <v>VENDA</v>
      </c>
      <c r="I79" s="9" t="s">
        <v>17</v>
      </c>
      <c r="J79" s="11" t="s">
        <v>18</v>
      </c>
      <c r="K79" s="14">
        <v>41866</v>
      </c>
      <c r="L79" s="14"/>
      <c r="M79" s="15"/>
      <c r="N79" s="14"/>
      <c r="O79" s="19">
        <v>90</v>
      </c>
    </row>
    <row r="80" spans="1:15" x14ac:dyDescent="0.35">
      <c r="A80" s="8" t="s">
        <v>124</v>
      </c>
      <c r="B80" s="2" t="s">
        <v>15</v>
      </c>
      <c r="C80" s="14">
        <v>43749</v>
      </c>
      <c r="D80" s="13">
        <v>44196</v>
      </c>
      <c r="E80" s="13">
        <f t="shared" ca="1" si="8"/>
        <v>46226</v>
      </c>
      <c r="F80" s="11">
        <f t="shared" ca="1" si="9"/>
        <v>-2030</v>
      </c>
      <c r="G80" s="12" t="s">
        <v>26</v>
      </c>
      <c r="H80" s="9" t="str">
        <f t="shared" ca="1" si="10"/>
        <v>VENDA</v>
      </c>
      <c r="I80" s="9" t="s">
        <v>17</v>
      </c>
      <c r="J80" s="11" t="s">
        <v>18</v>
      </c>
      <c r="K80" s="14">
        <v>42670</v>
      </c>
      <c r="L80" s="14"/>
      <c r="M80" s="15"/>
      <c r="N80" s="14"/>
      <c r="O80" s="19">
        <v>90</v>
      </c>
    </row>
    <row r="81" spans="1:15" x14ac:dyDescent="0.35">
      <c r="A81" s="8" t="s">
        <v>124</v>
      </c>
      <c r="B81" s="2" t="s">
        <v>15</v>
      </c>
      <c r="C81" s="14">
        <v>43641</v>
      </c>
      <c r="D81" s="13">
        <v>44196</v>
      </c>
      <c r="E81" s="13">
        <f t="shared" ca="1" si="8"/>
        <v>46226</v>
      </c>
      <c r="F81" s="11">
        <f t="shared" ca="1" si="9"/>
        <v>-2030</v>
      </c>
      <c r="G81" s="12" t="s">
        <v>26</v>
      </c>
      <c r="H81" s="9" t="str">
        <f t="shared" ca="1" si="10"/>
        <v>VENDA</v>
      </c>
      <c r="I81" s="9" t="s">
        <v>17</v>
      </c>
      <c r="J81" s="11" t="s">
        <v>18</v>
      </c>
      <c r="K81" s="14">
        <v>43276</v>
      </c>
      <c r="L81" s="14"/>
      <c r="M81" s="15"/>
      <c r="N81" s="14"/>
      <c r="O81" s="19">
        <v>90</v>
      </c>
    </row>
    <row r="82" spans="1:15" x14ac:dyDescent="0.35">
      <c r="A82" s="8" t="s">
        <v>125</v>
      </c>
      <c r="B82" s="8" t="s">
        <v>57</v>
      </c>
      <c r="C82" s="14">
        <v>45870</v>
      </c>
      <c r="D82" s="14">
        <v>46418</v>
      </c>
      <c r="E82" s="14">
        <f t="shared" ca="1" si="8"/>
        <v>46226</v>
      </c>
      <c r="F82" s="11">
        <f t="shared" ca="1" si="9"/>
        <v>192</v>
      </c>
      <c r="G82" s="12" t="s">
        <v>22</v>
      </c>
      <c r="H82" s="9" t="str">
        <f t="shared" ca="1" si="10"/>
        <v>CAREPACK</v>
      </c>
      <c r="I82" s="9" t="s">
        <v>17</v>
      </c>
      <c r="J82" s="11" t="s">
        <v>18</v>
      </c>
      <c r="K82" s="14">
        <v>43672</v>
      </c>
      <c r="L82" s="14"/>
      <c r="M82" s="15"/>
      <c r="N82" s="14"/>
      <c r="O82" s="19">
        <v>90</v>
      </c>
    </row>
    <row r="83" spans="1:15" x14ac:dyDescent="0.35">
      <c r="A83" s="8" t="s">
        <v>125</v>
      </c>
      <c r="B83" s="8" t="s">
        <v>57</v>
      </c>
      <c r="C83" s="14">
        <v>46054</v>
      </c>
      <c r="D83" s="14">
        <v>46418</v>
      </c>
      <c r="E83" s="14">
        <f t="shared" ca="1" si="8"/>
        <v>46226</v>
      </c>
      <c r="F83" s="11">
        <f t="shared" ca="1" si="9"/>
        <v>192</v>
      </c>
      <c r="G83" s="12" t="s">
        <v>16</v>
      </c>
      <c r="H83" s="9" t="str">
        <f t="shared" ca="1" si="10"/>
        <v>CAREPACK</v>
      </c>
      <c r="I83" s="9" t="s">
        <v>17</v>
      </c>
      <c r="J83" s="11" t="s">
        <v>18</v>
      </c>
      <c r="K83" s="14">
        <v>45870</v>
      </c>
      <c r="L83" s="14"/>
      <c r="M83" s="15"/>
      <c r="N83" s="14"/>
      <c r="O83" s="19">
        <v>90</v>
      </c>
    </row>
    <row r="84" spans="1:15" x14ac:dyDescent="0.35">
      <c r="A84" s="8" t="s">
        <v>126</v>
      </c>
      <c r="B84" s="2" t="s">
        <v>28</v>
      </c>
      <c r="C84" s="14">
        <v>46203</v>
      </c>
      <c r="D84" s="14">
        <v>46751</v>
      </c>
      <c r="E84" s="14">
        <f t="shared" ca="1" si="8"/>
        <v>46226</v>
      </c>
      <c r="F84" s="11">
        <f t="shared" ca="1" si="9"/>
        <v>525</v>
      </c>
      <c r="G84" s="12" t="s">
        <v>75</v>
      </c>
      <c r="H84" s="9" t="s">
        <v>35</v>
      </c>
      <c r="I84" s="9" t="s">
        <v>92</v>
      </c>
      <c r="J84" s="11"/>
      <c r="K84" s="14"/>
      <c r="L84" s="14" t="s">
        <v>127</v>
      </c>
      <c r="M84" s="15"/>
      <c r="N84" s="14"/>
      <c r="O84" s="19">
        <v>90</v>
      </c>
    </row>
    <row r="85" spans="1:15" x14ac:dyDescent="0.35">
      <c r="A85" s="8" t="s">
        <v>126</v>
      </c>
      <c r="B85" s="8" t="s">
        <v>128</v>
      </c>
      <c r="C85" s="14">
        <v>46082</v>
      </c>
      <c r="D85" s="14">
        <v>46446</v>
      </c>
      <c r="E85" s="14">
        <f t="shared" ca="1" si="8"/>
        <v>46226</v>
      </c>
      <c r="F85" s="11">
        <f t="shared" ca="1" si="9"/>
        <v>220</v>
      </c>
      <c r="G85" s="12" t="s">
        <v>34</v>
      </c>
      <c r="H85" s="9" t="s">
        <v>35</v>
      </c>
      <c r="I85" s="9" t="s">
        <v>129</v>
      </c>
      <c r="J85" s="11" t="s">
        <v>24</v>
      </c>
      <c r="K85" s="14">
        <v>43476</v>
      </c>
      <c r="L85" s="14"/>
      <c r="M85" s="15"/>
      <c r="N85" s="14"/>
      <c r="O85" s="19">
        <v>90</v>
      </c>
    </row>
    <row r="86" spans="1:15" x14ac:dyDescent="0.35">
      <c r="A86" s="8" t="s">
        <v>126</v>
      </c>
      <c r="B86" s="8" t="s">
        <v>20</v>
      </c>
      <c r="C86" s="14">
        <v>46082</v>
      </c>
      <c r="D86" s="14">
        <v>46446</v>
      </c>
      <c r="E86" s="14">
        <f t="shared" ca="1" si="8"/>
        <v>46226</v>
      </c>
      <c r="F86" s="11">
        <f t="shared" ca="1" si="9"/>
        <v>220</v>
      </c>
      <c r="G86" s="12" t="s">
        <v>73</v>
      </c>
      <c r="H86" s="9" t="s">
        <v>35</v>
      </c>
      <c r="I86" s="9" t="s">
        <v>129</v>
      </c>
      <c r="J86" s="12" t="s">
        <v>74</v>
      </c>
      <c r="K86" s="14">
        <v>45691</v>
      </c>
      <c r="L86" s="14"/>
      <c r="M86" s="15"/>
      <c r="N86" s="14"/>
      <c r="O86" s="19">
        <v>90</v>
      </c>
    </row>
    <row r="87" spans="1:15" x14ac:dyDescent="0.35">
      <c r="A87" s="10" t="s">
        <v>130</v>
      </c>
      <c r="B87" s="2" t="s">
        <v>15</v>
      </c>
      <c r="C87" s="15">
        <v>45173</v>
      </c>
      <c r="D87" s="33">
        <v>44196</v>
      </c>
      <c r="E87" s="14">
        <f t="shared" ca="1" si="8"/>
        <v>46226</v>
      </c>
      <c r="F87" s="11">
        <f t="shared" ca="1" si="9"/>
        <v>-2030</v>
      </c>
      <c r="G87" s="12" t="s">
        <v>21</v>
      </c>
      <c r="H87" s="9" t="str">
        <f ca="1">IF(F87&lt;=0, "VENDA","CAREPACK")</f>
        <v>VENDA</v>
      </c>
      <c r="I87" s="9" t="s">
        <v>17</v>
      </c>
      <c r="J87" s="11" t="s">
        <v>18</v>
      </c>
      <c r="K87" s="14">
        <v>42692</v>
      </c>
      <c r="L87" s="14"/>
      <c r="M87" s="15"/>
      <c r="N87" s="14"/>
      <c r="O87" s="19"/>
    </row>
    <row r="88" spans="1:15" x14ac:dyDescent="0.35">
      <c r="A88" s="10" t="s">
        <v>131</v>
      </c>
      <c r="B88" s="35" t="s">
        <v>15</v>
      </c>
      <c r="C88" s="15">
        <v>44798</v>
      </c>
      <c r="D88" s="33">
        <v>44196</v>
      </c>
      <c r="E88" s="14">
        <f t="shared" ca="1" si="8"/>
        <v>46226</v>
      </c>
      <c r="F88" s="11">
        <f t="shared" ca="1" si="9"/>
        <v>-2030</v>
      </c>
      <c r="G88" s="12" t="s">
        <v>31</v>
      </c>
      <c r="H88" s="9" t="str">
        <f ca="1">IF(F88&lt;=0, "VENDA","CAREPACK")</f>
        <v>VENDA</v>
      </c>
      <c r="I88" s="9" t="s">
        <v>17</v>
      </c>
      <c r="J88" s="11" t="s">
        <v>18</v>
      </c>
      <c r="K88" s="14">
        <v>40534</v>
      </c>
      <c r="L88" s="14"/>
      <c r="M88" s="15"/>
      <c r="N88" s="14"/>
      <c r="O88" s="19">
        <v>90</v>
      </c>
    </row>
    <row r="89" spans="1:15" x14ac:dyDescent="0.35">
      <c r="A89" s="10" t="s">
        <v>132</v>
      </c>
      <c r="B89" s="8" t="s">
        <v>128</v>
      </c>
      <c r="C89" s="15">
        <v>46199</v>
      </c>
      <c r="D89" s="33">
        <v>46594</v>
      </c>
      <c r="E89" s="14">
        <f t="shared" ca="1" si="8"/>
        <v>46226</v>
      </c>
      <c r="F89" s="11">
        <f t="shared" ca="1" si="9"/>
        <v>368</v>
      </c>
      <c r="G89" s="12" t="s">
        <v>104</v>
      </c>
      <c r="H89" s="9" t="s">
        <v>35</v>
      </c>
      <c r="I89" s="9" t="s">
        <v>133</v>
      </c>
      <c r="J89" s="11" t="s">
        <v>18</v>
      </c>
      <c r="K89" s="14"/>
      <c r="L89" s="14"/>
      <c r="M89" s="15"/>
      <c r="N89" s="14"/>
      <c r="O89" s="19">
        <v>90</v>
      </c>
    </row>
    <row r="90" spans="1:15" x14ac:dyDescent="0.35">
      <c r="A90" s="8" t="s">
        <v>134</v>
      </c>
      <c r="B90" s="8" t="s">
        <v>57</v>
      </c>
      <c r="C90" s="14">
        <v>45822</v>
      </c>
      <c r="D90" s="14">
        <v>46551</v>
      </c>
      <c r="E90" s="13">
        <f t="shared" ca="1" si="8"/>
        <v>46226</v>
      </c>
      <c r="F90" s="11">
        <f t="shared" ca="1" si="9"/>
        <v>325</v>
      </c>
      <c r="G90" s="12" t="s">
        <v>22</v>
      </c>
      <c r="H90" s="9" t="str">
        <f t="shared" ref="H90:H103" ca="1" si="11">IF(F90&lt;=0, "VENDA","CAREPACK")</f>
        <v>CAREPACK</v>
      </c>
      <c r="I90" s="9" t="s">
        <v>17</v>
      </c>
      <c r="J90" s="11" t="s">
        <v>18</v>
      </c>
      <c r="K90" s="14">
        <v>43913</v>
      </c>
      <c r="L90" s="14"/>
      <c r="M90" s="15"/>
      <c r="N90" s="14"/>
      <c r="O90" s="19">
        <v>90</v>
      </c>
    </row>
    <row r="91" spans="1:15" x14ac:dyDescent="0.35">
      <c r="A91" s="8" t="s">
        <v>134</v>
      </c>
      <c r="B91" s="36" t="s">
        <v>57</v>
      </c>
      <c r="C91" s="14">
        <v>45993</v>
      </c>
      <c r="D91" s="14">
        <v>46539</v>
      </c>
      <c r="E91" s="13">
        <f t="shared" ca="1" si="8"/>
        <v>46226</v>
      </c>
      <c r="F91" s="11">
        <f t="shared" ca="1" si="9"/>
        <v>313</v>
      </c>
      <c r="G91" s="12" t="s">
        <v>16</v>
      </c>
      <c r="H91" s="9" t="str">
        <f t="shared" ca="1" si="11"/>
        <v>CAREPACK</v>
      </c>
      <c r="I91" s="9" t="s">
        <v>17</v>
      </c>
      <c r="J91" s="11" t="s">
        <v>18</v>
      </c>
      <c r="K91" s="14">
        <v>45809</v>
      </c>
      <c r="L91" s="14"/>
      <c r="M91" s="15"/>
      <c r="N91" s="14"/>
      <c r="O91" s="19"/>
    </row>
    <row r="92" spans="1:15" x14ac:dyDescent="0.35">
      <c r="A92" s="8" t="s">
        <v>135</v>
      </c>
      <c r="B92" s="2" t="s">
        <v>15</v>
      </c>
      <c r="C92" s="14">
        <v>44197</v>
      </c>
      <c r="D92" s="13">
        <v>44196</v>
      </c>
      <c r="E92" s="14">
        <f t="shared" ca="1" si="8"/>
        <v>46226</v>
      </c>
      <c r="F92" s="11">
        <f t="shared" ca="1" si="9"/>
        <v>-2030</v>
      </c>
      <c r="G92" s="12" t="s">
        <v>136</v>
      </c>
      <c r="H92" s="9" t="str">
        <f t="shared" ca="1" si="11"/>
        <v>VENDA</v>
      </c>
      <c r="I92" s="9" t="s">
        <v>17</v>
      </c>
      <c r="J92" s="11" t="s">
        <v>18</v>
      </c>
      <c r="K92" s="14">
        <v>42937</v>
      </c>
      <c r="L92" s="14"/>
      <c r="M92" s="15"/>
      <c r="N92" s="14"/>
      <c r="O92" s="19">
        <v>90</v>
      </c>
    </row>
    <row r="93" spans="1:15" x14ac:dyDescent="0.35">
      <c r="A93" s="23" t="s">
        <v>137</v>
      </c>
      <c r="B93" s="23" t="s">
        <v>57</v>
      </c>
      <c r="C93" s="25">
        <v>45908</v>
      </c>
      <c r="D93" s="25">
        <v>46454</v>
      </c>
      <c r="E93" s="26">
        <f t="shared" ca="1" si="8"/>
        <v>46226</v>
      </c>
      <c r="F93" s="27">
        <f t="shared" ca="1" si="9"/>
        <v>228</v>
      </c>
      <c r="G93" s="31" t="s">
        <v>26</v>
      </c>
      <c r="H93" s="28" t="str">
        <f t="shared" ca="1" si="11"/>
        <v>CAREPACK</v>
      </c>
      <c r="I93" s="28" t="s">
        <v>92</v>
      </c>
      <c r="J93" s="27" t="s">
        <v>18</v>
      </c>
      <c r="K93" s="25">
        <v>45055</v>
      </c>
      <c r="L93" s="25" t="s">
        <v>117</v>
      </c>
      <c r="M93" s="34"/>
      <c r="N93" s="25"/>
      <c r="O93" s="19">
        <v>90</v>
      </c>
    </row>
    <row r="94" spans="1:15" x14ac:dyDescent="0.35">
      <c r="A94" s="23" t="s">
        <v>137</v>
      </c>
      <c r="B94" s="23" t="s">
        <v>51</v>
      </c>
      <c r="C94" s="25">
        <v>45908</v>
      </c>
      <c r="D94" s="25">
        <v>46454</v>
      </c>
      <c r="E94" s="26">
        <f t="shared" ca="1" si="8"/>
        <v>46226</v>
      </c>
      <c r="F94" s="27">
        <f t="shared" ca="1" si="9"/>
        <v>228</v>
      </c>
      <c r="G94" s="31" t="s">
        <v>16</v>
      </c>
      <c r="H94" s="28" t="str">
        <f t="shared" ca="1" si="11"/>
        <v>CAREPACK</v>
      </c>
      <c r="I94" s="28" t="s">
        <v>92</v>
      </c>
      <c r="J94" s="27" t="s">
        <v>18</v>
      </c>
      <c r="K94" s="25">
        <v>45908</v>
      </c>
      <c r="L94" s="25" t="s">
        <v>117</v>
      </c>
      <c r="M94" s="34"/>
      <c r="N94" s="25"/>
      <c r="O94" s="19">
        <v>90</v>
      </c>
    </row>
    <row r="95" spans="1:15" x14ac:dyDescent="0.35">
      <c r="A95" s="8" t="s">
        <v>138</v>
      </c>
      <c r="B95" s="2" t="s">
        <v>15</v>
      </c>
      <c r="C95" s="14">
        <v>44909</v>
      </c>
      <c r="D95" s="13">
        <v>44196</v>
      </c>
      <c r="E95" s="14">
        <f t="shared" ca="1" si="8"/>
        <v>46226</v>
      </c>
      <c r="F95" s="11">
        <f t="shared" ca="1" si="9"/>
        <v>-2030</v>
      </c>
      <c r="G95" s="12" t="s">
        <v>31</v>
      </c>
      <c r="H95" s="9" t="str">
        <f t="shared" ca="1" si="11"/>
        <v>VENDA</v>
      </c>
      <c r="I95" s="9" t="s">
        <v>17</v>
      </c>
      <c r="J95" s="11" t="s">
        <v>18</v>
      </c>
      <c r="K95" s="14">
        <v>41320</v>
      </c>
      <c r="L95" s="14"/>
      <c r="M95" s="15"/>
      <c r="N95" s="14"/>
      <c r="O95" s="19">
        <v>90</v>
      </c>
    </row>
    <row r="96" spans="1:15" s="30" customFormat="1" x14ac:dyDescent="0.35">
      <c r="A96" s="23" t="s">
        <v>139</v>
      </c>
      <c r="B96" s="23" t="s">
        <v>20</v>
      </c>
      <c r="C96" s="25">
        <v>45962</v>
      </c>
      <c r="D96" s="25">
        <v>46537</v>
      </c>
      <c r="E96" s="25">
        <f t="shared" ca="1" si="8"/>
        <v>46226</v>
      </c>
      <c r="F96" s="27">
        <f t="shared" ca="1" si="9"/>
        <v>311</v>
      </c>
      <c r="G96" s="31" t="s">
        <v>32</v>
      </c>
      <c r="H96" s="28" t="str">
        <f t="shared" ca="1" si="11"/>
        <v>CAREPACK</v>
      </c>
      <c r="I96" s="28" t="s">
        <v>17</v>
      </c>
      <c r="J96" s="27" t="s">
        <v>18</v>
      </c>
      <c r="K96" s="25">
        <v>43301</v>
      </c>
      <c r="L96" s="25"/>
      <c r="M96" s="34"/>
      <c r="N96" s="25"/>
      <c r="O96" s="29">
        <v>90</v>
      </c>
    </row>
    <row r="97" spans="1:15" ht="14.25" customHeight="1" x14ac:dyDescent="0.35">
      <c r="A97" s="8" t="s">
        <v>140</v>
      </c>
      <c r="B97" s="2" t="s">
        <v>15</v>
      </c>
      <c r="C97" s="14">
        <v>43070</v>
      </c>
      <c r="D97" s="13">
        <v>44196</v>
      </c>
      <c r="E97" s="14">
        <f t="shared" ca="1" si="8"/>
        <v>46226</v>
      </c>
      <c r="F97" s="11">
        <f t="shared" ca="1" si="9"/>
        <v>-2030</v>
      </c>
      <c r="G97" s="12" t="s">
        <v>21</v>
      </c>
      <c r="H97" s="9" t="str">
        <f t="shared" ca="1" si="11"/>
        <v>VENDA</v>
      </c>
      <c r="I97" s="9" t="s">
        <v>17</v>
      </c>
      <c r="J97" s="11" t="s">
        <v>18</v>
      </c>
      <c r="K97" s="14">
        <v>40605</v>
      </c>
      <c r="L97" s="14"/>
      <c r="M97" s="15"/>
      <c r="N97" s="14"/>
      <c r="O97" s="19">
        <v>90</v>
      </c>
    </row>
    <row r="98" spans="1:15" x14ac:dyDescent="0.35">
      <c r="A98" s="8" t="s">
        <v>141</v>
      </c>
      <c r="B98" s="8" t="s">
        <v>57</v>
      </c>
      <c r="C98" s="14">
        <v>45874</v>
      </c>
      <c r="D98" s="14">
        <v>46422</v>
      </c>
      <c r="E98" s="14">
        <f t="shared" ca="1" si="8"/>
        <v>46226</v>
      </c>
      <c r="F98" s="11">
        <f t="shared" ca="1" si="9"/>
        <v>196</v>
      </c>
      <c r="G98" s="12" t="s">
        <v>85</v>
      </c>
      <c r="H98" s="9" t="str">
        <f t="shared" ca="1" si="11"/>
        <v>CAREPACK</v>
      </c>
      <c r="I98" s="9" t="s">
        <v>17</v>
      </c>
      <c r="J98" s="11" t="s">
        <v>24</v>
      </c>
      <c r="K98" s="14">
        <v>45692</v>
      </c>
      <c r="L98" s="14"/>
      <c r="M98" s="15"/>
      <c r="N98" s="14"/>
      <c r="O98" s="19">
        <v>90</v>
      </c>
    </row>
    <row r="99" spans="1:15" x14ac:dyDescent="0.35">
      <c r="A99" s="8" t="s">
        <v>142</v>
      </c>
      <c r="B99" s="2" t="s">
        <v>15</v>
      </c>
      <c r="C99" s="14">
        <v>45689</v>
      </c>
      <c r="D99" s="13">
        <v>44196</v>
      </c>
      <c r="E99" s="14">
        <f t="shared" ca="1" si="8"/>
        <v>46226</v>
      </c>
      <c r="F99" s="11">
        <f t="shared" ca="1" si="9"/>
        <v>-2030</v>
      </c>
      <c r="G99" s="12" t="s">
        <v>31</v>
      </c>
      <c r="H99" s="9" t="str">
        <f t="shared" ca="1" si="11"/>
        <v>VENDA</v>
      </c>
      <c r="I99" s="9" t="s">
        <v>17</v>
      </c>
      <c r="J99" s="11" t="s">
        <v>18</v>
      </c>
      <c r="K99" s="14">
        <v>40868</v>
      </c>
      <c r="L99" s="14"/>
      <c r="M99" s="15"/>
      <c r="N99" s="14"/>
      <c r="O99" s="19">
        <v>90</v>
      </c>
    </row>
    <row r="100" spans="1:15" x14ac:dyDescent="0.35">
      <c r="A100" s="8" t="s">
        <v>143</v>
      </c>
      <c r="B100" s="8" t="s">
        <v>57</v>
      </c>
      <c r="C100" s="14">
        <v>45315</v>
      </c>
      <c r="D100" s="14">
        <v>46226</v>
      </c>
      <c r="E100" s="14">
        <f t="shared" ca="1" si="8"/>
        <v>46226</v>
      </c>
      <c r="F100" s="11">
        <f t="shared" ca="1" si="9"/>
        <v>0</v>
      </c>
      <c r="G100" s="12" t="s">
        <v>104</v>
      </c>
      <c r="H100" s="9" t="str">
        <f t="shared" ca="1" si="11"/>
        <v>VENDA</v>
      </c>
      <c r="I100" s="9" t="s">
        <v>17</v>
      </c>
      <c r="J100" s="11" t="s">
        <v>18</v>
      </c>
      <c r="K100" s="14">
        <v>45131</v>
      </c>
      <c r="L100" s="14"/>
      <c r="M100" s="15"/>
      <c r="N100" s="14"/>
      <c r="O100" s="19">
        <v>90</v>
      </c>
    </row>
    <row r="101" spans="1:15" x14ac:dyDescent="0.35">
      <c r="A101" s="8" t="s">
        <v>144</v>
      </c>
      <c r="B101" s="8" t="s">
        <v>20</v>
      </c>
      <c r="C101" s="14">
        <v>45658</v>
      </c>
      <c r="D101" s="14">
        <v>46532</v>
      </c>
      <c r="E101" s="14">
        <f t="shared" ca="1" si="8"/>
        <v>46226</v>
      </c>
      <c r="F101" s="11">
        <f t="shared" ca="1" si="9"/>
        <v>306</v>
      </c>
      <c r="G101" s="12" t="s">
        <v>104</v>
      </c>
      <c r="H101" s="9" t="str">
        <f t="shared" ca="1" si="11"/>
        <v>CAREPACK</v>
      </c>
      <c r="I101" s="9" t="s">
        <v>145</v>
      </c>
      <c r="J101" s="11" t="s">
        <v>18</v>
      </c>
      <c r="K101" s="14">
        <v>44694</v>
      </c>
      <c r="L101" s="14"/>
      <c r="M101" s="15"/>
      <c r="N101" s="14"/>
      <c r="O101" s="19">
        <v>90</v>
      </c>
    </row>
    <row r="102" spans="1:15" x14ac:dyDescent="0.35">
      <c r="A102" s="8" t="s">
        <v>146</v>
      </c>
      <c r="B102" s="8" t="s">
        <v>57</v>
      </c>
      <c r="C102" s="14">
        <v>45928</v>
      </c>
      <c r="D102" s="14">
        <v>46473</v>
      </c>
      <c r="E102" s="14">
        <f t="shared" ca="1" si="8"/>
        <v>46226</v>
      </c>
      <c r="F102" s="11">
        <f t="shared" ca="1" si="9"/>
        <v>247</v>
      </c>
      <c r="G102" s="12" t="s">
        <v>16</v>
      </c>
      <c r="H102" s="9" t="str">
        <f t="shared" ca="1" si="11"/>
        <v>CAREPACK</v>
      </c>
      <c r="I102" s="9" t="s">
        <v>17</v>
      </c>
      <c r="J102" s="11" t="s">
        <v>18</v>
      </c>
      <c r="K102" s="14">
        <v>45744</v>
      </c>
      <c r="L102" s="14"/>
      <c r="M102" s="15"/>
      <c r="N102" s="14"/>
      <c r="O102" s="19">
        <v>90</v>
      </c>
    </row>
    <row r="103" spans="1:15" s="30" customFormat="1" x14ac:dyDescent="0.35">
      <c r="A103" s="8" t="s">
        <v>147</v>
      </c>
      <c r="B103" s="8" t="s">
        <v>57</v>
      </c>
      <c r="C103" s="14">
        <v>45757</v>
      </c>
      <c r="D103" s="14">
        <v>46669</v>
      </c>
      <c r="E103" s="14">
        <f t="shared" ca="1" si="8"/>
        <v>46226</v>
      </c>
      <c r="F103" s="11">
        <f t="shared" ca="1" si="9"/>
        <v>443</v>
      </c>
      <c r="G103" s="12" t="s">
        <v>148</v>
      </c>
      <c r="H103" s="9" t="str">
        <f t="shared" ca="1" si="11"/>
        <v>CAREPACK</v>
      </c>
      <c r="I103" s="9" t="s">
        <v>17</v>
      </c>
      <c r="J103" s="12" t="s">
        <v>74</v>
      </c>
      <c r="K103" s="14">
        <v>45575</v>
      </c>
      <c r="L103" s="14"/>
      <c r="M103" s="15"/>
      <c r="N103" s="14"/>
      <c r="O103" s="29">
        <v>90</v>
      </c>
    </row>
    <row r="104" spans="1:15" x14ac:dyDescent="0.35">
      <c r="A104" s="8" t="s">
        <v>149</v>
      </c>
      <c r="B104" s="2" t="s">
        <v>15</v>
      </c>
      <c r="C104" s="14"/>
      <c r="D104" s="14"/>
      <c r="E104" s="14"/>
      <c r="F104" s="11"/>
      <c r="G104" s="12"/>
      <c r="H104" s="9"/>
      <c r="I104" s="9" t="s">
        <v>17</v>
      </c>
      <c r="J104" s="11"/>
      <c r="K104" s="14"/>
      <c r="L104" s="14"/>
      <c r="M104" s="15"/>
      <c r="N104" s="14"/>
      <c r="O104" s="19">
        <v>90</v>
      </c>
    </row>
    <row r="105" spans="1:15" x14ac:dyDescent="0.35">
      <c r="A105" s="8" t="s">
        <v>150</v>
      </c>
      <c r="B105" s="8" t="s">
        <v>20</v>
      </c>
      <c r="C105" s="14">
        <v>45536</v>
      </c>
      <c r="D105" s="14">
        <v>46265</v>
      </c>
      <c r="E105" s="14">
        <f ca="1">TODAY()</f>
        <v>46226</v>
      </c>
      <c r="F105" s="11">
        <f ca="1">D105-E105</f>
        <v>39</v>
      </c>
      <c r="G105" s="12" t="s">
        <v>38</v>
      </c>
      <c r="H105" s="9" t="str">
        <f ca="1">IF(F105&lt;=0, "VENDA","CAREPACK")</f>
        <v>CAREPACK</v>
      </c>
      <c r="I105" s="9" t="s">
        <v>17</v>
      </c>
      <c r="J105" s="11" t="s">
        <v>24</v>
      </c>
      <c r="K105" s="14">
        <v>44755</v>
      </c>
      <c r="L105" s="14"/>
      <c r="M105" s="15"/>
      <c r="N105" s="14"/>
      <c r="O105" s="19"/>
    </row>
    <row r="106" spans="1:15" x14ac:dyDescent="0.35">
      <c r="A106" s="8" t="s">
        <v>150</v>
      </c>
      <c r="B106" s="8" t="s">
        <v>20</v>
      </c>
      <c r="C106" s="14">
        <v>46226</v>
      </c>
      <c r="D106" s="14">
        <v>47140</v>
      </c>
      <c r="E106" s="14">
        <f ca="1">TODAY()</f>
        <v>46226</v>
      </c>
      <c r="F106" s="11">
        <f ca="1">D106-E106</f>
        <v>914</v>
      </c>
      <c r="G106" s="12" t="s">
        <v>29</v>
      </c>
      <c r="H106" s="9" t="str">
        <f ca="1">IF(F106&lt;=0, "VENDA","CAREPACK")</f>
        <v>CAREPACK</v>
      </c>
      <c r="I106" s="9" t="s">
        <v>17</v>
      </c>
      <c r="J106" s="11" t="s">
        <v>24</v>
      </c>
      <c r="K106" s="14">
        <v>46043</v>
      </c>
      <c r="L106" s="14"/>
      <c r="M106" s="15"/>
      <c r="N106" s="14"/>
      <c r="O106" s="19">
        <v>90</v>
      </c>
    </row>
    <row r="107" spans="1:15" x14ac:dyDescent="0.35">
      <c r="A107" s="8" t="s">
        <v>151</v>
      </c>
      <c r="B107" s="8" t="s">
        <v>20</v>
      </c>
      <c r="C107" s="14">
        <v>45839</v>
      </c>
      <c r="D107" s="14">
        <v>46477</v>
      </c>
      <c r="E107" s="14">
        <f ca="1">TODAY()</f>
        <v>46226</v>
      </c>
      <c r="F107" s="11">
        <f ca="1">D107-E107</f>
        <v>251</v>
      </c>
      <c r="G107" s="12" t="s">
        <v>34</v>
      </c>
      <c r="H107" s="9" t="str">
        <f ca="1">IF(F107&lt;=0, "VENDA","CAREPACK")</f>
        <v>CAREPACK</v>
      </c>
      <c r="I107" s="9" t="s">
        <v>17</v>
      </c>
      <c r="J107" s="11" t="s">
        <v>24</v>
      </c>
      <c r="K107" s="14">
        <v>45639</v>
      </c>
      <c r="L107" s="14"/>
      <c r="M107" s="15"/>
      <c r="N107" s="14"/>
      <c r="O107" s="19">
        <v>90</v>
      </c>
    </row>
    <row r="108" spans="1:15" x14ac:dyDescent="0.35">
      <c r="A108" s="8" t="s">
        <v>152</v>
      </c>
      <c r="B108" s="2" t="s">
        <v>15</v>
      </c>
      <c r="C108" s="14">
        <v>44861</v>
      </c>
      <c r="D108" s="13">
        <v>44196</v>
      </c>
      <c r="E108" s="14">
        <f ca="1">TODAY()</f>
        <v>46226</v>
      </c>
      <c r="F108" s="11">
        <f ca="1">D108-E108</f>
        <v>-2030</v>
      </c>
      <c r="G108" s="12" t="s">
        <v>136</v>
      </c>
      <c r="H108" s="9" t="str">
        <f ca="1">IF(F108&lt;=0, "VENDA","CAREPACK")</f>
        <v>VENDA</v>
      </c>
      <c r="I108" s="9" t="s">
        <v>17</v>
      </c>
      <c r="J108" s="11" t="s">
        <v>18</v>
      </c>
      <c r="K108" s="14">
        <v>40801</v>
      </c>
      <c r="L108" s="14"/>
      <c r="M108" s="15"/>
      <c r="N108" s="14"/>
      <c r="O108" s="19">
        <v>90</v>
      </c>
    </row>
    <row r="109" spans="1:15" x14ac:dyDescent="0.35">
      <c r="A109" s="8" t="s">
        <v>152</v>
      </c>
      <c r="B109" s="2" t="s">
        <v>15</v>
      </c>
      <c r="C109" s="14">
        <v>44861</v>
      </c>
      <c r="D109" s="13">
        <v>44196</v>
      </c>
      <c r="E109" s="14">
        <f ca="1">TODAY()</f>
        <v>46226</v>
      </c>
      <c r="F109" s="11">
        <f ca="1">D109-E109</f>
        <v>-2030</v>
      </c>
      <c r="G109" s="12" t="s">
        <v>31</v>
      </c>
      <c r="H109" s="9" t="str">
        <f ca="1">IF(F109&lt;=0, "VENDA","CAREPACK")</f>
        <v>VENDA</v>
      </c>
      <c r="I109" s="9" t="s">
        <v>17</v>
      </c>
      <c r="J109" s="11" t="s">
        <v>18</v>
      </c>
      <c r="K109" s="14">
        <v>40634</v>
      </c>
      <c r="L109" s="14"/>
      <c r="M109" s="15"/>
      <c r="N109" s="14"/>
      <c r="O109" s="19">
        <v>90</v>
      </c>
    </row>
  </sheetData>
  <autoFilter ref="A1:N109" xr:uid="{385B57CD-294C-4E76-82E5-66AB1487D8F3}">
    <sortState xmlns:xlrd2="http://schemas.microsoft.com/office/spreadsheetml/2017/richdata2" ref="A2:N109">
      <sortCondition ref="A1:A1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4294-6308-408D-A7E0-6148B7D61ACB}">
  <dimension ref="A1:N38"/>
  <sheetViews>
    <sheetView zoomScaleNormal="100" workbookViewId="0">
      <pane ySplit="1" topLeftCell="A2" activePane="bottomLeft" state="frozen"/>
      <selection pane="bottomLeft" activeCell="G13" sqref="G13"/>
    </sheetView>
  </sheetViews>
  <sheetFormatPr defaultRowHeight="14.5" x14ac:dyDescent="0.35"/>
  <cols>
    <col min="1" max="1" width="28.453125" bestFit="1" customWidth="1"/>
    <col min="2" max="2" width="22.7265625" bestFit="1" customWidth="1"/>
    <col min="3" max="3" width="10.26953125" bestFit="1" customWidth="1"/>
    <col min="4" max="4" width="10.26953125" customWidth="1"/>
    <col min="5" max="5" width="10.26953125" style="7" customWidth="1"/>
    <col min="6" max="6" width="9.7265625" customWidth="1"/>
    <col min="7" max="7" width="24" bestFit="1" customWidth="1"/>
    <col min="8" max="8" width="11.26953125" style="7" customWidth="1"/>
    <col min="9" max="9" width="15.54296875" style="7" customWidth="1"/>
    <col min="10" max="10" width="15.26953125" bestFit="1" customWidth="1"/>
    <col min="11" max="11" width="10.7265625" bestFit="1" customWidth="1"/>
    <col min="12" max="12" width="9.7265625" bestFit="1" customWidth="1"/>
    <col min="13" max="13" width="10.26953125" bestFit="1" customWidth="1"/>
    <col min="14" max="14" width="8.7265625" bestFit="1" customWidth="1"/>
  </cols>
  <sheetData>
    <row r="1" spans="1:14" s="4" customFormat="1" x14ac:dyDescent="0.35">
      <c r="A1" s="1" t="s">
        <v>0</v>
      </c>
      <c r="B1" s="1" t="s">
        <v>1</v>
      </c>
      <c r="C1" s="1" t="s">
        <v>153</v>
      </c>
      <c r="D1" s="1" t="s">
        <v>154</v>
      </c>
      <c r="E1" s="5" t="s">
        <v>4</v>
      </c>
      <c r="F1" s="5" t="s">
        <v>5</v>
      </c>
      <c r="G1" s="1" t="s">
        <v>6</v>
      </c>
      <c r="H1" s="5" t="s">
        <v>1</v>
      </c>
      <c r="I1" s="5" t="s">
        <v>7</v>
      </c>
      <c r="J1" s="1" t="s">
        <v>155</v>
      </c>
      <c r="K1" s="1" t="s">
        <v>9</v>
      </c>
      <c r="L1" s="1" t="s">
        <v>156</v>
      </c>
      <c r="M1" s="1" t="s">
        <v>157</v>
      </c>
      <c r="N1" s="1" t="s">
        <v>12</v>
      </c>
    </row>
    <row r="2" spans="1:14" x14ac:dyDescent="0.35">
      <c r="A2" s="2" t="s">
        <v>158</v>
      </c>
      <c r="B2" s="2" t="s">
        <v>159</v>
      </c>
      <c r="C2" s="3">
        <v>45670</v>
      </c>
      <c r="D2" s="3">
        <v>51501</v>
      </c>
      <c r="E2" s="3"/>
      <c r="F2" s="3"/>
      <c r="G2" s="2" t="s">
        <v>160</v>
      </c>
      <c r="H2" s="6" t="s">
        <v>161</v>
      </c>
      <c r="I2" s="6"/>
      <c r="J2" s="2" t="s">
        <v>162</v>
      </c>
      <c r="K2" s="3">
        <v>45670</v>
      </c>
      <c r="L2" s="3">
        <v>46082</v>
      </c>
      <c r="M2" s="3">
        <v>46054</v>
      </c>
      <c r="N2" s="3">
        <v>46082</v>
      </c>
    </row>
    <row r="3" spans="1:14" x14ac:dyDescent="0.35">
      <c r="A3" s="2" t="s">
        <v>163</v>
      </c>
      <c r="B3" s="2" t="s">
        <v>159</v>
      </c>
      <c r="C3" s="3">
        <v>45670</v>
      </c>
      <c r="D3" s="3">
        <v>51501</v>
      </c>
      <c r="E3" s="3"/>
      <c r="F3" s="3"/>
      <c r="G3" s="2" t="s">
        <v>164</v>
      </c>
      <c r="H3" s="6" t="s">
        <v>161</v>
      </c>
      <c r="I3" s="6"/>
      <c r="J3" s="2" t="s">
        <v>162</v>
      </c>
      <c r="K3" s="3">
        <v>45685</v>
      </c>
      <c r="L3" s="3">
        <v>46082</v>
      </c>
      <c r="M3" s="3">
        <v>46054</v>
      </c>
      <c r="N3" s="3">
        <v>46082</v>
      </c>
    </row>
    <row r="4" spans="1:14" x14ac:dyDescent="0.35">
      <c r="A4" s="2" t="s">
        <v>165</v>
      </c>
      <c r="B4" s="2" t="s">
        <v>159</v>
      </c>
      <c r="C4" s="3">
        <v>45670</v>
      </c>
      <c r="D4" s="3">
        <v>51501</v>
      </c>
      <c r="E4" s="3"/>
      <c r="F4" s="3"/>
      <c r="G4" s="2" t="s">
        <v>166</v>
      </c>
      <c r="H4" s="6" t="s">
        <v>161</v>
      </c>
      <c r="I4" s="6"/>
      <c r="J4" s="2" t="s">
        <v>162</v>
      </c>
      <c r="K4" s="3">
        <v>45670</v>
      </c>
      <c r="L4" s="3">
        <v>46082</v>
      </c>
      <c r="M4" s="3">
        <v>46054</v>
      </c>
      <c r="N4" s="3">
        <v>46082</v>
      </c>
    </row>
    <row r="5" spans="1:14" x14ac:dyDescent="0.35">
      <c r="A5" s="2" t="s">
        <v>167</v>
      </c>
      <c r="B5" s="2" t="s">
        <v>159</v>
      </c>
      <c r="C5" s="3">
        <v>45670</v>
      </c>
      <c r="D5" s="3">
        <v>51501</v>
      </c>
      <c r="E5" s="3"/>
      <c r="F5" s="3"/>
      <c r="G5" s="2" t="s">
        <v>166</v>
      </c>
      <c r="H5" s="6" t="s">
        <v>161</v>
      </c>
      <c r="I5" s="6"/>
      <c r="J5" s="2" t="s">
        <v>162</v>
      </c>
      <c r="K5" s="3">
        <v>45670</v>
      </c>
      <c r="L5" s="3">
        <v>46082</v>
      </c>
      <c r="M5" s="3">
        <v>46054</v>
      </c>
      <c r="N5" s="3">
        <v>46082</v>
      </c>
    </row>
    <row r="6" spans="1:14" x14ac:dyDescent="0.35">
      <c r="A6" s="2" t="s">
        <v>168</v>
      </c>
      <c r="B6" s="2" t="s">
        <v>159</v>
      </c>
      <c r="C6" s="3">
        <v>44866</v>
      </c>
      <c r="D6" s="3">
        <v>51501</v>
      </c>
      <c r="E6" s="3"/>
      <c r="F6" s="3"/>
      <c r="G6" s="2" t="s">
        <v>166</v>
      </c>
      <c r="H6" s="6" t="s">
        <v>161</v>
      </c>
      <c r="I6" s="6"/>
      <c r="J6" s="2" t="s">
        <v>162</v>
      </c>
      <c r="K6" s="3">
        <v>42867</v>
      </c>
      <c r="L6" s="3">
        <v>46082</v>
      </c>
      <c r="M6" s="3">
        <v>46054</v>
      </c>
      <c r="N6" s="3">
        <v>46082</v>
      </c>
    </row>
    <row r="7" spans="1:14" x14ac:dyDescent="0.35">
      <c r="A7" s="2" t="s">
        <v>169</v>
      </c>
      <c r="B7" s="2" t="s">
        <v>159</v>
      </c>
      <c r="C7" s="3">
        <v>45670</v>
      </c>
      <c r="D7" s="3">
        <v>51501</v>
      </c>
      <c r="E7" s="3"/>
      <c r="F7" s="3"/>
      <c r="G7" s="2" t="s">
        <v>170</v>
      </c>
      <c r="H7" s="6" t="s">
        <v>161</v>
      </c>
      <c r="I7" s="6"/>
      <c r="J7" s="2" t="s">
        <v>162</v>
      </c>
      <c r="K7" s="3">
        <v>45670</v>
      </c>
      <c r="L7" s="3">
        <v>46082</v>
      </c>
      <c r="M7" s="3">
        <v>46054</v>
      </c>
      <c r="N7" s="3">
        <v>46082</v>
      </c>
    </row>
    <row r="8" spans="1:14" x14ac:dyDescent="0.35">
      <c r="A8" s="2" t="s">
        <v>171</v>
      </c>
      <c r="B8" s="2" t="s">
        <v>159</v>
      </c>
      <c r="C8" s="3">
        <v>45670</v>
      </c>
      <c r="D8" s="3">
        <v>51501</v>
      </c>
      <c r="E8" s="3"/>
      <c r="F8" s="3"/>
      <c r="G8" s="2" t="s">
        <v>170</v>
      </c>
      <c r="H8" s="6" t="s">
        <v>161</v>
      </c>
      <c r="I8" s="6"/>
      <c r="J8" s="2" t="s">
        <v>162</v>
      </c>
      <c r="K8" s="3">
        <v>45670</v>
      </c>
      <c r="L8" s="3">
        <v>46082</v>
      </c>
      <c r="M8" s="3">
        <v>46054</v>
      </c>
      <c r="N8" s="3">
        <v>46082</v>
      </c>
    </row>
    <row r="9" spans="1:14" x14ac:dyDescent="0.35">
      <c r="A9" s="2" t="s">
        <v>172</v>
      </c>
      <c r="B9" s="2" t="s">
        <v>159</v>
      </c>
      <c r="C9" s="3">
        <v>45670</v>
      </c>
      <c r="D9" s="3">
        <v>51501</v>
      </c>
      <c r="E9" s="3"/>
      <c r="F9" s="3"/>
      <c r="G9" s="2" t="s">
        <v>166</v>
      </c>
      <c r="H9" s="6" t="s">
        <v>161</v>
      </c>
      <c r="I9" s="6"/>
      <c r="J9" s="2" t="s">
        <v>162</v>
      </c>
      <c r="K9" s="3">
        <v>45670</v>
      </c>
      <c r="L9" s="3">
        <v>46082</v>
      </c>
      <c r="M9" s="3">
        <v>46054</v>
      </c>
      <c r="N9" s="3">
        <v>46082</v>
      </c>
    </row>
    <row r="10" spans="1:14" x14ac:dyDescent="0.35">
      <c r="A10" s="2" t="s">
        <v>173</v>
      </c>
      <c r="B10" s="2" t="s">
        <v>159</v>
      </c>
      <c r="C10" s="3">
        <v>44501</v>
      </c>
      <c r="D10" s="3">
        <v>51501</v>
      </c>
      <c r="E10" s="3"/>
      <c r="F10" s="3"/>
      <c r="G10" s="2" t="s">
        <v>170</v>
      </c>
      <c r="H10" s="6" t="s">
        <v>161</v>
      </c>
      <c r="I10" s="6"/>
      <c r="J10" s="2" t="s">
        <v>162</v>
      </c>
      <c r="K10" s="3">
        <v>42949</v>
      </c>
      <c r="L10" s="3">
        <v>46082</v>
      </c>
      <c r="M10" s="3">
        <v>46054</v>
      </c>
      <c r="N10" s="3">
        <v>46082</v>
      </c>
    </row>
    <row r="11" spans="1:14" x14ac:dyDescent="0.35">
      <c r="A11" s="2" t="s">
        <v>174</v>
      </c>
      <c r="B11" s="2" t="s">
        <v>159</v>
      </c>
      <c r="C11" s="3">
        <v>45670</v>
      </c>
      <c r="D11" s="3">
        <v>51501</v>
      </c>
      <c r="E11" s="3"/>
      <c r="F11" s="3"/>
      <c r="G11" s="2" t="s">
        <v>166</v>
      </c>
      <c r="H11" s="6" t="s">
        <v>161</v>
      </c>
      <c r="I11" s="6"/>
      <c r="J11" s="2" t="s">
        <v>162</v>
      </c>
      <c r="K11" s="3">
        <v>45670</v>
      </c>
      <c r="L11" s="3">
        <v>46082</v>
      </c>
      <c r="M11" s="3">
        <v>46054</v>
      </c>
      <c r="N11" s="3">
        <v>46082</v>
      </c>
    </row>
    <row r="12" spans="1:14" x14ac:dyDescent="0.35">
      <c r="A12" s="2" t="s">
        <v>68</v>
      </c>
      <c r="B12" s="2" t="s">
        <v>159</v>
      </c>
      <c r="C12" s="3">
        <v>45670</v>
      </c>
      <c r="D12" s="3">
        <v>51501</v>
      </c>
      <c r="E12" s="3"/>
      <c r="F12" s="3"/>
      <c r="G12" s="2" t="s">
        <v>166</v>
      </c>
      <c r="H12" s="6" t="s">
        <v>161</v>
      </c>
      <c r="I12" s="6"/>
      <c r="J12" s="2" t="s">
        <v>162</v>
      </c>
      <c r="K12" s="3">
        <v>45670</v>
      </c>
      <c r="L12" s="3">
        <v>46082</v>
      </c>
      <c r="M12" s="3">
        <v>46054</v>
      </c>
      <c r="N12" s="3">
        <v>46082</v>
      </c>
    </row>
    <row r="13" spans="1:14" x14ac:dyDescent="0.35">
      <c r="A13" s="2" t="s">
        <v>69</v>
      </c>
      <c r="B13" s="2" t="s">
        <v>159</v>
      </c>
      <c r="C13" s="3">
        <v>45658</v>
      </c>
      <c r="D13" s="3">
        <v>51501</v>
      </c>
      <c r="E13" s="3"/>
      <c r="F13" s="3"/>
      <c r="G13" s="2" t="s">
        <v>170</v>
      </c>
      <c r="H13" s="6" t="s">
        <v>161</v>
      </c>
      <c r="I13" s="6"/>
      <c r="J13" s="2" t="s">
        <v>162</v>
      </c>
      <c r="K13" s="3">
        <v>42972</v>
      </c>
      <c r="L13" s="3">
        <v>46082</v>
      </c>
      <c r="M13" s="3">
        <v>46054</v>
      </c>
      <c r="N13" s="3">
        <v>46082</v>
      </c>
    </row>
    <row r="14" spans="1:14" x14ac:dyDescent="0.35">
      <c r="A14" s="2" t="s">
        <v>175</v>
      </c>
      <c r="B14" s="2" t="s">
        <v>159</v>
      </c>
      <c r="C14" s="3">
        <v>45670</v>
      </c>
      <c r="D14" s="3">
        <v>51501</v>
      </c>
      <c r="E14" s="3"/>
      <c r="F14" s="3"/>
      <c r="G14" s="2" t="s">
        <v>166</v>
      </c>
      <c r="H14" s="6" t="s">
        <v>161</v>
      </c>
      <c r="I14" s="6"/>
      <c r="J14" s="2" t="s">
        <v>162</v>
      </c>
      <c r="K14" s="3">
        <v>45670</v>
      </c>
      <c r="L14" s="3">
        <v>46082</v>
      </c>
      <c r="M14" s="3">
        <v>46054</v>
      </c>
      <c r="N14" s="3">
        <v>46082</v>
      </c>
    </row>
    <row r="15" spans="1:14" x14ac:dyDescent="0.35">
      <c r="A15" s="2" t="s">
        <v>176</v>
      </c>
      <c r="B15" s="2" t="s">
        <v>159</v>
      </c>
      <c r="C15" s="3">
        <v>44911</v>
      </c>
      <c r="D15" s="3">
        <v>51501</v>
      </c>
      <c r="E15" s="3"/>
      <c r="F15" s="3"/>
      <c r="G15" s="2" t="s">
        <v>177</v>
      </c>
      <c r="H15" s="6" t="s">
        <v>161</v>
      </c>
      <c r="I15" s="6"/>
      <c r="J15" s="2" t="s">
        <v>162</v>
      </c>
      <c r="K15" s="3">
        <v>41417</v>
      </c>
      <c r="L15" s="3">
        <v>46082</v>
      </c>
      <c r="M15" s="3">
        <v>46054</v>
      </c>
      <c r="N15" s="3">
        <v>46082</v>
      </c>
    </row>
    <row r="16" spans="1:14" x14ac:dyDescent="0.35">
      <c r="A16" s="2" t="s">
        <v>178</v>
      </c>
      <c r="B16" s="2" t="s">
        <v>159</v>
      </c>
      <c r="C16" s="3">
        <v>45670</v>
      </c>
      <c r="D16" s="3">
        <v>51501</v>
      </c>
      <c r="E16" s="3"/>
      <c r="F16" s="3"/>
      <c r="G16" s="2" t="s">
        <v>166</v>
      </c>
      <c r="H16" s="6" t="s">
        <v>161</v>
      </c>
      <c r="I16" s="6"/>
      <c r="J16" s="2" t="s">
        <v>162</v>
      </c>
      <c r="K16" s="3">
        <v>45670</v>
      </c>
      <c r="L16" s="3">
        <v>46082</v>
      </c>
      <c r="M16" s="3">
        <v>46054</v>
      </c>
      <c r="N16" s="3">
        <v>46082</v>
      </c>
    </row>
    <row r="17" spans="1:14" x14ac:dyDescent="0.35">
      <c r="A17" s="2" t="s">
        <v>179</v>
      </c>
      <c r="B17" s="2" t="s">
        <v>159</v>
      </c>
      <c r="C17" s="3">
        <v>45670</v>
      </c>
      <c r="D17" s="3">
        <v>51501</v>
      </c>
      <c r="E17" s="3"/>
      <c r="F17" s="3"/>
      <c r="G17" s="2" t="s">
        <v>180</v>
      </c>
      <c r="H17" s="6" t="s">
        <v>161</v>
      </c>
      <c r="I17" s="6"/>
      <c r="J17" s="2" t="s">
        <v>162</v>
      </c>
      <c r="K17" s="3">
        <v>45670</v>
      </c>
      <c r="L17" s="3">
        <v>46082</v>
      </c>
      <c r="M17" s="3">
        <v>46054</v>
      </c>
      <c r="N17" s="3">
        <v>46082</v>
      </c>
    </row>
    <row r="18" spans="1:14" x14ac:dyDescent="0.35">
      <c r="A18" s="2" t="s">
        <v>181</v>
      </c>
      <c r="B18" s="2" t="s">
        <v>159</v>
      </c>
      <c r="C18" s="3">
        <v>45670</v>
      </c>
      <c r="D18" s="3">
        <v>51501</v>
      </c>
      <c r="E18" s="3"/>
      <c r="F18" s="3"/>
      <c r="G18" s="2" t="s">
        <v>170</v>
      </c>
      <c r="H18" s="6" t="s">
        <v>161</v>
      </c>
      <c r="I18" s="6"/>
      <c r="J18" s="2" t="s">
        <v>162</v>
      </c>
      <c r="K18" s="3">
        <v>45670</v>
      </c>
      <c r="L18" s="3">
        <v>46082</v>
      </c>
      <c r="M18" s="3">
        <v>46054</v>
      </c>
      <c r="N18" s="3">
        <v>46082</v>
      </c>
    </row>
    <row r="19" spans="1:14" x14ac:dyDescent="0.35">
      <c r="A19" s="2" t="s">
        <v>182</v>
      </c>
      <c r="B19" s="2" t="s">
        <v>159</v>
      </c>
      <c r="C19" s="3">
        <v>45670</v>
      </c>
      <c r="D19" s="3">
        <v>51501</v>
      </c>
      <c r="E19" s="3"/>
      <c r="F19" s="3"/>
      <c r="G19" s="2" t="s">
        <v>166</v>
      </c>
      <c r="H19" s="6" t="s">
        <v>161</v>
      </c>
      <c r="I19" s="6"/>
      <c r="J19" s="2" t="s">
        <v>162</v>
      </c>
      <c r="K19" s="3">
        <v>45670</v>
      </c>
      <c r="L19" s="3">
        <v>46082</v>
      </c>
      <c r="M19" s="3">
        <v>46054</v>
      </c>
      <c r="N19" s="3">
        <v>46082</v>
      </c>
    </row>
    <row r="20" spans="1:14" x14ac:dyDescent="0.35">
      <c r="A20" s="2" t="s">
        <v>183</v>
      </c>
      <c r="B20" s="2" t="s">
        <v>159</v>
      </c>
      <c r="C20" s="3">
        <v>45670</v>
      </c>
      <c r="D20" s="3">
        <v>51501</v>
      </c>
      <c r="E20" s="3"/>
      <c r="F20" s="3"/>
      <c r="G20" s="2" t="s">
        <v>166</v>
      </c>
      <c r="H20" s="6" t="s">
        <v>161</v>
      </c>
      <c r="I20" s="6"/>
      <c r="J20" s="2" t="s">
        <v>162</v>
      </c>
      <c r="K20" s="3">
        <v>45670</v>
      </c>
      <c r="L20" s="3">
        <v>46082</v>
      </c>
      <c r="M20" s="3">
        <v>46054</v>
      </c>
      <c r="N20" s="3">
        <v>46082</v>
      </c>
    </row>
    <row r="21" spans="1:14" x14ac:dyDescent="0.35">
      <c r="A21" s="2" t="s">
        <v>184</v>
      </c>
      <c r="B21" s="2" t="s">
        <v>159</v>
      </c>
      <c r="C21" s="3">
        <v>45658</v>
      </c>
      <c r="D21" s="3">
        <v>51501</v>
      </c>
      <c r="E21" s="3"/>
      <c r="F21" s="3"/>
      <c r="G21" s="2" t="s">
        <v>170</v>
      </c>
      <c r="H21" s="6" t="s">
        <v>161</v>
      </c>
      <c r="I21" s="6"/>
      <c r="J21" s="2" t="s">
        <v>162</v>
      </c>
      <c r="K21" s="3">
        <v>40396</v>
      </c>
      <c r="L21" s="3">
        <v>46082</v>
      </c>
      <c r="M21" s="3">
        <v>46054</v>
      </c>
      <c r="N21" s="3">
        <v>46082</v>
      </c>
    </row>
    <row r="22" spans="1:14" x14ac:dyDescent="0.35">
      <c r="A22" s="2" t="s">
        <v>87</v>
      </c>
      <c r="B22" s="2" t="s">
        <v>159</v>
      </c>
      <c r="C22" s="3">
        <v>45658</v>
      </c>
      <c r="D22" s="3">
        <v>51501</v>
      </c>
      <c r="E22" s="3"/>
      <c r="F22" s="3"/>
      <c r="G22" s="2" t="s">
        <v>185</v>
      </c>
      <c r="H22" s="6" t="s">
        <v>161</v>
      </c>
      <c r="I22" s="6"/>
      <c r="J22" s="2" t="s">
        <v>162</v>
      </c>
      <c r="K22" s="3">
        <v>43783</v>
      </c>
      <c r="L22" s="3">
        <v>46082</v>
      </c>
      <c r="M22" s="3">
        <v>46054</v>
      </c>
      <c r="N22" s="3">
        <v>46082</v>
      </c>
    </row>
    <row r="23" spans="1:14" x14ac:dyDescent="0.35">
      <c r="A23" s="2" t="s">
        <v>186</v>
      </c>
      <c r="B23" s="2" t="s">
        <v>159</v>
      </c>
      <c r="C23" s="3">
        <v>44501</v>
      </c>
      <c r="D23" s="3">
        <v>51501</v>
      </c>
      <c r="E23" s="3"/>
      <c r="F23" s="3"/>
      <c r="G23" s="2" t="s">
        <v>187</v>
      </c>
      <c r="H23" s="6" t="s">
        <v>161</v>
      </c>
      <c r="I23" s="6"/>
      <c r="J23" s="2" t="s">
        <v>162</v>
      </c>
      <c r="K23" s="3">
        <v>42119</v>
      </c>
      <c r="L23" s="3">
        <v>46082</v>
      </c>
      <c r="M23" s="3">
        <v>46054</v>
      </c>
      <c r="N23" s="3">
        <v>46082</v>
      </c>
    </row>
    <row r="24" spans="1:14" x14ac:dyDescent="0.35">
      <c r="A24" s="2" t="s">
        <v>188</v>
      </c>
      <c r="B24" s="2" t="s">
        <v>159</v>
      </c>
      <c r="C24" s="3">
        <v>45670</v>
      </c>
      <c r="D24" s="3">
        <v>51501</v>
      </c>
      <c r="E24" s="3"/>
      <c r="F24" s="3"/>
      <c r="G24" s="2" t="s">
        <v>166</v>
      </c>
      <c r="H24" s="6" t="s">
        <v>161</v>
      </c>
      <c r="I24" s="6"/>
      <c r="J24" s="2" t="s">
        <v>162</v>
      </c>
      <c r="K24" s="3">
        <v>45670</v>
      </c>
      <c r="L24" s="3">
        <v>46082</v>
      </c>
      <c r="M24" s="3">
        <v>46054</v>
      </c>
      <c r="N24" s="3">
        <v>46082</v>
      </c>
    </row>
    <row r="25" spans="1:14" x14ac:dyDescent="0.35">
      <c r="A25" s="2" t="s">
        <v>189</v>
      </c>
      <c r="B25" s="2" t="s">
        <v>159</v>
      </c>
      <c r="C25" s="3">
        <v>45670</v>
      </c>
      <c r="D25" s="3">
        <v>51501</v>
      </c>
      <c r="E25" s="3"/>
      <c r="F25" s="3"/>
      <c r="G25" s="2" t="s">
        <v>170</v>
      </c>
      <c r="H25" s="6" t="s">
        <v>161</v>
      </c>
      <c r="I25" s="6"/>
      <c r="J25" s="2" t="s">
        <v>162</v>
      </c>
      <c r="K25" s="3">
        <v>45670</v>
      </c>
      <c r="L25" s="3">
        <v>46082</v>
      </c>
      <c r="M25" s="3">
        <v>46054</v>
      </c>
      <c r="N25" s="3">
        <v>46082</v>
      </c>
    </row>
    <row r="26" spans="1:14" x14ac:dyDescent="0.35">
      <c r="A26" s="2" t="s">
        <v>190</v>
      </c>
      <c r="B26" s="2" t="s">
        <v>159</v>
      </c>
      <c r="C26" s="3">
        <v>45670</v>
      </c>
      <c r="D26" s="3">
        <v>51501</v>
      </c>
      <c r="E26" s="3"/>
      <c r="F26" s="3"/>
      <c r="G26" s="2" t="s">
        <v>170</v>
      </c>
      <c r="H26" s="6" t="s">
        <v>161</v>
      </c>
      <c r="I26" s="6"/>
      <c r="J26" s="2" t="s">
        <v>162</v>
      </c>
      <c r="K26" s="3">
        <v>45670</v>
      </c>
      <c r="L26" s="3">
        <v>46082</v>
      </c>
      <c r="M26" s="3">
        <v>46054</v>
      </c>
      <c r="N26" s="3">
        <v>46082</v>
      </c>
    </row>
    <row r="27" spans="1:14" x14ac:dyDescent="0.35">
      <c r="A27" s="2" t="s">
        <v>191</v>
      </c>
      <c r="B27" s="2" t="s">
        <v>159</v>
      </c>
      <c r="C27" s="3">
        <v>45670</v>
      </c>
      <c r="D27" s="3">
        <v>51501</v>
      </c>
      <c r="E27" s="3"/>
      <c r="F27" s="3"/>
      <c r="G27" s="2" t="s">
        <v>192</v>
      </c>
      <c r="H27" s="6" t="s">
        <v>161</v>
      </c>
      <c r="I27" s="6"/>
      <c r="J27" s="2" t="s">
        <v>162</v>
      </c>
      <c r="K27" s="3">
        <v>45670</v>
      </c>
      <c r="L27" s="3">
        <v>46082</v>
      </c>
      <c r="M27" s="3">
        <v>46054</v>
      </c>
      <c r="N27" s="3">
        <v>46082</v>
      </c>
    </row>
    <row r="28" spans="1:14" x14ac:dyDescent="0.35">
      <c r="A28" s="2" t="s">
        <v>193</v>
      </c>
      <c r="B28" s="2" t="s">
        <v>159</v>
      </c>
      <c r="C28" s="3">
        <v>45658</v>
      </c>
      <c r="D28" s="3">
        <v>51501</v>
      </c>
      <c r="E28" s="3"/>
      <c r="F28" s="3"/>
      <c r="G28" s="2" t="s">
        <v>170</v>
      </c>
      <c r="H28" s="6" t="s">
        <v>161</v>
      </c>
      <c r="I28" s="6"/>
      <c r="J28" s="2" t="s">
        <v>162</v>
      </c>
      <c r="K28" s="3">
        <v>39766</v>
      </c>
      <c r="L28" s="3">
        <v>46082</v>
      </c>
      <c r="M28" s="3">
        <v>46054</v>
      </c>
      <c r="N28" s="3">
        <v>46082</v>
      </c>
    </row>
    <row r="29" spans="1:14" x14ac:dyDescent="0.35">
      <c r="A29" s="2" t="s">
        <v>194</v>
      </c>
      <c r="B29" s="2" t="s">
        <v>159</v>
      </c>
      <c r="C29" s="3">
        <v>45658</v>
      </c>
      <c r="D29" s="3">
        <v>51501</v>
      </c>
      <c r="E29" s="3"/>
      <c r="F29" s="3"/>
      <c r="G29" s="2" t="s">
        <v>166</v>
      </c>
      <c r="H29" s="6" t="s">
        <v>161</v>
      </c>
      <c r="I29" s="6"/>
      <c r="J29" s="2" t="s">
        <v>162</v>
      </c>
      <c r="K29" s="3">
        <v>41075</v>
      </c>
      <c r="L29" s="3">
        <v>46082</v>
      </c>
      <c r="M29" s="3">
        <v>46054</v>
      </c>
      <c r="N29" s="3">
        <v>46082</v>
      </c>
    </row>
    <row r="30" spans="1:14" x14ac:dyDescent="0.35">
      <c r="A30" s="2" t="s">
        <v>108</v>
      </c>
      <c r="B30" s="2" t="s">
        <v>159</v>
      </c>
      <c r="C30" s="3">
        <v>45670</v>
      </c>
      <c r="D30" s="3">
        <v>51501</v>
      </c>
      <c r="E30" s="3"/>
      <c r="F30" s="3"/>
      <c r="G30" s="2" t="s">
        <v>166</v>
      </c>
      <c r="H30" s="6" t="s">
        <v>161</v>
      </c>
      <c r="I30" s="6"/>
      <c r="J30" s="2" t="s">
        <v>162</v>
      </c>
      <c r="K30" s="3">
        <v>45670</v>
      </c>
      <c r="L30" s="3">
        <v>46082</v>
      </c>
      <c r="M30" s="3">
        <v>46054</v>
      </c>
      <c r="N30" s="3">
        <v>46082</v>
      </c>
    </row>
    <row r="31" spans="1:14" x14ac:dyDescent="0.35">
      <c r="A31" s="2" t="s">
        <v>195</v>
      </c>
      <c r="B31" s="2" t="s">
        <v>159</v>
      </c>
      <c r="C31" s="3">
        <v>45670</v>
      </c>
      <c r="D31" s="3">
        <v>51501</v>
      </c>
      <c r="E31" s="3"/>
      <c r="F31" s="3"/>
      <c r="G31" s="2" t="s">
        <v>185</v>
      </c>
      <c r="H31" s="6" t="s">
        <v>161</v>
      </c>
      <c r="I31" s="6"/>
      <c r="J31" s="2" t="s">
        <v>162</v>
      </c>
      <c r="K31" s="3">
        <v>45670</v>
      </c>
      <c r="L31" s="3">
        <v>46082</v>
      </c>
      <c r="M31" s="3">
        <v>46054</v>
      </c>
      <c r="N31" s="3">
        <v>46082</v>
      </c>
    </row>
    <row r="32" spans="1:14" x14ac:dyDescent="0.35">
      <c r="A32" s="2" t="s">
        <v>196</v>
      </c>
      <c r="B32" s="2" t="s">
        <v>159</v>
      </c>
      <c r="C32" s="3">
        <v>45016</v>
      </c>
      <c r="D32" s="3">
        <v>51501</v>
      </c>
      <c r="E32" s="3"/>
      <c r="F32" s="3"/>
      <c r="G32" s="2" t="s">
        <v>170</v>
      </c>
      <c r="H32" s="6" t="s">
        <v>161</v>
      </c>
      <c r="I32" s="6"/>
      <c r="J32" s="2" t="s">
        <v>162</v>
      </c>
      <c r="K32" s="3">
        <v>45016</v>
      </c>
      <c r="L32" s="3">
        <v>46082</v>
      </c>
      <c r="M32" s="3">
        <v>46054</v>
      </c>
      <c r="N32" s="3">
        <v>46082</v>
      </c>
    </row>
    <row r="33" spans="1:14" x14ac:dyDescent="0.35">
      <c r="A33" s="2" t="s">
        <v>197</v>
      </c>
      <c r="B33" s="2" t="s">
        <v>159</v>
      </c>
      <c r="C33" s="3">
        <v>44743</v>
      </c>
      <c r="D33" s="3">
        <v>51501</v>
      </c>
      <c r="E33" s="3"/>
      <c r="F33" s="3"/>
      <c r="G33" s="2" t="s">
        <v>198</v>
      </c>
      <c r="H33" s="6" t="s">
        <v>161</v>
      </c>
      <c r="I33" s="6"/>
      <c r="J33" s="2" t="s">
        <v>162</v>
      </c>
      <c r="K33" s="3">
        <v>42886</v>
      </c>
      <c r="L33" s="3">
        <v>46082</v>
      </c>
      <c r="M33" s="3">
        <v>46054</v>
      </c>
      <c r="N33" s="3">
        <v>46082</v>
      </c>
    </row>
    <row r="34" spans="1:14" x14ac:dyDescent="0.35">
      <c r="A34" s="2" t="s">
        <v>199</v>
      </c>
      <c r="B34" s="2" t="s">
        <v>159</v>
      </c>
      <c r="C34" s="3">
        <v>45670</v>
      </c>
      <c r="D34" s="3">
        <v>51501</v>
      </c>
      <c r="E34" s="3"/>
      <c r="F34" s="3"/>
      <c r="G34" s="2" t="s">
        <v>192</v>
      </c>
      <c r="H34" s="6" t="s">
        <v>161</v>
      </c>
      <c r="I34" s="6"/>
      <c r="J34" s="2" t="s">
        <v>162</v>
      </c>
      <c r="K34" s="3">
        <v>45670</v>
      </c>
      <c r="L34" s="3">
        <v>46082</v>
      </c>
      <c r="M34" s="3">
        <v>46054</v>
      </c>
      <c r="N34" s="3">
        <v>46082</v>
      </c>
    </row>
    <row r="35" spans="1:14" x14ac:dyDescent="0.35">
      <c r="A35" s="2" t="s">
        <v>200</v>
      </c>
      <c r="B35" s="2" t="s">
        <v>159</v>
      </c>
      <c r="C35" s="3">
        <v>45009</v>
      </c>
      <c r="D35" s="3">
        <v>51501</v>
      </c>
      <c r="E35" s="3"/>
      <c r="F35" s="3"/>
      <c r="G35" s="2" t="s">
        <v>185</v>
      </c>
      <c r="H35" s="6" t="s">
        <v>161</v>
      </c>
      <c r="I35" s="6"/>
      <c r="J35" s="2" t="s">
        <v>162</v>
      </c>
      <c r="K35" s="3">
        <v>45009</v>
      </c>
      <c r="L35" s="3">
        <v>46082</v>
      </c>
      <c r="M35" s="3">
        <v>46054</v>
      </c>
      <c r="N35" s="3">
        <v>46082</v>
      </c>
    </row>
    <row r="36" spans="1:14" x14ac:dyDescent="0.35">
      <c r="A36" s="2" t="s">
        <v>201</v>
      </c>
      <c r="B36" s="2" t="s">
        <v>159</v>
      </c>
      <c r="C36" s="3">
        <v>45658</v>
      </c>
      <c r="D36" s="3">
        <v>51501</v>
      </c>
      <c r="E36" s="3"/>
      <c r="F36" s="3"/>
      <c r="G36" s="2" t="s">
        <v>170</v>
      </c>
      <c r="H36" s="6" t="s">
        <v>161</v>
      </c>
      <c r="I36" s="6"/>
      <c r="J36" s="2" t="s">
        <v>162</v>
      </c>
      <c r="K36" s="3">
        <v>43021</v>
      </c>
      <c r="L36" s="3">
        <v>46082</v>
      </c>
      <c r="M36" s="3">
        <v>46054</v>
      </c>
      <c r="N36" s="3">
        <v>46082</v>
      </c>
    </row>
    <row r="37" spans="1:14" x14ac:dyDescent="0.35">
      <c r="A37" s="2" t="s">
        <v>202</v>
      </c>
      <c r="B37" s="2" t="s">
        <v>159</v>
      </c>
      <c r="C37" s="3">
        <v>45670</v>
      </c>
      <c r="D37" s="3">
        <v>51501</v>
      </c>
      <c r="E37" s="3"/>
      <c r="F37" s="3"/>
      <c r="G37" s="2" t="s">
        <v>166</v>
      </c>
      <c r="H37" s="6" t="s">
        <v>161</v>
      </c>
      <c r="I37" s="6"/>
      <c r="J37" s="2" t="s">
        <v>162</v>
      </c>
      <c r="K37" s="3">
        <v>45670</v>
      </c>
      <c r="L37" s="3">
        <v>46082</v>
      </c>
      <c r="M37" s="3">
        <v>46054</v>
      </c>
      <c r="N37" s="3">
        <v>46082</v>
      </c>
    </row>
    <row r="38" spans="1:14" x14ac:dyDescent="0.35">
      <c r="A38" s="2" t="s">
        <v>202</v>
      </c>
      <c r="B38" s="2" t="s">
        <v>159</v>
      </c>
      <c r="C38" s="3">
        <v>44866</v>
      </c>
      <c r="D38" s="3">
        <v>51501</v>
      </c>
      <c r="E38" s="3"/>
      <c r="F38" s="3"/>
      <c r="G38" s="2" t="s">
        <v>187</v>
      </c>
      <c r="H38" s="6" t="s">
        <v>161</v>
      </c>
      <c r="I38" s="6"/>
      <c r="J38" s="2" t="s">
        <v>162</v>
      </c>
      <c r="K38" s="3">
        <v>40389</v>
      </c>
      <c r="L38" s="3">
        <v>46082</v>
      </c>
      <c r="M38" s="3">
        <v>46054</v>
      </c>
      <c r="N38" s="3">
        <v>46082</v>
      </c>
    </row>
  </sheetData>
  <autoFilter ref="A1:N38" xr:uid="{385B57CD-294C-4E76-82E5-66AB1487D8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SÉRIE2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Nahed, Samia</dc:creator>
  <cp:keywords/>
  <dc:description/>
  <cp:lastModifiedBy>Ricardo Almeida</cp:lastModifiedBy>
  <cp:revision/>
  <dcterms:created xsi:type="dcterms:W3CDTF">2026-02-03T20:08:36Z</dcterms:created>
  <dcterms:modified xsi:type="dcterms:W3CDTF">2026-07-23T14:35:00Z</dcterms:modified>
  <cp:category/>
  <cp:contentStatus/>
</cp:coreProperties>
</file>
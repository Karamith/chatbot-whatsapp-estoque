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90" documentId="8_{51F1F06D-6D0B-4FE8-9AF7-39931DF9B484}" xr6:coauthVersionLast="47" xr6:coauthVersionMax="47" xr10:uidLastSave="{BDCFAA8D-43D9-44C4-93F2-FFC716E9E06E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<sst xmlns="http://schemas.openxmlformats.org/spreadsheetml/2006/main" count="793" uniqueCount="206">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</sst>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65" activePane="bottomLeft" state="frozen"/>
      <selection pane="bottomLeft" activeCell="I86" sqref="I86"/>
    </sheetView>
  </sheetViews>
  <sheetFormatPr defaultRowHeight="14.45"/>
  <cols>
    <col min="1" max="1" width="18.28515625" bestFit="1" customWidth="1"/>
    <col min="2" max="2" width="21.28515625" bestFit="1" customWidth="1"/>
    <col min="3" max="3" width="10.7109375" style="7" bestFit="1" customWidth="1"/>
    <col min="4" max="4" width="10" style="7" bestFit="1" customWidth="1"/>
    <col min="5" max="5" width="9.140625" style="7" bestFit="1" customWidth="1"/>
    <col min="6" max="6" width="9.28515625" style="7" bestFit="1" customWidth="1"/>
    <col min="7" max="7" width="17.28515625" style="10" bestFit="1" customWidth="1"/>
    <col min="8" max="8" width="9.42578125" style="7" bestFit="1" customWidth="1"/>
    <col min="9" max="9" width="33" style="7" bestFit="1" customWidth="1"/>
    <col min="10" max="10" width="10.140625" style="7" bestFit="1" customWidth="1"/>
    <col min="11" max="11" width="14.42578125" style="7" bestFit="1" customWidth="1"/>
    <col min="12" max="12" width="35.28515625" style="7" bestFit="1" customWidth="1"/>
    <col min="13" max="13" width="14.28515625" style="7" bestFit="1" customWidth="1"/>
    <col min="14" max="14" width="12" style="7" bestFit="1" customWidth="1"/>
    <col min="15" max="15" width="5.28515625" style="8" bestFit="1" customWidth="1"/>
  </cols>
  <sheetData>
    <row r="1" spans="1:15" s="4" customFormat="1" ht="15" thickBot="1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46227</v>
      </c>
      <c r="F2" s="44">
        <f t="shared" ref="F2:F33" ca="1" si="1">D2-E2</f>
        <v>7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46227</v>
      </c>
      <c r="F3" s="15">
        <f t="shared" ca="1" si="1"/>
        <v>5274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46227</v>
      </c>
      <c r="F4" s="15">
        <f t="shared" ca="1" si="1"/>
        <v>5274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46227</v>
      </c>
      <c r="F5" s="15">
        <f t="shared" ca="1" si="1"/>
        <v>5274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46227</v>
      </c>
      <c r="F6" s="15">
        <f t="shared" ca="1" si="1"/>
        <v>38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46227</v>
      </c>
      <c r="F7" s="15">
        <f t="shared" ca="1" si="1"/>
        <v>38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>
      <c r="A8" s="28" t="s">
        <v>27</v>
      </c>
      <c r="B8" s="14" t="s">
        <v>28</v>
      </c>
      <c r="C8" s="11">
        <v>45999</v>
      </c>
      <c r="D8" s="11">
        <v>46061</v>
      </c>
      <c r="E8" s="11">
        <f t="shared" ca="1" si="0"/>
        <v>46227</v>
      </c>
      <c r="F8" s="15">
        <f t="shared" ca="1" si="1"/>
        <v>-166</v>
      </c>
      <c r="G8" s="16" t="s">
        <v>29</v>
      </c>
      <c r="H8" s="17" t="str">
        <f t="shared" ca="1" si="2"/>
        <v>VENDA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46227</v>
      </c>
      <c r="F9" s="15">
        <f t="shared" ca="1" si="1"/>
        <v>-403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46227</v>
      </c>
      <c r="F10" s="15">
        <f t="shared" ca="1" si="1"/>
        <v>-2031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46227</v>
      </c>
      <c r="F11" s="15">
        <f t="shared" ca="1" si="1"/>
        <v>-2031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46227</v>
      </c>
      <c r="F12" s="15">
        <f t="shared" ca="1" si="1"/>
        <v>129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46227</v>
      </c>
      <c r="F13" s="15">
        <f t="shared" ca="1" si="1"/>
        <v>99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46227</v>
      </c>
      <c r="F14" s="15">
        <f t="shared" ca="1" si="1"/>
        <v>392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46227</v>
      </c>
      <c r="F15" s="15">
        <f t="shared" ca="1" si="1"/>
        <v>5274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46227</v>
      </c>
      <c r="F16" s="15">
        <f t="shared" ca="1" si="1"/>
        <v>219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46227</v>
      </c>
      <c r="F17" s="15">
        <f t="shared" ca="1" si="1"/>
        <v>219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46227</v>
      </c>
      <c r="F18" s="15">
        <f t="shared" ca="1" si="1"/>
        <v>636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>
      <c r="A19" s="30" t="s">
        <v>52</v>
      </c>
      <c r="B19" s="14" t="s">
        <v>15</v>
      </c>
      <c r="C19" s="12">
        <v>42564</v>
      </c>
      <c r="D19" s="12">
        <v>51501</v>
      </c>
      <c r="E19" s="11">
        <f t="shared" ca="1" si="0"/>
        <v>46227</v>
      </c>
      <c r="F19" s="15">
        <f t="shared" ca="1" si="1"/>
        <v>5274</v>
      </c>
      <c r="G19" s="16" t="s">
        <v>26</v>
      </c>
      <c r="H19" s="18" t="s">
        <v>39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46227</v>
      </c>
      <c r="F20" s="15">
        <f t="shared" ca="1" si="1"/>
        <v>5274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46227</v>
      </c>
      <c r="F21" s="15">
        <f t="shared" ca="1" si="1"/>
        <v>-2031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46227</v>
      </c>
      <c r="F22" s="15">
        <f t="shared" ca="1" si="1"/>
        <v>-2031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46227</v>
      </c>
      <c r="F23" s="15">
        <f t="shared" ca="1" si="1"/>
        <v>-24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46227</v>
      </c>
      <c r="F24" s="24">
        <f t="shared" ca="1" si="1"/>
        <v>-24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46227</v>
      </c>
      <c r="F25" s="24">
        <f t="shared" ca="1" si="1"/>
        <v>-24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46227</v>
      </c>
      <c r="F26" s="15">
        <f t="shared" ca="1" si="1"/>
        <v>-2031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46227</v>
      </c>
      <c r="F27" s="15">
        <f t="shared" ca="1" si="1"/>
        <v>250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46227</v>
      </c>
      <c r="F28" s="15">
        <f t="shared" ca="1" si="1"/>
        <v>5274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46227</v>
      </c>
      <c r="F29" s="15">
        <f t="shared" ca="1" si="1"/>
        <v>-2031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46227</v>
      </c>
      <c r="F30" s="15">
        <f t="shared" ca="1" si="1"/>
        <v>-2031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46227</v>
      </c>
      <c r="F31" s="24">
        <f t="shared" ca="1" si="1"/>
        <v>246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46227</v>
      </c>
      <c r="F32" s="15">
        <f t="shared" ca="1" si="1"/>
        <v>-2031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46227</v>
      </c>
      <c r="F33" s="15">
        <f t="shared" ca="1" si="1"/>
        <v>-2031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46227</v>
      </c>
      <c r="F34" s="15">
        <f t="shared" ref="F34:F65" ca="1" si="5">D34-E34</f>
        <v>-2031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46227</v>
      </c>
      <c r="F35" s="15">
        <f t="shared" ca="1" si="5"/>
        <v>398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46227</v>
      </c>
      <c r="F36" s="15">
        <f t="shared" ca="1" si="5"/>
        <v>250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46227</v>
      </c>
      <c r="F37" s="15">
        <f t="shared" ca="1" si="5"/>
        <v>228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>
      <c r="A38" s="30" t="s">
        <v>76</v>
      </c>
      <c r="B38" s="20" t="s">
        <v>57</v>
      </c>
      <c r="C38" s="12">
        <v>45661</v>
      </c>
      <c r="D38" s="12">
        <v>46206</v>
      </c>
      <c r="E38" s="11">
        <f t="shared" ca="1" si="4"/>
        <v>46227</v>
      </c>
      <c r="F38" s="15">
        <f t="shared" ca="1" si="5"/>
        <v>-21</v>
      </c>
      <c r="G38" s="16" t="s">
        <v>73</v>
      </c>
      <c r="H38" s="18" t="str">
        <f ca="1">IF(F38&lt;=0, "VENDA","CAREPACK")</f>
        <v>VENDA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46227</v>
      </c>
      <c r="F39" s="15">
        <f t="shared" ca="1" si="5"/>
        <v>-2031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46227</v>
      </c>
      <c r="F40" s="15">
        <f t="shared" ca="1" si="5"/>
        <v>-2031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46227</v>
      </c>
      <c r="F41" s="24">
        <f t="shared" ca="1" si="5"/>
        <v>1352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46227</v>
      </c>
      <c r="F42" s="15">
        <f t="shared" ca="1" si="5"/>
        <v>-2031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46227</v>
      </c>
      <c r="F43" s="15">
        <f t="shared" ca="1" si="5"/>
        <v>-2031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46227</v>
      </c>
      <c r="F44" s="15">
        <f t="shared" ca="1" si="5"/>
        <v>104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46227</v>
      </c>
      <c r="F45" s="15">
        <f t="shared" ca="1" si="5"/>
        <v>-2031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46227</v>
      </c>
      <c r="F46" s="15">
        <f t="shared" ca="1" si="5"/>
        <v>346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46227</v>
      </c>
      <c r="F47" s="15">
        <f t="shared" ca="1" si="5"/>
        <v>-2031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46227</v>
      </c>
      <c r="F48" s="15">
        <f t="shared" ca="1" si="5"/>
        <v>38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46227</v>
      </c>
      <c r="F49" s="15">
        <f t="shared" ca="1" si="5"/>
        <v>-2031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46227</v>
      </c>
      <c r="F50" s="15">
        <f t="shared" ca="1" si="5"/>
        <v>7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46227</v>
      </c>
      <c r="F51" s="15">
        <f t="shared" ca="1" si="5"/>
        <v>7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46227</v>
      </c>
      <c r="F52" s="15">
        <f t="shared" ca="1" si="5"/>
        <v>-14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46227</v>
      </c>
      <c r="F53" s="15">
        <f t="shared" ca="1" si="5"/>
        <v>-2031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46227</v>
      </c>
      <c r="F54" s="15">
        <f t="shared" ref="F54" ca="1" si="7">D54-E54</f>
        <v>1103</v>
      </c>
      <c r="G54" s="16" t="s">
        <v>95</v>
      </c>
      <c r="H54" s="18" t="str">
        <f t="shared" ref="H54" ca="1" si="8">IF(F54&lt;=0, "VENDA","CAREPACK")</f>
        <v>CAREPACK</v>
      </c>
      <c r="I54" s="18" t="s">
        <v>96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>
      <c r="A55" s="30" t="s">
        <v>97</v>
      </c>
      <c r="B55" s="14" t="s">
        <v>15</v>
      </c>
      <c r="C55" s="12">
        <v>44835</v>
      </c>
      <c r="D55" s="11">
        <v>44196</v>
      </c>
      <c r="E55" s="11">
        <f t="shared" ca="1" si="4"/>
        <v>46227</v>
      </c>
      <c r="F55" s="15">
        <f t="shared" ca="1" si="5"/>
        <v>-2031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>
      <c r="A56" s="30" t="s">
        <v>98</v>
      </c>
      <c r="B56" s="14" t="s">
        <v>15</v>
      </c>
      <c r="C56" s="12">
        <v>44841</v>
      </c>
      <c r="D56" s="11">
        <v>44196</v>
      </c>
      <c r="E56" s="11">
        <f t="shared" ca="1" si="4"/>
        <v>46227</v>
      </c>
      <c r="F56" s="15">
        <f t="shared" ca="1" si="5"/>
        <v>-2031</v>
      </c>
      <c r="G56" s="16" t="s">
        <v>99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>
      <c r="A57" s="30" t="s">
        <v>98</v>
      </c>
      <c r="B57" s="14" t="s">
        <v>15</v>
      </c>
      <c r="C57" s="12">
        <v>44841</v>
      </c>
      <c r="D57" s="11">
        <v>44196</v>
      </c>
      <c r="E57" s="11">
        <f t="shared" ca="1" si="4"/>
        <v>46227</v>
      </c>
      <c r="F57" s="15">
        <f t="shared" ca="1" si="5"/>
        <v>-2031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>
      <c r="A58" s="30" t="s">
        <v>100</v>
      </c>
      <c r="B58" s="14" t="s">
        <v>15</v>
      </c>
      <c r="C58" s="12">
        <v>45566</v>
      </c>
      <c r="D58" s="11">
        <v>44196</v>
      </c>
      <c r="E58" s="11">
        <f t="shared" ca="1" si="4"/>
        <v>46227</v>
      </c>
      <c r="F58" s="15">
        <f t="shared" ca="1" si="5"/>
        <v>-2031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>
      <c r="A59" s="30" t="s">
        <v>101</v>
      </c>
      <c r="B59" s="20" t="s">
        <v>20</v>
      </c>
      <c r="C59" s="12">
        <v>45992</v>
      </c>
      <c r="D59" s="12">
        <v>46295</v>
      </c>
      <c r="E59" s="11">
        <f t="shared" ca="1" si="4"/>
        <v>46227</v>
      </c>
      <c r="F59" s="15">
        <f t="shared" ca="1" si="5"/>
        <v>68</v>
      </c>
      <c r="G59" s="16" t="s">
        <v>34</v>
      </c>
      <c r="H59" s="18" t="s">
        <v>35</v>
      </c>
      <c r="I59" s="18" t="s">
        <v>102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>
      <c r="A60" s="30" t="s">
        <v>103</v>
      </c>
      <c r="B60" s="14" t="s">
        <v>15</v>
      </c>
      <c r="C60" s="12">
        <v>44621</v>
      </c>
      <c r="D60" s="11">
        <v>44196</v>
      </c>
      <c r="E60" s="11">
        <f t="shared" ca="1" si="4"/>
        <v>46227</v>
      </c>
      <c r="F60" s="15">
        <f t="shared" ca="1" si="5"/>
        <v>-2031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>
      <c r="A61" s="30" t="s">
        <v>104</v>
      </c>
      <c r="B61" s="20" t="s">
        <v>20</v>
      </c>
      <c r="C61" s="12">
        <v>45962</v>
      </c>
      <c r="D61" s="12">
        <v>46022</v>
      </c>
      <c r="E61" s="11">
        <f t="shared" ca="1" si="4"/>
        <v>46227</v>
      </c>
      <c r="F61" s="15">
        <f t="shared" ca="1" si="5"/>
        <v>-205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>
      <c r="A62" s="30" t="s">
        <v>105</v>
      </c>
      <c r="B62" s="14" t="s">
        <v>15</v>
      </c>
      <c r="C62" s="12">
        <v>45528</v>
      </c>
      <c r="D62" s="11">
        <v>44196</v>
      </c>
      <c r="E62" s="11">
        <f t="shared" ca="1" si="4"/>
        <v>46227</v>
      </c>
      <c r="F62" s="15">
        <f t="shared" ca="1" si="5"/>
        <v>-2031</v>
      </c>
      <c r="G62" s="16" t="s">
        <v>106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>
      <c r="A63" s="30" t="s">
        <v>107</v>
      </c>
      <c r="B63" s="14" t="s">
        <v>15</v>
      </c>
      <c r="C63" s="12">
        <v>45962</v>
      </c>
      <c r="D63" s="11">
        <v>44196</v>
      </c>
      <c r="E63" s="11">
        <f t="shared" ca="1" si="4"/>
        <v>46227</v>
      </c>
      <c r="F63" s="15">
        <f t="shared" ca="1" si="5"/>
        <v>-2031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>
      <c r="A64" s="31" t="s">
        <v>107</v>
      </c>
      <c r="B64" s="27" t="s">
        <v>15</v>
      </c>
      <c r="C64" s="13">
        <v>45962</v>
      </c>
      <c r="D64" s="13">
        <v>46082</v>
      </c>
      <c r="E64" s="23">
        <f t="shared" ca="1" si="4"/>
        <v>46227</v>
      </c>
      <c r="F64" s="24">
        <f t="shared" ca="1" si="5"/>
        <v>-145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>
      <c r="A65" s="30" t="s">
        <v>108</v>
      </c>
      <c r="B65" s="20" t="s">
        <v>20</v>
      </c>
      <c r="C65" s="12">
        <v>45992</v>
      </c>
      <c r="D65" s="12">
        <v>46203</v>
      </c>
      <c r="E65" s="11">
        <f t="shared" ca="1" si="4"/>
        <v>46227</v>
      </c>
      <c r="F65" s="15">
        <f t="shared" ca="1" si="5"/>
        <v>-24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>
      <c r="A66" s="30" t="s">
        <v>109</v>
      </c>
      <c r="B66" s="14" t="s">
        <v>15</v>
      </c>
      <c r="C66" s="12">
        <v>44777</v>
      </c>
      <c r="D66" s="11">
        <v>44196</v>
      </c>
      <c r="E66" s="11">
        <f t="shared" ca="1" si="4"/>
        <v>46227</v>
      </c>
      <c r="F66" s="15">
        <f t="shared" ref="F66:F68" ca="1" si="9">D66-E66</f>
        <v>-2031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>
      <c r="A67" s="30" t="s">
        <v>109</v>
      </c>
      <c r="B67" s="14" t="s">
        <v>15</v>
      </c>
      <c r="C67" s="12">
        <v>45929</v>
      </c>
      <c r="D67" s="11">
        <v>44196</v>
      </c>
      <c r="E67" s="11">
        <f t="shared" ca="1" si="4"/>
        <v>46227</v>
      </c>
      <c r="F67" s="15">
        <f t="shared" ca="1" si="9"/>
        <v>-2031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>
      <c r="A68" s="30" t="s">
        <v>110</v>
      </c>
      <c r="B68" s="14" t="s">
        <v>15</v>
      </c>
      <c r="C68" s="12">
        <v>45719</v>
      </c>
      <c r="D68" s="11">
        <v>44196</v>
      </c>
      <c r="E68" s="11">
        <f t="shared" ca="1" si="4"/>
        <v>46227</v>
      </c>
      <c r="F68" s="15">
        <f t="shared" ca="1" si="9"/>
        <v>-2031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>
      <c r="A69" s="30" t="s">
        <v>111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>
      <c r="A70" s="31" t="s">
        <v>111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46227</v>
      </c>
      <c r="F70" s="24">
        <f t="shared" ref="F70:F104" ca="1" si="11">D70-E70</f>
        <v>-2031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>
      <c r="A71" s="30" t="s">
        <v>112</v>
      </c>
      <c r="B71" s="20" t="s">
        <v>20</v>
      </c>
      <c r="C71" s="12">
        <v>45992</v>
      </c>
      <c r="D71" s="12">
        <v>46326</v>
      </c>
      <c r="E71" s="11">
        <f t="shared" ca="1" si="10"/>
        <v>46227</v>
      </c>
      <c r="F71" s="15">
        <f t="shared" ca="1" si="11"/>
        <v>99</v>
      </c>
      <c r="G71" s="16" t="s">
        <v>34</v>
      </c>
      <c r="H71" s="18" t="s">
        <v>35</v>
      </c>
      <c r="I71" s="18" t="s">
        <v>113</v>
      </c>
      <c r="J71" s="15" t="s">
        <v>24</v>
      </c>
      <c r="K71" s="12">
        <v>44841</v>
      </c>
      <c r="L71" s="12" t="s">
        <v>114</v>
      </c>
      <c r="M71" s="12"/>
      <c r="N71" s="12"/>
      <c r="O71" s="29">
        <v>90</v>
      </c>
    </row>
    <row r="72" spans="1:15">
      <c r="A72" s="30" t="s">
        <v>115</v>
      </c>
      <c r="B72" s="20" t="s">
        <v>20</v>
      </c>
      <c r="C72" s="12">
        <v>45962</v>
      </c>
      <c r="D72" s="12">
        <v>46265</v>
      </c>
      <c r="E72" s="11">
        <f t="shared" ca="1" si="10"/>
        <v>46227</v>
      </c>
      <c r="F72" s="15">
        <f t="shared" ca="1" si="11"/>
        <v>38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>
      <c r="A73" s="30" t="s">
        <v>115</v>
      </c>
      <c r="B73" s="20" t="s">
        <v>20</v>
      </c>
      <c r="C73" s="12">
        <v>45962</v>
      </c>
      <c r="D73" s="12">
        <v>46265</v>
      </c>
      <c r="E73" s="11">
        <f t="shared" ca="1" si="10"/>
        <v>46227</v>
      </c>
      <c r="F73" s="15">
        <f t="shared" ca="1" si="11"/>
        <v>38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>
      <c r="A74" s="31" t="s">
        <v>115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116</v>
      </c>
      <c r="J74" s="24" t="s">
        <v>18</v>
      </c>
      <c r="K74" s="13"/>
      <c r="L74" s="13" t="s">
        <v>117</v>
      </c>
      <c r="M74" s="13"/>
      <c r="N74" s="13"/>
      <c r="O74" s="32"/>
    </row>
    <row r="75" spans="1:15">
      <c r="A75" s="30" t="s">
        <v>118</v>
      </c>
      <c r="B75" s="14" t="s">
        <v>15</v>
      </c>
      <c r="C75" s="12">
        <v>46204</v>
      </c>
      <c r="D75" s="11">
        <v>46568</v>
      </c>
      <c r="E75" s="11">
        <f t="shared" ca="1" si="10"/>
        <v>46227</v>
      </c>
      <c r="F75" s="15">
        <f t="shared" ca="1" si="11"/>
        <v>341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119</v>
      </c>
      <c r="M75" s="12"/>
      <c r="N75" s="12"/>
      <c r="O75" s="29">
        <v>90</v>
      </c>
    </row>
    <row r="76" spans="1:15">
      <c r="A76" s="30" t="s">
        <v>118</v>
      </c>
      <c r="B76" s="20" t="s">
        <v>57</v>
      </c>
      <c r="C76" s="12">
        <v>45555</v>
      </c>
      <c r="D76" s="12">
        <v>46465</v>
      </c>
      <c r="E76" s="11">
        <f t="shared" ca="1" si="10"/>
        <v>46227</v>
      </c>
      <c r="F76" s="15">
        <f t="shared" ca="1" si="11"/>
        <v>238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119</v>
      </c>
      <c r="M76" s="12"/>
      <c r="N76" s="12"/>
      <c r="O76" s="29">
        <v>90</v>
      </c>
    </row>
    <row r="77" spans="1:15">
      <c r="A77" s="30" t="s">
        <v>120</v>
      </c>
      <c r="B77" s="14" t="s">
        <v>15</v>
      </c>
      <c r="C77" s="12">
        <v>45639</v>
      </c>
      <c r="D77" s="11">
        <v>44196</v>
      </c>
      <c r="E77" s="11">
        <f t="shared" ca="1" si="10"/>
        <v>46227</v>
      </c>
      <c r="F77" s="15">
        <f t="shared" ca="1" si="11"/>
        <v>-2031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121</v>
      </c>
      <c r="M77" s="12"/>
      <c r="N77" s="12"/>
      <c r="O77" s="29">
        <v>90</v>
      </c>
    </row>
    <row r="78" spans="1:15">
      <c r="A78" s="30" t="s">
        <v>122</v>
      </c>
      <c r="B78" s="20" t="s">
        <v>51</v>
      </c>
      <c r="C78" s="12">
        <v>45989</v>
      </c>
      <c r="D78" s="12">
        <v>47449</v>
      </c>
      <c r="E78" s="11">
        <f t="shared" ca="1" si="10"/>
        <v>46227</v>
      </c>
      <c r="F78" s="15">
        <f t="shared" ca="1" si="11"/>
        <v>1222</v>
      </c>
      <c r="G78" s="16" t="s">
        <v>95</v>
      </c>
      <c r="H78" s="18" t="s">
        <v>35</v>
      </c>
      <c r="I78" s="18" t="s">
        <v>123</v>
      </c>
      <c r="J78" s="15" t="s">
        <v>24</v>
      </c>
      <c r="K78" s="12">
        <v>45989</v>
      </c>
      <c r="L78" s="12" t="s">
        <v>124</v>
      </c>
      <c r="M78" s="12"/>
      <c r="N78" s="12"/>
      <c r="O78" s="29">
        <v>90</v>
      </c>
    </row>
    <row r="79" spans="1:15">
      <c r="A79" s="30" t="s">
        <v>125</v>
      </c>
      <c r="B79" s="14" t="s">
        <v>15</v>
      </c>
      <c r="C79" s="12">
        <v>45039</v>
      </c>
      <c r="D79" s="11">
        <v>44196</v>
      </c>
      <c r="E79" s="11">
        <f t="shared" ca="1" si="10"/>
        <v>46227</v>
      </c>
      <c r="F79" s="15">
        <f t="shared" ca="1" si="11"/>
        <v>-2031</v>
      </c>
      <c r="G79" s="16" t="s">
        <v>34</v>
      </c>
      <c r="H79" s="18" t="str">
        <f t="shared" ref="H79:H84" ca="1" si="12">IF(F79&lt;=0, "VENDA","CAREPACK")</f>
        <v>VENDA</v>
      </c>
      <c r="I79" s="18" t="s">
        <v>126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>
      <c r="A80" s="30" t="s">
        <v>127</v>
      </c>
      <c r="B80" s="14" t="s">
        <v>15</v>
      </c>
      <c r="C80" s="12">
        <v>43749</v>
      </c>
      <c r="D80" s="11">
        <v>44196</v>
      </c>
      <c r="E80" s="11">
        <f t="shared" ca="1" si="10"/>
        <v>46227</v>
      </c>
      <c r="F80" s="15">
        <f t="shared" ca="1" si="11"/>
        <v>-2031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>
      <c r="A81" s="30" t="s">
        <v>127</v>
      </c>
      <c r="B81" s="14" t="s">
        <v>15</v>
      </c>
      <c r="C81" s="12">
        <v>43749</v>
      </c>
      <c r="D81" s="11">
        <v>44196</v>
      </c>
      <c r="E81" s="11">
        <f t="shared" ca="1" si="10"/>
        <v>46227</v>
      </c>
      <c r="F81" s="15">
        <f t="shared" ca="1" si="11"/>
        <v>-2031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>
      <c r="A82" s="30" t="s">
        <v>127</v>
      </c>
      <c r="B82" s="14" t="s">
        <v>15</v>
      </c>
      <c r="C82" s="12">
        <v>43641</v>
      </c>
      <c r="D82" s="11">
        <v>44196</v>
      </c>
      <c r="E82" s="11">
        <f t="shared" ca="1" si="10"/>
        <v>46227</v>
      </c>
      <c r="F82" s="15">
        <f t="shared" ca="1" si="11"/>
        <v>-2031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>
      <c r="A83" s="30" t="s">
        <v>128</v>
      </c>
      <c r="B83" s="20" t="s">
        <v>57</v>
      </c>
      <c r="C83" s="12">
        <v>45870</v>
      </c>
      <c r="D83" s="12">
        <v>46418</v>
      </c>
      <c r="E83" s="12">
        <f t="shared" ca="1" si="10"/>
        <v>46227</v>
      </c>
      <c r="F83" s="15">
        <f t="shared" ca="1" si="11"/>
        <v>191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>
      <c r="A84" s="30" t="s">
        <v>128</v>
      </c>
      <c r="B84" s="20" t="s">
        <v>57</v>
      </c>
      <c r="C84" s="12">
        <v>46054</v>
      </c>
      <c r="D84" s="12">
        <v>46418</v>
      </c>
      <c r="E84" s="12">
        <f t="shared" ca="1" si="10"/>
        <v>46227</v>
      </c>
      <c r="F84" s="15">
        <f t="shared" ca="1" si="11"/>
        <v>191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>
      <c r="A85" s="30" t="s">
        <v>129</v>
      </c>
      <c r="B85" s="14" t="s">
        <v>28</v>
      </c>
      <c r="C85" s="12">
        <v>46203</v>
      </c>
      <c r="D85" s="12">
        <v>46751</v>
      </c>
      <c r="E85" s="12">
        <f t="shared" ca="1" si="10"/>
        <v>46227</v>
      </c>
      <c r="F85" s="15">
        <f t="shared" ca="1" si="11"/>
        <v>524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130</v>
      </c>
      <c r="M85" s="12"/>
      <c r="N85" s="12"/>
      <c r="O85" s="29">
        <v>90</v>
      </c>
    </row>
    <row r="86" spans="1:15">
      <c r="A86" s="30" t="s">
        <v>129</v>
      </c>
      <c r="B86" s="20" t="s">
        <v>131</v>
      </c>
      <c r="C86" s="12">
        <v>46082</v>
      </c>
      <c r="D86" s="12">
        <v>46446</v>
      </c>
      <c r="E86" s="12">
        <f t="shared" ca="1" si="10"/>
        <v>46227</v>
      </c>
      <c r="F86" s="15">
        <f t="shared" ca="1" si="11"/>
        <v>219</v>
      </c>
      <c r="G86" s="16" t="s">
        <v>34</v>
      </c>
      <c r="H86" s="18" t="s">
        <v>35</v>
      </c>
      <c r="I86" s="18" t="s">
        <v>132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>
      <c r="A87" s="30" t="s">
        <v>129</v>
      </c>
      <c r="B87" s="20" t="s">
        <v>20</v>
      </c>
      <c r="C87" s="12">
        <v>46082</v>
      </c>
      <c r="D87" s="12">
        <v>46446</v>
      </c>
      <c r="E87" s="12">
        <f t="shared" ca="1" si="10"/>
        <v>46227</v>
      </c>
      <c r="F87" s="15">
        <f t="shared" ca="1" si="11"/>
        <v>219</v>
      </c>
      <c r="G87" s="16" t="s">
        <v>73</v>
      </c>
      <c r="H87" s="18" t="s">
        <v>35</v>
      </c>
      <c r="I87" s="18" t="s">
        <v>132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>
      <c r="A88" s="30" t="s">
        <v>133</v>
      </c>
      <c r="B88" s="14" t="s">
        <v>15</v>
      </c>
      <c r="C88" s="12">
        <v>45173</v>
      </c>
      <c r="D88" s="11">
        <v>44196</v>
      </c>
      <c r="E88" s="12">
        <f t="shared" ca="1" si="10"/>
        <v>46227</v>
      </c>
      <c r="F88" s="15">
        <f t="shared" ca="1" si="11"/>
        <v>-2031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>
      <c r="A89" s="30" t="s">
        <v>134</v>
      </c>
      <c r="B89" s="14" t="s">
        <v>15</v>
      </c>
      <c r="C89" s="12">
        <v>44798</v>
      </c>
      <c r="D89" s="11">
        <v>44196</v>
      </c>
      <c r="E89" s="12">
        <f t="shared" ca="1" si="10"/>
        <v>46227</v>
      </c>
      <c r="F89" s="15">
        <f t="shared" ca="1" si="11"/>
        <v>-2031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>
      <c r="A90" s="30" t="s">
        <v>135</v>
      </c>
      <c r="B90" s="20" t="s">
        <v>131</v>
      </c>
      <c r="C90" s="12">
        <v>46199</v>
      </c>
      <c r="D90" s="11">
        <v>46594</v>
      </c>
      <c r="E90" s="12">
        <f t="shared" ca="1" si="10"/>
        <v>46227</v>
      </c>
      <c r="F90" s="15">
        <f t="shared" ca="1" si="11"/>
        <v>367</v>
      </c>
      <c r="G90" s="16" t="s">
        <v>106</v>
      </c>
      <c r="H90" s="18" t="s">
        <v>35</v>
      </c>
      <c r="I90" s="18" t="s">
        <v>136</v>
      </c>
      <c r="J90" s="15" t="s">
        <v>18</v>
      </c>
      <c r="K90" s="12"/>
      <c r="L90" s="12"/>
      <c r="M90" s="12"/>
      <c r="N90" s="12"/>
      <c r="O90" s="29">
        <v>90</v>
      </c>
    </row>
    <row r="91" spans="1:15">
      <c r="A91" s="30" t="s">
        <v>137</v>
      </c>
      <c r="B91" s="20" t="s">
        <v>57</v>
      </c>
      <c r="C91" s="12">
        <v>45822</v>
      </c>
      <c r="D91" s="12">
        <v>46551</v>
      </c>
      <c r="E91" s="11">
        <f t="shared" ca="1" si="10"/>
        <v>46227</v>
      </c>
      <c r="F91" s="15">
        <f t="shared" ca="1" si="11"/>
        <v>324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>
      <c r="A92" s="30" t="s">
        <v>137</v>
      </c>
      <c r="B92" s="20" t="s">
        <v>57</v>
      </c>
      <c r="C92" s="12">
        <v>45993</v>
      </c>
      <c r="D92" s="12">
        <v>46539</v>
      </c>
      <c r="E92" s="11">
        <f t="shared" ca="1" si="10"/>
        <v>46227</v>
      </c>
      <c r="F92" s="15">
        <f t="shared" ca="1" si="11"/>
        <v>312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>
      <c r="A93" s="30" t="s">
        <v>138</v>
      </c>
      <c r="B93" s="14" t="s">
        <v>15</v>
      </c>
      <c r="C93" s="12">
        <v>44197</v>
      </c>
      <c r="D93" s="11">
        <v>44196</v>
      </c>
      <c r="E93" s="12">
        <f t="shared" ca="1" si="10"/>
        <v>46227</v>
      </c>
      <c r="F93" s="15">
        <f t="shared" ca="1" si="11"/>
        <v>-2031</v>
      </c>
      <c r="G93" s="16" t="s">
        <v>139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>
      <c r="A94" s="31" t="s">
        <v>140</v>
      </c>
      <c r="B94" s="22" t="s">
        <v>57</v>
      </c>
      <c r="C94" s="13">
        <v>45908</v>
      </c>
      <c r="D94" s="13">
        <v>46454</v>
      </c>
      <c r="E94" s="23">
        <f t="shared" ca="1" si="10"/>
        <v>46227</v>
      </c>
      <c r="F94" s="24">
        <f t="shared" ca="1" si="11"/>
        <v>227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121</v>
      </c>
      <c r="M94" s="13"/>
      <c r="N94" s="13"/>
      <c r="O94" s="29">
        <v>90</v>
      </c>
    </row>
    <row r="95" spans="1:15">
      <c r="A95" s="31" t="s">
        <v>140</v>
      </c>
      <c r="B95" s="22" t="s">
        <v>51</v>
      </c>
      <c r="C95" s="13">
        <v>45908</v>
      </c>
      <c r="D95" s="13">
        <v>46454</v>
      </c>
      <c r="E95" s="23">
        <f t="shared" ca="1" si="10"/>
        <v>46227</v>
      </c>
      <c r="F95" s="24">
        <f t="shared" ca="1" si="11"/>
        <v>227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121</v>
      </c>
      <c r="M95" s="13"/>
      <c r="N95" s="13"/>
      <c r="O95" s="29">
        <v>90</v>
      </c>
    </row>
    <row r="96" spans="1:15">
      <c r="A96" s="30" t="s">
        <v>141</v>
      </c>
      <c r="B96" s="14" t="s">
        <v>15</v>
      </c>
      <c r="C96" s="12">
        <v>44909</v>
      </c>
      <c r="D96" s="11">
        <v>44196</v>
      </c>
      <c r="E96" s="12">
        <f t="shared" ca="1" si="10"/>
        <v>46227</v>
      </c>
      <c r="F96" s="15">
        <f t="shared" ca="1" si="11"/>
        <v>-2031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>
      <c r="A97" s="31" t="s">
        <v>142</v>
      </c>
      <c r="B97" s="22" t="s">
        <v>20</v>
      </c>
      <c r="C97" s="13">
        <v>45962</v>
      </c>
      <c r="D97" s="13">
        <v>46537</v>
      </c>
      <c r="E97" s="13">
        <f t="shared" ca="1" si="10"/>
        <v>46227</v>
      </c>
      <c r="F97" s="24">
        <f t="shared" ca="1" si="11"/>
        <v>310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>
      <c r="A98" s="30" t="s">
        <v>143</v>
      </c>
      <c r="B98" s="14" t="s">
        <v>15</v>
      </c>
      <c r="C98" s="12">
        <v>43070</v>
      </c>
      <c r="D98" s="11">
        <v>44196</v>
      </c>
      <c r="E98" s="12">
        <f t="shared" ca="1" si="10"/>
        <v>46227</v>
      </c>
      <c r="F98" s="15">
        <f t="shared" ca="1" si="11"/>
        <v>-2031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>
      <c r="A99" s="30" t="s">
        <v>144</v>
      </c>
      <c r="B99" s="20" t="s">
        <v>57</v>
      </c>
      <c r="C99" s="12">
        <v>45874</v>
      </c>
      <c r="D99" s="12">
        <v>46422</v>
      </c>
      <c r="E99" s="12">
        <f t="shared" ca="1" si="10"/>
        <v>46227</v>
      </c>
      <c r="F99" s="15">
        <f t="shared" ca="1" si="11"/>
        <v>195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>
      <c r="A100" s="30" t="s">
        <v>145</v>
      </c>
      <c r="B100" s="14" t="s">
        <v>15</v>
      </c>
      <c r="C100" s="12">
        <v>45689</v>
      </c>
      <c r="D100" s="11">
        <v>44196</v>
      </c>
      <c r="E100" s="12">
        <f t="shared" ca="1" si="10"/>
        <v>46227</v>
      </c>
      <c r="F100" s="15">
        <f t="shared" ca="1" si="11"/>
        <v>-2031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>
      <c r="A101" s="30" t="s">
        <v>146</v>
      </c>
      <c r="B101" s="20" t="s">
        <v>57</v>
      </c>
      <c r="C101" s="12">
        <v>45315</v>
      </c>
      <c r="D101" s="12">
        <v>46226</v>
      </c>
      <c r="E101" s="12">
        <f t="shared" ca="1" si="10"/>
        <v>46227</v>
      </c>
      <c r="F101" s="15">
        <f t="shared" ca="1" si="11"/>
        <v>-1</v>
      </c>
      <c r="G101" s="16" t="s">
        <v>106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>
      <c r="A102" s="30" t="s">
        <v>147</v>
      </c>
      <c r="B102" s="20" t="s">
        <v>20</v>
      </c>
      <c r="C102" s="12">
        <v>45658</v>
      </c>
      <c r="D102" s="12">
        <v>46532</v>
      </c>
      <c r="E102" s="12">
        <f t="shared" ca="1" si="10"/>
        <v>46227</v>
      </c>
      <c r="F102" s="15">
        <f t="shared" ca="1" si="11"/>
        <v>305</v>
      </c>
      <c r="G102" s="16" t="s">
        <v>106</v>
      </c>
      <c r="H102" s="18" t="str">
        <f t="shared" ca="1" si="13"/>
        <v>CAREPACK</v>
      </c>
      <c r="I102" s="18" t="s">
        <v>148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>
      <c r="A103" s="30" t="s">
        <v>149</v>
      </c>
      <c r="B103" s="20" t="s">
        <v>57</v>
      </c>
      <c r="C103" s="12">
        <v>45928</v>
      </c>
      <c r="D103" s="12">
        <v>46473</v>
      </c>
      <c r="E103" s="12">
        <f t="shared" ca="1" si="10"/>
        <v>46227</v>
      </c>
      <c r="F103" s="15">
        <f t="shared" ca="1" si="11"/>
        <v>246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>
      <c r="A104" s="30" t="s">
        <v>150</v>
      </c>
      <c r="B104" s="20" t="s">
        <v>57</v>
      </c>
      <c r="C104" s="12">
        <v>45757</v>
      </c>
      <c r="D104" s="12">
        <v>46669</v>
      </c>
      <c r="E104" s="12">
        <f t="shared" ca="1" si="10"/>
        <v>46227</v>
      </c>
      <c r="F104" s="15">
        <f t="shared" ca="1" si="11"/>
        <v>442</v>
      </c>
      <c r="G104" s="16" t="s">
        <v>151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>
      <c r="A105" s="30" t="s">
        <v>152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>
      <c r="A106" s="30" t="s">
        <v>153</v>
      </c>
      <c r="B106" s="20" t="s">
        <v>20</v>
      </c>
      <c r="C106" s="12">
        <v>45536</v>
      </c>
      <c r="D106" s="12">
        <v>46265</v>
      </c>
      <c r="E106" s="12">
        <f ca="1">TODAY()</f>
        <v>46227</v>
      </c>
      <c r="F106" s="15">
        <f ca="1">D106-E106</f>
        <v>38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>
      <c r="A107" s="30" t="s">
        <v>153</v>
      </c>
      <c r="B107" s="20" t="s">
        <v>20</v>
      </c>
      <c r="C107" s="12">
        <v>46226</v>
      </c>
      <c r="D107" s="12">
        <v>47140</v>
      </c>
      <c r="E107" s="12">
        <f ca="1">TODAY()</f>
        <v>46227</v>
      </c>
      <c r="F107" s="15">
        <f ca="1">D107-E107</f>
        <v>913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>
      <c r="A108" s="30" t="s">
        <v>154</v>
      </c>
      <c r="B108" s="20" t="s">
        <v>20</v>
      </c>
      <c r="C108" s="12">
        <v>45839</v>
      </c>
      <c r="D108" s="12">
        <v>46477</v>
      </c>
      <c r="E108" s="12">
        <f ca="1">TODAY()</f>
        <v>46227</v>
      </c>
      <c r="F108" s="15">
        <f ca="1">D108-E108</f>
        <v>250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>
      <c r="A109" s="30" t="s">
        <v>155</v>
      </c>
      <c r="B109" s="14" t="s">
        <v>15</v>
      </c>
      <c r="C109" s="12">
        <v>44861</v>
      </c>
      <c r="D109" s="11">
        <v>44196</v>
      </c>
      <c r="E109" s="12">
        <f ca="1">TODAY()</f>
        <v>46227</v>
      </c>
      <c r="F109" s="15">
        <f ca="1">D109-E109</f>
        <v>-2031</v>
      </c>
      <c r="G109" s="16" t="s">
        <v>139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" thickBot="1">
      <c r="A110" s="33" t="s">
        <v>155</v>
      </c>
      <c r="B110" s="34" t="s">
        <v>15</v>
      </c>
      <c r="C110" s="35">
        <v>44861</v>
      </c>
      <c r="D110" s="36">
        <v>44196</v>
      </c>
      <c r="E110" s="35">
        <f ca="1">TODAY()</f>
        <v>46227</v>
      </c>
      <c r="F110" s="37">
        <f ca="1">D110-E110</f>
        <v>-2031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45"/>
  <cols>
    <col min="1" max="1" width="28.42578125" bestFit="1" customWidth="1"/>
    <col min="2" max="2" width="22.7109375" bestFit="1" customWidth="1"/>
    <col min="3" max="3" width="10.28515625" bestFit="1" customWidth="1"/>
    <col min="4" max="4" width="10.28515625" customWidth="1"/>
    <col min="5" max="5" width="10.28515625" style="7" customWidth="1"/>
    <col min="6" max="6" width="9.7109375" customWidth="1"/>
    <col min="7" max="7" width="24" bestFit="1" customWidth="1"/>
    <col min="8" max="8" width="11.28515625" style="7" customWidth="1"/>
    <col min="9" max="9" width="15.5703125" style="7" customWidth="1"/>
    <col min="10" max="10" width="15.28515625" bestFit="1" customWidth="1"/>
    <col min="11" max="11" width="10.7109375" bestFit="1" customWidth="1"/>
    <col min="12" max="12" width="9.7109375" bestFit="1" customWidth="1"/>
    <col min="13" max="13" width="10.28515625" bestFit="1" customWidth="1"/>
    <col min="14" max="14" width="8.7109375" bestFit="1" customWidth="1"/>
  </cols>
  <sheetData>
    <row r="1" spans="1:14" s="4" customFormat="1">
      <c r="A1" s="1" t="s">
        <v>0</v>
      </c>
      <c r="B1" s="1" t="s">
        <v>1</v>
      </c>
      <c r="C1" s="1" t="s">
        <v>156</v>
      </c>
      <c r="D1" s="1" t="s">
        <v>157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158</v>
      </c>
      <c r="K1" s="1" t="s">
        <v>9</v>
      </c>
      <c r="L1" s="1" t="s">
        <v>159</v>
      </c>
      <c r="M1" s="1" t="s">
        <v>160</v>
      </c>
      <c r="N1" s="1" t="s">
        <v>12</v>
      </c>
    </row>
    <row r="2" spans="1:14">
      <c r="A2" s="2" t="s">
        <v>161</v>
      </c>
      <c r="B2" s="2" t="s">
        <v>162</v>
      </c>
      <c r="C2" s="3">
        <v>45670</v>
      </c>
      <c r="D2" s="3">
        <v>51501</v>
      </c>
      <c r="E2" s="3"/>
      <c r="F2" s="3"/>
      <c r="G2" s="2" t="s">
        <v>163</v>
      </c>
      <c r="H2" s="6" t="s">
        <v>164</v>
      </c>
      <c r="I2" s="6"/>
      <c r="J2" s="2" t="s">
        <v>165</v>
      </c>
      <c r="K2" s="3">
        <v>45670</v>
      </c>
      <c r="L2" s="3">
        <v>46082</v>
      </c>
      <c r="M2" s="3">
        <v>46054</v>
      </c>
      <c r="N2" s="3">
        <v>46082</v>
      </c>
    </row>
    <row r="3" spans="1:14">
      <c r="A3" s="2" t="s">
        <v>166</v>
      </c>
      <c r="B3" s="2" t="s">
        <v>162</v>
      </c>
      <c r="C3" s="3">
        <v>45670</v>
      </c>
      <c r="D3" s="3">
        <v>51501</v>
      </c>
      <c r="E3" s="3"/>
      <c r="F3" s="3"/>
      <c r="G3" s="2" t="s">
        <v>167</v>
      </c>
      <c r="H3" s="6" t="s">
        <v>164</v>
      </c>
      <c r="I3" s="6"/>
      <c r="J3" s="2" t="s">
        <v>165</v>
      </c>
      <c r="K3" s="3">
        <v>45685</v>
      </c>
      <c r="L3" s="3">
        <v>46082</v>
      </c>
      <c r="M3" s="3">
        <v>46054</v>
      </c>
      <c r="N3" s="3">
        <v>46082</v>
      </c>
    </row>
    <row r="4" spans="1:14">
      <c r="A4" s="2" t="s">
        <v>168</v>
      </c>
      <c r="B4" s="2" t="s">
        <v>162</v>
      </c>
      <c r="C4" s="3">
        <v>45670</v>
      </c>
      <c r="D4" s="3">
        <v>51501</v>
      </c>
      <c r="E4" s="3"/>
      <c r="F4" s="3"/>
      <c r="G4" s="2" t="s">
        <v>169</v>
      </c>
      <c r="H4" s="6" t="s">
        <v>164</v>
      </c>
      <c r="I4" s="6"/>
      <c r="J4" s="2" t="s">
        <v>165</v>
      </c>
      <c r="K4" s="3">
        <v>45670</v>
      </c>
      <c r="L4" s="3">
        <v>46082</v>
      </c>
      <c r="M4" s="3">
        <v>46054</v>
      </c>
      <c r="N4" s="3">
        <v>46082</v>
      </c>
    </row>
    <row r="5" spans="1:14">
      <c r="A5" s="2" t="s">
        <v>170</v>
      </c>
      <c r="B5" s="2" t="s">
        <v>162</v>
      </c>
      <c r="C5" s="3">
        <v>45670</v>
      </c>
      <c r="D5" s="3">
        <v>51501</v>
      </c>
      <c r="E5" s="3"/>
      <c r="F5" s="3"/>
      <c r="G5" s="2" t="s">
        <v>169</v>
      </c>
      <c r="H5" s="6" t="s">
        <v>164</v>
      </c>
      <c r="I5" s="6"/>
      <c r="J5" s="2" t="s">
        <v>165</v>
      </c>
      <c r="K5" s="3">
        <v>45670</v>
      </c>
      <c r="L5" s="3">
        <v>46082</v>
      </c>
      <c r="M5" s="3">
        <v>46054</v>
      </c>
      <c r="N5" s="3">
        <v>46082</v>
      </c>
    </row>
    <row r="6" spans="1:14">
      <c r="A6" s="2" t="s">
        <v>171</v>
      </c>
      <c r="B6" s="2" t="s">
        <v>162</v>
      </c>
      <c r="C6" s="3">
        <v>44866</v>
      </c>
      <c r="D6" s="3">
        <v>51501</v>
      </c>
      <c r="E6" s="3"/>
      <c r="F6" s="3"/>
      <c r="G6" s="2" t="s">
        <v>169</v>
      </c>
      <c r="H6" s="6" t="s">
        <v>164</v>
      </c>
      <c r="I6" s="6"/>
      <c r="J6" s="2" t="s">
        <v>165</v>
      </c>
      <c r="K6" s="3">
        <v>42867</v>
      </c>
      <c r="L6" s="3">
        <v>46082</v>
      </c>
      <c r="M6" s="3">
        <v>46054</v>
      </c>
      <c r="N6" s="3">
        <v>46082</v>
      </c>
    </row>
    <row r="7" spans="1:14">
      <c r="A7" s="2" t="s">
        <v>172</v>
      </c>
      <c r="B7" s="2" t="s">
        <v>162</v>
      </c>
      <c r="C7" s="3">
        <v>45670</v>
      </c>
      <c r="D7" s="3">
        <v>51501</v>
      </c>
      <c r="E7" s="3"/>
      <c r="F7" s="3"/>
      <c r="G7" s="2" t="s">
        <v>173</v>
      </c>
      <c r="H7" s="6" t="s">
        <v>164</v>
      </c>
      <c r="I7" s="6"/>
      <c r="J7" s="2" t="s">
        <v>165</v>
      </c>
      <c r="K7" s="3">
        <v>45670</v>
      </c>
      <c r="L7" s="3">
        <v>46082</v>
      </c>
      <c r="M7" s="3">
        <v>46054</v>
      </c>
      <c r="N7" s="3">
        <v>46082</v>
      </c>
    </row>
    <row r="8" spans="1:14">
      <c r="A8" s="2" t="s">
        <v>174</v>
      </c>
      <c r="B8" s="2" t="s">
        <v>162</v>
      </c>
      <c r="C8" s="3">
        <v>45670</v>
      </c>
      <c r="D8" s="3">
        <v>51501</v>
      </c>
      <c r="E8" s="3"/>
      <c r="F8" s="3"/>
      <c r="G8" s="2" t="s">
        <v>173</v>
      </c>
      <c r="H8" s="6" t="s">
        <v>164</v>
      </c>
      <c r="I8" s="6"/>
      <c r="J8" s="2" t="s">
        <v>165</v>
      </c>
      <c r="K8" s="3">
        <v>45670</v>
      </c>
      <c r="L8" s="3">
        <v>46082</v>
      </c>
      <c r="M8" s="3">
        <v>46054</v>
      </c>
      <c r="N8" s="3">
        <v>46082</v>
      </c>
    </row>
    <row r="9" spans="1:14">
      <c r="A9" s="2" t="s">
        <v>175</v>
      </c>
      <c r="B9" s="2" t="s">
        <v>162</v>
      </c>
      <c r="C9" s="3">
        <v>45670</v>
      </c>
      <c r="D9" s="3">
        <v>51501</v>
      </c>
      <c r="E9" s="3"/>
      <c r="F9" s="3"/>
      <c r="G9" s="2" t="s">
        <v>169</v>
      </c>
      <c r="H9" s="6" t="s">
        <v>164</v>
      </c>
      <c r="I9" s="6"/>
      <c r="J9" s="2" t="s">
        <v>165</v>
      </c>
      <c r="K9" s="3">
        <v>45670</v>
      </c>
      <c r="L9" s="3">
        <v>46082</v>
      </c>
      <c r="M9" s="3">
        <v>46054</v>
      </c>
      <c r="N9" s="3">
        <v>46082</v>
      </c>
    </row>
    <row r="10" spans="1:14">
      <c r="A10" s="2" t="s">
        <v>176</v>
      </c>
      <c r="B10" s="2" t="s">
        <v>162</v>
      </c>
      <c r="C10" s="3">
        <v>44501</v>
      </c>
      <c r="D10" s="3">
        <v>51501</v>
      </c>
      <c r="E10" s="3"/>
      <c r="F10" s="3"/>
      <c r="G10" s="2" t="s">
        <v>173</v>
      </c>
      <c r="H10" s="6" t="s">
        <v>164</v>
      </c>
      <c r="I10" s="6"/>
      <c r="J10" s="2" t="s">
        <v>165</v>
      </c>
      <c r="K10" s="3">
        <v>42949</v>
      </c>
      <c r="L10" s="3">
        <v>46082</v>
      </c>
      <c r="M10" s="3">
        <v>46054</v>
      </c>
      <c r="N10" s="3">
        <v>46082</v>
      </c>
    </row>
    <row r="11" spans="1:14">
      <c r="A11" s="2" t="s">
        <v>177</v>
      </c>
      <c r="B11" s="2" t="s">
        <v>162</v>
      </c>
      <c r="C11" s="3">
        <v>45670</v>
      </c>
      <c r="D11" s="3">
        <v>51501</v>
      </c>
      <c r="E11" s="3"/>
      <c r="F11" s="3"/>
      <c r="G11" s="2" t="s">
        <v>169</v>
      </c>
      <c r="H11" s="6" t="s">
        <v>164</v>
      </c>
      <c r="I11" s="6"/>
      <c r="J11" s="2" t="s">
        <v>165</v>
      </c>
      <c r="K11" s="3">
        <v>45670</v>
      </c>
      <c r="L11" s="3">
        <v>46082</v>
      </c>
      <c r="M11" s="3">
        <v>46054</v>
      </c>
      <c r="N11" s="3">
        <v>46082</v>
      </c>
    </row>
    <row r="12" spans="1:14">
      <c r="A12" s="2" t="s">
        <v>68</v>
      </c>
      <c r="B12" s="2" t="s">
        <v>162</v>
      </c>
      <c r="C12" s="3">
        <v>45670</v>
      </c>
      <c r="D12" s="3">
        <v>51501</v>
      </c>
      <c r="E12" s="3"/>
      <c r="F12" s="3"/>
      <c r="G12" s="2" t="s">
        <v>169</v>
      </c>
      <c r="H12" s="6" t="s">
        <v>164</v>
      </c>
      <c r="I12" s="6"/>
      <c r="J12" s="2" t="s">
        <v>165</v>
      </c>
      <c r="K12" s="3">
        <v>45670</v>
      </c>
      <c r="L12" s="3">
        <v>46082</v>
      </c>
      <c r="M12" s="3">
        <v>46054</v>
      </c>
      <c r="N12" s="3">
        <v>46082</v>
      </c>
    </row>
    <row r="13" spans="1:14">
      <c r="A13" s="2" t="s">
        <v>69</v>
      </c>
      <c r="B13" s="2" t="s">
        <v>162</v>
      </c>
      <c r="C13" s="3">
        <v>45658</v>
      </c>
      <c r="D13" s="3">
        <v>51501</v>
      </c>
      <c r="E13" s="3"/>
      <c r="F13" s="3"/>
      <c r="G13" s="2" t="s">
        <v>173</v>
      </c>
      <c r="H13" s="6" t="s">
        <v>164</v>
      </c>
      <c r="I13" s="6"/>
      <c r="J13" s="2" t="s">
        <v>165</v>
      </c>
      <c r="K13" s="3">
        <v>42972</v>
      </c>
      <c r="L13" s="3">
        <v>46082</v>
      </c>
      <c r="M13" s="3">
        <v>46054</v>
      </c>
      <c r="N13" s="3">
        <v>46082</v>
      </c>
    </row>
    <row r="14" spans="1:14">
      <c r="A14" s="2" t="s">
        <v>178</v>
      </c>
      <c r="B14" s="2" t="s">
        <v>162</v>
      </c>
      <c r="C14" s="3">
        <v>45670</v>
      </c>
      <c r="D14" s="3">
        <v>51501</v>
      </c>
      <c r="E14" s="3"/>
      <c r="F14" s="3"/>
      <c r="G14" s="2" t="s">
        <v>169</v>
      </c>
      <c r="H14" s="6" t="s">
        <v>164</v>
      </c>
      <c r="I14" s="6"/>
      <c r="J14" s="2" t="s">
        <v>165</v>
      </c>
      <c r="K14" s="3">
        <v>45670</v>
      </c>
      <c r="L14" s="3">
        <v>46082</v>
      </c>
      <c r="M14" s="3">
        <v>46054</v>
      </c>
      <c r="N14" s="3">
        <v>46082</v>
      </c>
    </row>
    <row r="15" spans="1:14">
      <c r="A15" s="2" t="s">
        <v>179</v>
      </c>
      <c r="B15" s="2" t="s">
        <v>162</v>
      </c>
      <c r="C15" s="3">
        <v>44911</v>
      </c>
      <c r="D15" s="3">
        <v>51501</v>
      </c>
      <c r="E15" s="3"/>
      <c r="F15" s="3"/>
      <c r="G15" s="2" t="s">
        <v>180</v>
      </c>
      <c r="H15" s="6" t="s">
        <v>164</v>
      </c>
      <c r="I15" s="6"/>
      <c r="J15" s="2" t="s">
        <v>165</v>
      </c>
      <c r="K15" s="3">
        <v>41417</v>
      </c>
      <c r="L15" s="3">
        <v>46082</v>
      </c>
      <c r="M15" s="3">
        <v>46054</v>
      </c>
      <c r="N15" s="3">
        <v>46082</v>
      </c>
    </row>
    <row r="16" spans="1:14">
      <c r="A16" s="2" t="s">
        <v>181</v>
      </c>
      <c r="B16" s="2" t="s">
        <v>162</v>
      </c>
      <c r="C16" s="3">
        <v>45670</v>
      </c>
      <c r="D16" s="3">
        <v>51501</v>
      </c>
      <c r="E16" s="3"/>
      <c r="F16" s="3"/>
      <c r="G16" s="2" t="s">
        <v>169</v>
      </c>
      <c r="H16" s="6" t="s">
        <v>164</v>
      </c>
      <c r="I16" s="6"/>
      <c r="J16" s="2" t="s">
        <v>165</v>
      </c>
      <c r="K16" s="3">
        <v>45670</v>
      </c>
      <c r="L16" s="3">
        <v>46082</v>
      </c>
      <c r="M16" s="3">
        <v>46054</v>
      </c>
      <c r="N16" s="3">
        <v>46082</v>
      </c>
    </row>
    <row r="17" spans="1:14">
      <c r="A17" s="2" t="s">
        <v>182</v>
      </c>
      <c r="B17" s="2" t="s">
        <v>162</v>
      </c>
      <c r="C17" s="3">
        <v>45670</v>
      </c>
      <c r="D17" s="3">
        <v>51501</v>
      </c>
      <c r="E17" s="3"/>
      <c r="F17" s="3"/>
      <c r="G17" s="2" t="s">
        <v>183</v>
      </c>
      <c r="H17" s="6" t="s">
        <v>164</v>
      </c>
      <c r="I17" s="6"/>
      <c r="J17" s="2" t="s">
        <v>165</v>
      </c>
      <c r="K17" s="3">
        <v>45670</v>
      </c>
      <c r="L17" s="3">
        <v>46082</v>
      </c>
      <c r="M17" s="3">
        <v>46054</v>
      </c>
      <c r="N17" s="3">
        <v>46082</v>
      </c>
    </row>
    <row r="18" spans="1:14">
      <c r="A18" s="2" t="s">
        <v>184</v>
      </c>
      <c r="B18" s="2" t="s">
        <v>162</v>
      </c>
      <c r="C18" s="3">
        <v>45670</v>
      </c>
      <c r="D18" s="3">
        <v>51501</v>
      </c>
      <c r="E18" s="3"/>
      <c r="F18" s="3"/>
      <c r="G18" s="2" t="s">
        <v>173</v>
      </c>
      <c r="H18" s="6" t="s">
        <v>164</v>
      </c>
      <c r="I18" s="6"/>
      <c r="J18" s="2" t="s">
        <v>165</v>
      </c>
      <c r="K18" s="3">
        <v>45670</v>
      </c>
      <c r="L18" s="3">
        <v>46082</v>
      </c>
      <c r="M18" s="3">
        <v>46054</v>
      </c>
      <c r="N18" s="3">
        <v>46082</v>
      </c>
    </row>
    <row r="19" spans="1:14">
      <c r="A19" s="2" t="s">
        <v>185</v>
      </c>
      <c r="B19" s="2" t="s">
        <v>162</v>
      </c>
      <c r="C19" s="3">
        <v>45670</v>
      </c>
      <c r="D19" s="3">
        <v>51501</v>
      </c>
      <c r="E19" s="3"/>
      <c r="F19" s="3"/>
      <c r="G19" s="2" t="s">
        <v>169</v>
      </c>
      <c r="H19" s="6" t="s">
        <v>164</v>
      </c>
      <c r="I19" s="6"/>
      <c r="J19" s="2" t="s">
        <v>165</v>
      </c>
      <c r="K19" s="3">
        <v>45670</v>
      </c>
      <c r="L19" s="3">
        <v>46082</v>
      </c>
      <c r="M19" s="3">
        <v>46054</v>
      </c>
      <c r="N19" s="3">
        <v>46082</v>
      </c>
    </row>
    <row r="20" spans="1:14">
      <c r="A20" s="2" t="s">
        <v>186</v>
      </c>
      <c r="B20" s="2" t="s">
        <v>162</v>
      </c>
      <c r="C20" s="3">
        <v>45670</v>
      </c>
      <c r="D20" s="3">
        <v>51501</v>
      </c>
      <c r="E20" s="3"/>
      <c r="F20" s="3"/>
      <c r="G20" s="2" t="s">
        <v>169</v>
      </c>
      <c r="H20" s="6" t="s">
        <v>164</v>
      </c>
      <c r="I20" s="6"/>
      <c r="J20" s="2" t="s">
        <v>165</v>
      </c>
      <c r="K20" s="3">
        <v>45670</v>
      </c>
      <c r="L20" s="3">
        <v>46082</v>
      </c>
      <c r="M20" s="3">
        <v>46054</v>
      </c>
      <c r="N20" s="3">
        <v>46082</v>
      </c>
    </row>
    <row r="21" spans="1:14">
      <c r="A21" s="2" t="s">
        <v>187</v>
      </c>
      <c r="B21" s="2" t="s">
        <v>162</v>
      </c>
      <c r="C21" s="3">
        <v>45658</v>
      </c>
      <c r="D21" s="3">
        <v>51501</v>
      </c>
      <c r="E21" s="3"/>
      <c r="F21" s="3"/>
      <c r="G21" s="2" t="s">
        <v>173</v>
      </c>
      <c r="H21" s="6" t="s">
        <v>164</v>
      </c>
      <c r="I21" s="6"/>
      <c r="J21" s="2" t="s">
        <v>165</v>
      </c>
      <c r="K21" s="3">
        <v>40396</v>
      </c>
      <c r="L21" s="3">
        <v>46082</v>
      </c>
      <c r="M21" s="3">
        <v>46054</v>
      </c>
      <c r="N21" s="3">
        <v>46082</v>
      </c>
    </row>
    <row r="22" spans="1:14">
      <c r="A22" s="2" t="s">
        <v>87</v>
      </c>
      <c r="B22" s="2" t="s">
        <v>162</v>
      </c>
      <c r="C22" s="3">
        <v>45658</v>
      </c>
      <c r="D22" s="3">
        <v>51501</v>
      </c>
      <c r="E22" s="3"/>
      <c r="F22" s="3"/>
      <c r="G22" s="2" t="s">
        <v>188</v>
      </c>
      <c r="H22" s="6" t="s">
        <v>164</v>
      </c>
      <c r="I22" s="6"/>
      <c r="J22" s="2" t="s">
        <v>165</v>
      </c>
      <c r="K22" s="3">
        <v>43783</v>
      </c>
      <c r="L22" s="3">
        <v>46082</v>
      </c>
      <c r="M22" s="3">
        <v>46054</v>
      </c>
      <c r="N22" s="3">
        <v>46082</v>
      </c>
    </row>
    <row r="23" spans="1:14">
      <c r="A23" s="2" t="s">
        <v>189</v>
      </c>
      <c r="B23" s="2" t="s">
        <v>162</v>
      </c>
      <c r="C23" s="3">
        <v>44501</v>
      </c>
      <c r="D23" s="3">
        <v>51501</v>
      </c>
      <c r="E23" s="3"/>
      <c r="F23" s="3"/>
      <c r="G23" s="2" t="s">
        <v>190</v>
      </c>
      <c r="H23" s="6" t="s">
        <v>164</v>
      </c>
      <c r="I23" s="6"/>
      <c r="J23" s="2" t="s">
        <v>165</v>
      </c>
      <c r="K23" s="3">
        <v>42119</v>
      </c>
      <c r="L23" s="3">
        <v>46082</v>
      </c>
      <c r="M23" s="3">
        <v>46054</v>
      </c>
      <c r="N23" s="3">
        <v>46082</v>
      </c>
    </row>
    <row r="24" spans="1:14">
      <c r="A24" s="2" t="s">
        <v>191</v>
      </c>
      <c r="B24" s="2" t="s">
        <v>162</v>
      </c>
      <c r="C24" s="3">
        <v>45670</v>
      </c>
      <c r="D24" s="3">
        <v>51501</v>
      </c>
      <c r="E24" s="3"/>
      <c r="F24" s="3"/>
      <c r="G24" s="2" t="s">
        <v>169</v>
      </c>
      <c r="H24" s="6" t="s">
        <v>164</v>
      </c>
      <c r="I24" s="6"/>
      <c r="J24" s="2" t="s">
        <v>165</v>
      </c>
      <c r="K24" s="3">
        <v>45670</v>
      </c>
      <c r="L24" s="3">
        <v>46082</v>
      </c>
      <c r="M24" s="3">
        <v>46054</v>
      </c>
      <c r="N24" s="3">
        <v>46082</v>
      </c>
    </row>
    <row r="25" spans="1:14">
      <c r="A25" s="2" t="s">
        <v>192</v>
      </c>
      <c r="B25" s="2" t="s">
        <v>162</v>
      </c>
      <c r="C25" s="3">
        <v>45670</v>
      </c>
      <c r="D25" s="3">
        <v>51501</v>
      </c>
      <c r="E25" s="3"/>
      <c r="F25" s="3"/>
      <c r="G25" s="2" t="s">
        <v>173</v>
      </c>
      <c r="H25" s="6" t="s">
        <v>164</v>
      </c>
      <c r="I25" s="6"/>
      <c r="J25" s="2" t="s">
        <v>165</v>
      </c>
      <c r="K25" s="3">
        <v>45670</v>
      </c>
      <c r="L25" s="3">
        <v>46082</v>
      </c>
      <c r="M25" s="3">
        <v>46054</v>
      </c>
      <c r="N25" s="3">
        <v>46082</v>
      </c>
    </row>
    <row r="26" spans="1:14">
      <c r="A26" s="2" t="s">
        <v>193</v>
      </c>
      <c r="B26" s="2" t="s">
        <v>162</v>
      </c>
      <c r="C26" s="3">
        <v>45670</v>
      </c>
      <c r="D26" s="3">
        <v>51501</v>
      </c>
      <c r="E26" s="3"/>
      <c r="F26" s="3"/>
      <c r="G26" s="2" t="s">
        <v>173</v>
      </c>
      <c r="H26" s="6" t="s">
        <v>164</v>
      </c>
      <c r="I26" s="6"/>
      <c r="J26" s="2" t="s">
        <v>165</v>
      </c>
      <c r="K26" s="3">
        <v>45670</v>
      </c>
      <c r="L26" s="3">
        <v>46082</v>
      </c>
      <c r="M26" s="3">
        <v>46054</v>
      </c>
      <c r="N26" s="3">
        <v>46082</v>
      </c>
    </row>
    <row r="27" spans="1:14">
      <c r="A27" s="2" t="s">
        <v>194</v>
      </c>
      <c r="B27" s="2" t="s">
        <v>162</v>
      </c>
      <c r="C27" s="3">
        <v>45670</v>
      </c>
      <c r="D27" s="3">
        <v>51501</v>
      </c>
      <c r="E27" s="3"/>
      <c r="F27" s="3"/>
      <c r="G27" s="2" t="s">
        <v>195</v>
      </c>
      <c r="H27" s="6" t="s">
        <v>164</v>
      </c>
      <c r="I27" s="6"/>
      <c r="J27" s="2" t="s">
        <v>165</v>
      </c>
      <c r="K27" s="3">
        <v>45670</v>
      </c>
      <c r="L27" s="3">
        <v>46082</v>
      </c>
      <c r="M27" s="3">
        <v>46054</v>
      </c>
      <c r="N27" s="3">
        <v>46082</v>
      </c>
    </row>
    <row r="28" spans="1:14">
      <c r="A28" s="2" t="s">
        <v>196</v>
      </c>
      <c r="B28" s="2" t="s">
        <v>162</v>
      </c>
      <c r="C28" s="3">
        <v>45658</v>
      </c>
      <c r="D28" s="3">
        <v>51501</v>
      </c>
      <c r="E28" s="3"/>
      <c r="F28" s="3"/>
      <c r="G28" s="2" t="s">
        <v>173</v>
      </c>
      <c r="H28" s="6" t="s">
        <v>164</v>
      </c>
      <c r="I28" s="6"/>
      <c r="J28" s="2" t="s">
        <v>165</v>
      </c>
      <c r="K28" s="3">
        <v>39766</v>
      </c>
      <c r="L28" s="3">
        <v>46082</v>
      </c>
      <c r="M28" s="3">
        <v>46054</v>
      </c>
      <c r="N28" s="3">
        <v>46082</v>
      </c>
    </row>
    <row r="29" spans="1:14">
      <c r="A29" s="2" t="s">
        <v>197</v>
      </c>
      <c r="B29" s="2" t="s">
        <v>162</v>
      </c>
      <c r="C29" s="3">
        <v>45658</v>
      </c>
      <c r="D29" s="3">
        <v>51501</v>
      </c>
      <c r="E29" s="3"/>
      <c r="F29" s="3"/>
      <c r="G29" s="2" t="s">
        <v>169</v>
      </c>
      <c r="H29" s="6" t="s">
        <v>164</v>
      </c>
      <c r="I29" s="6"/>
      <c r="J29" s="2" t="s">
        <v>165</v>
      </c>
      <c r="K29" s="3">
        <v>41075</v>
      </c>
      <c r="L29" s="3">
        <v>46082</v>
      </c>
      <c r="M29" s="3">
        <v>46054</v>
      </c>
      <c r="N29" s="3">
        <v>46082</v>
      </c>
    </row>
    <row r="30" spans="1:14">
      <c r="A30" s="2" t="s">
        <v>110</v>
      </c>
      <c r="B30" s="2" t="s">
        <v>162</v>
      </c>
      <c r="C30" s="3">
        <v>45670</v>
      </c>
      <c r="D30" s="3">
        <v>51501</v>
      </c>
      <c r="E30" s="3"/>
      <c r="F30" s="3"/>
      <c r="G30" s="2" t="s">
        <v>169</v>
      </c>
      <c r="H30" s="6" t="s">
        <v>164</v>
      </c>
      <c r="I30" s="6"/>
      <c r="J30" s="2" t="s">
        <v>165</v>
      </c>
      <c r="K30" s="3">
        <v>45670</v>
      </c>
      <c r="L30" s="3">
        <v>46082</v>
      </c>
      <c r="M30" s="3">
        <v>46054</v>
      </c>
      <c r="N30" s="3">
        <v>46082</v>
      </c>
    </row>
    <row r="31" spans="1:14">
      <c r="A31" s="2" t="s">
        <v>198</v>
      </c>
      <c r="B31" s="2" t="s">
        <v>162</v>
      </c>
      <c r="C31" s="3">
        <v>45670</v>
      </c>
      <c r="D31" s="3">
        <v>51501</v>
      </c>
      <c r="E31" s="3"/>
      <c r="F31" s="3"/>
      <c r="G31" s="2" t="s">
        <v>188</v>
      </c>
      <c r="H31" s="6" t="s">
        <v>164</v>
      </c>
      <c r="I31" s="6"/>
      <c r="J31" s="2" t="s">
        <v>165</v>
      </c>
      <c r="K31" s="3">
        <v>45670</v>
      </c>
      <c r="L31" s="3">
        <v>46082</v>
      </c>
      <c r="M31" s="3">
        <v>46054</v>
      </c>
      <c r="N31" s="3">
        <v>46082</v>
      </c>
    </row>
    <row r="32" spans="1:14">
      <c r="A32" s="2" t="s">
        <v>199</v>
      </c>
      <c r="B32" s="2" t="s">
        <v>162</v>
      </c>
      <c r="C32" s="3">
        <v>45016</v>
      </c>
      <c r="D32" s="3">
        <v>51501</v>
      </c>
      <c r="E32" s="3"/>
      <c r="F32" s="3"/>
      <c r="G32" s="2" t="s">
        <v>173</v>
      </c>
      <c r="H32" s="6" t="s">
        <v>164</v>
      </c>
      <c r="I32" s="6"/>
      <c r="J32" s="2" t="s">
        <v>165</v>
      </c>
      <c r="K32" s="3">
        <v>45016</v>
      </c>
      <c r="L32" s="3">
        <v>46082</v>
      </c>
      <c r="M32" s="3">
        <v>46054</v>
      </c>
      <c r="N32" s="3">
        <v>46082</v>
      </c>
    </row>
    <row r="33" spans="1:14">
      <c r="A33" s="2" t="s">
        <v>200</v>
      </c>
      <c r="B33" s="2" t="s">
        <v>162</v>
      </c>
      <c r="C33" s="3">
        <v>44743</v>
      </c>
      <c r="D33" s="3">
        <v>51501</v>
      </c>
      <c r="E33" s="3"/>
      <c r="F33" s="3"/>
      <c r="G33" s="2" t="s">
        <v>201</v>
      </c>
      <c r="H33" s="6" t="s">
        <v>164</v>
      </c>
      <c r="I33" s="6"/>
      <c r="J33" s="2" t="s">
        <v>165</v>
      </c>
      <c r="K33" s="3">
        <v>42886</v>
      </c>
      <c r="L33" s="3">
        <v>46082</v>
      </c>
      <c r="M33" s="3">
        <v>46054</v>
      </c>
      <c r="N33" s="3">
        <v>46082</v>
      </c>
    </row>
    <row r="34" spans="1:14">
      <c r="A34" s="2" t="s">
        <v>202</v>
      </c>
      <c r="B34" s="2" t="s">
        <v>162</v>
      </c>
      <c r="C34" s="3">
        <v>45670</v>
      </c>
      <c r="D34" s="3">
        <v>51501</v>
      </c>
      <c r="E34" s="3"/>
      <c r="F34" s="3"/>
      <c r="G34" s="2" t="s">
        <v>195</v>
      </c>
      <c r="H34" s="6" t="s">
        <v>164</v>
      </c>
      <c r="I34" s="6"/>
      <c r="J34" s="2" t="s">
        <v>165</v>
      </c>
      <c r="K34" s="3">
        <v>45670</v>
      </c>
      <c r="L34" s="3">
        <v>46082</v>
      </c>
      <c r="M34" s="3">
        <v>46054</v>
      </c>
      <c r="N34" s="3">
        <v>46082</v>
      </c>
    </row>
    <row r="35" spans="1:14">
      <c r="A35" s="2" t="s">
        <v>203</v>
      </c>
      <c r="B35" s="2" t="s">
        <v>162</v>
      </c>
      <c r="C35" s="3">
        <v>45009</v>
      </c>
      <c r="D35" s="3">
        <v>51501</v>
      </c>
      <c r="E35" s="3"/>
      <c r="F35" s="3"/>
      <c r="G35" s="2" t="s">
        <v>188</v>
      </c>
      <c r="H35" s="6" t="s">
        <v>164</v>
      </c>
      <c r="I35" s="6"/>
      <c r="J35" s="2" t="s">
        <v>165</v>
      </c>
      <c r="K35" s="3">
        <v>45009</v>
      </c>
      <c r="L35" s="3">
        <v>46082</v>
      </c>
      <c r="M35" s="3">
        <v>46054</v>
      </c>
      <c r="N35" s="3">
        <v>46082</v>
      </c>
    </row>
    <row r="36" spans="1:14">
      <c r="A36" s="2" t="s">
        <v>204</v>
      </c>
      <c r="B36" s="2" t="s">
        <v>162</v>
      </c>
      <c r="C36" s="3">
        <v>45658</v>
      </c>
      <c r="D36" s="3">
        <v>51501</v>
      </c>
      <c r="E36" s="3"/>
      <c r="F36" s="3"/>
      <c r="G36" s="2" t="s">
        <v>173</v>
      </c>
      <c r="H36" s="6" t="s">
        <v>164</v>
      </c>
      <c r="I36" s="6"/>
      <c r="J36" s="2" t="s">
        <v>165</v>
      </c>
      <c r="K36" s="3">
        <v>43021</v>
      </c>
      <c r="L36" s="3">
        <v>46082</v>
      </c>
      <c r="M36" s="3">
        <v>46054</v>
      </c>
      <c r="N36" s="3">
        <v>46082</v>
      </c>
    </row>
    <row r="37" spans="1:14">
      <c r="A37" s="2" t="s">
        <v>205</v>
      </c>
      <c r="B37" s="2" t="s">
        <v>162</v>
      </c>
      <c r="C37" s="3">
        <v>45670</v>
      </c>
      <c r="D37" s="3">
        <v>51501</v>
      </c>
      <c r="E37" s="3"/>
      <c r="F37" s="3"/>
      <c r="G37" s="2" t="s">
        <v>169</v>
      </c>
      <c r="H37" s="6" t="s">
        <v>164</v>
      </c>
      <c r="I37" s="6"/>
      <c r="J37" s="2" t="s">
        <v>165</v>
      </c>
      <c r="K37" s="3">
        <v>45670</v>
      </c>
      <c r="L37" s="3">
        <v>46082</v>
      </c>
      <c r="M37" s="3">
        <v>46054</v>
      </c>
      <c r="N37" s="3">
        <v>46082</v>
      </c>
    </row>
    <row r="38" spans="1:14">
      <c r="A38" s="2" t="s">
        <v>205</v>
      </c>
      <c r="B38" s="2" t="s">
        <v>162</v>
      </c>
      <c r="C38" s="3">
        <v>44866</v>
      </c>
      <c r="D38" s="3">
        <v>51501</v>
      </c>
      <c r="E38" s="3"/>
      <c r="F38" s="3"/>
      <c r="G38" s="2" t="s">
        <v>190</v>
      </c>
      <c r="H38" s="6" t="s">
        <v>164</v>
      </c>
      <c r="I38" s="6"/>
      <c r="J38" s="2" t="s">
        <v>165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João Silva</cp:lastModifiedBy>
  <cp:revision/>
  <dcterms:created xsi:type="dcterms:W3CDTF">2026-02-03T20:08:36Z</dcterms:created>
  <dcterms:modified xsi:type="dcterms:W3CDTF">2026-07-24T11:36:44Z</dcterms:modified>
  <cp:category/>
  <cp:contentStatus/>
</cp:coreProperties>
</file>
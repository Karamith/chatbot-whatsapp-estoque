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quinascomprint.sharepoint.com/sites/Comprint/Documentos Compartilhados/ADM-FINANCEIRO/IMPORT/Serviços/RELATÓRIO DE IMPORTAÇÕES/"/>
    </mc:Choice>
  </mc:AlternateContent>
  <xr:revisionPtr revIDLastSave="8559" documentId="8_{3D6D8685-DDCE-41E1-9782-62CD36895352}" xr6:coauthVersionLast="47" xr6:coauthVersionMax="47" xr10:uidLastSave="{66AE7B58-F9FF-4312-8B69-9509FFBFD139}"/>
  <bookViews>
    <workbookView xWindow="-28920" yWindow="-120" windowWidth="29040" windowHeight="15720" xr2:uid="{00000000-000D-0000-FFFF-FFFF00000000}"/>
  </bookViews>
  <sheets>
    <sheet name="CONTRATO" sheetId="1" r:id="rId1"/>
    <sheet name="ANTERIORES" sheetId="3" state="hidden" r:id="rId2"/>
    <sheet name="COMPRAS" sheetId="5" r:id="rId3"/>
    <sheet name="DB" sheetId="4" r:id="rId4"/>
    <sheet name="LOF" sheetId="2" r:id="rId5"/>
    <sheet name="Detalhes1" sheetId="7" state="hidden" r:id="rId6"/>
    <sheet name="Detalhes2" sheetId="8" state="hidden" r:id="rId7"/>
    <sheet name="Detalhes3" sheetId="9" state="hidden" r:id="rId8"/>
    <sheet name="Detalhes4" sheetId="10" state="hidden" r:id="rId9"/>
    <sheet name="Detalhes5" sheetId="11" state="hidden" r:id="rId10"/>
    <sheet name="Detalhes6" sheetId="12" state="hidden" r:id="rId11"/>
  </sheets>
  <definedNames>
    <definedName name="_xlnm._FilterDatabase" localSheetId="0" hidden="1">CONTRATO!#REF!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65" i="1" l="1"/>
  <c r="AC665" i="1" s="1"/>
  <c r="AE665" i="1" s="1"/>
  <c r="AD665" i="1" s="1"/>
  <c r="AB664" i="1"/>
  <c r="AC664" i="1" s="1"/>
  <c r="AE664" i="1" s="1"/>
  <c r="AD664" i="1" s="1"/>
  <c r="AB663" i="1"/>
  <c r="AC663" i="1" s="1"/>
  <c r="AE663" i="1" s="1"/>
  <c r="AD663" i="1" s="1"/>
  <c r="AB662" i="1"/>
  <c r="AC662" i="1" s="1"/>
  <c r="AE662" i="1" s="1"/>
  <c r="AD662" i="1" s="1"/>
  <c r="AB661" i="1"/>
  <c r="AC661" i="1" s="1"/>
  <c r="AE661" i="1" s="1"/>
  <c r="AD661" i="1" s="1"/>
  <c r="AB660" i="1"/>
  <c r="AC660" i="1" s="1"/>
  <c r="AE660" i="1" s="1"/>
  <c r="AD660" i="1" s="1"/>
  <c r="AB659" i="1"/>
  <c r="AC659" i="1" s="1"/>
  <c r="AE659" i="1" s="1"/>
  <c r="AD659" i="1" s="1"/>
  <c r="AB658" i="1"/>
  <c r="AC658" i="1" s="1"/>
  <c r="AE658" i="1" s="1"/>
  <c r="AD658" i="1" s="1"/>
  <c r="AB657" i="1"/>
  <c r="AC657" i="1" s="1"/>
  <c r="AE657" i="1" s="1"/>
  <c r="AD657" i="1" s="1"/>
  <c r="AB656" i="1"/>
  <c r="AC656" i="1" s="1"/>
  <c r="AE656" i="1" s="1"/>
  <c r="AD656" i="1" s="1"/>
  <c r="AB655" i="1"/>
  <c r="AC655" i="1" s="1"/>
  <c r="AE655" i="1" s="1"/>
  <c r="AD655" i="1" s="1"/>
  <c r="AB654" i="1"/>
  <c r="AC654" i="1" s="1"/>
  <c r="AE654" i="1" s="1"/>
  <c r="AD654" i="1" s="1"/>
  <c r="AB653" i="1"/>
  <c r="AC653" i="1" s="1"/>
  <c r="AE653" i="1" s="1"/>
  <c r="AD653" i="1" s="1"/>
  <c r="AB652" i="1"/>
  <c r="AC652" i="1" s="1"/>
  <c r="AE652" i="1" s="1"/>
  <c r="AD652" i="1" s="1"/>
  <c r="AB651" i="1"/>
  <c r="AC651" i="1" s="1"/>
  <c r="AE651" i="1" s="1"/>
  <c r="AD651" i="1" s="1"/>
  <c r="AB650" i="1"/>
  <c r="AC650" i="1" s="1"/>
  <c r="AE650" i="1" s="1"/>
  <c r="AD650" i="1" s="1"/>
  <c r="AB649" i="1"/>
  <c r="AC649" i="1" s="1"/>
  <c r="AE649" i="1" s="1"/>
  <c r="AD649" i="1" s="1"/>
  <c r="AB648" i="1"/>
  <c r="AC648" i="1" s="1"/>
  <c r="AE648" i="1" s="1"/>
  <c r="AD648" i="1" s="1"/>
  <c r="AB647" i="1"/>
  <c r="AC647" i="1" s="1"/>
  <c r="AE647" i="1" s="1"/>
  <c r="AD647" i="1" s="1"/>
  <c r="AB646" i="1"/>
  <c r="AC646" i="1" s="1"/>
  <c r="AE646" i="1" s="1"/>
  <c r="AD646" i="1" s="1"/>
  <c r="AB645" i="1"/>
  <c r="AC645" i="1" s="1"/>
  <c r="AE645" i="1" s="1"/>
  <c r="AD645" i="1" s="1"/>
  <c r="AB644" i="1"/>
  <c r="AC644" i="1" s="1"/>
  <c r="AE644" i="1" s="1"/>
  <c r="AD644" i="1" s="1"/>
  <c r="AB643" i="1"/>
  <c r="AC643" i="1" s="1"/>
  <c r="AE643" i="1" s="1"/>
  <c r="AD643" i="1" s="1"/>
  <c r="AB642" i="1"/>
  <c r="AC642" i="1" s="1"/>
  <c r="AE642" i="1" s="1"/>
  <c r="AD642" i="1" s="1"/>
  <c r="AB641" i="1"/>
  <c r="AC641" i="1" s="1"/>
  <c r="AE641" i="1" s="1"/>
  <c r="AD641" i="1" s="1"/>
  <c r="AB640" i="1"/>
  <c r="AC640" i="1" s="1"/>
  <c r="AE640" i="1" s="1"/>
  <c r="AD640" i="1" s="1"/>
  <c r="AB639" i="1"/>
  <c r="AC639" i="1" s="1"/>
  <c r="AE639" i="1" s="1"/>
  <c r="AD639" i="1" s="1"/>
  <c r="AB638" i="1"/>
  <c r="AC638" i="1" s="1"/>
  <c r="AE638" i="1" s="1"/>
  <c r="AD638" i="1" s="1"/>
  <c r="AB637" i="1"/>
  <c r="AC637" i="1" s="1"/>
  <c r="AE637" i="1" s="1"/>
  <c r="AD637" i="1" s="1"/>
  <c r="AB636" i="1"/>
  <c r="AC636" i="1" s="1"/>
  <c r="AE636" i="1" s="1"/>
  <c r="AD636" i="1" s="1"/>
  <c r="AB635" i="1"/>
  <c r="AC635" i="1" s="1"/>
  <c r="AE635" i="1" s="1"/>
  <c r="AD635" i="1" s="1"/>
  <c r="AB634" i="1"/>
  <c r="AC634" i="1" s="1"/>
  <c r="AE634" i="1" s="1"/>
  <c r="AD634" i="1" s="1"/>
  <c r="AB633" i="1"/>
  <c r="AC633" i="1" s="1"/>
  <c r="AE633" i="1" s="1"/>
  <c r="AD633" i="1" s="1"/>
  <c r="AB632" i="1"/>
  <c r="AC632" i="1" s="1"/>
  <c r="AE632" i="1" s="1"/>
  <c r="AD632" i="1" s="1"/>
  <c r="AB631" i="1"/>
  <c r="AC631" i="1" s="1"/>
  <c r="AE631" i="1" s="1"/>
  <c r="AD631" i="1" s="1"/>
  <c r="AB630" i="1"/>
  <c r="AC630" i="1" s="1"/>
  <c r="AE630" i="1" s="1"/>
  <c r="AD630" i="1" s="1"/>
  <c r="AB629" i="1"/>
  <c r="AC629" i="1" s="1"/>
  <c r="AE629" i="1" s="1"/>
  <c r="AD629" i="1" s="1"/>
  <c r="AB628" i="1"/>
  <c r="AC628" i="1" s="1"/>
  <c r="AE628" i="1" s="1"/>
  <c r="AD628" i="1" s="1"/>
  <c r="AB627" i="1"/>
  <c r="AC627" i="1" s="1"/>
  <c r="AE627" i="1" s="1"/>
  <c r="AD627" i="1" s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AB626" i="1"/>
  <c r="AC626" i="1" s="1"/>
  <c r="AE626" i="1" s="1"/>
  <c r="AD626" i="1" s="1"/>
  <c r="Z626" i="1"/>
  <c r="X626" i="1"/>
  <c r="X625" i="1"/>
  <c r="Z625" i="1"/>
  <c r="AB625" i="1"/>
  <c r="AC625" i="1"/>
  <c r="AE625" i="1"/>
  <c r="AD625" i="1" s="1"/>
  <c r="X623" i="1"/>
  <c r="Z623" i="1"/>
  <c r="AB623" i="1"/>
  <c r="AC623" i="1" s="1"/>
  <c r="AE623" i="1" s="1"/>
  <c r="AD623" i="1" s="1"/>
  <c r="X624" i="1"/>
  <c r="Z624" i="1"/>
  <c r="AB624" i="1"/>
  <c r="AC624" i="1" s="1"/>
  <c r="AE624" i="1" s="1"/>
  <c r="AD624" i="1" s="1"/>
  <c r="X621" i="1"/>
  <c r="Z621" i="1"/>
  <c r="AB621" i="1"/>
  <c r="AC621" i="1" s="1"/>
  <c r="AE621" i="1" s="1"/>
  <c r="AD621" i="1" s="1"/>
  <c r="X622" i="1"/>
  <c r="Z622" i="1"/>
  <c r="AB622" i="1"/>
  <c r="AC622" i="1" s="1"/>
  <c r="AE622" i="1" s="1"/>
  <c r="AD622" i="1" s="1"/>
  <c r="X604" i="1"/>
  <c r="Z604" i="1"/>
  <c r="AB604" i="1"/>
  <c r="AC604" i="1" s="1"/>
  <c r="AE604" i="1" s="1"/>
  <c r="AD604" i="1" s="1"/>
  <c r="X605" i="1"/>
  <c r="Z605" i="1"/>
  <c r="AB605" i="1"/>
  <c r="AC605" i="1" s="1"/>
  <c r="AE605" i="1" s="1"/>
  <c r="AD605" i="1" s="1"/>
  <c r="X606" i="1"/>
  <c r="Z606" i="1"/>
  <c r="AB606" i="1"/>
  <c r="AC606" i="1" s="1"/>
  <c r="AE606" i="1" s="1"/>
  <c r="AD606" i="1" s="1"/>
  <c r="X607" i="1"/>
  <c r="Z607" i="1"/>
  <c r="AB607" i="1"/>
  <c r="AC607" i="1" s="1"/>
  <c r="AE607" i="1" s="1"/>
  <c r="AD607" i="1" s="1"/>
  <c r="X608" i="1"/>
  <c r="Z608" i="1"/>
  <c r="AB608" i="1"/>
  <c r="AC608" i="1" s="1"/>
  <c r="AE608" i="1" s="1"/>
  <c r="AD608" i="1" s="1"/>
  <c r="X609" i="1"/>
  <c r="Z609" i="1"/>
  <c r="AB609" i="1"/>
  <c r="AC609" i="1" s="1"/>
  <c r="AE609" i="1" s="1"/>
  <c r="AD609" i="1" s="1"/>
  <c r="X610" i="1"/>
  <c r="Z610" i="1"/>
  <c r="AB610" i="1"/>
  <c r="AC610" i="1" s="1"/>
  <c r="AE610" i="1" s="1"/>
  <c r="AD610" i="1" s="1"/>
  <c r="X611" i="1"/>
  <c r="Z611" i="1"/>
  <c r="AB611" i="1"/>
  <c r="AC611" i="1" s="1"/>
  <c r="AE611" i="1" s="1"/>
  <c r="AD611" i="1" s="1"/>
  <c r="X612" i="1"/>
  <c r="Z612" i="1"/>
  <c r="AB612" i="1"/>
  <c r="AC612" i="1" s="1"/>
  <c r="AE612" i="1" s="1"/>
  <c r="AD612" i="1" s="1"/>
  <c r="X613" i="1"/>
  <c r="Z613" i="1"/>
  <c r="AB613" i="1"/>
  <c r="AC613" i="1" s="1"/>
  <c r="AE613" i="1" s="1"/>
  <c r="AD613" i="1" s="1"/>
  <c r="X614" i="1"/>
  <c r="Z614" i="1"/>
  <c r="AB614" i="1"/>
  <c r="AC614" i="1" s="1"/>
  <c r="AE614" i="1" s="1"/>
  <c r="AD614" i="1" s="1"/>
  <c r="X615" i="1"/>
  <c r="Z615" i="1"/>
  <c r="AB615" i="1"/>
  <c r="AC615" i="1" s="1"/>
  <c r="AE615" i="1" s="1"/>
  <c r="AD615" i="1" s="1"/>
  <c r="X616" i="1"/>
  <c r="Z616" i="1"/>
  <c r="AB616" i="1"/>
  <c r="AC616" i="1" s="1"/>
  <c r="AE616" i="1" s="1"/>
  <c r="AD616" i="1" s="1"/>
  <c r="X617" i="1"/>
  <c r="Z617" i="1"/>
  <c r="AB617" i="1"/>
  <c r="AC617" i="1" s="1"/>
  <c r="AE617" i="1" s="1"/>
  <c r="AD617" i="1" s="1"/>
  <c r="X618" i="1"/>
  <c r="Z618" i="1"/>
  <c r="AB618" i="1"/>
  <c r="AC618" i="1" s="1"/>
  <c r="AE618" i="1" s="1"/>
  <c r="AD618" i="1" s="1"/>
  <c r="X619" i="1"/>
  <c r="Z619" i="1"/>
  <c r="AB619" i="1"/>
  <c r="AC619" i="1" s="1"/>
  <c r="AE619" i="1" s="1"/>
  <c r="AD619" i="1" s="1"/>
  <c r="X620" i="1"/>
  <c r="Z620" i="1"/>
  <c r="AB620" i="1"/>
  <c r="AC620" i="1" s="1"/>
  <c r="AE620" i="1" s="1"/>
  <c r="AD620" i="1" s="1"/>
  <c r="X598" i="1"/>
  <c r="Z598" i="1"/>
  <c r="AB598" i="1"/>
  <c r="AC598" i="1" s="1"/>
  <c r="AE598" i="1" s="1"/>
  <c r="AD598" i="1" s="1"/>
  <c r="X599" i="1"/>
  <c r="Z599" i="1"/>
  <c r="AB599" i="1"/>
  <c r="AC599" i="1" s="1"/>
  <c r="AE599" i="1" s="1"/>
  <c r="AD599" i="1" s="1"/>
  <c r="X600" i="1"/>
  <c r="Z600" i="1"/>
  <c r="AB600" i="1"/>
  <c r="AC600" i="1" s="1"/>
  <c r="AE600" i="1" s="1"/>
  <c r="AD600" i="1" s="1"/>
  <c r="X601" i="1"/>
  <c r="Z601" i="1"/>
  <c r="AB601" i="1"/>
  <c r="AC601" i="1" s="1"/>
  <c r="AE601" i="1" s="1"/>
  <c r="AD601" i="1" s="1"/>
  <c r="X602" i="1"/>
  <c r="Z602" i="1"/>
  <c r="AB602" i="1"/>
  <c r="AC602" i="1" s="1"/>
  <c r="AE602" i="1" s="1"/>
  <c r="AD602" i="1" s="1"/>
  <c r="X603" i="1"/>
  <c r="Z603" i="1"/>
  <c r="AB603" i="1"/>
  <c r="AC603" i="1" s="1"/>
  <c r="AE603" i="1" s="1"/>
  <c r="AD603" i="1" s="1"/>
  <c r="X590" i="1"/>
  <c r="Z590" i="1"/>
  <c r="AB590" i="1"/>
  <c r="AC590" i="1" s="1"/>
  <c r="AE590" i="1" s="1"/>
  <c r="AD590" i="1" s="1"/>
  <c r="X591" i="1"/>
  <c r="Z591" i="1"/>
  <c r="AB591" i="1"/>
  <c r="AC591" i="1" s="1"/>
  <c r="AE591" i="1" s="1"/>
  <c r="AD591" i="1" s="1"/>
  <c r="X592" i="1"/>
  <c r="Z592" i="1"/>
  <c r="AB592" i="1"/>
  <c r="AC592" i="1" s="1"/>
  <c r="AE592" i="1" s="1"/>
  <c r="AD592" i="1" s="1"/>
  <c r="X593" i="1"/>
  <c r="Z593" i="1"/>
  <c r="AB593" i="1"/>
  <c r="AC593" i="1" s="1"/>
  <c r="AE593" i="1" s="1"/>
  <c r="AD593" i="1" s="1"/>
  <c r="X594" i="1"/>
  <c r="Z594" i="1"/>
  <c r="AB594" i="1"/>
  <c r="AC594" i="1" s="1"/>
  <c r="AE594" i="1" s="1"/>
  <c r="AD594" i="1" s="1"/>
  <c r="X595" i="1"/>
  <c r="Z595" i="1"/>
  <c r="AB595" i="1"/>
  <c r="AC595" i="1" s="1"/>
  <c r="AE595" i="1" s="1"/>
  <c r="AD595" i="1" s="1"/>
  <c r="X596" i="1"/>
  <c r="Z596" i="1"/>
  <c r="AB596" i="1"/>
  <c r="AC596" i="1" s="1"/>
  <c r="AE596" i="1" s="1"/>
  <c r="AD596" i="1" s="1"/>
  <c r="X597" i="1"/>
  <c r="Z597" i="1"/>
  <c r="AB597" i="1"/>
  <c r="AC597" i="1" s="1"/>
  <c r="AE597" i="1" s="1"/>
  <c r="AD597" i="1" s="1"/>
  <c r="X573" i="1"/>
  <c r="Z573" i="1"/>
  <c r="AB573" i="1"/>
  <c r="AC573" i="1" s="1"/>
  <c r="AE573" i="1" s="1"/>
  <c r="AD573" i="1" s="1"/>
  <c r="X574" i="1"/>
  <c r="Z574" i="1"/>
  <c r="AB574" i="1"/>
  <c r="AC574" i="1" s="1"/>
  <c r="AE574" i="1" s="1"/>
  <c r="AD574" i="1" s="1"/>
  <c r="X575" i="1"/>
  <c r="Z575" i="1"/>
  <c r="AB575" i="1"/>
  <c r="AC575" i="1" s="1"/>
  <c r="AE575" i="1" s="1"/>
  <c r="AD575" i="1" s="1"/>
  <c r="X576" i="1"/>
  <c r="Z576" i="1"/>
  <c r="AB576" i="1"/>
  <c r="AC576" i="1" s="1"/>
  <c r="AE576" i="1" s="1"/>
  <c r="AD576" i="1" s="1"/>
  <c r="X577" i="1"/>
  <c r="Z577" i="1"/>
  <c r="AB577" i="1"/>
  <c r="AC577" i="1" s="1"/>
  <c r="AE577" i="1" s="1"/>
  <c r="AD577" i="1" s="1"/>
  <c r="X578" i="1"/>
  <c r="Z578" i="1"/>
  <c r="AB578" i="1"/>
  <c r="AC578" i="1" s="1"/>
  <c r="AE578" i="1" s="1"/>
  <c r="AD578" i="1" s="1"/>
  <c r="X579" i="1"/>
  <c r="Z579" i="1"/>
  <c r="AB579" i="1"/>
  <c r="AC579" i="1" s="1"/>
  <c r="AE579" i="1" s="1"/>
  <c r="AD579" i="1" s="1"/>
  <c r="X580" i="1"/>
  <c r="Z580" i="1"/>
  <c r="AB580" i="1"/>
  <c r="AC580" i="1" s="1"/>
  <c r="AE580" i="1" s="1"/>
  <c r="AD580" i="1" s="1"/>
  <c r="X581" i="1"/>
  <c r="Z581" i="1"/>
  <c r="AB581" i="1"/>
  <c r="AC581" i="1" s="1"/>
  <c r="AE581" i="1" s="1"/>
  <c r="AD581" i="1" s="1"/>
  <c r="X582" i="1"/>
  <c r="Z582" i="1"/>
  <c r="AB582" i="1"/>
  <c r="AC582" i="1" s="1"/>
  <c r="AE582" i="1" s="1"/>
  <c r="AD582" i="1" s="1"/>
  <c r="X583" i="1"/>
  <c r="Z583" i="1"/>
  <c r="AB583" i="1"/>
  <c r="AC583" i="1" s="1"/>
  <c r="AE583" i="1" s="1"/>
  <c r="AD583" i="1" s="1"/>
  <c r="X584" i="1"/>
  <c r="Z584" i="1"/>
  <c r="AB584" i="1"/>
  <c r="AC584" i="1" s="1"/>
  <c r="AE584" i="1" s="1"/>
  <c r="AD584" i="1" s="1"/>
  <c r="X585" i="1"/>
  <c r="Z585" i="1"/>
  <c r="AB585" i="1"/>
  <c r="AC585" i="1" s="1"/>
  <c r="AE585" i="1" s="1"/>
  <c r="AD585" i="1" s="1"/>
  <c r="X586" i="1"/>
  <c r="Z586" i="1"/>
  <c r="AB586" i="1"/>
  <c r="AC586" i="1" s="1"/>
  <c r="AE586" i="1" s="1"/>
  <c r="AD586" i="1" s="1"/>
  <c r="X587" i="1"/>
  <c r="Z587" i="1"/>
  <c r="AB587" i="1"/>
  <c r="AC587" i="1" s="1"/>
  <c r="AE587" i="1" s="1"/>
  <c r="AD587" i="1" s="1"/>
  <c r="X588" i="1"/>
  <c r="Z588" i="1"/>
  <c r="AB588" i="1"/>
  <c r="AC588" i="1" s="1"/>
  <c r="AE588" i="1" s="1"/>
  <c r="AD588" i="1" s="1"/>
  <c r="X589" i="1"/>
  <c r="Z589" i="1"/>
  <c r="AB589" i="1"/>
  <c r="AC589" i="1" s="1"/>
  <c r="AE589" i="1" s="1"/>
  <c r="AD589" i="1" s="1"/>
  <c r="I313" i="5" l="1"/>
  <c r="AB465" i="1"/>
  <c r="AC465" i="1" s="1"/>
  <c r="AB464" i="1"/>
  <c r="AC464" i="1" s="1"/>
  <c r="AB463" i="1"/>
  <c r="AC463" i="1" s="1"/>
  <c r="AB462" i="1"/>
  <c r="AC462" i="1" s="1"/>
  <c r="AB461" i="1"/>
  <c r="AC461" i="1" s="1"/>
  <c r="AB460" i="1"/>
  <c r="AC460" i="1" s="1"/>
  <c r="AB459" i="1"/>
  <c r="AC459" i="1" s="1"/>
  <c r="AB458" i="1"/>
  <c r="AC458" i="1" s="1"/>
  <c r="X568" i="1"/>
  <c r="Z568" i="1"/>
  <c r="AB568" i="1"/>
  <c r="AC568" i="1" s="1"/>
  <c r="AE568" i="1" s="1"/>
  <c r="AD568" i="1" s="1"/>
  <c r="X569" i="1"/>
  <c r="Z569" i="1"/>
  <c r="AB569" i="1"/>
  <c r="AC569" i="1" s="1"/>
  <c r="AE569" i="1" s="1"/>
  <c r="AD569" i="1" s="1"/>
  <c r="X570" i="1"/>
  <c r="Z570" i="1"/>
  <c r="AB570" i="1"/>
  <c r="AC570" i="1" s="1"/>
  <c r="AE570" i="1" s="1"/>
  <c r="AD570" i="1" s="1"/>
  <c r="X571" i="1"/>
  <c r="Z571" i="1"/>
  <c r="AB571" i="1"/>
  <c r="AC571" i="1" s="1"/>
  <c r="AE571" i="1" s="1"/>
  <c r="AD571" i="1" s="1"/>
  <c r="X572" i="1"/>
  <c r="Z572" i="1"/>
  <c r="AB572" i="1"/>
  <c r="AC572" i="1" s="1"/>
  <c r="AE572" i="1" s="1"/>
  <c r="AD572" i="1" s="1"/>
  <c r="X545" i="1"/>
  <c r="Z545" i="1"/>
  <c r="AB545" i="1"/>
  <c r="AC545" i="1" s="1"/>
  <c r="AE545" i="1" s="1"/>
  <c r="AD545" i="1" s="1"/>
  <c r="X546" i="1"/>
  <c r="Z546" i="1"/>
  <c r="AB546" i="1"/>
  <c r="AC546" i="1" s="1"/>
  <c r="AE546" i="1" s="1"/>
  <c r="AD546" i="1" s="1"/>
  <c r="X547" i="1"/>
  <c r="Z547" i="1"/>
  <c r="AB547" i="1"/>
  <c r="AC547" i="1" s="1"/>
  <c r="AE547" i="1" s="1"/>
  <c r="AD547" i="1" s="1"/>
  <c r="X548" i="1"/>
  <c r="Z548" i="1"/>
  <c r="AB548" i="1"/>
  <c r="AC548" i="1" s="1"/>
  <c r="AE548" i="1" s="1"/>
  <c r="AD548" i="1" s="1"/>
  <c r="X549" i="1"/>
  <c r="Z549" i="1"/>
  <c r="AB549" i="1"/>
  <c r="AC549" i="1" s="1"/>
  <c r="AE549" i="1" s="1"/>
  <c r="AD549" i="1" s="1"/>
  <c r="X550" i="1"/>
  <c r="Z550" i="1"/>
  <c r="AB550" i="1"/>
  <c r="AC550" i="1" s="1"/>
  <c r="AE550" i="1" s="1"/>
  <c r="AD550" i="1" s="1"/>
  <c r="X551" i="1"/>
  <c r="Z551" i="1"/>
  <c r="AB551" i="1"/>
  <c r="AC551" i="1" s="1"/>
  <c r="AE551" i="1" s="1"/>
  <c r="AD551" i="1" s="1"/>
  <c r="X552" i="1"/>
  <c r="Z552" i="1"/>
  <c r="AB552" i="1"/>
  <c r="AC552" i="1" s="1"/>
  <c r="AE552" i="1" s="1"/>
  <c r="AD552" i="1" s="1"/>
  <c r="X553" i="1"/>
  <c r="Z553" i="1"/>
  <c r="AB553" i="1"/>
  <c r="AC553" i="1" s="1"/>
  <c r="AE553" i="1" s="1"/>
  <c r="AD553" i="1" s="1"/>
  <c r="X554" i="1"/>
  <c r="Z554" i="1"/>
  <c r="AB554" i="1"/>
  <c r="AC554" i="1" s="1"/>
  <c r="AE554" i="1" s="1"/>
  <c r="AD554" i="1" s="1"/>
  <c r="X555" i="1"/>
  <c r="Z555" i="1"/>
  <c r="AB555" i="1"/>
  <c r="AC555" i="1" s="1"/>
  <c r="AE555" i="1" s="1"/>
  <c r="AD555" i="1" s="1"/>
  <c r="X556" i="1"/>
  <c r="Z556" i="1"/>
  <c r="AB556" i="1"/>
  <c r="AC556" i="1" s="1"/>
  <c r="AD556" i="1" s="1"/>
  <c r="X557" i="1"/>
  <c r="Z557" i="1"/>
  <c r="AB557" i="1"/>
  <c r="AC557" i="1" s="1"/>
  <c r="AE557" i="1" s="1"/>
  <c r="AD557" i="1" s="1"/>
  <c r="X558" i="1"/>
  <c r="Z558" i="1"/>
  <c r="AB558" i="1"/>
  <c r="AC558" i="1" s="1"/>
  <c r="AE558" i="1" s="1"/>
  <c r="AD558" i="1" s="1"/>
  <c r="X559" i="1"/>
  <c r="Z559" i="1"/>
  <c r="AB559" i="1"/>
  <c r="AC559" i="1" s="1"/>
  <c r="AE559" i="1" s="1"/>
  <c r="AD559" i="1" s="1"/>
  <c r="X560" i="1"/>
  <c r="Z560" i="1"/>
  <c r="AB560" i="1"/>
  <c r="AC560" i="1" s="1"/>
  <c r="AE560" i="1" s="1"/>
  <c r="AD560" i="1" s="1"/>
  <c r="X561" i="1"/>
  <c r="Z561" i="1"/>
  <c r="AB561" i="1"/>
  <c r="AC561" i="1" s="1"/>
  <c r="AE561" i="1" s="1"/>
  <c r="AD561" i="1" s="1"/>
  <c r="X562" i="1"/>
  <c r="Z562" i="1"/>
  <c r="AB562" i="1"/>
  <c r="AC562" i="1" s="1"/>
  <c r="AE562" i="1" s="1"/>
  <c r="AD562" i="1" s="1"/>
  <c r="X563" i="1"/>
  <c r="Z563" i="1"/>
  <c r="AB563" i="1"/>
  <c r="AC563" i="1" s="1"/>
  <c r="AE563" i="1" s="1"/>
  <c r="AD563" i="1" s="1"/>
  <c r="X564" i="1"/>
  <c r="Z564" i="1"/>
  <c r="AB564" i="1"/>
  <c r="AC564" i="1" s="1"/>
  <c r="AE564" i="1" s="1"/>
  <c r="AD564" i="1" s="1"/>
  <c r="X565" i="1"/>
  <c r="Z565" i="1"/>
  <c r="AB565" i="1"/>
  <c r="AC565" i="1" s="1"/>
  <c r="AE565" i="1" s="1"/>
  <c r="AD565" i="1" s="1"/>
  <c r="X566" i="1"/>
  <c r="Z566" i="1"/>
  <c r="AB566" i="1"/>
  <c r="AC566" i="1" s="1"/>
  <c r="AE566" i="1" s="1"/>
  <c r="AD566" i="1" s="1"/>
  <c r="X567" i="1"/>
  <c r="Z567" i="1"/>
  <c r="AB567" i="1"/>
  <c r="AC567" i="1" s="1"/>
  <c r="AE567" i="1" s="1"/>
  <c r="AD567" i="1" s="1"/>
  <c r="X544" i="1"/>
  <c r="Z544" i="1"/>
  <c r="AB544" i="1"/>
  <c r="AC544" i="1" s="1"/>
  <c r="AE544" i="1" s="1"/>
  <c r="AD544" i="1" s="1"/>
  <c r="X474" i="1"/>
  <c r="Z474" i="1"/>
  <c r="AB474" i="1"/>
  <c r="AC474" i="1" s="1"/>
  <c r="AE474" i="1" s="1"/>
  <c r="AD474" i="1" s="1"/>
  <c r="X543" i="1" l="1"/>
  <c r="Z543" i="1"/>
  <c r="AB543" i="1"/>
  <c r="AC543" i="1" s="1"/>
  <c r="AE543" i="1" s="1"/>
  <c r="AD543" i="1" s="1"/>
  <c r="AD3" i="1"/>
  <c r="AD4" i="1"/>
  <c r="AD6" i="1"/>
  <c r="AD2" i="1"/>
  <c r="AD7" i="1"/>
  <c r="AD8" i="1"/>
  <c r="AD10" i="1"/>
  <c r="AD9" i="1"/>
  <c r="AD11" i="1"/>
  <c r="AD12" i="1"/>
  <c r="AD14" i="1"/>
  <c r="AD13" i="1"/>
  <c r="AD15" i="1"/>
  <c r="AD16" i="1"/>
  <c r="AD17" i="1"/>
  <c r="AD18" i="1"/>
  <c r="AD19" i="1"/>
  <c r="AD21" i="1"/>
  <c r="AD20" i="1"/>
  <c r="AD22" i="1"/>
  <c r="AD24" i="1"/>
  <c r="AD23" i="1"/>
  <c r="AD25" i="1"/>
  <c r="AD26" i="1"/>
  <c r="AD27" i="1"/>
  <c r="AD28" i="1"/>
  <c r="AD29" i="1"/>
  <c r="AD30" i="1"/>
  <c r="AD31" i="1"/>
  <c r="AD34" i="1"/>
  <c r="AD33" i="1"/>
  <c r="AD35" i="1"/>
  <c r="AD36" i="1"/>
  <c r="AD37" i="1"/>
  <c r="AD38" i="1"/>
  <c r="AD40" i="1"/>
  <c r="AD41" i="1"/>
  <c r="AD42" i="1"/>
  <c r="AD39" i="1"/>
  <c r="AD43" i="1"/>
  <c r="AD44" i="1"/>
  <c r="AD46" i="1"/>
  <c r="AD45" i="1"/>
  <c r="AD47" i="1"/>
  <c r="AD48" i="1"/>
  <c r="AD49" i="1"/>
  <c r="AD51" i="1"/>
  <c r="AD52" i="1"/>
  <c r="AD50" i="1"/>
  <c r="AD53" i="1"/>
  <c r="AD54" i="1"/>
  <c r="AD55" i="1"/>
  <c r="AD56" i="1"/>
  <c r="AD57" i="1"/>
  <c r="AD58" i="1"/>
  <c r="AD59" i="1"/>
  <c r="AD60" i="1"/>
  <c r="AD61" i="1"/>
  <c r="AD62" i="1"/>
  <c r="AD63" i="1"/>
  <c r="AD65" i="1"/>
  <c r="AD64" i="1"/>
  <c r="AD67" i="1"/>
  <c r="AD68" i="1"/>
  <c r="AD69" i="1"/>
  <c r="AD70" i="1"/>
  <c r="AD71" i="1"/>
  <c r="AD72" i="1"/>
  <c r="AD73" i="1"/>
  <c r="AD74" i="1"/>
  <c r="AD76" i="1"/>
  <c r="AD75" i="1"/>
  <c r="AD77" i="1"/>
  <c r="AD78" i="1"/>
  <c r="AD79" i="1"/>
  <c r="AD80" i="1"/>
  <c r="AD81" i="1"/>
  <c r="AD83" i="1"/>
  <c r="AD82" i="1"/>
  <c r="AD84" i="1"/>
  <c r="AD85" i="1"/>
  <c r="AD86" i="1"/>
  <c r="AD87" i="1"/>
  <c r="AD89" i="1"/>
  <c r="AD92" i="1"/>
  <c r="AD91" i="1"/>
  <c r="AD90" i="1"/>
  <c r="AD94" i="1"/>
  <c r="AD96" i="1"/>
  <c r="AD95" i="1"/>
  <c r="AD93" i="1"/>
  <c r="AD88" i="1"/>
  <c r="AD97" i="1"/>
  <c r="AD98" i="1"/>
  <c r="AD100" i="1"/>
  <c r="AD99" i="1"/>
  <c r="AD101" i="1"/>
  <c r="AD102" i="1"/>
  <c r="AD104" i="1"/>
  <c r="AD103" i="1"/>
  <c r="AD105" i="1"/>
  <c r="AD106" i="1"/>
  <c r="AD107" i="1"/>
  <c r="AD108" i="1"/>
  <c r="AD109" i="1"/>
  <c r="AD110" i="1"/>
  <c r="AD111" i="1"/>
  <c r="AD112" i="1"/>
  <c r="AD113" i="1"/>
  <c r="AD115" i="1"/>
  <c r="AD114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40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4" i="1"/>
  <c r="AD175" i="1"/>
  <c r="AD176" i="1"/>
  <c r="AD177" i="1"/>
  <c r="AD178" i="1"/>
  <c r="AD180" i="1"/>
  <c r="AD181" i="1"/>
  <c r="AD182" i="1"/>
  <c r="AD183" i="1"/>
  <c r="AD184" i="1"/>
  <c r="AD185" i="1"/>
  <c r="AD186" i="1"/>
  <c r="AD188" i="1"/>
  <c r="AD187" i="1"/>
  <c r="AD189" i="1"/>
  <c r="AD190" i="1"/>
  <c r="AD191" i="1"/>
  <c r="AD192" i="1"/>
  <c r="AD193" i="1"/>
  <c r="AD194" i="1"/>
  <c r="AD195" i="1"/>
  <c r="AD196" i="1"/>
  <c r="AD198" i="1"/>
  <c r="AD197" i="1"/>
  <c r="AD199" i="1"/>
  <c r="AD201" i="1"/>
  <c r="AD202" i="1"/>
  <c r="AD204" i="1"/>
  <c r="AD203" i="1"/>
  <c r="AD200" i="1"/>
  <c r="AD205" i="1"/>
  <c r="AD206" i="1"/>
  <c r="AD207" i="1"/>
  <c r="AD209" i="1"/>
  <c r="AD210" i="1"/>
  <c r="AD211" i="1"/>
  <c r="AD212" i="1"/>
  <c r="AD214" i="1"/>
  <c r="AD215" i="1"/>
  <c r="AD216" i="1"/>
  <c r="AD218" i="1"/>
  <c r="AD219" i="1"/>
  <c r="AD220" i="1"/>
  <c r="AD221" i="1"/>
  <c r="AD223" i="1"/>
  <c r="AD225" i="1"/>
  <c r="AD226" i="1"/>
  <c r="AD227" i="1"/>
  <c r="AD234" i="1"/>
  <c r="AD236" i="1"/>
  <c r="AD239" i="1"/>
  <c r="AD247" i="1"/>
  <c r="AD251" i="1"/>
  <c r="AD254" i="1"/>
  <c r="AD255" i="1"/>
  <c r="AD259" i="1"/>
  <c r="AD275" i="1"/>
  <c r="AD277" i="1"/>
  <c r="AD278" i="1"/>
  <c r="AD279" i="1"/>
  <c r="AD281" i="1"/>
  <c r="AD282" i="1"/>
  <c r="AD283" i="1"/>
  <c r="AD287" i="1"/>
  <c r="AD288" i="1"/>
  <c r="AD291" i="1"/>
  <c r="AD290" i="1"/>
  <c r="AD292" i="1"/>
  <c r="AD294" i="1"/>
  <c r="AD293" i="1"/>
  <c r="AD298" i="1"/>
  <c r="AD303" i="1"/>
  <c r="AD306" i="1"/>
  <c r="AD305" i="1"/>
  <c r="AD308" i="1"/>
  <c r="AD309" i="1"/>
  <c r="AD311" i="1"/>
  <c r="AD314" i="1"/>
  <c r="AD313" i="1"/>
  <c r="AD315" i="1"/>
  <c r="AD316" i="1"/>
  <c r="AD312" i="1"/>
  <c r="AD310" i="1"/>
  <c r="AD318" i="1"/>
  <c r="AD320" i="1"/>
  <c r="AD322" i="1"/>
  <c r="AD326" i="1"/>
  <c r="AD328" i="1"/>
  <c r="AD329" i="1"/>
  <c r="AD330" i="1"/>
  <c r="AD331" i="1"/>
  <c r="AD332" i="1"/>
  <c r="AD334" i="1"/>
  <c r="AD333" i="1"/>
  <c r="AD335" i="1"/>
  <c r="AD339" i="1"/>
  <c r="AD337" i="1"/>
  <c r="AD336" i="1"/>
  <c r="AD343" i="1"/>
  <c r="AD344" i="1"/>
  <c r="AD347" i="1"/>
  <c r="AD355" i="1"/>
  <c r="AD357" i="1"/>
  <c r="AD367" i="1"/>
  <c r="AD369" i="1"/>
  <c r="AD377" i="1"/>
  <c r="AD378" i="1"/>
  <c r="AD383" i="1"/>
  <c r="AD387" i="1"/>
  <c r="AD391" i="1"/>
  <c r="AD394" i="1"/>
  <c r="AD395" i="1"/>
  <c r="AD396" i="1"/>
  <c r="AD399" i="1"/>
  <c r="AD398" i="1"/>
  <c r="AD402" i="1"/>
  <c r="AD403" i="1"/>
  <c r="AD404" i="1"/>
  <c r="AD407" i="1"/>
  <c r="AD410" i="1"/>
  <c r="AD411" i="1"/>
  <c r="AD412" i="1"/>
  <c r="AD413" i="1"/>
  <c r="AD414" i="1"/>
  <c r="AD5" i="1"/>
  <c r="AB466" i="1"/>
  <c r="AC466" i="1" s="1"/>
  <c r="AB467" i="1"/>
  <c r="AC467" i="1" s="1"/>
  <c r="AB468" i="1"/>
  <c r="AC468" i="1" s="1"/>
  <c r="AB469" i="1"/>
  <c r="AC469" i="1" s="1"/>
  <c r="AB470" i="1"/>
  <c r="AC470" i="1" s="1"/>
  <c r="AB471" i="1"/>
  <c r="AC471" i="1" s="1"/>
  <c r="AB472" i="1"/>
  <c r="AC472" i="1" s="1"/>
  <c r="AB473" i="1"/>
  <c r="AC473" i="1" s="1"/>
  <c r="AB475" i="1"/>
  <c r="AC475" i="1" s="1"/>
  <c r="AB476" i="1"/>
  <c r="AC476" i="1" s="1"/>
  <c r="AB477" i="1"/>
  <c r="AC477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5" i="1"/>
  <c r="AC485" i="1" s="1"/>
  <c r="AB484" i="1"/>
  <c r="AC484" i="1" s="1"/>
  <c r="AB486" i="1"/>
  <c r="AC486" i="1" s="1"/>
  <c r="AB487" i="1"/>
  <c r="AC487" i="1" s="1"/>
  <c r="AE487" i="1" s="1"/>
  <c r="AD487" i="1" s="1"/>
  <c r="AB488" i="1"/>
  <c r="AC488" i="1" s="1"/>
  <c r="AE488" i="1" s="1"/>
  <c r="AD488" i="1" s="1"/>
  <c r="AB489" i="1"/>
  <c r="AC489" i="1" s="1"/>
  <c r="AE489" i="1" s="1"/>
  <c r="AD489" i="1" s="1"/>
  <c r="AB490" i="1"/>
  <c r="AC490" i="1" s="1"/>
  <c r="AE490" i="1" s="1"/>
  <c r="AD490" i="1" s="1"/>
  <c r="AB491" i="1"/>
  <c r="AC491" i="1" s="1"/>
  <c r="AE491" i="1" s="1"/>
  <c r="AD491" i="1" s="1"/>
  <c r="AB492" i="1"/>
  <c r="AC492" i="1" s="1"/>
  <c r="AE492" i="1" s="1"/>
  <c r="AD492" i="1" s="1"/>
  <c r="AB493" i="1"/>
  <c r="AC493" i="1" s="1"/>
  <c r="AE493" i="1" s="1"/>
  <c r="AD493" i="1" s="1"/>
  <c r="AB494" i="1"/>
  <c r="AC494" i="1" s="1"/>
  <c r="AE494" i="1" s="1"/>
  <c r="AD494" i="1" s="1"/>
  <c r="AB495" i="1"/>
  <c r="AC495" i="1" s="1"/>
  <c r="AE495" i="1" s="1"/>
  <c r="AD495" i="1" s="1"/>
  <c r="AB497" i="1"/>
  <c r="AC497" i="1" s="1"/>
  <c r="AE497" i="1" s="1"/>
  <c r="AD497" i="1" s="1"/>
  <c r="AB496" i="1"/>
  <c r="AC496" i="1" s="1"/>
  <c r="AD496" i="1" s="1"/>
  <c r="AB498" i="1"/>
  <c r="AC498" i="1" s="1"/>
  <c r="AE498" i="1" s="1"/>
  <c r="AD498" i="1" s="1"/>
  <c r="AB499" i="1"/>
  <c r="AC499" i="1" s="1"/>
  <c r="AE499" i="1" s="1"/>
  <c r="AD499" i="1" s="1"/>
  <c r="AB500" i="1"/>
  <c r="AC500" i="1" s="1"/>
  <c r="AE500" i="1" s="1"/>
  <c r="AD500" i="1" s="1"/>
  <c r="AB501" i="1"/>
  <c r="AC501" i="1" s="1"/>
  <c r="AE501" i="1" s="1"/>
  <c r="AD501" i="1" s="1"/>
  <c r="AB502" i="1"/>
  <c r="AC502" i="1" s="1"/>
  <c r="AE502" i="1" s="1"/>
  <c r="AD502" i="1" s="1"/>
  <c r="AB503" i="1"/>
  <c r="AC503" i="1" s="1"/>
  <c r="AE503" i="1" s="1"/>
  <c r="AD503" i="1" s="1"/>
  <c r="AB504" i="1"/>
  <c r="AC504" i="1" s="1"/>
  <c r="AE504" i="1" s="1"/>
  <c r="AD504" i="1" s="1"/>
  <c r="AB505" i="1"/>
  <c r="AC505" i="1" s="1"/>
  <c r="AE505" i="1" s="1"/>
  <c r="AD505" i="1" s="1"/>
  <c r="AB506" i="1"/>
  <c r="AC506" i="1" s="1"/>
  <c r="AE506" i="1" s="1"/>
  <c r="AD506" i="1" s="1"/>
  <c r="AB507" i="1"/>
  <c r="AC507" i="1" s="1"/>
  <c r="AE507" i="1" s="1"/>
  <c r="AD507" i="1" s="1"/>
  <c r="AB508" i="1"/>
  <c r="AC508" i="1" s="1"/>
  <c r="AE508" i="1" s="1"/>
  <c r="AD508" i="1" s="1"/>
  <c r="AB509" i="1"/>
  <c r="AC509" i="1" s="1"/>
  <c r="AD509" i="1" s="1"/>
  <c r="AB510" i="1"/>
  <c r="AC510" i="1" s="1"/>
  <c r="AE510" i="1" s="1"/>
  <c r="AD510" i="1" s="1"/>
  <c r="AB511" i="1"/>
  <c r="AC511" i="1" s="1"/>
  <c r="AE511" i="1" s="1"/>
  <c r="AD511" i="1" s="1"/>
  <c r="AB512" i="1"/>
  <c r="AC512" i="1" s="1"/>
  <c r="AE512" i="1" s="1"/>
  <c r="AD512" i="1" s="1"/>
  <c r="AB513" i="1"/>
  <c r="AC513" i="1" s="1"/>
  <c r="AE513" i="1" s="1"/>
  <c r="AD513" i="1" s="1"/>
  <c r="AB514" i="1"/>
  <c r="AC514" i="1" s="1"/>
  <c r="AE514" i="1" s="1"/>
  <c r="AD514" i="1" s="1"/>
  <c r="AB515" i="1"/>
  <c r="AC515" i="1" s="1"/>
  <c r="AE515" i="1" s="1"/>
  <c r="AD515" i="1" s="1"/>
  <c r="AB516" i="1"/>
  <c r="AC516" i="1" s="1"/>
  <c r="AE516" i="1" s="1"/>
  <c r="AD516" i="1" s="1"/>
  <c r="AB517" i="1"/>
  <c r="AC517" i="1" s="1"/>
  <c r="AE517" i="1" s="1"/>
  <c r="AD517" i="1" s="1"/>
  <c r="AB518" i="1"/>
  <c r="AC518" i="1" s="1"/>
  <c r="AE518" i="1" s="1"/>
  <c r="AD518" i="1" s="1"/>
  <c r="X542" i="1"/>
  <c r="Z542" i="1"/>
  <c r="AB542" i="1"/>
  <c r="AC542" i="1" s="1"/>
  <c r="AE542" i="1" s="1"/>
  <c r="AD542" i="1" s="1"/>
  <c r="AB541" i="1"/>
  <c r="AC541" i="1" s="1"/>
  <c r="AE541" i="1" s="1"/>
  <c r="AD541" i="1" s="1"/>
  <c r="Z541" i="1"/>
  <c r="X541" i="1"/>
  <c r="AB540" i="1"/>
  <c r="AC540" i="1" s="1"/>
  <c r="AE540" i="1" s="1"/>
  <c r="AD540" i="1" s="1"/>
  <c r="AB539" i="1"/>
  <c r="AC539" i="1" s="1"/>
  <c r="AE539" i="1" s="1"/>
  <c r="AD539" i="1" s="1"/>
  <c r="Z540" i="1"/>
  <c r="Z539" i="1"/>
  <c r="X540" i="1"/>
  <c r="X539" i="1"/>
  <c r="AB538" i="1"/>
  <c r="AC538" i="1" s="1"/>
  <c r="AE538" i="1" s="1"/>
  <c r="AD538" i="1" s="1"/>
  <c r="Z538" i="1"/>
  <c r="X538" i="1"/>
  <c r="X537" i="1"/>
  <c r="Z537" i="1"/>
  <c r="AB537" i="1"/>
  <c r="AC537" i="1" s="1"/>
  <c r="AE537" i="1" s="1"/>
  <c r="AD537" i="1" s="1"/>
  <c r="AB536" i="1"/>
  <c r="AC536" i="1" s="1"/>
  <c r="AE536" i="1" s="1"/>
  <c r="AD536" i="1" s="1"/>
  <c r="AB534" i="1"/>
  <c r="AC534" i="1" s="1"/>
  <c r="AE534" i="1" s="1"/>
  <c r="AD534" i="1" s="1"/>
  <c r="AB535" i="1"/>
  <c r="AC535" i="1" s="1"/>
  <c r="AE535" i="1" s="1"/>
  <c r="AD535" i="1" s="1"/>
  <c r="Z536" i="1"/>
  <c r="Z534" i="1"/>
  <c r="Z535" i="1"/>
  <c r="X536" i="1"/>
  <c r="X534" i="1"/>
  <c r="X535" i="1"/>
  <c r="AB533" i="1"/>
  <c r="AC533" i="1" s="1"/>
  <c r="AE533" i="1" s="1"/>
  <c r="AD533" i="1" s="1"/>
  <c r="Z533" i="1"/>
  <c r="X533" i="1"/>
  <c r="AB532" i="1"/>
  <c r="AC532" i="1" s="1"/>
  <c r="AE532" i="1" s="1"/>
  <c r="AD532" i="1" s="1"/>
  <c r="AB531" i="1"/>
  <c r="AC531" i="1" s="1"/>
  <c r="AE531" i="1" s="1"/>
  <c r="AD531" i="1" s="1"/>
  <c r="Z532" i="1"/>
  <c r="Z531" i="1"/>
  <c r="X532" i="1"/>
  <c r="X531" i="1"/>
  <c r="AB530" i="1"/>
  <c r="AC530" i="1" s="1"/>
  <c r="AE530" i="1" s="1"/>
  <c r="AD530" i="1" s="1"/>
  <c r="Z530" i="1"/>
  <c r="X530" i="1"/>
  <c r="AB528" i="1"/>
  <c r="AC528" i="1" s="1"/>
  <c r="AE528" i="1" s="1"/>
  <c r="AD528" i="1" s="1"/>
  <c r="AB529" i="1"/>
  <c r="AC529" i="1" s="1"/>
  <c r="AE529" i="1" s="1"/>
  <c r="AD529" i="1" s="1"/>
  <c r="AB527" i="1"/>
  <c r="AC527" i="1" s="1"/>
  <c r="AE527" i="1" s="1"/>
  <c r="AD527" i="1" s="1"/>
  <c r="AB526" i="1"/>
  <c r="AC526" i="1" s="1"/>
  <c r="AE526" i="1" s="1"/>
  <c r="AD526" i="1" s="1"/>
  <c r="Z528" i="1"/>
  <c r="Z529" i="1"/>
  <c r="Z527" i="1"/>
  <c r="Z526" i="1"/>
  <c r="X528" i="1"/>
  <c r="X529" i="1"/>
  <c r="X527" i="1"/>
  <c r="X526" i="1"/>
  <c r="X525" i="1"/>
  <c r="Z525" i="1"/>
  <c r="AB525" i="1"/>
  <c r="AC525" i="1" s="1"/>
  <c r="AE525" i="1" s="1"/>
  <c r="AD525" i="1" s="1"/>
  <c r="X524" i="1"/>
  <c r="Z524" i="1"/>
  <c r="AB524" i="1"/>
  <c r="AC524" i="1" s="1"/>
  <c r="AE524" i="1" s="1"/>
  <c r="AD524" i="1" s="1"/>
  <c r="X523" i="1"/>
  <c r="Z523" i="1"/>
  <c r="AB523" i="1"/>
  <c r="AC523" i="1" s="1"/>
  <c r="AE523" i="1" s="1"/>
  <c r="AD523" i="1" s="1"/>
  <c r="AB522" i="1"/>
  <c r="AC522" i="1" s="1"/>
  <c r="AE522" i="1" s="1"/>
  <c r="AD522" i="1" s="1"/>
  <c r="Z522" i="1"/>
  <c r="X522" i="1"/>
  <c r="AB521" i="1"/>
  <c r="AC521" i="1" s="1"/>
  <c r="AE521" i="1" s="1"/>
  <c r="AD521" i="1" s="1"/>
  <c r="AB520" i="1"/>
  <c r="AC520" i="1" s="1"/>
  <c r="AE520" i="1" s="1"/>
  <c r="AD520" i="1" s="1"/>
  <c r="Z521" i="1"/>
  <c r="Z520" i="1"/>
  <c r="X521" i="1"/>
  <c r="X520" i="1"/>
  <c r="AB519" i="1"/>
  <c r="AC519" i="1" s="1"/>
  <c r="AE519" i="1" s="1"/>
  <c r="AD519" i="1" s="1"/>
  <c r="Z519" i="1"/>
  <c r="X519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5" i="1"/>
  <c r="Z476" i="1"/>
  <c r="Z477" i="1"/>
  <c r="Z478" i="1"/>
  <c r="Z479" i="1"/>
  <c r="Z480" i="1"/>
  <c r="Z481" i="1"/>
  <c r="Z482" i="1"/>
  <c r="Z483" i="1"/>
  <c r="Z485" i="1"/>
  <c r="Z484" i="1"/>
  <c r="Z486" i="1"/>
  <c r="Z487" i="1"/>
  <c r="Z488" i="1"/>
  <c r="Z489" i="1"/>
  <c r="Z490" i="1"/>
  <c r="Z491" i="1"/>
  <c r="Z492" i="1"/>
  <c r="Z493" i="1"/>
  <c r="Z494" i="1"/>
  <c r="Z495" i="1"/>
  <c r="Z497" i="1"/>
  <c r="Z496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X487" i="1"/>
  <c r="X488" i="1"/>
  <c r="X489" i="1"/>
  <c r="X490" i="1"/>
  <c r="X491" i="1"/>
  <c r="X492" i="1"/>
  <c r="X493" i="1"/>
  <c r="X494" i="1"/>
  <c r="X495" i="1"/>
  <c r="X497" i="1"/>
  <c r="X496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456" i="1"/>
  <c r="Z456" i="1"/>
  <c r="AB456" i="1"/>
  <c r="AC456" i="1" s="1"/>
  <c r="AE456" i="1" s="1"/>
  <c r="AD456" i="1" s="1"/>
  <c r="AB439" i="1" l="1"/>
  <c r="AC439" i="1" s="1"/>
  <c r="AE439" i="1" s="1"/>
  <c r="AD439" i="1" s="1"/>
  <c r="AB440" i="1"/>
  <c r="AC440" i="1" s="1"/>
  <c r="AB441" i="1"/>
  <c r="AC441" i="1" s="1"/>
  <c r="AB442" i="1"/>
  <c r="AC442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3" i="1"/>
  <c r="AC453" i="1" s="1"/>
  <c r="AB454" i="1"/>
  <c r="AC454" i="1" s="1"/>
  <c r="AB452" i="1"/>
  <c r="AC452" i="1" s="1"/>
  <c r="AB455" i="1"/>
  <c r="AC455" i="1" s="1"/>
  <c r="AB457" i="1"/>
  <c r="AC457" i="1" s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3" i="1"/>
  <c r="Z454" i="1"/>
  <c r="Z452" i="1"/>
  <c r="Z455" i="1"/>
  <c r="Z457" i="1"/>
  <c r="I158" i="5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3" i="1"/>
  <c r="X454" i="1"/>
  <c r="X452" i="1"/>
  <c r="X455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5" i="1"/>
  <c r="X476" i="1"/>
  <c r="X477" i="1"/>
  <c r="X478" i="1"/>
  <c r="X479" i="1"/>
  <c r="X480" i="1"/>
  <c r="X481" i="1"/>
  <c r="X482" i="1"/>
  <c r="X483" i="1"/>
  <c r="X485" i="1"/>
  <c r="X484" i="1"/>
  <c r="X486" i="1"/>
  <c r="AB438" i="1"/>
  <c r="AC438" i="1" s="1"/>
  <c r="AE463" i="1"/>
  <c r="AD463" i="1" s="1"/>
  <c r="AE465" i="1"/>
  <c r="AD465" i="1" s="1"/>
  <c r="AE467" i="1"/>
  <c r="AD467" i="1" s="1"/>
  <c r="AE469" i="1"/>
  <c r="AD469" i="1" s="1"/>
  <c r="AD471" i="1"/>
  <c r="AE472" i="1"/>
  <c r="AD472" i="1" s="1"/>
  <c r="AE473" i="1"/>
  <c r="AD473" i="1" s="1"/>
  <c r="AE475" i="1"/>
  <c r="AD475" i="1" s="1"/>
  <c r="AE476" i="1"/>
  <c r="AD476" i="1" s="1"/>
  <c r="AD479" i="1"/>
  <c r="AE480" i="1"/>
  <c r="AD480" i="1" s="1"/>
  <c r="AE481" i="1"/>
  <c r="AD481" i="1" s="1"/>
  <c r="AE482" i="1"/>
  <c r="AD482" i="1" s="1"/>
  <c r="AE486" i="1"/>
  <c r="AD486" i="1" s="1"/>
  <c r="AE466" i="1"/>
  <c r="AD466" i="1" s="1"/>
  <c r="AE468" i="1"/>
  <c r="AD468" i="1" s="1"/>
  <c r="AE485" i="1"/>
  <c r="AD485" i="1" s="1"/>
  <c r="AE484" i="1"/>
  <c r="AD484" i="1" s="1"/>
  <c r="AE464" i="1"/>
  <c r="AD464" i="1" s="1"/>
  <c r="AE470" i="1"/>
  <c r="AD470" i="1" s="1"/>
  <c r="AE477" i="1"/>
  <c r="AD477" i="1" s="1"/>
  <c r="AE478" i="1"/>
  <c r="AD478" i="1" s="1"/>
  <c r="AD483" i="1"/>
  <c r="I228" i="5"/>
  <c r="I225" i="5"/>
  <c r="I220" i="5"/>
  <c r="X427" i="1" l="1"/>
  <c r="Z427" i="1"/>
  <c r="AB427" i="1"/>
  <c r="AC427" i="1" s="1"/>
  <c r="AE427" i="1" s="1"/>
  <c r="AD427" i="1" s="1"/>
  <c r="X262" i="1"/>
  <c r="Z262" i="1"/>
  <c r="AB262" i="1"/>
  <c r="AC262" i="1" s="1"/>
  <c r="AE262" i="1" s="1"/>
  <c r="AD262" i="1" s="1"/>
  <c r="X246" i="1"/>
  <c r="Z246" i="1"/>
  <c r="AB246" i="1"/>
  <c r="AC246" i="1" s="1"/>
  <c r="AE246" i="1" s="1"/>
  <c r="AD246" i="1" s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8" i="1"/>
  <c r="Z429" i="1"/>
  <c r="Z430" i="1"/>
  <c r="Z431" i="1"/>
  <c r="Z435" i="1"/>
  <c r="Z433" i="1"/>
  <c r="Z436" i="1"/>
  <c r="Z432" i="1"/>
  <c r="Z437" i="1"/>
  <c r="Z434" i="1"/>
  <c r="Z438" i="1"/>
  <c r="AB419" i="1"/>
  <c r="AC419" i="1" s="1"/>
  <c r="AD419" i="1" s="1"/>
  <c r="AB420" i="1"/>
  <c r="AC420" i="1" s="1"/>
  <c r="AE420" i="1" s="1"/>
  <c r="AD420" i="1" s="1"/>
  <c r="AB421" i="1"/>
  <c r="AC421" i="1" s="1"/>
  <c r="AE421" i="1" s="1"/>
  <c r="AD421" i="1" s="1"/>
  <c r="AB422" i="1"/>
  <c r="AC422" i="1" s="1"/>
  <c r="AE422" i="1" s="1"/>
  <c r="AD422" i="1" s="1"/>
  <c r="AB423" i="1"/>
  <c r="AC423" i="1" s="1"/>
  <c r="AE423" i="1" s="1"/>
  <c r="AD423" i="1" s="1"/>
  <c r="AB424" i="1"/>
  <c r="AC424" i="1" s="1"/>
  <c r="AE424" i="1" s="1"/>
  <c r="AD424" i="1" s="1"/>
  <c r="AB425" i="1"/>
  <c r="AC425" i="1" s="1"/>
  <c r="AE425" i="1" s="1"/>
  <c r="AD425" i="1" s="1"/>
  <c r="AB426" i="1"/>
  <c r="AC426" i="1" s="1"/>
  <c r="AE426" i="1" s="1"/>
  <c r="AD426" i="1" s="1"/>
  <c r="AB428" i="1"/>
  <c r="AC428" i="1" s="1"/>
  <c r="AD428" i="1" s="1"/>
  <c r="AB429" i="1"/>
  <c r="AC429" i="1" s="1"/>
  <c r="AE429" i="1" s="1"/>
  <c r="AD429" i="1" s="1"/>
  <c r="AB430" i="1"/>
  <c r="AC430" i="1" s="1"/>
  <c r="AE430" i="1" s="1"/>
  <c r="AD430" i="1" s="1"/>
  <c r="AB431" i="1"/>
  <c r="AC431" i="1" s="1"/>
  <c r="AE431" i="1" s="1"/>
  <c r="AD431" i="1" s="1"/>
  <c r="AB435" i="1"/>
  <c r="AC435" i="1" s="1"/>
  <c r="AD435" i="1" s="1"/>
  <c r="AB433" i="1"/>
  <c r="AC433" i="1" s="1"/>
  <c r="AD433" i="1" s="1"/>
  <c r="AB436" i="1"/>
  <c r="AC436" i="1" s="1"/>
  <c r="AD436" i="1" s="1"/>
  <c r="AB432" i="1"/>
  <c r="AC432" i="1" s="1"/>
  <c r="AD432" i="1" s="1"/>
  <c r="AB437" i="1"/>
  <c r="AC437" i="1" s="1"/>
  <c r="AD437" i="1" s="1"/>
  <c r="AB434" i="1"/>
  <c r="AC434" i="1" s="1"/>
  <c r="AD434" i="1" s="1"/>
  <c r="AE438" i="1"/>
  <c r="AD438" i="1" s="1"/>
  <c r="AD440" i="1"/>
  <c r="AE441" i="1"/>
  <c r="AD441" i="1" s="1"/>
  <c r="AE442" i="1"/>
  <c r="AD442" i="1" s="1"/>
  <c r="AE443" i="1"/>
  <c r="AD443" i="1" s="1"/>
  <c r="AE444" i="1"/>
  <c r="AD444" i="1" s="1"/>
  <c r="AE445" i="1"/>
  <c r="AD445" i="1" s="1"/>
  <c r="AE446" i="1"/>
  <c r="AD446" i="1" s="1"/>
  <c r="AE447" i="1"/>
  <c r="AD447" i="1" s="1"/>
  <c r="AE448" i="1"/>
  <c r="AD448" i="1" s="1"/>
  <c r="AE449" i="1"/>
  <c r="AD449" i="1" s="1"/>
  <c r="AD450" i="1"/>
  <c r="AE451" i="1"/>
  <c r="AD451" i="1" s="1"/>
  <c r="AE453" i="1"/>
  <c r="AD453" i="1" s="1"/>
  <c r="AE454" i="1"/>
  <c r="AD454" i="1" s="1"/>
  <c r="AE452" i="1"/>
  <c r="AD452" i="1" s="1"/>
  <c r="AE455" i="1"/>
  <c r="AD455" i="1" s="1"/>
  <c r="AE457" i="1"/>
  <c r="AD457" i="1" s="1"/>
  <c r="AE458" i="1"/>
  <c r="AD458" i="1" s="1"/>
  <c r="AE459" i="1"/>
  <c r="AD459" i="1" s="1"/>
  <c r="AE460" i="1"/>
  <c r="AD460" i="1" s="1"/>
  <c r="AE461" i="1"/>
  <c r="AD461" i="1" s="1"/>
  <c r="AE462" i="1"/>
  <c r="AD462" i="1" s="1"/>
  <c r="X434" i="1"/>
  <c r="X438" i="1"/>
  <c r="AB395" i="1"/>
  <c r="AC395" i="1" s="1"/>
  <c r="AB396" i="1"/>
  <c r="AC396" i="1" s="1"/>
  <c r="AB397" i="1"/>
  <c r="AC397" i="1" s="1"/>
  <c r="AE397" i="1" s="1"/>
  <c r="AD397" i="1" s="1"/>
  <c r="AB399" i="1"/>
  <c r="AC399" i="1" s="1"/>
  <c r="AB398" i="1"/>
  <c r="AC398" i="1" s="1"/>
  <c r="AB400" i="1"/>
  <c r="AC400" i="1" s="1"/>
  <c r="AE400" i="1" s="1"/>
  <c r="AD400" i="1" s="1"/>
  <c r="AB401" i="1"/>
  <c r="AC401" i="1" s="1"/>
  <c r="AE401" i="1" s="1"/>
  <c r="AD401" i="1" s="1"/>
  <c r="AB402" i="1"/>
  <c r="AC402" i="1" s="1"/>
  <c r="AB403" i="1"/>
  <c r="AC403" i="1" s="1"/>
  <c r="AB404" i="1"/>
  <c r="AC404" i="1" s="1"/>
  <c r="AB405" i="1"/>
  <c r="AC405" i="1" s="1"/>
  <c r="AE405" i="1" s="1"/>
  <c r="AD405" i="1" s="1"/>
  <c r="AB406" i="1"/>
  <c r="AC406" i="1" s="1"/>
  <c r="AE406" i="1" s="1"/>
  <c r="AD406" i="1" s="1"/>
  <c r="AB407" i="1"/>
  <c r="AC407" i="1" s="1"/>
  <c r="AB408" i="1"/>
  <c r="AC408" i="1" s="1"/>
  <c r="AE408" i="1" s="1"/>
  <c r="AD408" i="1" s="1"/>
  <c r="AB409" i="1"/>
  <c r="AC409" i="1" s="1"/>
  <c r="AE409" i="1" s="1"/>
  <c r="AD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E415" i="1" s="1"/>
  <c r="AD415" i="1" s="1"/>
  <c r="AB416" i="1"/>
  <c r="AC416" i="1" s="1"/>
  <c r="AE416" i="1" s="1"/>
  <c r="AD416" i="1" s="1"/>
  <c r="AB417" i="1"/>
  <c r="AC417" i="1" s="1"/>
  <c r="AE417" i="1" s="1"/>
  <c r="AD417" i="1" s="1"/>
  <c r="AB418" i="1"/>
  <c r="AC418" i="1" s="1"/>
  <c r="AD418" i="1" s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8" i="1"/>
  <c r="X429" i="1"/>
  <c r="X430" i="1"/>
  <c r="X431" i="1"/>
  <c r="X435" i="1"/>
  <c r="X433" i="1"/>
  <c r="X436" i="1"/>
  <c r="X432" i="1"/>
  <c r="X437" i="1"/>
  <c r="Z395" i="1"/>
  <c r="Z396" i="1"/>
  <c r="Z397" i="1"/>
  <c r="Z399" i="1"/>
  <c r="Z398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X395" i="1"/>
  <c r="X396" i="1"/>
  <c r="X397" i="1"/>
  <c r="X399" i="1"/>
  <c r="X398" i="1"/>
  <c r="X400" i="1"/>
  <c r="X401" i="1"/>
  <c r="X402" i="1"/>
  <c r="X403" i="1"/>
  <c r="X404" i="1"/>
  <c r="X405" i="1"/>
  <c r="X406" i="1"/>
  <c r="X370" i="1"/>
  <c r="X371" i="1"/>
  <c r="X382" i="1"/>
  <c r="X383" i="1"/>
  <c r="X384" i="1"/>
  <c r="X385" i="1"/>
  <c r="X386" i="1"/>
  <c r="X387" i="1"/>
  <c r="X388" i="1"/>
  <c r="X389" i="1"/>
  <c r="X390" i="1"/>
  <c r="X391" i="1"/>
  <c r="X392" i="1"/>
  <c r="X394" i="1"/>
  <c r="X393" i="1"/>
  <c r="Z382" i="1"/>
  <c r="Z383" i="1"/>
  <c r="Z384" i="1"/>
  <c r="Z385" i="1"/>
  <c r="Z386" i="1"/>
  <c r="Z387" i="1"/>
  <c r="Z388" i="1"/>
  <c r="Z389" i="1"/>
  <c r="Z390" i="1"/>
  <c r="Z391" i="1"/>
  <c r="Z392" i="1"/>
  <c r="Z394" i="1"/>
  <c r="Z393" i="1"/>
  <c r="AB382" i="1"/>
  <c r="AC382" i="1" s="1"/>
  <c r="AE382" i="1" s="1"/>
  <c r="AD382" i="1" s="1"/>
  <c r="AB383" i="1"/>
  <c r="AC383" i="1" s="1"/>
  <c r="AB384" i="1"/>
  <c r="AC384" i="1" s="1"/>
  <c r="AE384" i="1" s="1"/>
  <c r="AD384" i="1" s="1"/>
  <c r="AB385" i="1"/>
  <c r="AC385" i="1" s="1"/>
  <c r="AE385" i="1" s="1"/>
  <c r="AD385" i="1" s="1"/>
  <c r="AB386" i="1"/>
  <c r="AC386" i="1" s="1"/>
  <c r="AE386" i="1" s="1"/>
  <c r="AD386" i="1" s="1"/>
  <c r="AB387" i="1"/>
  <c r="AC387" i="1" s="1"/>
  <c r="AB388" i="1"/>
  <c r="AC388" i="1" s="1"/>
  <c r="AE388" i="1" s="1"/>
  <c r="AD388" i="1" s="1"/>
  <c r="AB389" i="1"/>
  <c r="AC389" i="1" s="1"/>
  <c r="AE389" i="1" s="1"/>
  <c r="AD389" i="1" s="1"/>
  <c r="AB390" i="1"/>
  <c r="AC390" i="1" s="1"/>
  <c r="AE390" i="1" s="1"/>
  <c r="AD390" i="1" s="1"/>
  <c r="AB391" i="1"/>
  <c r="AC391" i="1" s="1"/>
  <c r="AB392" i="1"/>
  <c r="AC392" i="1" s="1"/>
  <c r="AE392" i="1" s="1"/>
  <c r="AD392" i="1" s="1"/>
  <c r="AB394" i="1"/>
  <c r="AC394" i="1" s="1"/>
  <c r="AB393" i="1"/>
  <c r="AC393" i="1" s="1"/>
  <c r="AE393" i="1" s="1"/>
  <c r="AD393" i="1" s="1"/>
  <c r="X359" i="1"/>
  <c r="Z359" i="1"/>
  <c r="AB359" i="1"/>
  <c r="AC359" i="1" s="1"/>
  <c r="AE359" i="1" s="1"/>
  <c r="AD359" i="1" s="1"/>
  <c r="X360" i="1"/>
  <c r="Z360" i="1"/>
  <c r="AB360" i="1"/>
  <c r="AC360" i="1" s="1"/>
  <c r="AE360" i="1" s="1"/>
  <c r="AD360" i="1" s="1"/>
  <c r="X361" i="1"/>
  <c r="Z361" i="1"/>
  <c r="AB361" i="1"/>
  <c r="AC361" i="1" s="1"/>
  <c r="AE361" i="1" s="1"/>
  <c r="AD361" i="1" s="1"/>
  <c r="X362" i="1"/>
  <c r="Z362" i="1"/>
  <c r="AB362" i="1"/>
  <c r="AC362" i="1" s="1"/>
  <c r="AE362" i="1" s="1"/>
  <c r="AD362" i="1" s="1"/>
  <c r="X363" i="1"/>
  <c r="Z363" i="1"/>
  <c r="AB363" i="1"/>
  <c r="AC363" i="1" s="1"/>
  <c r="AE363" i="1" s="1"/>
  <c r="AD363" i="1" s="1"/>
  <c r="X364" i="1"/>
  <c r="Z364" i="1"/>
  <c r="AB364" i="1"/>
  <c r="AC364" i="1" s="1"/>
  <c r="AE364" i="1" s="1"/>
  <c r="AD364" i="1" s="1"/>
  <c r="X365" i="1"/>
  <c r="Z365" i="1"/>
  <c r="AB365" i="1"/>
  <c r="AC365" i="1" s="1"/>
  <c r="AE365" i="1" s="1"/>
  <c r="AD365" i="1" s="1"/>
  <c r="X366" i="1"/>
  <c r="Z366" i="1"/>
  <c r="AB366" i="1"/>
  <c r="AC366" i="1" s="1"/>
  <c r="AE366" i="1" s="1"/>
  <c r="AD366" i="1" s="1"/>
  <c r="X352" i="1"/>
  <c r="Z352" i="1"/>
  <c r="AB352" i="1"/>
  <c r="AC352" i="1" s="1"/>
  <c r="AE352" i="1" s="1"/>
  <c r="AD352" i="1" s="1"/>
  <c r="AB267" i="1"/>
  <c r="AC267" i="1" s="1"/>
  <c r="AE267" i="1" s="1"/>
  <c r="AD267" i="1" s="1"/>
  <c r="AB273" i="1"/>
  <c r="AB268" i="1"/>
  <c r="AB269" i="1"/>
  <c r="AC269" i="1" s="1"/>
  <c r="AE269" i="1" s="1"/>
  <c r="AD269" i="1" s="1"/>
  <c r="AB279" i="1"/>
  <c r="AC279" i="1" s="1"/>
  <c r="AB281" i="1"/>
  <c r="AC281" i="1" s="1"/>
  <c r="AB280" i="1"/>
  <c r="AC280" i="1" s="1"/>
  <c r="AE280" i="1" s="1"/>
  <c r="AD280" i="1" s="1"/>
  <c r="AB282" i="1"/>
  <c r="AC282" i="1" s="1"/>
  <c r="AB283" i="1"/>
  <c r="AC283" i="1" s="1"/>
  <c r="AB284" i="1"/>
  <c r="AC284" i="1" s="1"/>
  <c r="AE284" i="1" s="1"/>
  <c r="AD284" i="1" s="1"/>
  <c r="AB285" i="1"/>
  <c r="AC285" i="1" s="1"/>
  <c r="AE285" i="1" s="1"/>
  <c r="AD285" i="1" s="1"/>
  <c r="AB286" i="1"/>
  <c r="AC286" i="1" s="1"/>
  <c r="AE286" i="1" s="1"/>
  <c r="AD286" i="1" s="1"/>
  <c r="AB287" i="1"/>
  <c r="AC287" i="1" s="1"/>
  <c r="AB288" i="1"/>
  <c r="AC288" i="1" s="1"/>
  <c r="AB289" i="1"/>
  <c r="AC289" i="1" s="1"/>
  <c r="AE289" i="1" s="1"/>
  <c r="AD289" i="1" s="1"/>
  <c r="AB291" i="1"/>
  <c r="AC291" i="1" s="1"/>
  <c r="AB290" i="1"/>
  <c r="AC290" i="1" s="1"/>
  <c r="AB292" i="1"/>
  <c r="AC292" i="1" s="1"/>
  <c r="AB294" i="1"/>
  <c r="AC294" i="1" s="1"/>
  <c r="AB293" i="1"/>
  <c r="AC293" i="1" s="1"/>
  <c r="AB295" i="1"/>
  <c r="AC295" i="1" s="1"/>
  <c r="AE295" i="1" s="1"/>
  <c r="AD295" i="1" s="1"/>
  <c r="AB296" i="1"/>
  <c r="AC296" i="1" s="1"/>
  <c r="AE296" i="1" s="1"/>
  <c r="AD296" i="1" s="1"/>
  <c r="AB297" i="1"/>
  <c r="AC297" i="1" s="1"/>
  <c r="AE297" i="1" s="1"/>
  <c r="AD297" i="1" s="1"/>
  <c r="AB298" i="1"/>
  <c r="AC298" i="1" s="1"/>
  <c r="AB299" i="1"/>
  <c r="AC299" i="1" s="1"/>
  <c r="AE299" i="1" s="1"/>
  <c r="AD299" i="1" s="1"/>
  <c r="AB300" i="1"/>
  <c r="AC300" i="1" s="1"/>
  <c r="AE300" i="1" s="1"/>
  <c r="AD300" i="1" s="1"/>
  <c r="AB301" i="1"/>
  <c r="AC301" i="1" s="1"/>
  <c r="AE301" i="1" s="1"/>
  <c r="AD301" i="1" s="1"/>
  <c r="AB302" i="1"/>
  <c r="AC302" i="1" s="1"/>
  <c r="AE302" i="1" s="1"/>
  <c r="AD302" i="1" s="1"/>
  <c r="AB303" i="1"/>
  <c r="AC303" i="1" s="1"/>
  <c r="AB304" i="1"/>
  <c r="AC304" i="1" s="1"/>
  <c r="AE304" i="1" s="1"/>
  <c r="AD304" i="1" s="1"/>
  <c r="AB307" i="1"/>
  <c r="AC307" i="1" s="1"/>
  <c r="AE307" i="1" s="1"/>
  <c r="AD307" i="1" s="1"/>
  <c r="AB306" i="1"/>
  <c r="AC306" i="1" s="1"/>
  <c r="AB305" i="1"/>
  <c r="AC305" i="1" s="1"/>
  <c r="AB308" i="1"/>
  <c r="AC308" i="1" s="1"/>
  <c r="AB309" i="1"/>
  <c r="AC309" i="1" s="1"/>
  <c r="AB311" i="1"/>
  <c r="AC311" i="1" s="1"/>
  <c r="AB314" i="1"/>
  <c r="AC314" i="1" s="1"/>
  <c r="AB313" i="1"/>
  <c r="AC313" i="1" s="1"/>
  <c r="AB315" i="1"/>
  <c r="AC315" i="1" s="1"/>
  <c r="AB316" i="1"/>
  <c r="AC316" i="1" s="1"/>
  <c r="AB312" i="1"/>
  <c r="AC312" i="1" s="1"/>
  <c r="AB310" i="1"/>
  <c r="AC310" i="1" s="1"/>
  <c r="AB317" i="1"/>
  <c r="AC317" i="1" s="1"/>
  <c r="AE317" i="1" s="1"/>
  <c r="AD317" i="1" s="1"/>
  <c r="AB318" i="1"/>
  <c r="AC318" i="1" s="1"/>
  <c r="AB319" i="1"/>
  <c r="AC319" i="1" s="1"/>
  <c r="AE319" i="1" s="1"/>
  <c r="AD319" i="1" s="1"/>
  <c r="AB320" i="1"/>
  <c r="AC320" i="1" s="1"/>
  <c r="AB321" i="1"/>
  <c r="AC321" i="1" s="1"/>
  <c r="AE321" i="1" s="1"/>
  <c r="AD321" i="1" s="1"/>
  <c r="AB322" i="1"/>
  <c r="AC322" i="1" s="1"/>
  <c r="AB323" i="1"/>
  <c r="AC323" i="1" s="1"/>
  <c r="AE323" i="1" s="1"/>
  <c r="AD323" i="1" s="1"/>
  <c r="AB324" i="1"/>
  <c r="AC324" i="1" s="1"/>
  <c r="AE324" i="1" s="1"/>
  <c r="AD324" i="1" s="1"/>
  <c r="AB325" i="1"/>
  <c r="AC325" i="1" s="1"/>
  <c r="AE325" i="1" s="1"/>
  <c r="AD325" i="1" s="1"/>
  <c r="AB326" i="1"/>
  <c r="AC326" i="1" s="1"/>
  <c r="AB327" i="1"/>
  <c r="AC327" i="1" s="1"/>
  <c r="AE327" i="1" s="1"/>
  <c r="AD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4" i="1"/>
  <c r="AC334" i="1" s="1"/>
  <c r="AB333" i="1"/>
  <c r="AC333" i="1" s="1"/>
  <c r="AB335" i="1"/>
  <c r="AC335" i="1" s="1"/>
  <c r="AB339" i="1"/>
  <c r="AC339" i="1" s="1"/>
  <c r="AB337" i="1"/>
  <c r="AC337" i="1" s="1"/>
  <c r="AB336" i="1"/>
  <c r="AC336" i="1" s="1"/>
  <c r="AB338" i="1"/>
  <c r="AC338" i="1" s="1"/>
  <c r="AD338" i="1" s="1"/>
  <c r="AB340" i="1"/>
  <c r="AC340" i="1" s="1"/>
  <c r="AE340" i="1" s="1"/>
  <c r="AD340" i="1" s="1"/>
  <c r="AB341" i="1"/>
  <c r="AC341" i="1" s="1"/>
  <c r="AE341" i="1" s="1"/>
  <c r="AD341" i="1" s="1"/>
  <c r="AB342" i="1"/>
  <c r="AC342" i="1" s="1"/>
  <c r="AE342" i="1" s="1"/>
  <c r="AD342" i="1" s="1"/>
  <c r="AB343" i="1"/>
  <c r="AC343" i="1" s="1"/>
  <c r="AB344" i="1"/>
  <c r="AC344" i="1" s="1"/>
  <c r="AB345" i="1"/>
  <c r="AC345" i="1" s="1"/>
  <c r="AE345" i="1" s="1"/>
  <c r="AD345" i="1" s="1"/>
  <c r="AB346" i="1"/>
  <c r="AC346" i="1" s="1"/>
  <c r="AE346" i="1" s="1"/>
  <c r="AD346" i="1" s="1"/>
  <c r="AB347" i="1"/>
  <c r="AC347" i="1" s="1"/>
  <c r="AB348" i="1"/>
  <c r="AC348" i="1" s="1"/>
  <c r="AE348" i="1" s="1"/>
  <c r="AD348" i="1" s="1"/>
  <c r="AB349" i="1"/>
  <c r="AC349" i="1" s="1"/>
  <c r="AE349" i="1" s="1"/>
  <c r="AD349" i="1" s="1"/>
  <c r="AB350" i="1"/>
  <c r="AC350" i="1" s="1"/>
  <c r="AE350" i="1" s="1"/>
  <c r="AD350" i="1" s="1"/>
  <c r="AB351" i="1"/>
  <c r="AC351" i="1" s="1"/>
  <c r="AE351" i="1" s="1"/>
  <c r="AD351" i="1" s="1"/>
  <c r="AB353" i="1"/>
  <c r="AC353" i="1" s="1"/>
  <c r="AE353" i="1" s="1"/>
  <c r="AD353" i="1" s="1"/>
  <c r="AB354" i="1"/>
  <c r="AC354" i="1" s="1"/>
  <c r="AE354" i="1" s="1"/>
  <c r="AD354" i="1" s="1"/>
  <c r="AB355" i="1"/>
  <c r="AC355" i="1" s="1"/>
  <c r="AB356" i="1"/>
  <c r="AC356" i="1" s="1"/>
  <c r="AE356" i="1" s="1"/>
  <c r="AD356" i="1" s="1"/>
  <c r="AB357" i="1"/>
  <c r="AC357" i="1" s="1"/>
  <c r="AB358" i="1"/>
  <c r="AC358" i="1" s="1"/>
  <c r="AE358" i="1" s="1"/>
  <c r="AD358" i="1" s="1"/>
  <c r="AB367" i="1"/>
  <c r="AC367" i="1" s="1"/>
  <c r="AB369" i="1"/>
  <c r="AC369" i="1" s="1"/>
  <c r="AB368" i="1"/>
  <c r="AC368" i="1" s="1"/>
  <c r="AE368" i="1" s="1"/>
  <c r="AD368" i="1" s="1"/>
  <c r="AB370" i="1"/>
  <c r="AC370" i="1" s="1"/>
  <c r="AE370" i="1" s="1"/>
  <c r="AD370" i="1" s="1"/>
  <c r="AB371" i="1"/>
  <c r="AC371" i="1" s="1"/>
  <c r="AE371" i="1" s="1"/>
  <c r="AD371" i="1" s="1"/>
  <c r="AB372" i="1"/>
  <c r="AC372" i="1" s="1"/>
  <c r="AE372" i="1" s="1"/>
  <c r="AD372" i="1" s="1"/>
  <c r="AB373" i="1"/>
  <c r="AC373" i="1" s="1"/>
  <c r="AE373" i="1" s="1"/>
  <c r="AD373" i="1" s="1"/>
  <c r="AB374" i="1"/>
  <c r="AC374" i="1" s="1"/>
  <c r="AE374" i="1" s="1"/>
  <c r="AD374" i="1" s="1"/>
  <c r="AB375" i="1"/>
  <c r="AC375" i="1" s="1"/>
  <c r="AE375" i="1" s="1"/>
  <c r="AD375" i="1" s="1"/>
  <c r="AB376" i="1"/>
  <c r="AC376" i="1" s="1"/>
  <c r="AE376" i="1" s="1"/>
  <c r="AD376" i="1" s="1"/>
  <c r="AB377" i="1"/>
  <c r="AC377" i="1" s="1"/>
  <c r="AB378" i="1"/>
  <c r="AC378" i="1" s="1"/>
  <c r="AB379" i="1"/>
  <c r="AC379" i="1" s="1"/>
  <c r="AE379" i="1" s="1"/>
  <c r="AD379" i="1" s="1"/>
  <c r="AB380" i="1"/>
  <c r="AC380" i="1" s="1"/>
  <c r="AE380" i="1" s="1"/>
  <c r="AD380" i="1" s="1"/>
  <c r="AB381" i="1"/>
  <c r="AC381" i="1" s="1"/>
  <c r="AE381" i="1" s="1"/>
  <c r="AD381" i="1" s="1"/>
  <c r="X381" i="1"/>
  <c r="Z381" i="1"/>
  <c r="X380" i="1"/>
  <c r="Z380" i="1"/>
  <c r="X379" i="1"/>
  <c r="Z379" i="1"/>
  <c r="X378" i="1"/>
  <c r="Z378" i="1"/>
  <c r="X377" i="1"/>
  <c r="Z377" i="1"/>
  <c r="X376" i="1"/>
  <c r="Z376" i="1"/>
  <c r="Z375" i="1"/>
  <c r="X375" i="1"/>
  <c r="X282" i="1"/>
  <c r="Z282" i="1"/>
  <c r="X283" i="1"/>
  <c r="Z283" i="1"/>
  <c r="X341" i="1"/>
  <c r="Z341" i="1"/>
  <c r="X342" i="1"/>
  <c r="Z342" i="1"/>
  <c r="X343" i="1"/>
  <c r="Z343" i="1"/>
  <c r="X344" i="1"/>
  <c r="Z344" i="1"/>
  <c r="X345" i="1"/>
  <c r="Z345" i="1"/>
  <c r="X346" i="1"/>
  <c r="Z346" i="1"/>
  <c r="X347" i="1"/>
  <c r="Z347" i="1"/>
  <c r="X348" i="1"/>
  <c r="Z348" i="1"/>
  <c r="X349" i="1"/>
  <c r="Z349" i="1"/>
  <c r="X350" i="1"/>
  <c r="Z350" i="1"/>
  <c r="X351" i="1"/>
  <c r="Z351" i="1"/>
  <c r="X353" i="1"/>
  <c r="Z353" i="1"/>
  <c r="X354" i="1"/>
  <c r="Z354" i="1"/>
  <c r="X355" i="1"/>
  <c r="Z355" i="1"/>
  <c r="X356" i="1"/>
  <c r="Z356" i="1"/>
  <c r="X357" i="1"/>
  <c r="Z357" i="1"/>
  <c r="X358" i="1"/>
  <c r="Z358" i="1"/>
  <c r="X367" i="1"/>
  <c r="Z367" i="1"/>
  <c r="X369" i="1"/>
  <c r="Z369" i="1"/>
  <c r="X368" i="1"/>
  <c r="Z368" i="1"/>
  <c r="Z370" i="1"/>
  <c r="Z371" i="1"/>
  <c r="X372" i="1"/>
  <c r="Z372" i="1"/>
  <c r="X373" i="1"/>
  <c r="Z373" i="1"/>
  <c r="X374" i="1"/>
  <c r="Z374" i="1"/>
  <c r="X323" i="1"/>
  <c r="Z323" i="1"/>
  <c r="X324" i="1"/>
  <c r="Z324" i="1"/>
  <c r="X325" i="1"/>
  <c r="Z325" i="1"/>
  <c r="X326" i="1"/>
  <c r="Z326" i="1"/>
  <c r="X327" i="1"/>
  <c r="Z327" i="1"/>
  <c r="X328" i="1"/>
  <c r="Z328" i="1"/>
  <c r="X329" i="1"/>
  <c r="Z329" i="1"/>
  <c r="X330" i="1"/>
  <c r="Z330" i="1"/>
  <c r="X331" i="1"/>
  <c r="Z331" i="1"/>
  <c r="X332" i="1"/>
  <c r="Z332" i="1"/>
  <c r="X334" i="1"/>
  <c r="Z334" i="1"/>
  <c r="X333" i="1"/>
  <c r="Z333" i="1"/>
  <c r="X335" i="1"/>
  <c r="Z335" i="1"/>
  <c r="X339" i="1"/>
  <c r="Z339" i="1"/>
  <c r="X337" i="1"/>
  <c r="Z337" i="1"/>
  <c r="X336" i="1"/>
  <c r="Z336" i="1"/>
  <c r="X338" i="1"/>
  <c r="Z338" i="1"/>
  <c r="X340" i="1"/>
  <c r="Z340" i="1"/>
  <c r="AB272" i="1"/>
  <c r="AB274" i="1"/>
  <c r="AB275" i="1"/>
  <c r="AB276" i="1"/>
  <c r="AB277" i="1"/>
  <c r="AB278" i="1"/>
  <c r="AB263" i="1"/>
  <c r="AC263" i="1" s="1"/>
  <c r="AE263" i="1" s="1"/>
  <c r="AD263" i="1" s="1"/>
  <c r="AB264" i="1"/>
  <c r="AC264" i="1" s="1"/>
  <c r="AE264" i="1" s="1"/>
  <c r="AD264" i="1" s="1"/>
  <c r="AB265" i="1"/>
  <c r="AC265" i="1" s="1"/>
  <c r="AE265" i="1" s="1"/>
  <c r="AD265" i="1" s="1"/>
  <c r="AB266" i="1"/>
  <c r="AC266" i="1" s="1"/>
  <c r="AE266" i="1" s="1"/>
  <c r="AD266" i="1" s="1"/>
  <c r="AB271" i="1"/>
  <c r="AC271" i="1" s="1"/>
  <c r="AE271" i="1" s="1"/>
  <c r="AD271" i="1" s="1"/>
  <c r="AB270" i="1"/>
  <c r="AC270" i="1" s="1"/>
  <c r="AE270" i="1" s="1"/>
  <c r="AD270" i="1" s="1"/>
  <c r="X5" i="1"/>
  <c r="X3" i="1"/>
  <c r="X4" i="1"/>
  <c r="X6" i="1"/>
  <c r="X2" i="1"/>
  <c r="X7" i="1"/>
  <c r="X8" i="1"/>
  <c r="X10" i="1"/>
  <c r="X9" i="1"/>
  <c r="X11" i="1"/>
  <c r="X12" i="1"/>
  <c r="X14" i="1"/>
  <c r="X13" i="1"/>
  <c r="X15" i="1"/>
  <c r="X16" i="1"/>
  <c r="X17" i="1"/>
  <c r="X18" i="1"/>
  <c r="X19" i="1"/>
  <c r="X21" i="1"/>
  <c r="X20" i="1"/>
  <c r="X22" i="1"/>
  <c r="X24" i="1"/>
  <c r="X23" i="1"/>
  <c r="X25" i="1"/>
  <c r="X26" i="1"/>
  <c r="X27" i="1"/>
  <c r="X28" i="1"/>
  <c r="X29" i="1"/>
  <c r="X30" i="1"/>
  <c r="X31" i="1"/>
  <c r="X32" i="1"/>
  <c r="X34" i="1"/>
  <c r="X33" i="1"/>
  <c r="X35" i="1"/>
  <c r="X36" i="1"/>
  <c r="X37" i="1"/>
  <c r="X38" i="1"/>
  <c r="X40" i="1"/>
  <c r="X41" i="1"/>
  <c r="X42" i="1"/>
  <c r="X39" i="1"/>
  <c r="X43" i="1"/>
  <c r="X44" i="1"/>
  <c r="X46" i="1"/>
  <c r="X45" i="1"/>
  <c r="X47" i="1"/>
  <c r="X48" i="1"/>
  <c r="X49" i="1"/>
  <c r="X51" i="1"/>
  <c r="X52" i="1"/>
  <c r="X50" i="1"/>
  <c r="X53" i="1"/>
  <c r="X54" i="1"/>
  <c r="X55" i="1"/>
  <c r="X56" i="1"/>
  <c r="X57" i="1"/>
  <c r="X58" i="1"/>
  <c r="X59" i="1"/>
  <c r="X60" i="1"/>
  <c r="X61" i="1"/>
  <c r="X62" i="1"/>
  <c r="X63" i="1"/>
  <c r="X65" i="1"/>
  <c r="X64" i="1"/>
  <c r="X66" i="1"/>
  <c r="X67" i="1"/>
  <c r="X68" i="1"/>
  <c r="X69" i="1"/>
  <c r="X70" i="1"/>
  <c r="X71" i="1"/>
  <c r="X72" i="1"/>
  <c r="X73" i="1"/>
  <c r="X74" i="1"/>
  <c r="X76" i="1"/>
  <c r="X75" i="1"/>
  <c r="X77" i="1"/>
  <c r="X78" i="1"/>
  <c r="X79" i="1"/>
  <c r="X80" i="1"/>
  <c r="X81" i="1"/>
  <c r="X83" i="1"/>
  <c r="X82" i="1"/>
  <c r="X84" i="1"/>
  <c r="X85" i="1"/>
  <c r="X86" i="1"/>
  <c r="X87" i="1"/>
  <c r="X89" i="1"/>
  <c r="X92" i="1"/>
  <c r="X91" i="1"/>
  <c r="X90" i="1"/>
  <c r="X94" i="1"/>
  <c r="X96" i="1"/>
  <c r="X95" i="1"/>
  <c r="X93" i="1"/>
  <c r="X88" i="1"/>
  <c r="X97" i="1"/>
  <c r="X98" i="1"/>
  <c r="X100" i="1"/>
  <c r="X99" i="1"/>
  <c r="X101" i="1"/>
  <c r="X102" i="1"/>
  <c r="X104" i="1"/>
  <c r="X103" i="1"/>
  <c r="X105" i="1"/>
  <c r="X106" i="1"/>
  <c r="X107" i="1"/>
  <c r="X108" i="1"/>
  <c r="X109" i="1"/>
  <c r="X110" i="1"/>
  <c r="X111" i="1"/>
  <c r="X112" i="1"/>
  <c r="X113" i="1"/>
  <c r="X115" i="1"/>
  <c r="X114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3" i="1"/>
  <c r="X172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8" i="1"/>
  <c r="X187" i="1"/>
  <c r="X189" i="1"/>
  <c r="X190" i="1"/>
  <c r="X191" i="1"/>
  <c r="X192" i="1"/>
  <c r="X193" i="1"/>
  <c r="X194" i="1"/>
  <c r="X195" i="1"/>
  <c r="X196" i="1"/>
  <c r="X198" i="1"/>
  <c r="X197" i="1"/>
  <c r="X199" i="1"/>
  <c r="X201" i="1"/>
  <c r="X202" i="1"/>
  <c r="X204" i="1"/>
  <c r="X203" i="1"/>
  <c r="X200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3" i="1"/>
  <c r="X242" i="1"/>
  <c r="X244" i="1"/>
  <c r="X245" i="1"/>
  <c r="X247" i="1"/>
  <c r="X251" i="1"/>
  <c r="X250" i="1"/>
  <c r="X249" i="1"/>
  <c r="X248" i="1"/>
  <c r="X252" i="1"/>
  <c r="X253" i="1"/>
  <c r="X254" i="1"/>
  <c r="X255" i="1"/>
  <c r="X257" i="1"/>
  <c r="X258" i="1"/>
  <c r="X256" i="1"/>
  <c r="X259" i="1"/>
  <c r="X260" i="1"/>
  <c r="X261" i="1"/>
  <c r="X263" i="1"/>
  <c r="X264" i="1"/>
  <c r="X265" i="1"/>
  <c r="X266" i="1"/>
  <c r="X271" i="1"/>
  <c r="X270" i="1"/>
  <c r="X267" i="1"/>
  <c r="X273" i="1"/>
  <c r="X268" i="1"/>
  <c r="X269" i="1"/>
  <c r="X272" i="1"/>
  <c r="X274" i="1"/>
  <c r="X275" i="1"/>
  <c r="X276" i="1"/>
  <c r="X277" i="1"/>
  <c r="X278" i="1"/>
  <c r="X279" i="1"/>
  <c r="X281" i="1"/>
  <c r="X280" i="1"/>
  <c r="X284" i="1"/>
  <c r="X285" i="1"/>
  <c r="X286" i="1"/>
  <c r="X287" i="1"/>
  <c r="X288" i="1"/>
  <c r="X289" i="1"/>
  <c r="X291" i="1"/>
  <c r="X290" i="1"/>
  <c r="X292" i="1"/>
  <c r="X294" i="1"/>
  <c r="X293" i="1"/>
  <c r="X295" i="1"/>
  <c r="X296" i="1"/>
  <c r="X297" i="1"/>
  <c r="X298" i="1"/>
  <c r="X299" i="1"/>
  <c r="X300" i="1"/>
  <c r="X301" i="1"/>
  <c r="X302" i="1"/>
  <c r="X303" i="1"/>
  <c r="X304" i="1"/>
  <c r="X307" i="1"/>
  <c r="X306" i="1"/>
  <c r="X305" i="1"/>
  <c r="X308" i="1"/>
  <c r="X309" i="1"/>
  <c r="X311" i="1"/>
  <c r="X314" i="1"/>
  <c r="X313" i="1"/>
  <c r="X315" i="1"/>
  <c r="X316" i="1"/>
  <c r="X312" i="1"/>
  <c r="X310" i="1"/>
  <c r="X317" i="1"/>
  <c r="X318" i="1"/>
  <c r="X319" i="1"/>
  <c r="X320" i="1"/>
  <c r="X321" i="1"/>
  <c r="X322" i="1"/>
  <c r="Z255" i="1"/>
  <c r="AB255" i="1"/>
  <c r="AC255" i="1" s="1"/>
  <c r="AB179" i="1"/>
  <c r="AC179" i="1" s="1"/>
  <c r="AE179" i="1" s="1"/>
  <c r="AD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8" i="1"/>
  <c r="AC188" i="1" s="1"/>
  <c r="AB187" i="1"/>
  <c r="AC187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8" i="1"/>
  <c r="AC198" i="1" s="1"/>
  <c r="AB197" i="1"/>
  <c r="AC197" i="1" s="1"/>
  <c r="AB199" i="1"/>
  <c r="AC199" i="1" s="1"/>
  <c r="AB201" i="1"/>
  <c r="AC201" i="1" s="1"/>
  <c r="AB202" i="1"/>
  <c r="AC202" i="1" s="1"/>
  <c r="AB204" i="1"/>
  <c r="AC204" i="1" s="1"/>
  <c r="AB203" i="1"/>
  <c r="AC203" i="1" s="1"/>
  <c r="AB200" i="1"/>
  <c r="AC200" i="1" s="1"/>
  <c r="AB205" i="1"/>
  <c r="AC205" i="1" s="1"/>
  <c r="AB206" i="1"/>
  <c r="AC206" i="1" s="1"/>
  <c r="AB207" i="1"/>
  <c r="AC207" i="1" s="1"/>
  <c r="AB208" i="1"/>
  <c r="AC208" i="1" s="1"/>
  <c r="AE208" i="1" s="1"/>
  <c r="AD208" i="1" s="1"/>
  <c r="AB209" i="1"/>
  <c r="AC209" i="1" s="1"/>
  <c r="AB210" i="1"/>
  <c r="AC210" i="1" s="1"/>
  <c r="AB211" i="1"/>
  <c r="AC211" i="1" s="1"/>
  <c r="AB212" i="1"/>
  <c r="AC212" i="1" s="1"/>
  <c r="AB213" i="1"/>
  <c r="AC213" i="1" s="1"/>
  <c r="AE213" i="1" s="1"/>
  <c r="AD213" i="1" s="1"/>
  <c r="AB214" i="1"/>
  <c r="AC214" i="1" s="1"/>
  <c r="AB215" i="1"/>
  <c r="AC215" i="1" s="1"/>
  <c r="AB216" i="1"/>
  <c r="AC216" i="1" s="1"/>
  <c r="AB217" i="1"/>
  <c r="AC217" i="1" s="1"/>
  <c r="AE217" i="1" s="1"/>
  <c r="AD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E222" i="1" s="1"/>
  <c r="AD222" i="1" s="1"/>
  <c r="AB223" i="1"/>
  <c r="AC223" i="1" s="1"/>
  <c r="AB224" i="1"/>
  <c r="AC224" i="1" s="1"/>
  <c r="AE224" i="1" s="1"/>
  <c r="AD224" i="1" s="1"/>
  <c r="AB225" i="1"/>
  <c r="AC225" i="1" s="1"/>
  <c r="AB226" i="1"/>
  <c r="AC226" i="1" s="1"/>
  <c r="AB227" i="1"/>
  <c r="AC227" i="1" s="1"/>
  <c r="AB228" i="1"/>
  <c r="AC228" i="1" s="1"/>
  <c r="AE228" i="1" s="1"/>
  <c r="AD228" i="1" s="1"/>
  <c r="AB229" i="1"/>
  <c r="AC229" i="1" s="1"/>
  <c r="AE229" i="1" s="1"/>
  <c r="AD229" i="1" s="1"/>
  <c r="AB230" i="1"/>
  <c r="AC230" i="1" s="1"/>
  <c r="AE230" i="1" s="1"/>
  <c r="AD230" i="1" s="1"/>
  <c r="AB231" i="1"/>
  <c r="AC231" i="1" s="1"/>
  <c r="AE231" i="1" s="1"/>
  <c r="AD231" i="1" s="1"/>
  <c r="AB232" i="1"/>
  <c r="AC232" i="1" s="1"/>
  <c r="AE232" i="1" s="1"/>
  <c r="AD232" i="1" s="1"/>
  <c r="AB233" i="1"/>
  <c r="AC233" i="1" s="1"/>
  <c r="AE233" i="1" s="1"/>
  <c r="AD233" i="1" s="1"/>
  <c r="AB234" i="1"/>
  <c r="AC234" i="1" s="1"/>
  <c r="AB235" i="1"/>
  <c r="AC235" i="1" s="1"/>
  <c r="AE235" i="1" s="1"/>
  <c r="AD235" i="1" s="1"/>
  <c r="AB236" i="1"/>
  <c r="AC236" i="1" s="1"/>
  <c r="AB237" i="1"/>
  <c r="AC237" i="1" s="1"/>
  <c r="AE237" i="1" s="1"/>
  <c r="AD237" i="1" s="1"/>
  <c r="AB238" i="1"/>
  <c r="AC238" i="1" s="1"/>
  <c r="AE238" i="1" s="1"/>
  <c r="AD238" i="1" s="1"/>
  <c r="AB239" i="1"/>
  <c r="AC239" i="1" s="1"/>
  <c r="AB240" i="1"/>
  <c r="AC240" i="1" s="1"/>
  <c r="AE240" i="1" s="1"/>
  <c r="AD240" i="1" s="1"/>
  <c r="AB241" i="1"/>
  <c r="AC241" i="1" s="1"/>
  <c r="AE241" i="1" s="1"/>
  <c r="AD241" i="1" s="1"/>
  <c r="AB243" i="1"/>
  <c r="AC243" i="1" s="1"/>
  <c r="AE243" i="1" s="1"/>
  <c r="AD243" i="1" s="1"/>
  <c r="AB242" i="1"/>
  <c r="AC242" i="1" s="1"/>
  <c r="AE242" i="1" s="1"/>
  <c r="AD242" i="1" s="1"/>
  <c r="AB244" i="1"/>
  <c r="AC244" i="1" s="1"/>
  <c r="AE244" i="1" s="1"/>
  <c r="AD244" i="1" s="1"/>
  <c r="AB245" i="1"/>
  <c r="AC245" i="1" s="1"/>
  <c r="AE245" i="1" s="1"/>
  <c r="AD245" i="1" s="1"/>
  <c r="AB247" i="1"/>
  <c r="AC247" i="1" s="1"/>
  <c r="AB251" i="1"/>
  <c r="AC251" i="1" s="1"/>
  <c r="AB250" i="1"/>
  <c r="AC250" i="1" s="1"/>
  <c r="AE250" i="1" s="1"/>
  <c r="AD250" i="1" s="1"/>
  <c r="AB249" i="1"/>
  <c r="AC249" i="1" s="1"/>
  <c r="AE249" i="1" s="1"/>
  <c r="AD249" i="1" s="1"/>
  <c r="AB248" i="1"/>
  <c r="AC248" i="1" s="1"/>
  <c r="AE248" i="1" s="1"/>
  <c r="AD248" i="1" s="1"/>
  <c r="AB252" i="1"/>
  <c r="AC252" i="1" s="1"/>
  <c r="AE252" i="1" s="1"/>
  <c r="AD252" i="1" s="1"/>
  <c r="AB253" i="1"/>
  <c r="AC253" i="1" s="1"/>
  <c r="AE253" i="1" s="1"/>
  <c r="AD253" i="1" s="1"/>
  <c r="AB254" i="1"/>
  <c r="AC254" i="1" s="1"/>
  <c r="AB257" i="1"/>
  <c r="AC257" i="1" s="1"/>
  <c r="AE257" i="1" s="1"/>
  <c r="AD257" i="1" s="1"/>
  <c r="AB258" i="1"/>
  <c r="AC258" i="1" s="1"/>
  <c r="AE258" i="1" s="1"/>
  <c r="AD258" i="1" s="1"/>
  <c r="AB256" i="1"/>
  <c r="AC256" i="1" s="1"/>
  <c r="AE256" i="1" s="1"/>
  <c r="AD256" i="1" s="1"/>
  <c r="AB259" i="1"/>
  <c r="AC259" i="1" s="1"/>
  <c r="AB260" i="1"/>
  <c r="AC260" i="1" s="1"/>
  <c r="AE260" i="1" s="1"/>
  <c r="AD260" i="1" s="1"/>
  <c r="AB261" i="1"/>
  <c r="AC261" i="1" s="1"/>
  <c r="AE261" i="1" s="1"/>
  <c r="AD261" i="1" s="1"/>
  <c r="AB97" i="1"/>
  <c r="AC97" i="1" s="1"/>
  <c r="AB98" i="1"/>
  <c r="AC98" i="1" s="1"/>
  <c r="AB100" i="1"/>
  <c r="AC100" i="1" s="1"/>
  <c r="AB99" i="1"/>
  <c r="AC99" i="1" s="1"/>
  <c r="AB101" i="1"/>
  <c r="AC101" i="1" s="1"/>
  <c r="AB102" i="1"/>
  <c r="AC102" i="1" s="1"/>
  <c r="AB104" i="1"/>
  <c r="AC104" i="1" s="1"/>
  <c r="AB103" i="1"/>
  <c r="AC103" i="1" s="1"/>
  <c r="AB79" i="1"/>
  <c r="AC79" i="1" s="1"/>
  <c r="AB80" i="1"/>
  <c r="AC80" i="1" s="1"/>
  <c r="AB81" i="1"/>
  <c r="AC81" i="1" s="1"/>
  <c r="AB83" i="1"/>
  <c r="AC83" i="1" s="1"/>
  <c r="AB82" i="1"/>
  <c r="AC82" i="1" s="1"/>
  <c r="AB84" i="1"/>
  <c r="AC84" i="1" s="1"/>
  <c r="AB133" i="1"/>
  <c r="AC133" i="1" s="1"/>
  <c r="AB107" i="1"/>
  <c r="AC107" i="1" s="1"/>
  <c r="AB118" i="1"/>
  <c r="AC118" i="1" s="1"/>
  <c r="Z118" i="1"/>
  <c r="Z270" i="1"/>
  <c r="Z267" i="1"/>
  <c r="Z273" i="1"/>
  <c r="Z268" i="1"/>
  <c r="Z269" i="1"/>
  <c r="Z272" i="1"/>
  <c r="Z274" i="1"/>
  <c r="Z275" i="1"/>
  <c r="Z276" i="1"/>
  <c r="Z277" i="1"/>
  <c r="Z278" i="1"/>
  <c r="Z279" i="1"/>
  <c r="Z281" i="1"/>
  <c r="Z280" i="1"/>
  <c r="Z284" i="1"/>
  <c r="Z285" i="1"/>
  <c r="Z286" i="1"/>
  <c r="Z287" i="1"/>
  <c r="Z288" i="1"/>
  <c r="Z289" i="1"/>
  <c r="Z291" i="1"/>
  <c r="Z290" i="1"/>
  <c r="Z292" i="1"/>
  <c r="Z294" i="1"/>
  <c r="Z293" i="1"/>
  <c r="Z295" i="1"/>
  <c r="Z296" i="1"/>
  <c r="Z297" i="1"/>
  <c r="Z298" i="1"/>
  <c r="Z299" i="1"/>
  <c r="Z300" i="1"/>
  <c r="Z301" i="1"/>
  <c r="Z302" i="1"/>
  <c r="Z303" i="1"/>
  <c r="Z304" i="1"/>
  <c r="Z307" i="1"/>
  <c r="Z306" i="1"/>
  <c r="Z305" i="1"/>
  <c r="Z308" i="1"/>
  <c r="Z309" i="1"/>
  <c r="Z311" i="1"/>
  <c r="Z314" i="1"/>
  <c r="Z313" i="1"/>
  <c r="Z315" i="1"/>
  <c r="Z316" i="1"/>
  <c r="Z312" i="1"/>
  <c r="Z310" i="1"/>
  <c r="Z317" i="1"/>
  <c r="Z318" i="1"/>
  <c r="Z319" i="1"/>
  <c r="Z320" i="1"/>
  <c r="Z321" i="1"/>
  <c r="Z322" i="1"/>
  <c r="Z177" i="1"/>
  <c r="Z178" i="1"/>
  <c r="Z179" i="1"/>
  <c r="Z180" i="1"/>
  <c r="Z181" i="1"/>
  <c r="Z182" i="1"/>
  <c r="Z183" i="1"/>
  <c r="Z184" i="1"/>
  <c r="Z185" i="1"/>
  <c r="Z186" i="1"/>
  <c r="Z188" i="1"/>
  <c r="Z187" i="1"/>
  <c r="Z189" i="1"/>
  <c r="Z190" i="1"/>
  <c r="Z191" i="1"/>
  <c r="Z192" i="1"/>
  <c r="Z193" i="1"/>
  <c r="Z194" i="1"/>
  <c r="Z195" i="1"/>
  <c r="Z196" i="1"/>
  <c r="Z198" i="1"/>
  <c r="Z197" i="1"/>
  <c r="Z199" i="1"/>
  <c r="Z201" i="1"/>
  <c r="Z202" i="1"/>
  <c r="Z204" i="1"/>
  <c r="Z203" i="1"/>
  <c r="Z200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41" i="1"/>
  <c r="Z243" i="1"/>
  <c r="Z242" i="1"/>
  <c r="Z244" i="1"/>
  <c r="Z245" i="1"/>
  <c r="Z247" i="1"/>
  <c r="Z251" i="1"/>
  <c r="Z250" i="1"/>
  <c r="Z249" i="1"/>
  <c r="Z248" i="1"/>
  <c r="Z252" i="1"/>
  <c r="Z253" i="1"/>
  <c r="Z254" i="1"/>
  <c r="Z257" i="1"/>
  <c r="Z258" i="1"/>
  <c r="Z256" i="1"/>
  <c r="Z259" i="1"/>
  <c r="Z260" i="1"/>
  <c r="Z261" i="1"/>
  <c r="Z263" i="1"/>
  <c r="Z264" i="1"/>
  <c r="Z265" i="1"/>
  <c r="Z266" i="1"/>
  <c r="Z271" i="1"/>
  <c r="Z119" i="1"/>
  <c r="AB119" i="1"/>
  <c r="AC119" i="1" s="1"/>
  <c r="AB87" i="1"/>
  <c r="AC87" i="1" s="1"/>
  <c r="AB178" i="1"/>
  <c r="AC178" i="1" s="1"/>
  <c r="AB177" i="1"/>
  <c r="AC177" i="1" s="1"/>
  <c r="AB126" i="1"/>
  <c r="AC126" i="1" s="1"/>
  <c r="AB120" i="1"/>
  <c r="AC120" i="1" s="1"/>
  <c r="AB88" i="1"/>
  <c r="AC88" i="1" s="1"/>
  <c r="I114" i="5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AB115" i="1"/>
  <c r="AC115" i="1" s="1"/>
  <c r="AB114" i="1"/>
  <c r="AC114" i="1" s="1"/>
  <c r="AB116" i="1"/>
  <c r="AC116" i="1" s="1"/>
  <c r="AB117" i="1"/>
  <c r="AC117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E139" i="1" s="1"/>
  <c r="AD139" i="1" s="1"/>
  <c r="AB140" i="1"/>
  <c r="AC140" i="1" s="1"/>
  <c r="AB141" i="1"/>
  <c r="AC141" i="1" s="1"/>
  <c r="AE141" i="1" s="1"/>
  <c r="AD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E170" i="1" s="1"/>
  <c r="AD170" i="1" s="1"/>
  <c r="AB171" i="1"/>
  <c r="AC171" i="1" s="1"/>
  <c r="AD171" i="1" s="1"/>
  <c r="AB173" i="1"/>
  <c r="AC173" i="1" s="1"/>
  <c r="AE173" i="1" s="1"/>
  <c r="AD173" i="1" s="1"/>
  <c r="AB172" i="1"/>
  <c r="AC172" i="1" s="1"/>
  <c r="AE172" i="1" s="1"/>
  <c r="AD172" i="1" s="1"/>
  <c r="AB174" i="1"/>
  <c r="AC174" i="1" s="1"/>
  <c r="AB175" i="1"/>
  <c r="AC175" i="1" s="1"/>
  <c r="AB176" i="1"/>
  <c r="AC176" i="1" s="1"/>
  <c r="AB86" i="1"/>
  <c r="AC86" i="1" s="1"/>
  <c r="AB85" i="1"/>
  <c r="AC85" i="1" s="1"/>
  <c r="AB109" i="1"/>
  <c r="AC109" i="1" s="1"/>
  <c r="AB108" i="1"/>
  <c r="AC108" i="1" s="1"/>
  <c r="AB106" i="1"/>
  <c r="AC106" i="1" s="1"/>
  <c r="AB105" i="1"/>
  <c r="AC105" i="1" s="1"/>
  <c r="Z79" i="1"/>
  <c r="Z80" i="1"/>
  <c r="Z81" i="1"/>
  <c r="Z83" i="1"/>
  <c r="Z82" i="1"/>
  <c r="Z84" i="1"/>
  <c r="Z85" i="1"/>
  <c r="Z86" i="1"/>
  <c r="Z87" i="1"/>
  <c r="Z89" i="1"/>
  <c r="Z92" i="1"/>
  <c r="Z91" i="1"/>
  <c r="Z90" i="1"/>
  <c r="Z94" i="1"/>
  <c r="Z96" i="1"/>
  <c r="Z95" i="1"/>
  <c r="Z93" i="1"/>
  <c r="Z88" i="1"/>
  <c r="Z97" i="1"/>
  <c r="Z98" i="1"/>
  <c r="Z100" i="1"/>
  <c r="Z99" i="1"/>
  <c r="Z101" i="1"/>
  <c r="Z102" i="1"/>
  <c r="Z104" i="1"/>
  <c r="Z103" i="1"/>
  <c r="Z105" i="1"/>
  <c r="Z106" i="1"/>
  <c r="Z107" i="1"/>
  <c r="Z108" i="1"/>
  <c r="Z109" i="1"/>
  <c r="Z110" i="1"/>
  <c r="Z111" i="1"/>
  <c r="Z112" i="1"/>
  <c r="Z113" i="1"/>
  <c r="Z115" i="1"/>
  <c r="Z114" i="1"/>
  <c r="Z116" i="1"/>
  <c r="Z117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3" i="1"/>
  <c r="Z172" i="1"/>
  <c r="Z174" i="1"/>
  <c r="Z175" i="1"/>
  <c r="Z176" i="1"/>
  <c r="I510" i="5"/>
  <c r="AB110" i="1"/>
  <c r="AC110" i="1" s="1"/>
  <c r="AB111" i="1"/>
  <c r="AC111" i="1" s="1"/>
  <c r="AB112" i="1"/>
  <c r="AC112" i="1" s="1"/>
  <c r="AB113" i="1"/>
  <c r="AC113" i="1" s="1"/>
  <c r="AB91" i="1"/>
  <c r="AC91" i="1" s="1"/>
  <c r="AB92" i="1"/>
  <c r="AC92" i="1" s="1"/>
  <c r="AB90" i="1"/>
  <c r="AC90" i="1" s="1"/>
  <c r="AB89" i="1"/>
  <c r="AC89" i="1" s="1"/>
  <c r="AB95" i="1"/>
  <c r="AC95" i="1" s="1"/>
  <c r="AB94" i="1"/>
  <c r="AC94" i="1" s="1"/>
  <c r="AB96" i="1"/>
  <c r="AC96" i="1" s="1"/>
  <c r="AB93" i="1"/>
  <c r="AC93" i="1" s="1"/>
  <c r="Z69" i="1"/>
  <c r="Z70" i="1"/>
  <c r="Z71" i="1"/>
  <c r="Z72" i="1"/>
  <c r="Z73" i="1"/>
  <c r="Z74" i="1"/>
  <c r="Z76" i="1"/>
  <c r="Z75" i="1"/>
  <c r="Z77" i="1"/>
  <c r="Z78" i="1"/>
  <c r="AB71" i="1"/>
  <c r="AC71" i="1" s="1"/>
  <c r="AB72" i="1"/>
  <c r="AC72" i="1" s="1"/>
  <c r="AB73" i="1"/>
  <c r="AC73" i="1" s="1"/>
  <c r="AB74" i="1"/>
  <c r="AC74" i="1" s="1"/>
  <c r="AB76" i="1"/>
  <c r="AC76" i="1" s="1"/>
  <c r="AB75" i="1"/>
  <c r="AC75" i="1" s="1"/>
  <c r="AB77" i="1"/>
  <c r="AC77" i="1" s="1"/>
  <c r="AB78" i="1"/>
  <c r="AC78" i="1" s="1"/>
  <c r="AB69" i="1"/>
  <c r="AC69" i="1" s="1"/>
  <c r="AB70" i="1"/>
  <c r="AC70" i="1" s="1"/>
  <c r="Z68" i="1"/>
  <c r="AB68" i="1"/>
  <c r="AC68" i="1" s="1"/>
  <c r="AF1" i="1" l="1"/>
  <c r="AC268" i="1"/>
  <c r="AE268" i="1" s="1"/>
  <c r="AD268" i="1" s="1"/>
  <c r="AC273" i="1"/>
  <c r="AE273" i="1" s="1"/>
  <c r="AD273" i="1" s="1"/>
  <c r="AC278" i="1"/>
  <c r="AC277" i="1"/>
  <c r="AC276" i="1"/>
  <c r="AE276" i="1" s="1"/>
  <c r="AD276" i="1" s="1"/>
  <c r="AC275" i="1"/>
  <c r="AC274" i="1"/>
  <c r="AE274" i="1" s="1"/>
  <c r="AD274" i="1" s="1"/>
  <c r="AC272" i="1"/>
  <c r="AE272" i="1" s="1"/>
  <c r="AD272" i="1" s="1"/>
  <c r="Z5" i="1"/>
  <c r="Z3" i="1"/>
  <c r="Z4" i="1"/>
  <c r="Z6" i="1"/>
  <c r="Z2" i="1"/>
  <c r="Z7" i="1"/>
  <c r="Z8" i="1"/>
  <c r="Z10" i="1"/>
  <c r="Z9" i="1"/>
  <c r="Z11" i="1"/>
  <c r="Z12" i="1"/>
  <c r="Z14" i="1"/>
  <c r="Z13" i="1"/>
  <c r="Z15" i="1"/>
  <c r="Z16" i="1"/>
  <c r="Z17" i="1"/>
  <c r="Z18" i="1"/>
  <c r="Z19" i="1"/>
  <c r="Z21" i="1"/>
  <c r="Z20" i="1"/>
  <c r="Z22" i="1"/>
  <c r="Z24" i="1"/>
  <c r="Z23" i="1"/>
  <c r="Z25" i="1"/>
  <c r="Z26" i="1"/>
  <c r="Z27" i="1"/>
  <c r="Z28" i="1"/>
  <c r="Z29" i="1"/>
  <c r="Z30" i="1"/>
  <c r="Z31" i="1"/>
  <c r="Z32" i="1"/>
  <c r="Z34" i="1"/>
  <c r="Z33" i="1"/>
  <c r="Z35" i="1"/>
  <c r="Z36" i="1"/>
  <c r="Z37" i="1"/>
  <c r="Z38" i="1"/>
  <c r="Z40" i="1"/>
  <c r="Z41" i="1"/>
  <c r="Z42" i="1"/>
  <c r="Z39" i="1"/>
  <c r="Z43" i="1"/>
  <c r="Z44" i="1"/>
  <c r="Z46" i="1"/>
  <c r="Z45" i="1"/>
  <c r="Z47" i="1"/>
  <c r="Z48" i="1"/>
  <c r="Z49" i="1"/>
  <c r="Z51" i="1"/>
  <c r="Z52" i="1"/>
  <c r="Z50" i="1"/>
  <c r="Z53" i="1"/>
  <c r="Z54" i="1"/>
  <c r="Z55" i="1"/>
  <c r="Z56" i="1"/>
  <c r="Z57" i="1"/>
  <c r="Z58" i="1"/>
  <c r="Z59" i="1"/>
  <c r="Z60" i="1"/>
  <c r="Z61" i="1"/>
  <c r="Z62" i="1"/>
  <c r="Z63" i="1"/>
  <c r="Z65" i="1"/>
  <c r="Z64" i="1"/>
  <c r="Z66" i="1"/>
  <c r="Z67" i="1"/>
  <c r="AB5" i="1"/>
  <c r="AC5" i="1" s="1"/>
  <c r="AB3" i="1"/>
  <c r="AC3" i="1" s="1"/>
  <c r="AB4" i="1"/>
  <c r="AC4" i="1" s="1"/>
  <c r="AB6" i="1"/>
  <c r="AC6" i="1" s="1"/>
  <c r="AB2" i="1"/>
  <c r="AC2" i="1" s="1"/>
  <c r="AB7" i="1"/>
  <c r="AC7" i="1" s="1"/>
  <c r="AB8" i="1"/>
  <c r="AC8" i="1" s="1"/>
  <c r="AB10" i="1"/>
  <c r="AC10" i="1" s="1"/>
  <c r="AB9" i="1"/>
  <c r="AC9" i="1" s="1"/>
  <c r="AB11" i="1"/>
  <c r="AC11" i="1" s="1"/>
  <c r="AB12" i="1"/>
  <c r="AC12" i="1" s="1"/>
  <c r="AB14" i="1"/>
  <c r="AC14" i="1" s="1"/>
  <c r="AB13" i="1"/>
  <c r="AC13" i="1" s="1"/>
  <c r="AB15" i="1"/>
  <c r="AC15" i="1" s="1"/>
  <c r="AB16" i="1"/>
  <c r="AC16" i="1" s="1"/>
  <c r="AB17" i="1"/>
  <c r="AC17" i="1" s="1"/>
  <c r="AB18" i="1"/>
  <c r="AC18" i="1" s="1"/>
  <c r="AB19" i="1"/>
  <c r="AC19" i="1" s="1"/>
  <c r="AB21" i="1"/>
  <c r="AC21" i="1" s="1"/>
  <c r="AB20" i="1"/>
  <c r="AC20" i="1" s="1"/>
  <c r="AB22" i="1"/>
  <c r="AC22" i="1" s="1"/>
  <c r="AB24" i="1"/>
  <c r="AC24" i="1" s="1"/>
  <c r="AB23" i="1"/>
  <c r="AC23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E32" i="1" s="1"/>
  <c r="AD32" i="1" s="1"/>
  <c r="AB34" i="1"/>
  <c r="AC34" i="1" s="1"/>
  <c r="AB33" i="1"/>
  <c r="AC33" i="1" s="1"/>
  <c r="AB35" i="1"/>
  <c r="AC35" i="1" s="1"/>
  <c r="AB36" i="1"/>
  <c r="AC36" i="1" s="1"/>
  <c r="AB37" i="1"/>
  <c r="AC37" i="1" s="1"/>
  <c r="AB38" i="1"/>
  <c r="AC38" i="1" s="1"/>
  <c r="AB40" i="1"/>
  <c r="AC40" i="1" s="1"/>
  <c r="AB41" i="1"/>
  <c r="AC41" i="1" s="1"/>
  <c r="AB42" i="1"/>
  <c r="AC42" i="1" s="1"/>
  <c r="AB39" i="1"/>
  <c r="AC39" i="1" s="1"/>
  <c r="AB43" i="1"/>
  <c r="AC43" i="1" s="1"/>
  <c r="AB44" i="1"/>
  <c r="AC44" i="1" s="1"/>
  <c r="AB46" i="1"/>
  <c r="AC46" i="1" s="1"/>
  <c r="AB45" i="1"/>
  <c r="AC45" i="1" s="1"/>
  <c r="AB47" i="1"/>
  <c r="AC47" i="1" s="1"/>
  <c r="AB48" i="1"/>
  <c r="AC48" i="1" s="1"/>
  <c r="AB49" i="1"/>
  <c r="AC49" i="1" s="1"/>
  <c r="AB51" i="1"/>
  <c r="AC51" i="1" s="1"/>
  <c r="AB52" i="1"/>
  <c r="AC52" i="1" s="1"/>
  <c r="AB50" i="1"/>
  <c r="AC50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B65" i="1"/>
  <c r="AC65" i="1" s="1"/>
  <c r="AB64" i="1"/>
  <c r="AC64" i="1" s="1"/>
  <c r="AB66" i="1"/>
  <c r="AC66" i="1" s="1"/>
  <c r="AE66" i="1" s="1"/>
  <c r="AD66" i="1" s="1"/>
  <c r="AB67" i="1"/>
  <c r="AC67" i="1" s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1" i="5"/>
  <c r="I222" i="5"/>
  <c r="I223" i="5"/>
  <c r="I224" i="5"/>
  <c r="I226" i="5"/>
  <c r="I227" i="5"/>
  <c r="I229" i="5"/>
  <c r="I230" i="5"/>
  <c r="I231" i="5"/>
  <c r="I232" i="5"/>
  <c r="I233" i="5"/>
  <c r="I234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16" i="2" l="1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15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442" i="2"/>
  <c r="L99" i="10" l="1"/>
  <c r="L98" i="10"/>
  <c r="L97" i="10"/>
  <c r="L96" i="10"/>
  <c r="L95" i="10"/>
  <c r="L94" i="10"/>
  <c r="L93" i="10"/>
  <c r="L92" i="10"/>
  <c r="L91" i="10"/>
  <c r="L90" i="10"/>
  <c r="O89" i="8"/>
  <c r="J89" i="8"/>
  <c r="L151" i="2" l="1"/>
  <c r="L150" i="2"/>
  <c r="L149" i="2"/>
  <c r="A135" i="2"/>
  <c r="L148" i="2"/>
  <c r="L147" i="2"/>
  <c r="L146" i="2"/>
  <c r="L145" i="2"/>
  <c r="L144" i="2"/>
  <c r="L143" i="2"/>
  <c r="L142" i="2"/>
  <c r="L113" i="2" l="1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92" i="2"/>
  <c r="L93" i="2"/>
  <c r="L94" i="2"/>
  <c r="L95" i="2"/>
  <c r="L96" i="2"/>
  <c r="L97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</calcChain>
</file>

<file path=xl/sharedStrings.xml><?xml version="1.0" encoding="utf-8"?>
<sst xmlns="http://schemas.openxmlformats.org/spreadsheetml/2006/main" count="15815" uniqueCount="3222">
  <si>
    <t>ORDEM</t>
  </si>
  <si>
    <t>DATA PEDIDO HP</t>
  </si>
  <si>
    <t>DATA DO PEDIDO</t>
  </si>
  <si>
    <t>CASO HP</t>
  </si>
  <si>
    <t>CUSTOMER</t>
  </si>
  <si>
    <t>EQUIPAMENTO</t>
  </si>
  <si>
    <t>NUM SÉRIE</t>
  </si>
  <si>
    <t xml:space="preserve">CÓDIGO </t>
  </si>
  <si>
    <t>DESCRIÇÃO</t>
  </si>
  <si>
    <t>QUANTIDADE</t>
  </si>
  <si>
    <t>URGENTE</t>
  </si>
  <si>
    <t>TÉCNICO</t>
  </si>
  <si>
    <t>MOTIVO REPOSIÇÃO</t>
  </si>
  <si>
    <t>RAT</t>
  </si>
  <si>
    <t>ORIGEM</t>
  </si>
  <si>
    <t>QTD ESTOQUE CP</t>
  </si>
  <si>
    <t>LOF</t>
  </si>
  <si>
    <t>COD ALTERNATIVO</t>
  </si>
  <si>
    <t>DATA DE ENTREGA AO CLIENTE</t>
  </si>
  <si>
    <t>DATA DE ENVIO HP</t>
  </si>
  <si>
    <t>DATA DE RECEBIMENTO CP</t>
  </si>
  <si>
    <t>CONSOLIDADO</t>
  </si>
  <si>
    <t>PREÇO UNITARIO</t>
  </si>
  <si>
    <t>PREÇO TOTAL</t>
  </si>
  <si>
    <t>OBSERVAÇÃO</t>
  </si>
  <si>
    <t>MES</t>
  </si>
  <si>
    <t>TIPO</t>
  </si>
  <si>
    <t>HOJE</t>
  </si>
  <si>
    <t>HOLD</t>
  </si>
  <si>
    <t>STATUS</t>
  </si>
  <si>
    <t>STATUS2</t>
  </si>
  <si>
    <t>GHP26001</t>
  </si>
  <si>
    <t>CS21635959</t>
  </si>
  <si>
    <t>PRINTI</t>
  </si>
  <si>
    <t>HP INDIGO 12000</t>
  </si>
  <si>
    <t>CU498-01791</t>
  </si>
  <si>
    <t>KIT PCA LIBRARY CONTROLLER</t>
  </si>
  <si>
    <t>NÃO</t>
  </si>
  <si>
    <t>ALEXANDRE ROMÃO</t>
  </si>
  <si>
    <t>ATENDER</t>
  </si>
  <si>
    <t>CU125-46594</t>
  </si>
  <si>
    <t>CON26026</t>
  </si>
  <si>
    <t>CIF</t>
  </si>
  <si>
    <t>ENTREGUE</t>
  </si>
  <si>
    <t>CT456-00300</t>
  </si>
  <si>
    <t>BOARD ASSY MCB3</t>
  </si>
  <si>
    <t>CON26013</t>
  </si>
  <si>
    <t>CU096-02947</t>
  </si>
  <si>
    <t>PUMP HEAD WITH FITTINGS</t>
  </si>
  <si>
    <t xml:space="preserve">CON26012 </t>
  </si>
  <si>
    <t>CA446-29240</t>
  </si>
  <si>
    <t>SOLENOID VALVE ASSY</t>
  </si>
  <si>
    <t>CU498-01800</t>
  </si>
  <si>
    <t>KIT PCA1 CAN EXTENDER</t>
  </si>
  <si>
    <t>CT461-20830</t>
  </si>
  <si>
    <t>CABLE ASSY W12083</t>
  </si>
  <si>
    <t>CON26016</t>
  </si>
  <si>
    <t>GHP26002</t>
  </si>
  <si>
    <t>CS21635976</t>
  </si>
  <si>
    <t>CA461-26701</t>
  </si>
  <si>
    <t>CABLE ASSY W12670-INTERN</t>
  </si>
  <si>
    <t>FEDEX</t>
  </si>
  <si>
    <t>CA468-67680</t>
  </si>
  <si>
    <t>CABLE SIGNAL ECAB EJT TO PR</t>
  </si>
  <si>
    <t>CT002-66430</t>
  </si>
  <si>
    <t>CA461-26590</t>
  </si>
  <si>
    <t>CABLE ASSY W12659 - PANEL FEEDER TO EC_BTM</t>
  </si>
  <si>
    <t>GHP26003</t>
  </si>
  <si>
    <t>CS21595156</t>
  </si>
  <si>
    <t>PRINTZ</t>
  </si>
  <si>
    <t>CU150-01487</t>
  </si>
  <si>
    <t>BELT-TIMING 6MM-WD 2061M M-GRV LG</t>
  </si>
  <si>
    <t>MAURICIO MATEOS</t>
  </si>
  <si>
    <t>ESTOQUE</t>
  </si>
  <si>
    <t>NACIONALIZAÇÃO</t>
  </si>
  <si>
    <t>CT445-25232</t>
  </si>
  <si>
    <t>IPC BELT IDLER ASSEMBLY</t>
  </si>
  <si>
    <t>GHP26004</t>
  </si>
  <si>
    <t>CS21642399</t>
  </si>
  <si>
    <t>CT490-24790</t>
  </si>
  <si>
    <t>S4 EVR SUCTION CUPS</t>
  </si>
  <si>
    <t>UTK</t>
  </si>
  <si>
    <t>CT490-27100</t>
  </si>
  <si>
    <t>S4 DUPLEX SUCTION CUPS</t>
  </si>
  <si>
    <t>GHP26005</t>
  </si>
  <si>
    <t>CS21651478</t>
  </si>
  <si>
    <t>GHP26006</t>
  </si>
  <si>
    <t>CS21615336</t>
  </si>
  <si>
    <t>OTIMA</t>
  </si>
  <si>
    <t>CT455-00370</t>
  </si>
  <si>
    <t>ITS3&amp;ODS,12CLRYMCK,OVG,W ,DIP,FPV,W.STAN,W.PREM</t>
  </si>
  <si>
    <t>CT455-00350</t>
  </si>
  <si>
    <t>GHP26007</t>
  </si>
  <si>
    <t>CS21600642</t>
  </si>
  <si>
    <t>FTD</t>
  </si>
  <si>
    <t>HP INDIGO 100K</t>
  </si>
  <si>
    <t>CT456-01732</t>
  </si>
  <si>
    <t>BOARD ASSY, ILS-HS</t>
  </si>
  <si>
    <t>DOUGLAS LIMA</t>
  </si>
  <si>
    <t>GHP26008</t>
  </si>
  <si>
    <t>CS21659221</t>
  </si>
  <si>
    <t>CAMARGO</t>
  </si>
  <si>
    <t>HP INDIGO 20000</t>
  </si>
  <si>
    <t>CT454-12730</t>
  </si>
  <si>
    <t>SGA &amp; Loadcel</t>
  </si>
  <si>
    <t>Não</t>
  </si>
  <si>
    <t>EDSON DOMINGUES</t>
  </si>
  <si>
    <t>CT454-02342</t>
  </si>
  <si>
    <t>GHP26009</t>
  </si>
  <si>
    <t>CS21659294</t>
  </si>
  <si>
    <t>CT990-04870</t>
  </si>
  <si>
    <t>NEW EBV BLOWER.</t>
  </si>
  <si>
    <t>GHP26010</t>
  </si>
  <si>
    <t>CS21653552</t>
  </si>
  <si>
    <t>CT045-88761 </t>
  </si>
  <si>
    <t>NIP TOP ASSEMBLY</t>
  </si>
  <si>
    <t>CU150-01907</t>
  </si>
  <si>
    <t>TIMING BELT 520MM-P-LG 1 0MM-WD 260 TEETH</t>
  </si>
  <si>
    <t>GHP26011</t>
  </si>
  <si>
    <t>CS21594508</t>
  </si>
  <si>
    <t xml:space="preserve">3140-1116 </t>
  </si>
  <si>
    <t xml:space="preserve">BRUSH HOLDER CAP M10X1.0 14MM-OD 10MM-LG </t>
  </si>
  <si>
    <t>EMERSON ZANELLA</t>
  </si>
  <si>
    <t>GHP26012</t>
  </si>
  <si>
    <t>CS21599944</t>
  </si>
  <si>
    <t>ATUALCARD</t>
  </si>
  <si>
    <t>CT445-82840</t>
  </si>
  <si>
    <t xml:space="preserve">INSULATED-FLOW-METER </t>
  </si>
  <si>
    <t xml:space="preserve">CT445-82750 </t>
  </si>
  <si>
    <t> PRESSURE-SENSORE-INSULATED-ASSY</t>
  </si>
  <si>
    <t>CA461-25253</t>
  </si>
  <si>
    <t>CABLE ASSY W12525 - CWS SNS</t>
  </si>
  <si>
    <t>GHP26013</t>
  </si>
  <si>
    <t>CS21598162</t>
  </si>
  <si>
    <t>INDEMETAL</t>
  </si>
  <si>
    <t>HP INDIGO 6k</t>
  </si>
  <si>
    <t xml:space="preserve">CA254-00890 </t>
  </si>
  <si>
    <t>Power resistor for motor inverter unit</t>
  </si>
  <si>
    <t>GHP26014</t>
  </si>
  <si>
    <t>CS21593801</t>
  </si>
  <si>
    <t>HP INDIGO 6900</t>
  </si>
  <si>
    <t xml:space="preserve">3140-1199 </t>
  </si>
  <si>
    <t>Servostar CD drive</t>
  </si>
  <si>
    <t>GHP26015</t>
  </si>
  <si>
    <t>CS21593691</t>
  </si>
  <si>
    <t>HP INDIGO 6800</t>
  </si>
  <si>
    <t xml:space="preserve">CT345-61130 </t>
  </si>
  <si>
    <t>SG pump base assembly</t>
  </si>
  <si>
    <t>GHP26016</t>
  </si>
  <si>
    <t>CS21604457</t>
  </si>
  <si>
    <t>CU150-01911</t>
  </si>
  <si>
    <t>TIMING BELT 240MM-P-LG 10MM-WD 120 TEETH</t>
  </si>
  <si>
    <t>GHP26017</t>
  </si>
  <si>
    <t>CS21599200</t>
  </si>
  <si>
    <t>ALPHA COLOR</t>
  </si>
  <si>
    <t>CU150-01509</t>
  </si>
  <si>
    <t>BELT-BLOWER 840mm-LG  20</t>
  </si>
  <si>
    <t>GHP26018</t>
  </si>
  <si>
    <t>CS21636054</t>
  </si>
  <si>
    <t>New EBV Blower + SSR First Replacement</t>
  </si>
  <si>
    <t>GHP26019</t>
  </si>
  <si>
    <t>CS21658310</t>
  </si>
  <si>
    <t>OUTLABEL</t>
  </si>
  <si>
    <t>CU096-03454</t>
  </si>
  <si>
    <t>COMFORT PANEL SIMATIC HM I TP700 TOUCH</t>
  </si>
  <si>
    <t>GHP26020</t>
  </si>
  <si>
    <t>CS21599508</t>
  </si>
  <si>
    <t>CU315-00995</t>
  </si>
  <si>
    <t>FILTER MESH 60X250, 80MICRON</t>
  </si>
  <si>
    <t xml:space="preserve">CU010-04134 </t>
  </si>
  <si>
    <t>VALVE-GEMSOL CVC 24V 2-WAYS NO 3/4" BSPT</t>
  </si>
  <si>
    <t>GHP26021</t>
  </si>
  <si>
    <t>CS21659077</t>
  </si>
  <si>
    <t>CU150-02084</t>
  </si>
  <si>
    <t>TORNADO BELT</t>
  </si>
  <si>
    <t>GHP26022</t>
  </si>
  <si>
    <t>CS21631183</t>
  </si>
  <si>
    <t>CA397-00362 </t>
  </si>
  <si>
    <t>SP-MAIN MOTOR ASSY ROHS</t>
  </si>
  <si>
    <t>GHP26023</t>
  </si>
  <si>
    <t>CS21659003</t>
  </si>
  <si>
    <t>MACK COLOR</t>
  </si>
  <si>
    <t>HP Indigo 6600</t>
  </si>
  <si>
    <t>CT345-14034</t>
  </si>
  <si>
    <t xml:space="preserve">                                      PIP Beraring Front</t>
  </si>
  <si>
    <t>Estoque</t>
  </si>
  <si>
    <t>HP INDIGO 6600</t>
  </si>
  <si>
    <t>CT345-14353</t>
  </si>
  <si>
    <t xml:space="preserve">                                      PIP BEARING REAR</t>
  </si>
  <si>
    <t>GHP26024</t>
  </si>
  <si>
    <t>CS21653528</t>
  </si>
  <si>
    <t>FORMA CERTA</t>
  </si>
  <si>
    <t>CT497-00170</t>
  </si>
  <si>
    <t>SET FOR EVR FINGER CUP &amp; FINGER MR</t>
  </si>
  <si>
    <t>CU150-02076</t>
  </si>
  <si>
    <t>BELT-TIMNG 3MM-PITCH 840 MM-LG 15MM-WD</t>
  </si>
  <si>
    <t>TIMING BELT 240MM-P-LG 1 0MM-WD 120 TEETH</t>
  </si>
  <si>
    <t>CU150-01913</t>
  </si>
  <si>
    <t>TIMING BELT 316MM-P-LG 1 0MM-WD 158 TEETH</t>
  </si>
  <si>
    <t>GHP26025</t>
  </si>
  <si>
    <t>CS21615163</t>
  </si>
  <si>
    <t>CT446-27593</t>
  </si>
  <si>
    <t>LAMP MAIN ASSEMBLY</t>
  </si>
  <si>
    <t>GHP26026</t>
  </si>
  <si>
    <t>CS21630729</t>
  </si>
  <si>
    <t>CT045-88761</t>
  </si>
  <si>
    <t>NIP ASSEMBLY</t>
  </si>
  <si>
    <t>GHP26027</t>
  </si>
  <si>
    <t>CS21605605</t>
  </si>
  <si>
    <t>GHP26028</t>
  </si>
  <si>
    <t>CS21594634</t>
  </si>
  <si>
    <t>NEW EBV BLOWER + SSR - FIRST REPLACEMENT</t>
  </si>
  <si>
    <t>CT460-24804</t>
  </si>
  <si>
    <t>CABLE ASSY W2480</t>
  </si>
  <si>
    <t>GHP26029</t>
  </si>
  <si>
    <t>CS21657984</t>
  </si>
  <si>
    <t>CT445-56291</t>
  </si>
  <si>
    <t>NAUTILAIR AND FILTER ASSEMBLY, EBV, EILAT</t>
  </si>
  <si>
    <t>GHP26030</t>
  </si>
  <si>
    <t>CS21615314</t>
  </si>
  <si>
    <t>CT000-24961</t>
  </si>
  <si>
    <t>TRANSPORT SHAFT PP MR</t>
  </si>
  <si>
    <t>CU498-03211</t>
  </si>
  <si>
    <t>TORNADO ASSY</t>
  </si>
  <si>
    <t>CU498-04310</t>
  </si>
  <si>
    <t>BELT, VERTICAL PAPER PATH</t>
  </si>
  <si>
    <t>CT497-00270</t>
  </si>
  <si>
    <t>GHP26031</t>
  </si>
  <si>
    <t>CS21594842</t>
  </si>
  <si>
    <t>CT444-26340</t>
  </si>
  <si>
    <t>CWS TEMP SENSOR</t>
  </si>
  <si>
    <t>CT444-26341</t>
  </si>
  <si>
    <t>GHP26032</t>
  </si>
  <si>
    <t>CS21659520</t>
  </si>
  <si>
    <t>BRASMOLDE</t>
  </si>
  <si>
    <t>48500706 </t>
  </si>
  <si>
    <t>CT345-13713</t>
  </si>
  <si>
    <t>BDU</t>
  </si>
  <si>
    <t>PEDRO QUEIROZ</t>
  </si>
  <si>
    <t>GHP26033</t>
  </si>
  <si>
    <t>CS21659642</t>
  </si>
  <si>
    <t>VR LABEL</t>
  </si>
  <si>
    <t>HP INDIGO 25K</t>
  </si>
  <si>
    <t>CT001-63790</t>
  </si>
  <si>
    <t>PROCON_PUMP_ASSY+FITTINGS</t>
  </si>
  <si>
    <t>GHP26034</t>
  </si>
  <si>
    <t>CS21664196</t>
  </si>
  <si>
    <t>DIGIPIX</t>
  </si>
  <si>
    <t>HP INDIGO W7250</t>
  </si>
  <si>
    <t>CT345-13712</t>
  </si>
  <si>
    <t>BDU2 module assembly</t>
  </si>
  <si>
    <t>ISMAR MIRANDA</t>
  </si>
  <si>
    <t>CON26005</t>
  </si>
  <si>
    <t>MBL-1015-02</t>
  </si>
  <si>
    <t>HTD-3 9MM-312 TIMING BELT</t>
  </si>
  <si>
    <t>GHP26035</t>
  </si>
  <si>
    <t>CS21670098</t>
  </si>
  <si>
    <t>CU010-05715</t>
  </si>
  <si>
    <t>VALVE OPERATOR LARGE ORIFICE 2WNC </t>
  </si>
  <si>
    <t>MSL-1010-01</t>
  </si>
  <si>
    <t>COIL 24V 10W GEM - SOL R</t>
  </si>
  <si>
    <t>GHP26036</t>
  </si>
  <si>
    <t>CS21669993</t>
  </si>
  <si>
    <t>CA297-01400</t>
  </si>
  <si>
    <t>CAPACITIVE SENSOR</t>
  </si>
  <si>
    <t>GHP26037</t>
  </si>
  <si>
    <t>CS21669607</t>
  </si>
  <si>
    <t>CT444-93761</t>
  </si>
  <si>
    <t>MOTOR PAPER PATH PULLEY ASSY</t>
  </si>
  <si>
    <t>SIM</t>
  </si>
  <si>
    <t>GHP26038</t>
  </si>
  <si>
    <t>CS21669168</t>
  </si>
  <si>
    <t>CT397-30670</t>
  </si>
  <si>
    <t>Kit, dancer cylinder</t>
  </si>
  <si>
    <t>GHP26039</t>
  </si>
  <si>
    <t>CS21670211</t>
  </si>
  <si>
    <t>CT454-07860</t>
  </si>
  <si>
    <t>IMO-PUMP-SILICA GEL/CS PUMP</t>
  </si>
  <si>
    <t>CT454-07861</t>
  </si>
  <si>
    <t>GHP26040</t>
  </si>
  <si>
    <t>CS21646149</t>
  </si>
  <si>
    <t>CT554-00312</t>
  </si>
  <si>
    <t>SLIP RING</t>
  </si>
  <si>
    <t>CT545-20614</t>
  </si>
  <si>
    <t>CU141-02115</t>
  </si>
  <si>
    <t>BEARING-BALL 25MM-ID 52MM-OD 18MM-W</t>
  </si>
  <si>
    <t>GHP26041</t>
  </si>
  <si>
    <t>CT990-00420</t>
  </si>
  <si>
    <t>INK DUST TO PC PREVENTION</t>
  </si>
  <si>
    <t>S.NOTE</t>
  </si>
  <si>
    <t>CON26034</t>
  </si>
  <si>
    <t>GHP26042</t>
  </si>
  <si>
    <t>COMPRINT</t>
  </si>
  <si>
    <t>CA492-01020</t>
  </si>
  <si>
    <t>Ink Piston Warning Labels</t>
  </si>
  <si>
    <t>Clientes: IPSIS / META / LABORPRINT / PRINTI / COMPRINT / HAWAII / HELLOGRAF</t>
  </si>
  <si>
    <t>GHP26043</t>
  </si>
  <si>
    <t>CS21683613</t>
  </si>
  <si>
    <t>ZANGRAF</t>
  </si>
  <si>
    <t>CU139-01483</t>
  </si>
  <si>
    <t>LATCH-ACCY ACTUATOR 32DI A PLS</t>
  </si>
  <si>
    <t>GHP26044</t>
  </si>
  <si>
    <t>CS21683801</t>
  </si>
  <si>
    <t>TECNOBLU</t>
  </si>
  <si>
    <t>HP INDIGO 7K</t>
  </si>
  <si>
    <t>CA497-02310</t>
  </si>
  <si>
    <t>PSU Z8 G4 1125W 90%</t>
  </si>
  <si>
    <t>BRUNO HASSE</t>
  </si>
  <si>
    <t>Colocada na máquina do ShowRoom</t>
  </si>
  <si>
    <t>GHP26045</t>
  </si>
  <si>
    <t>CS21680942</t>
  </si>
  <si>
    <t>CU096-03992</t>
  </si>
  <si>
    <t>DIGITAX CONTR 1401 ASSEMBLY WITH INSULAT</t>
  </si>
  <si>
    <t>GHP26046</t>
  </si>
  <si>
    <t>CS21685093</t>
  </si>
  <si>
    <t>CT445-51414</t>
  </si>
  <si>
    <t>INK TANK AND HX ASSEMBLY</t>
  </si>
  <si>
    <t>CT445-51416</t>
  </si>
  <si>
    <t>GHP26049</t>
  </si>
  <si>
    <t>CS21695028</t>
  </si>
  <si>
    <t>CWS TEMP` SENSOR - THERMISTOR</t>
  </si>
  <si>
    <t>GHP26050</t>
  </si>
  <si>
    <t>CS21694854</t>
  </si>
  <si>
    <t>CT397-03010</t>
  </si>
  <si>
    <t>KIT MAINTENANCE-SER 4 ZU WA PUMP WHITE IMPELLER</t>
  </si>
  <si>
    <t>GHP26054</t>
  </si>
  <si>
    <t>CS21699500</t>
  </si>
  <si>
    <t>META BRASIL</t>
  </si>
  <si>
    <t>HP INDIGO 10000</t>
  </si>
  <si>
    <t>CU498-02992</t>
  </si>
  <si>
    <t>sheet, belt protection</t>
  </si>
  <si>
    <t>GHP26055</t>
  </si>
  <si>
    <t>CS21699763</t>
  </si>
  <si>
    <t>P+E</t>
  </si>
  <si>
    <t>HP INDIGO 15k</t>
  </si>
  <si>
    <t>CT344-01252</t>
  </si>
  <si>
    <t>CARBON BRUSH CR ASSEMBLY</t>
  </si>
  <si>
    <t>3140-1116</t>
  </si>
  <si>
    <t>BRUSH HOLDER CAP M10X1.0 14MM-OD 10MM-LG</t>
  </si>
  <si>
    <t>GHP26056</t>
  </si>
  <si>
    <t>CS21705009</t>
  </si>
  <si>
    <t>CT446-40961</t>
  </si>
  <si>
    <t>PULLEY IDLER ASSY</t>
  </si>
  <si>
    <t>GHP26057</t>
  </si>
  <si>
    <t>CS21710541</t>
  </si>
  <si>
    <t>LOG &amp; PRINT</t>
  </si>
  <si>
    <t>SHEET, BELT PROTECTION</t>
  </si>
  <si>
    <t>GHP26058</t>
  </si>
  <si>
    <t>CS21710698</t>
  </si>
  <si>
    <t>SHEET BELT PROTECTION (SET OF 2)</t>
  </si>
  <si>
    <t>GHP26059</t>
  </si>
  <si>
    <t>CS21710661</t>
  </si>
  <si>
    <t>BELT-TIMING 6MM-WD 2061MM-GRV LG</t>
  </si>
  <si>
    <t>GHP26060</t>
  </si>
  <si>
    <t>CS21711945</t>
  </si>
  <si>
    <t>S4 EVR SUCTION CUPS (SET OF 10) &amp; FOR PERFECTOR</t>
  </si>
  <si>
    <t>GHP26063</t>
  </si>
  <si>
    <t>CS21716392</t>
  </si>
  <si>
    <t>CT445-36114</t>
  </si>
  <si>
    <t>IOS VALVES ASSEMBLY</t>
  </si>
  <si>
    <t>CU498-01672</t>
  </si>
  <si>
    <t>SIDE BLOWER KPL 10000 MR</t>
  </si>
  <si>
    <t>CU498-01673</t>
  </si>
  <si>
    <t>GHP26064</t>
  </si>
  <si>
    <t>CS21715946</t>
  </si>
  <si>
    <t>HAWAII</t>
  </si>
  <si>
    <t>GHP26065</t>
  </si>
  <si>
    <t>CS21717301</t>
  </si>
  <si>
    <t>CT446-19560</t>
  </si>
  <si>
    <t>EBM OPENING MECHANISM</t>
  </si>
  <si>
    <t>CT445-36261</t>
  </si>
  <si>
    <t>ADAPTOR, EBM ACTUATION INTERFACE - ITM DRUM</t>
  </si>
  <si>
    <t>GHP26066</t>
  </si>
  <si>
    <t>CS21716738</t>
  </si>
  <si>
    <t>EVR FINGER 1.4MM</t>
  </si>
  <si>
    <t>GHP26067</t>
  </si>
  <si>
    <t>CS21717462</t>
  </si>
  <si>
    <t>CT545-23191</t>
  </si>
  <si>
    <t>DUPLEX UNIFIED MANIFOLD</t>
  </si>
  <si>
    <t>CT490-17831</t>
  </si>
  <si>
    <t>DUPLEX DVC BELTS PRETENS</t>
  </si>
  <si>
    <t>CU049-10472</t>
  </si>
  <si>
    <t>SOLENOID VALVE 18MM- VAL</t>
  </si>
  <si>
    <t>CT454-03480</t>
  </si>
  <si>
    <t>VACUUM SENSOR</t>
  </si>
  <si>
    <t>CT597-00102</t>
  </si>
  <si>
    <t>SET DLC FINGER AND ORING</t>
  </si>
  <si>
    <t>CT545-16830</t>
  </si>
  <si>
    <t>PRESSURE REGULATOR ASSY</t>
  </si>
  <si>
    <t>CU010-02979</t>
  </si>
  <si>
    <t>FITTING-T-PUSH-IN 8QCK-F</t>
  </si>
  <si>
    <t>MFF-4056-01</t>
  </si>
  <si>
    <t>ELBOW QUICK CONNECTION</t>
  </si>
  <si>
    <t>CU010-02253</t>
  </si>
  <si>
    <t>FITTING PLUG-IN REDUCER</t>
  </si>
  <si>
    <t>GHP26068</t>
  </si>
  <si>
    <t>CS21725531</t>
  </si>
  <si>
    <t>CT440-94623</t>
  </si>
  <si>
    <t>CORE, BR</t>
  </si>
  <si>
    <t>CT497-11360</t>
  </si>
  <si>
    <t>Rear Arm / Rear Arm</t>
  </si>
  <si>
    <t>GHP26069</t>
  </si>
  <si>
    <t>CS21723396</t>
  </si>
  <si>
    <t>CT445-66660</t>
  </si>
  <si>
    <t>NEW PATTERN NIP ROLLER ASSEMBLY</t>
  </si>
  <si>
    <t>CT445-25742</t>
  </si>
  <si>
    <t>ESC GTK SHAFT</t>
  </si>
  <si>
    <t>GHP26070</t>
  </si>
  <si>
    <t>CS21723093</t>
  </si>
  <si>
    <t>GHP26071</t>
  </si>
  <si>
    <t>CS21725427</t>
  </si>
  <si>
    <t> CT461-21370</t>
  </si>
  <si>
    <t>cable assy w12137</t>
  </si>
  <si>
    <t>GHP26072</t>
  </si>
  <si>
    <t>CS21732468</t>
  </si>
  <si>
    <t>CT445-65410</t>
  </si>
  <si>
    <t>SAS PUMP</t>
  </si>
  <si>
    <t>CT446-00380</t>
  </si>
  <si>
    <t>IDU MOTOR</t>
  </si>
  <si>
    <t>GHP26073</t>
  </si>
  <si>
    <t>CS21751323</t>
  </si>
  <si>
    <t>CU498-04490</t>
  </si>
  <si>
    <t>ROLLER, FINGER BELT, ASSEMBLY</t>
  </si>
  <si>
    <t>CT446-29490</t>
  </si>
  <si>
    <t>GHP26074</t>
  </si>
  <si>
    <t>CS21751525</t>
  </si>
  <si>
    <t>CA240-89670</t>
  </si>
  <si>
    <t>DRIVER, PUMP</t>
  </si>
  <si>
    <t>GHP26075</t>
  </si>
  <si>
    <t>CS21742925</t>
  </si>
  <si>
    <t>CU096-03302</t>
  </si>
  <si>
    <t>CARTRIDGE 400CCM FILLED WITH FAG OG3000</t>
  </si>
  <si>
    <t>GHP26076</t>
  </si>
  <si>
    <t>CS21752575</t>
  </si>
  <si>
    <t>STGRAF</t>
  </si>
  <si>
    <t>CT456-01120</t>
  </si>
  <si>
    <t xml:space="preserve">DDB PCA       </t>
  </si>
  <si>
    <t>GHP26077</t>
  </si>
  <si>
    <t>CS21752599</t>
  </si>
  <si>
    <t>CU095-72330</t>
  </si>
  <si>
    <t>POWER SUPPLY 36-80V 3 PHASES 13.5A</t>
  </si>
  <si>
    <t>DANIEL ABREU</t>
  </si>
  <si>
    <t>CT490-20910</t>
  </si>
  <si>
    <t>GHP26078</t>
  </si>
  <si>
    <t>CS21753032</t>
  </si>
  <si>
    <t>THALES</t>
  </si>
  <si>
    <t>CT345-48431</t>
  </si>
  <si>
    <t>TIC board assembly (S)</t>
  </si>
  <si>
    <t>CT345-48472</t>
  </si>
  <si>
    <t>Ink pump, no tic</t>
  </si>
  <si>
    <t>CT345-38640</t>
  </si>
  <si>
    <t>Heater pump assembly</t>
  </si>
  <si>
    <t>CA340-27220</t>
  </si>
  <si>
    <t>BELLOWS 78MM</t>
  </si>
  <si>
    <t>GHP26080</t>
  </si>
  <si>
    <t>CS21762732</t>
  </si>
  <si>
    <t>CT445-55682</t>
  </si>
  <si>
    <t>PRESSURE REGULATOR ASSEMBLY</t>
  </si>
  <si>
    <t>CU498-02350</t>
  </si>
  <si>
    <t>SET, LED CPL (S)</t>
  </si>
  <si>
    <t>CT497-00320</t>
  </si>
  <si>
    <t>CU310-20052</t>
  </si>
  <si>
    <t>SW-LIMIT SEALED MINIATURE 0.1A 30VDC</t>
  </si>
  <si>
    <t>GHP26081</t>
  </si>
  <si>
    <t>CS21762752</t>
  </si>
  <si>
    <t>CT446-09471</t>
  </si>
  <si>
    <t>DVC MOTOR ASSEMBLY</t>
  </si>
  <si>
    <t>GHP26081B</t>
  </si>
  <si>
    <t>CS21877375</t>
  </si>
  <si>
    <t>GHP26081C</t>
  </si>
  <si>
    <t>GHP26082</t>
  </si>
  <si>
    <t>CS21763309</t>
  </si>
  <si>
    <t>CU498-01650</t>
  </si>
  <si>
    <t>BELT, SYNCHRONOUS, 65 MXL 025 NG</t>
  </si>
  <si>
    <t>CU150-01956</t>
  </si>
  <si>
    <t>GHP26083</t>
  </si>
  <si>
    <t>CS21764797</t>
  </si>
  <si>
    <t>CU404-02598</t>
  </si>
  <si>
    <t>Cup Support 15MM-LG 14MM</t>
  </si>
  <si>
    <t>GHP26084</t>
  </si>
  <si>
    <t>CS21764807</t>
  </si>
  <si>
    <t>CT540-31871</t>
  </si>
  <si>
    <t>UPPER BEARING HOUSING IN DRAWER</t>
  </si>
  <si>
    <t>GHP26085</t>
  </si>
  <si>
    <t>CS21764848</t>
  </si>
  <si>
    <t>CT490-12210</t>
  </si>
  <si>
    <t>Set Cutout Reduction Inserts</t>
  </si>
  <si>
    <t>GHP26086</t>
  </si>
  <si>
    <t>CS21767610</t>
  </si>
  <si>
    <t xml:space="preserve">CT443-04350 </t>
  </si>
  <si>
    <t>VISUAL - BELT 3MGT-399-15 GATES</t>
  </si>
  <si>
    <t>GHP26087</t>
  </si>
  <si>
    <t>CS21768681</t>
  </si>
  <si>
    <t>CU498-02022</t>
  </si>
  <si>
    <t>AXLE-ASM EJECT-MODUL WIT H SPRINGS</t>
  </si>
  <si>
    <t>CT000-10000</t>
  </si>
  <si>
    <t>GHP26088</t>
  </si>
  <si>
    <t>CS21770260</t>
  </si>
  <si>
    <t>CU096-04063</t>
  </si>
  <si>
    <t>Variable Speed Drive 1.1 380-500V 3 Ph</t>
  </si>
  <si>
    <t>GHP26089</t>
  </si>
  <si>
    <t>CS21769985</t>
  </si>
  <si>
    <t>48300315 </t>
  </si>
  <si>
    <t>CU316-04337</t>
  </si>
  <si>
    <t>HV centrifugal fan 2.2KW</t>
  </si>
  <si>
    <t>CU150-01512</t>
  </si>
  <si>
    <t>BELT BLOWER 830MM-LG 20M</t>
  </si>
  <si>
    <t>GHP26090</t>
  </si>
  <si>
    <t>CS21774234</t>
  </si>
  <si>
    <t>TIC board assembly</t>
  </si>
  <si>
    <t>GHP26092</t>
  </si>
  <si>
    <t>CS21774501</t>
  </si>
  <si>
    <t>BRAZICOLOR</t>
  </si>
  <si>
    <t>CT397-31020</t>
  </si>
  <si>
    <t>EMA IMO SG pump</t>
  </si>
  <si>
    <t>GHP26093</t>
  </si>
  <si>
    <t>CS21774416</t>
  </si>
  <si>
    <t>CU498-06820</t>
  </si>
  <si>
    <t>SIDEBLOWER FLAT CABLE</t>
  </si>
  <si>
    <t>GHP26094</t>
  </si>
  <si>
    <t>CS21774165</t>
  </si>
  <si>
    <t>GHP26095</t>
  </si>
  <si>
    <t>CS21773405</t>
  </si>
  <si>
    <t>CU316-04594</t>
  </si>
  <si>
    <t>BLOWR CENTRIFUGL 31IN/H2 O-150CFM 240VAC</t>
  </si>
  <si>
    <t>GHP26096</t>
  </si>
  <si>
    <t>CS21774538</t>
  </si>
  <si>
    <t>CU010-03336</t>
  </si>
  <si>
    <t>VALVE SOL 1/4" 2WNC 24V DC VITON</t>
  </si>
  <si>
    <t>GHP26097</t>
  </si>
  <si>
    <t>CS21774705</t>
  </si>
  <si>
    <t>SUCTION CUPS</t>
  </si>
  <si>
    <t>FLOW METER</t>
  </si>
  <si>
    <t>GHP26098</t>
  </si>
  <si>
    <t>CS21774795</t>
  </si>
  <si>
    <t>CT468-16250</t>
  </si>
  <si>
    <t>KT-A773_1 GROUNDING CONTACT</t>
  </si>
  <si>
    <t>CT454-13690</t>
  </si>
  <si>
    <t>PUW CORONA SAFETY SENSOR</t>
  </si>
  <si>
    <t>GHP26099</t>
  </si>
  <si>
    <t>CS21780233</t>
  </si>
  <si>
    <t>VALGROUP</t>
  </si>
  <si>
    <t>HP INDIGO 200K</t>
  </si>
  <si>
    <t>CT445-76301</t>
  </si>
  <si>
    <t>Front Adjustable assembly</t>
  </si>
  <si>
    <t>CON26027</t>
  </si>
  <si>
    <t>GHP26100</t>
  </si>
  <si>
    <t>CS21783591</t>
  </si>
  <si>
    <t>CT442-86620</t>
  </si>
  <si>
    <t>BELT VAC.ST. BRIDGE PU12 W27 (SET OF 2)</t>
  </si>
  <si>
    <t>GHP26101</t>
  </si>
  <si>
    <t>CS21787865</t>
  </si>
  <si>
    <t>CU498-01611</t>
  </si>
  <si>
    <t>BELT FEEDER (SET OF 2) </t>
  </si>
  <si>
    <t>CON26022</t>
  </si>
  <si>
    <t>GHP26102</t>
  </si>
  <si>
    <t>CS21787893</t>
  </si>
  <si>
    <t>CU096-03756</t>
  </si>
  <si>
    <t>ITM BLANKET IR SENSOR</t>
  </si>
  <si>
    <t>GHP26103</t>
  </si>
  <si>
    <t>CS21788274</t>
  </si>
  <si>
    <t>CT445-51415</t>
  </si>
  <si>
    <t>GHP26104</t>
  </si>
  <si>
    <t>CS21788082</t>
  </si>
  <si>
    <t>TRANS.SHAFT WITH SELF ALIGNMENT BEARING-SHANI &amp;</t>
  </si>
  <si>
    <t>GHP26105</t>
  </si>
  <si>
    <t>CS21795484</t>
  </si>
  <si>
    <t>IDU_MOTOR_ASSEMBLY_NORTHLAND</t>
  </si>
  <si>
    <t>GHP26106</t>
  </si>
  <si>
    <t>CS21802100</t>
  </si>
  <si>
    <t>PIGMA</t>
  </si>
  <si>
    <t>HP INDIGO 18K</t>
  </si>
  <si>
    <t>Board Assy PCA DPC</t>
  </si>
  <si>
    <t>GARANTIA</t>
  </si>
  <si>
    <t>GHP26107</t>
  </si>
  <si>
    <t>CS21807065</t>
  </si>
  <si>
    <t>CU314-01474</t>
  </si>
  <si>
    <t>MOTOR SERVO 2000RPM 1.2NM</t>
  </si>
  <si>
    <t>ENTREGUE EM 18/02</t>
  </si>
  <si>
    <t>GHP26108</t>
  </si>
  <si>
    <t>CS21805426</t>
  </si>
  <si>
    <t>CU096-02895</t>
  </si>
  <si>
    <t>PRESSURE TRANSMITTER 0-10BAR</t>
  </si>
  <si>
    <t>GHP26109</t>
  </si>
  <si>
    <t>CS21816547</t>
  </si>
  <si>
    <t>CT341-70810</t>
  </si>
  <si>
    <t>PRIMER PIPE NEOPRENE 24 THICK 60</t>
  </si>
  <si>
    <t>CT345-00746</t>
  </si>
  <si>
    <t>Wetting roller - top assembly</t>
  </si>
  <si>
    <t>GHP26110</t>
  </si>
  <si>
    <t>CS21816573</t>
  </si>
  <si>
    <t>Carbon brush C.R. assembly</t>
  </si>
  <si>
    <t>GHP26111</t>
  </si>
  <si>
    <t>CS21816720</t>
  </si>
  <si>
    <t>HP INDIGO 7250</t>
  </si>
  <si>
    <t>CA297-00150</t>
  </si>
  <si>
    <t>MOTOR-AC 230V.</t>
  </si>
  <si>
    <t>GHP26112</t>
  </si>
  <si>
    <t>CS21816735</t>
  </si>
  <si>
    <t>CU498-02992 </t>
  </si>
  <si>
    <t>SHEET, BELT PROTECTION( SET OF 2)</t>
  </si>
  <si>
    <t>GHP26113</t>
  </si>
  <si>
    <t>CS21816754</t>
  </si>
  <si>
    <t>EBM OPENING MECHANISM, VR</t>
  </si>
  <si>
    <t>GHP26114</t>
  </si>
  <si>
    <t>CS21816803</t>
  </si>
  <si>
    <t>NEW EBV BLOWER + SSR - FIRST REPLACEMENT KIT</t>
  </si>
  <si>
    <t>GHP26115</t>
  </si>
  <si>
    <t>CS21816830</t>
  </si>
  <si>
    <t>CT345-50461</t>
  </si>
  <si>
    <t>Mixing pump, recycling system.</t>
  </si>
  <si>
    <t>GHP26116</t>
  </si>
  <si>
    <t>CS21819862</t>
  </si>
  <si>
    <t>MR</t>
  </si>
  <si>
    <t xml:space="preserve">CT345-41540 </t>
  </si>
  <si>
    <t>Sensor ruler water</t>
  </si>
  <si>
    <t>GHP26117</t>
  </si>
  <si>
    <t>CS21820176</t>
  </si>
  <si>
    <t>CT454-09191</t>
  </si>
  <si>
    <t>SUCTION BLOWER</t>
  </si>
  <si>
    <t>GHP26118</t>
  </si>
  <si>
    <t>CS21820272</t>
  </si>
  <si>
    <t xml:space="preserve">CT397-31020 </t>
  </si>
  <si>
    <t xml:space="preserve">EMA IMO SG pump </t>
  </si>
  <si>
    <t>GHP26119</t>
  </si>
  <si>
    <t>CS21820321</t>
  </si>
  <si>
    <t>CT454-05770</t>
  </si>
  <si>
    <t>ITC PUMP UL 2500VAC</t>
  </si>
  <si>
    <t>PUMP HEAD WITHOUT FITTINGS</t>
  </si>
  <si>
    <t>CU150-01375</t>
  </si>
  <si>
    <t>BELT TIMING 3P 630L 6W R B</t>
  </si>
  <si>
    <t>GHP26120</t>
  </si>
  <si>
    <t>CS21820484</t>
  </si>
  <si>
    <t>CT354-01464</t>
  </si>
  <si>
    <t>WS6000, INCHING, EBM &amp; WHS INPUT PANEL.</t>
  </si>
  <si>
    <t xml:space="preserve">CT354-01463 </t>
  </si>
  <si>
    <t>GHP26121</t>
  </si>
  <si>
    <t>CS21821621</t>
  </si>
  <si>
    <t>51000323 </t>
  </si>
  <si>
    <t>CU096-02929</t>
  </si>
  <si>
    <t>ACP Mult 7.6A  10055D</t>
  </si>
  <si>
    <t>GHP26122</t>
  </si>
  <si>
    <t>CS21821923</t>
  </si>
  <si>
    <t xml:space="preserve">CU150-01357 </t>
  </si>
  <si>
    <t>BELT TIMING 5P 900L 15W</t>
  </si>
  <si>
    <t>GHP26123</t>
  </si>
  <si>
    <t>CS21825788</t>
  </si>
  <si>
    <t>IDLER SHAFT ASSEMBLY</t>
  </si>
  <si>
    <t>CT545-18501</t>
  </si>
  <si>
    <t>CT045-88760</t>
  </si>
  <si>
    <t>CU150-01915</t>
  </si>
  <si>
    <t>TIMING BELT 146MM-P-LG 10MM-WD 73 TEETH</t>
  </si>
  <si>
    <t>GHP26124</t>
  </si>
  <si>
    <t>CS21825512</t>
  </si>
  <si>
    <t>CT441-61260</t>
  </si>
  <si>
    <t>180MM HOSE - SUCTION BLOWER TO ECONOMIZE- EBV</t>
  </si>
  <si>
    <t>GHP26125</t>
  </si>
  <si>
    <t>CS21821998</t>
  </si>
  <si>
    <t>CT001-76750</t>
  </si>
  <si>
    <t> HILA PUW - MONITOR/PC OPTIC CABLE</t>
  </si>
  <si>
    <t>GHP26126</t>
  </si>
  <si>
    <t>CS21834059</t>
  </si>
  <si>
    <t xml:space="preserve">CA492-01600  </t>
  </si>
  <si>
    <t>S.NOTE FRONT DOOR MECH. AND PARS SCREWS 12K,50K</t>
  </si>
  <si>
    <t>CS21834061</t>
  </si>
  <si>
    <t>CS21834060</t>
  </si>
  <si>
    <t xml:space="preserve">ZANGRAF </t>
  </si>
  <si>
    <t>GHP26127</t>
  </si>
  <si>
    <t>CS21833825</t>
  </si>
  <si>
    <t>CU153-02649</t>
  </si>
  <si>
    <t>GAS SPRING 400N 60MM- STROKE</t>
  </si>
  <si>
    <t>CT497-11320</t>
  </si>
  <si>
    <t>SET TIMING BELT AND SPRING</t>
  </si>
  <si>
    <t>GHP26128</t>
  </si>
  <si>
    <t>CS21833960</t>
  </si>
  <si>
    <t>INSULATED-FLOW-METER</t>
  </si>
  <si>
    <t>GHP26129</t>
  </si>
  <si>
    <t>CS21838020</t>
  </si>
  <si>
    <t>50110372 </t>
  </si>
  <si>
    <t xml:space="preserve">CT446-07330 </t>
  </si>
  <si>
    <t>WIDE IDLER PULLEY DVC AS SY</t>
  </si>
  <si>
    <t>CT446-07331</t>
  </si>
  <si>
    <t>GHP26130</t>
  </si>
  <si>
    <t>CS21844396</t>
  </si>
  <si>
    <t>CT544-09100</t>
  </si>
  <si>
    <t>ENGAGE MOTOR &amp; CAM BARAK</t>
  </si>
  <si>
    <t>ENTREGUE PARA FORMA CERTA. NF 81803</t>
  </si>
  <si>
    <t>GHP26131</t>
  </si>
  <si>
    <t>CS21844534</t>
  </si>
  <si>
    <t>CT344-11043</t>
  </si>
  <si>
    <t>CARRIER ASSEMBLY</t>
  </si>
  <si>
    <t>GHP26132</t>
  </si>
  <si>
    <t>CS21844610</t>
  </si>
  <si>
    <t>NEW EBV BLOWER + SSR - FIRST REPLACEMENT KIT</t>
  </si>
  <si>
    <t>CT544-19970</t>
  </si>
  <si>
    <t>PULLEY ASSEMBLY</t>
  </si>
  <si>
    <t>PRESSURE TRANSMITTER 0- 10BAR</t>
  </si>
  <si>
    <t>GHP26133</t>
  </si>
  <si>
    <t>CS21844640</t>
  </si>
  <si>
    <t>CU199-04533</t>
  </si>
  <si>
    <t>SOLID STATE RELAY 20A 4-32VDC</t>
  </si>
  <si>
    <t>Imo SG Pump for Full IO System</t>
  </si>
  <si>
    <t>GHP26134</t>
  </si>
  <si>
    <t>CS21844688</t>
  </si>
  <si>
    <t>SERITEC</t>
  </si>
  <si>
    <t>CT345-52900</t>
  </si>
  <si>
    <t>TURBINE METER WITH FITTINGS</t>
  </si>
  <si>
    <t>GHP26135</t>
  </si>
  <si>
    <t>CS21847836</t>
  </si>
  <si>
    <t>S4 EVR SUCTION CUPS</t>
  </si>
  <si>
    <t>GHP26136</t>
  </si>
  <si>
    <t>CS21848714</t>
  </si>
  <si>
    <t>CU096-02893</t>
  </si>
  <si>
    <t xml:space="preserve">ACP MULTI NF </t>
  </si>
  <si>
    <t>PATRIK CARDOSO</t>
  </si>
  <si>
    <t>GHP26137</t>
  </si>
  <si>
    <t>CS21849114</t>
  </si>
  <si>
    <t>CU498-04430</t>
  </si>
  <si>
    <t>BELT 100 S2M 120 NG</t>
  </si>
  <si>
    <t>CU150-01864</t>
  </si>
  <si>
    <t>GHP26138</t>
  </si>
  <si>
    <t>CS21849219</t>
  </si>
  <si>
    <t>EH LAMP MAIN ASSY</t>
  </si>
  <si>
    <t>CT446-46632</t>
  </si>
  <si>
    <t>GHP26139</t>
  </si>
  <si>
    <t>CS21849231</t>
  </si>
  <si>
    <t>GHP26140</t>
  </si>
  <si>
    <t>CS21849349</t>
  </si>
  <si>
    <t>CARBON BRUSH C.R. ASSEMBLY</t>
  </si>
  <si>
    <t>GHP26141</t>
  </si>
  <si>
    <t>CS21853717</t>
  </si>
  <si>
    <t>CU095-72419</t>
  </si>
  <si>
    <t>PWR-SPLY AC-DC 24V/1000W I2C KEY COATED</t>
  </si>
  <si>
    <t>GHP26142</t>
  </si>
  <si>
    <t>CS21853123</t>
  </si>
  <si>
    <t>CT445-85340</t>
  </si>
  <si>
    <t>ARM LOWER 1-6 MR ASSEMBLY</t>
  </si>
  <si>
    <t>CT440-89851</t>
  </si>
  <si>
    <t>LOCKER ARM UPPER</t>
  </si>
  <si>
    <t>GHP26143</t>
  </si>
  <si>
    <t>CS21868275</t>
  </si>
  <si>
    <t>CU314-01218</t>
  </si>
  <si>
    <t>MOTOR SERVO 24VDC 2.5NM 4500RPM</t>
  </si>
  <si>
    <t>GHP26144</t>
  </si>
  <si>
    <t>CS21759124</t>
  </si>
  <si>
    <t>GONÇALVES</t>
  </si>
  <si>
    <t>HP INDIGO 35K</t>
  </si>
  <si>
    <t>CT446-18070</t>
  </si>
  <si>
    <t>ROLLER IDLE GUIDE</t>
  </si>
  <si>
    <t xml:space="preserve">GONÇALVES </t>
  </si>
  <si>
    <t>CT497-06440</t>
  </si>
  <si>
    <t>VAC PUMP ASSY</t>
  </si>
  <si>
    <t>CT545-20531</t>
  </si>
  <si>
    <t>X-OFFSET MECH</t>
  </si>
  <si>
    <t>CU314-01250</t>
  </si>
  <si>
    <t>MOTOR, SERVO, 80VDC</t>
  </si>
  <si>
    <t>CU145-00810</t>
  </si>
  <si>
    <t>LIGHT INDICATOR SUB BRIGHT GREEN 220VAC</t>
  </si>
  <si>
    <t>GHP26145</t>
  </si>
  <si>
    <t>CS21872839</t>
  </si>
  <si>
    <t>MRG-1010-01</t>
  </si>
  <si>
    <t>GAS SPRING 100mm x 100N (TOTAL LENGTH 275.5MM)</t>
  </si>
  <si>
    <t>GHP26146</t>
  </si>
  <si>
    <t>CU812-12130</t>
  </si>
  <si>
    <t>TACTICAL CABLE LC-LCOM3 L-50M</t>
  </si>
  <si>
    <t>GHP26147</t>
  </si>
  <si>
    <t>CS21873461</t>
  </si>
  <si>
    <t>CT345-07002</t>
  </si>
  <si>
    <t>TRANSMISSION FOR EBM</t>
  </si>
  <si>
    <t>GHP26148</t>
  </si>
  <si>
    <t>CS21870985</t>
  </si>
  <si>
    <t>CT490-26920</t>
  </si>
  <si>
    <t xml:space="preserve">DONGLE V-10410 MR2 10000 </t>
  </si>
  <si>
    <t>GHP26149</t>
  </si>
  <si>
    <t>CS21878527</t>
  </si>
  <si>
    <t>GHP26150</t>
  </si>
  <si>
    <t>CS21883840</t>
  </si>
  <si>
    <t>ALL4LABELS</t>
  </si>
  <si>
    <t>HP INDIGO 6000</t>
  </si>
  <si>
    <t>GHP26151</t>
  </si>
  <si>
    <t>CS21883868</t>
  </si>
  <si>
    <t>GHP26152</t>
  </si>
  <si>
    <t>CS21822440</t>
  </si>
  <si>
    <t>CU096-03453</t>
  </si>
  <si>
    <t>I/O MODULE 24VDC/0.5A 16DI/16DO</t>
  </si>
  <si>
    <t>ISMAR</t>
  </si>
  <si>
    <t>GHP26153</t>
  </si>
  <si>
    <t>CS21883985</t>
  </si>
  <si>
    <t>CT445-69130</t>
  </si>
  <si>
    <t>ITC -HEATER TOP ASSY</t>
  </si>
  <si>
    <t>GHP26154</t>
  </si>
  <si>
    <t>CT454-07011</t>
  </si>
  <si>
    <t>PDC BOARD WITH BRACKET</t>
  </si>
  <si>
    <t>GHP26155</t>
  </si>
  <si>
    <t>CS21888701</t>
  </si>
  <si>
    <t>61000037 </t>
  </si>
  <si>
    <t>GHP26156</t>
  </si>
  <si>
    <t>CS21889084</t>
  </si>
  <si>
    <t>CATUAI</t>
  </si>
  <si>
    <t>CU096-06067</t>
  </si>
  <si>
    <t>FIBER OPTIC OD-2.2MM L-2 .0MM M6</t>
  </si>
  <si>
    <t>GHP26157</t>
  </si>
  <si>
    <t>CS21892498</t>
  </si>
  <si>
    <t>CT344-34270</t>
  </si>
  <si>
    <t>Ceramic charge roller assembly</t>
  </si>
  <si>
    <t>GHP26158</t>
  </si>
  <si>
    <t>CS21892471</t>
  </si>
  <si>
    <t>CT440-96191</t>
  </si>
  <si>
    <t>SEAL</t>
  </si>
  <si>
    <t>CT440-96201</t>
  </si>
  <si>
    <t>SEAL, IMPRESSION VENTILA TION, EBV, EILAT</t>
  </si>
  <si>
    <t>GHP26159</t>
  </si>
  <si>
    <t>CS21893296</t>
  </si>
  <si>
    <t>CU150-01921</t>
  </si>
  <si>
    <t>Timing Belt 420MM - P- LG10MM WD 84 Teeth</t>
  </si>
  <si>
    <t>GHP26160</t>
  </si>
  <si>
    <t>CS21894612</t>
  </si>
  <si>
    <t>ASSY-TURBINE METER WITH FITTINGS</t>
  </si>
  <si>
    <t>GHP26161</t>
  </si>
  <si>
    <t>CS21894773</t>
  </si>
  <si>
    <t> ESC GTK SHAFT</t>
  </si>
  <si>
    <t>GHP26162</t>
  </si>
  <si>
    <t>CS21894854</t>
  </si>
  <si>
    <t>BDU module assembly (with BSM)</t>
  </si>
  <si>
    <t>estoque</t>
  </si>
  <si>
    <t>GHP26163</t>
  </si>
  <si>
    <t>CS21893508</t>
  </si>
  <si>
    <t>HP INDIGO 120K</t>
  </si>
  <si>
    <t>CT001-95880</t>
  </si>
  <si>
    <t>UC CVC BLOWER</t>
  </si>
  <si>
    <t>CON26032</t>
  </si>
  <si>
    <t>GHP26164</t>
  </si>
  <si>
    <t>CS21899771</t>
  </si>
  <si>
    <t>CT446-02641</t>
  </si>
  <si>
    <t>CS Engage Sensor Assy</t>
  </si>
  <si>
    <t>GHP26165</t>
  </si>
  <si>
    <t>CS21899741</t>
  </si>
  <si>
    <t xml:space="preserve">TIMING BELT 316MM-P-LG 10MM-WD 158 TEETH </t>
  </si>
  <si>
    <t>GHP26166</t>
  </si>
  <si>
    <t>CS21902641</t>
  </si>
  <si>
    <t>CU498-02320</t>
  </si>
  <si>
    <t>RELAY, FINDER 24V2UM</t>
  </si>
  <si>
    <t>GHP26167</t>
  </si>
  <si>
    <t>CS21903514</t>
  </si>
  <si>
    <t>GHP26168</t>
  </si>
  <si>
    <t>CS21909094</t>
  </si>
  <si>
    <t>CT354-04953</t>
  </si>
  <si>
    <t>MOTOR ASSEMBLY BID SEMI ENGAGE 1-5</t>
  </si>
  <si>
    <t>GHP26169</t>
  </si>
  <si>
    <t>CS21908911</t>
  </si>
  <si>
    <t>AXLE-ASM EJECT-MODUL WITH SPRINGS</t>
  </si>
  <si>
    <t>CT468-30800</t>
  </si>
  <si>
    <t>HOLDER BOX-222_305_601-0 1_B_12</t>
  </si>
  <si>
    <t>GHP26170</t>
  </si>
  <si>
    <t>CS21908713</t>
  </si>
  <si>
    <t>TRANS.SHAFT WITH SELF ALIGNMENT BEARING-SHANI</t>
  </si>
  <si>
    <t>GHP26171</t>
  </si>
  <si>
    <t>CS21915983</t>
  </si>
  <si>
    <t>GHP26173</t>
  </si>
  <si>
    <t>CS21919780</t>
  </si>
  <si>
    <t>IPISIS</t>
  </si>
  <si>
    <t>HP Indigo 10000</t>
  </si>
  <si>
    <t>Suction Cups</t>
  </si>
  <si>
    <t>Edson Domingues</t>
  </si>
  <si>
    <t>GHP26174</t>
  </si>
  <si>
    <t>CS21920176</t>
  </si>
  <si>
    <t>CT990-04680</t>
  </si>
  <si>
    <t>HP MONITOR E24 TOUCH</t>
  </si>
  <si>
    <t>GHP26175</t>
  </si>
  <si>
    <t>CS21919910</t>
  </si>
  <si>
    <t>New EBV Blower + SSR first replacement KIT</t>
  </si>
  <si>
    <t>GHP26176</t>
  </si>
  <si>
    <t>GHP26177</t>
  </si>
  <si>
    <t>CS21922763</t>
  </si>
  <si>
    <t>CT446-30490</t>
  </si>
  <si>
    <t>INK TANK STATION BARAK</t>
  </si>
  <si>
    <t>CT446-30492</t>
  </si>
  <si>
    <t>GHP26178</t>
  </si>
  <si>
    <t>CS21931439</t>
  </si>
  <si>
    <t>CT446-47770</t>
  </si>
  <si>
    <t>WASTE BOTTLE- YELLOW</t>
  </si>
  <si>
    <t>GHP26179</t>
  </si>
  <si>
    <t>CS21931854</t>
  </si>
  <si>
    <t xml:space="preserve">P+E </t>
  </si>
  <si>
    <t>HP Indigo 15K</t>
  </si>
  <si>
    <t>CT446-18711</t>
  </si>
  <si>
    <t>Imaging Oil Pump</t>
  </si>
  <si>
    <t>GHP26180</t>
  </si>
  <si>
    <t>CS21935627</t>
  </si>
  <si>
    <t xml:space="preserve"> CU498-02992</t>
  </si>
  <si>
    <t xml:space="preserve">SHEET BELT PROTECTION </t>
  </si>
  <si>
    <t xml:space="preserve"> Pulley asembly </t>
  </si>
  <si>
    <t>timingbelt</t>
  </si>
  <si>
    <t>GHP26181</t>
  </si>
  <si>
    <t>CS21936452</t>
  </si>
  <si>
    <t>CT445-53991</t>
  </si>
  <si>
    <t>PIP &amp; IMP brake motor</t>
  </si>
  <si>
    <t>GHP26182</t>
  </si>
  <si>
    <t>CS21936135</t>
  </si>
  <si>
    <t>Cable assy W12659</t>
  </si>
  <si>
    <t>GHP26183</t>
  </si>
  <si>
    <t>CS21937038</t>
  </si>
  <si>
    <t>CT597-00020</t>
  </si>
  <si>
    <t>SET ILS IDLER WITH E-RING</t>
  </si>
  <si>
    <t>GHP26184</t>
  </si>
  <si>
    <t>CT456‑00673</t>
  </si>
  <si>
    <t>PCA, CIO2 Assembly, 2nd Layout</t>
  </si>
  <si>
    <t>CU096‑02932</t>
  </si>
  <si>
    <t>ACOPOS Micro Stepper Drive System (S)</t>
  </si>
  <si>
    <t>CT456‑00683</t>
  </si>
  <si>
    <t>PCA, CIO3 Assembly, 2nd Layout</t>
  </si>
  <si>
    <t>CT445‑77271</t>
  </si>
  <si>
    <t>Wiper In-Place Assembly</t>
  </si>
  <si>
    <t>GHP26185</t>
  </si>
  <si>
    <t>CS21942268</t>
  </si>
  <si>
    <t>VR</t>
  </si>
  <si>
    <t>Carbon brush </t>
  </si>
  <si>
    <t>GHP26186</t>
  </si>
  <si>
    <t>CS21942436</t>
  </si>
  <si>
    <t>GHP26187</t>
  </si>
  <si>
    <t>CS21942512</t>
  </si>
  <si>
    <t>CA441-25320</t>
  </si>
  <si>
    <t>S4, HANDLE UPPER, INK TANK DRAWER</t>
  </si>
  <si>
    <t>GHP26188</t>
  </si>
  <si>
    <t>CS21949057</t>
  </si>
  <si>
    <t> CA002-02260 </t>
  </si>
  <si>
    <t>S4 INK PUMP ASSEMBLY, SP WITH ODCS</t>
  </si>
  <si>
    <t>CT002-05511</t>
  </si>
  <si>
    <t>GHP26189</t>
  </si>
  <si>
    <t>CS21953396</t>
  </si>
  <si>
    <t>CT445-25641</t>
  </si>
  <si>
    <t>EPC MOTOR ASSEMBLY</t>
  </si>
  <si>
    <t>CU150-01487 </t>
  </si>
  <si>
    <t>CT440-84212</t>
  </si>
  <si>
    <t>EXIT NIP PULLEY</t>
  </si>
  <si>
    <t>GHP26190</t>
  </si>
  <si>
    <t>CS21953167</t>
  </si>
  <si>
    <t>CT441-98910</t>
  </si>
  <si>
    <t>S4 ink pump driver</t>
  </si>
  <si>
    <t>GHP26191</t>
  </si>
  <si>
    <t>CS21953443</t>
  </si>
  <si>
    <t>NAUTILAIR AND FILTER ASS EMBLY, EBV, EILAT</t>
  </si>
  <si>
    <t>GHP26192</t>
  </si>
  <si>
    <t>CS21954417</t>
  </si>
  <si>
    <t xml:space="preserve">CT345-00746 </t>
  </si>
  <si>
    <t>GHP26193</t>
  </si>
  <si>
    <t>CS21955425</t>
  </si>
  <si>
    <t>CT990-07840 </t>
  </si>
  <si>
    <t>cable screened for digital sensors</t>
  </si>
  <si>
    <t>GHP26194</t>
  </si>
  <si>
    <t>CS21961970</t>
  </si>
  <si>
    <t>GHP26195</t>
  </si>
  <si>
    <t>CS21962229</t>
  </si>
  <si>
    <t>CT454-04600</t>
  </si>
  <si>
    <t>FLOW SENSOR ASSEMBLY.</t>
  </si>
  <si>
    <t>CT001-21840</t>
  </si>
  <si>
    <t>GHP26196</t>
  </si>
  <si>
    <t>CS21965428</t>
  </si>
  <si>
    <t>CT590-04901</t>
  </si>
  <si>
    <t>CCR 3 DAMPERS</t>
  </si>
  <si>
    <t>CT590-06991</t>
  </si>
  <si>
    <t>GHP26197</t>
  </si>
  <si>
    <t>CS21965967</t>
  </si>
  <si>
    <t xml:space="preserve">CA397-00730 </t>
  </si>
  <si>
    <t>PHOTOSENSOR</t>
  </si>
  <si>
    <t>GHP26198</t>
  </si>
  <si>
    <t>CS21967508</t>
  </si>
  <si>
    <t>VACUUM BELT 30MM-WD 0.9MM-T</t>
  </si>
  <si>
    <t>CT444-36741</t>
  </si>
  <si>
    <t>EVR GUIDE TECH ASSEMBLY</t>
  </si>
  <si>
    <t>S4 EVR SUCTION CUPS (SET OF 10)</t>
  </si>
  <si>
    <t>CT497-11350</t>
  </si>
  <si>
    <t>CT440-29501</t>
  </si>
  <si>
    <t>GVR EXIT GUIDES WHEEL</t>
  </si>
  <si>
    <t>S4 DUPLEX SUCTION CUPS (10 UNITS)</t>
  </si>
  <si>
    <t>GHP26199</t>
  </si>
  <si>
    <t>CS21973281</t>
  </si>
  <si>
    <t>CU095-72418</t>
  </si>
  <si>
    <t xml:space="preserve">PWR-SPLY AC-DC 48V/1000W I2C KEY COATED </t>
  </si>
  <si>
    <t>GHP26200</t>
  </si>
  <si>
    <t>CS21974143</t>
  </si>
  <si>
    <t>CU150-01912</t>
  </si>
  <si>
    <t>TIMING BELT 164MM-P-LG 10MM-WD 82 TEETH</t>
  </si>
  <si>
    <t>GHP26201</t>
  </si>
  <si>
    <t>CS21909774</t>
  </si>
  <si>
    <t>GRAFIX</t>
  </si>
  <si>
    <t>CA361-00751</t>
  </si>
  <si>
    <t>CABLE ASSEMBLY W75 BID 2</t>
  </si>
  <si>
    <t>CT361-00730</t>
  </si>
  <si>
    <t>CON26022B</t>
  </si>
  <si>
    <t>(PEDIDO DE COMPRA)</t>
  </si>
  <si>
    <t>GHP26202</t>
  </si>
  <si>
    <t>CS21979343</t>
  </si>
  <si>
    <t>GHP26203</t>
  </si>
  <si>
    <t>CS21979448</t>
  </si>
  <si>
    <t>CU150-01906</t>
  </si>
  <si>
    <t>TIMING BELT 440MM-P-LG 10MM-WD 220 TEETH</t>
  </si>
  <si>
    <t>GHP26204</t>
  </si>
  <si>
    <t>CS21979812</t>
  </si>
  <si>
    <t xml:space="preserve">CU316-04594 </t>
  </si>
  <si>
    <t>BLOWER 5.7 240VAC 1200W BYPASS 1STG UHF</t>
  </si>
  <si>
    <t>GHP26205</t>
  </si>
  <si>
    <t>CS21985191</t>
  </si>
  <si>
    <t>HP INDIGO 12K</t>
  </si>
  <si>
    <t>CU498-01783</t>
  </si>
  <si>
    <t>PCA1 FEED MANAGEMENT CONTROLLER</t>
  </si>
  <si>
    <t>CT461-46010</t>
  </si>
  <si>
    <t>FMC PILE PWR CABLE</t>
  </si>
  <si>
    <t>GHP26206</t>
  </si>
  <si>
    <t>CU096-03405</t>
  </si>
  <si>
    <t>BUS CONTROLLER POWERLINK INTERFACE</t>
  </si>
  <si>
    <t xml:space="preserve">0960-3405 </t>
  </si>
  <si>
    <t>GHP26206B</t>
  </si>
  <si>
    <t>CU096-02909</t>
  </si>
  <si>
    <t>X20DC1196</t>
  </si>
  <si>
    <t>GHP26207</t>
  </si>
  <si>
    <t>CS21988862</t>
  </si>
  <si>
    <t>CU498-04410</t>
  </si>
  <si>
    <t>SPRING NIP ROLLER</t>
  </si>
  <si>
    <t>CT468-62730</t>
  </si>
  <si>
    <t>GHP26208</t>
  </si>
  <si>
    <t>CS21988733</t>
  </si>
  <si>
    <t>CT443-04350</t>
  </si>
  <si>
    <t>GHP26209</t>
  </si>
  <si>
    <t>CS21989259</t>
  </si>
  <si>
    <t>JB</t>
  </si>
  <si>
    <t>CU096-03151</t>
  </si>
  <si>
    <t>ROTATING VANE FLOW METER 5-140LPM</t>
  </si>
  <si>
    <t>GHP26210</t>
  </si>
  <si>
    <t>CS21989228</t>
  </si>
  <si>
    <t>NMC</t>
  </si>
  <si>
    <t>CA361-13051</t>
  </si>
  <si>
    <t>CABLE ASSY,W1305 ILD CON TROL LINE</t>
  </si>
  <si>
    <t>CT361-13052</t>
  </si>
  <si>
    <t>CA361-13250</t>
  </si>
  <si>
    <t>CABLE ASSY ILD JUMPER FO R WS6000</t>
  </si>
  <si>
    <t>CT361-13250</t>
  </si>
  <si>
    <t>EOD-1202-02</t>
  </si>
  <si>
    <t>IN LINE DENS. DTP24 F/W</t>
  </si>
  <si>
    <t>GHP26211</t>
  </si>
  <si>
    <t>CS21989381</t>
  </si>
  <si>
    <t>TIMING BELT 520MM-P-LG 10MM-WD 260 TEETH</t>
  </si>
  <si>
    <t>TIMING BELT 316MM-P-LG 10MM-WD 158 TEETH</t>
  </si>
  <si>
    <t>GHP26212</t>
  </si>
  <si>
    <t>CS21989698</t>
  </si>
  <si>
    <t>CU498-01710</t>
  </si>
  <si>
    <t>TIMING BELT 420MM-P-LG 1 0MM-WD 84 TEETH</t>
  </si>
  <si>
    <t>GHP26213</t>
  </si>
  <si>
    <t>CS21990029</t>
  </si>
  <si>
    <t>CT446-03560</t>
  </si>
  <si>
    <t>FEED GUIDE ASSEMBLY</t>
  </si>
  <si>
    <t>CT445-58580</t>
  </si>
  <si>
    <t>DRIVE SHAFT DVC</t>
  </si>
  <si>
    <t>GHP26214</t>
  </si>
  <si>
    <t>CS21996458</t>
  </si>
  <si>
    <t>CT541-19590</t>
  </si>
  <si>
    <t>PUMP COUPLING</t>
  </si>
  <si>
    <t>GHP26215</t>
  </si>
  <si>
    <t>CS22001883</t>
  </si>
  <si>
    <t>S4 EVR SUCTION CUPS(SET OF 10)&amp;FOR PERFECTOR S3</t>
  </si>
  <si>
    <t>GHP26216</t>
  </si>
  <si>
    <t>CS22005376</t>
  </si>
  <si>
    <t>CU153-02508</t>
  </si>
  <si>
    <t>GAS SPRING 1000N 585MM-L 250MM-STROKE</t>
  </si>
  <si>
    <t>CT445-45904</t>
  </si>
  <si>
    <t>JOS ASSEMBLY</t>
  </si>
  <si>
    <t>GHP26217</t>
  </si>
  <si>
    <t>CS22006831</t>
  </si>
  <si>
    <t>CT454-07690</t>
  </si>
  <si>
    <t>IR IMP DRUM WIRED, SER #4</t>
  </si>
  <si>
    <t>GHP26218</t>
  </si>
  <si>
    <t>CS22009676</t>
  </si>
  <si>
    <t>LOG&amp;PRINT</t>
  </si>
  <si>
    <t>HP Indigo 12000</t>
  </si>
  <si>
    <t>CU096-03202</t>
  </si>
  <si>
    <t>Embedded usb espectro</t>
  </si>
  <si>
    <t>GHP26219</t>
  </si>
  <si>
    <t>CS22011024</t>
  </si>
  <si>
    <t>CA446-29480</t>
  </si>
  <si>
    <t>Kit Belt Finger</t>
  </si>
  <si>
    <t>CT446-29480</t>
  </si>
  <si>
    <t>GHP26220</t>
  </si>
  <si>
    <t>CS22014505</t>
  </si>
  <si>
    <t>BRAKE, PIP &amp; IMP TOP ASSEMBLY, MR</t>
  </si>
  <si>
    <t>GHP26221</t>
  </si>
  <si>
    <t>CS22015241</t>
  </si>
  <si>
    <t>BELT TIMING 3P 630L 6W R BR</t>
  </si>
  <si>
    <t>GHP26222</t>
  </si>
  <si>
    <t>CS22022456</t>
  </si>
  <si>
    <t>CU314-01287</t>
  </si>
  <si>
    <t>CS Motor</t>
  </si>
  <si>
    <t>CT446-34751</t>
  </si>
  <si>
    <t>CS motor coupling</t>
  </si>
  <si>
    <t>Transport Shaft</t>
  </si>
  <si>
    <t>CT468-38950</t>
  </si>
  <si>
    <t>BRIDGE SUCTION BELT</t>
  </si>
  <si>
    <t>Succion cups - Kit</t>
  </si>
  <si>
    <t>CT440-96221</t>
  </si>
  <si>
    <t>SEAL, AIR KNIFE, EBV</t>
  </si>
  <si>
    <t>CT440-96231</t>
  </si>
  <si>
    <t>SEAL, UPPER SUCCION, EBV</t>
  </si>
  <si>
    <t>SEAL, LOWERR SUCTION, EBV</t>
  </si>
  <si>
    <t>SEAL, IMPRESSION VENTILATION</t>
  </si>
  <si>
    <t>GHP26223</t>
  </si>
  <si>
    <t>CS22025804</t>
  </si>
  <si>
    <t>HP INDIGO 6K</t>
  </si>
  <si>
    <t>CU096-03516</t>
  </si>
  <si>
    <t> Corona Generator</t>
  </si>
  <si>
    <t>EDUARDO NOBRE</t>
  </si>
  <si>
    <t>GHP26224</t>
  </si>
  <si>
    <t>CS22025796</t>
  </si>
  <si>
    <t>CU150-01292</t>
  </si>
  <si>
    <t>BRIDGE BELT</t>
  </si>
  <si>
    <t>GHP26225</t>
  </si>
  <si>
    <t xml:space="preserve">CA392-03280 </t>
  </si>
  <si>
    <t>S.NOTE AIR QUICK  CONNEC TOR  8000,6X00,6X00P,6R</t>
  </si>
  <si>
    <t>GHP26226</t>
  </si>
  <si>
    <t>CS22029831</t>
  </si>
  <si>
    <t>GHP26227</t>
  </si>
  <si>
    <t>CS22030872</t>
  </si>
  <si>
    <t>IMO SG PUMP FOR FULL I.O SYSTEM</t>
  </si>
  <si>
    <t>GHP26228</t>
  </si>
  <si>
    <t>CS22031385</t>
  </si>
  <si>
    <t>CT445-49430</t>
  </si>
  <si>
    <t>ARM LOWER 1-6 FRONT MR</t>
  </si>
  <si>
    <t>GHP26229</t>
  </si>
  <si>
    <t>CS22031416</t>
  </si>
  <si>
    <t>REUNA</t>
  </si>
  <si>
    <t>3140-1199</t>
  </si>
  <si>
    <t>CA254-00890</t>
  </si>
  <si>
    <t>POWER RESISTOR FOR MOTOR INVERTER UNIT</t>
  </si>
  <si>
    <t>CT254-00890</t>
  </si>
  <si>
    <t>GHP26230</t>
  </si>
  <si>
    <t>CS22031589</t>
  </si>
  <si>
    <t>CU150-01947</t>
  </si>
  <si>
    <t>BELT TIMING 5MM-P 9MM-W 2100MM-PITCH-LG</t>
  </si>
  <si>
    <t>GHP26231</t>
  </si>
  <si>
    <t>CS22031521</t>
  </si>
  <si>
    <t>CT454-04520</t>
  </si>
  <si>
    <t>POWER ENABLE SWITCH ASSEMBLY</t>
  </si>
  <si>
    <t>GHP26232</t>
  </si>
  <si>
    <t>CS22035277</t>
  </si>
  <si>
    <t>CU150-02037</t>
  </si>
  <si>
    <t>Belt Timming 5mm-P 9MM W 1000 MM</t>
  </si>
  <si>
    <t>CT541-13250</t>
  </si>
  <si>
    <t>GHP26233</t>
  </si>
  <si>
    <t>CS22036585</t>
  </si>
  <si>
    <t>GHP26234</t>
  </si>
  <si>
    <t>CS22037003</t>
  </si>
  <si>
    <t>GHP26235</t>
  </si>
  <si>
    <t>CS22039140</t>
  </si>
  <si>
    <t>CU096-04654</t>
  </si>
  <si>
    <t>GHP26236</t>
  </si>
  <si>
    <t>CS22039791</t>
  </si>
  <si>
    <t>CT545-11561</t>
  </si>
  <si>
    <t>100K SIDE BLOWER (ODM)</t>
  </si>
  <si>
    <t>TRANSPOT SHAFT</t>
  </si>
  <si>
    <t>SIDEBLOWER FLAT CABLE</t>
  </si>
  <si>
    <t>GHP26237</t>
  </si>
  <si>
    <t>CS22040185</t>
  </si>
  <si>
    <t>CT468-54780</t>
  </si>
  <si>
    <t>BELT TIMING OVP</t>
  </si>
  <si>
    <t>CU090-51709</t>
  </si>
  <si>
    <t>TUBE ENGAGE SEAL 43MM-OD</t>
  </si>
  <si>
    <t>CT468-59410</t>
  </si>
  <si>
    <t>BELT TIMING PAPER PATH PRF</t>
  </si>
  <si>
    <t>SEAL, IMPRESSION VENTILA</t>
  </si>
  <si>
    <t>GHP26238</t>
  </si>
  <si>
    <t>CS22040615</t>
  </si>
  <si>
    <t>NEW EBV BLOWER + SSR - FIRST REPLACEMENT KIT</t>
  </si>
  <si>
    <t>GHP26239</t>
  </si>
  <si>
    <t>CS22041148</t>
  </si>
  <si>
    <t>CT454-09041</t>
  </si>
  <si>
    <t>BID_HV3 MODULE BOM</t>
  </si>
  <si>
    <t>CT445-30921</t>
  </si>
  <si>
    <t>CLUTCH D12 N CUPLING D14</t>
  </si>
  <si>
    <t>GHP26240</t>
  </si>
  <si>
    <t>CS22048203</t>
  </si>
  <si>
    <t>CT454-03800</t>
  </si>
  <si>
    <t>EXIT PROXIMITY SENSOR</t>
  </si>
  <si>
    <t>GHP26241</t>
  </si>
  <si>
    <t>CS22056372</t>
  </si>
  <si>
    <t>CT490-14560</t>
  </si>
  <si>
    <t>PUMP GEAR ASSEMBLY, WIRED</t>
  </si>
  <si>
    <t>GHP26242</t>
  </si>
  <si>
    <t>CS22047848</t>
  </si>
  <si>
    <t>CT446-45450</t>
  </si>
  <si>
    <t>IOS HX ASSY RIGID PIPE</t>
  </si>
  <si>
    <t>CT446-61570</t>
  </si>
  <si>
    <t>GHP26243</t>
  </si>
  <si>
    <t>CT990-07030</t>
  </si>
  <si>
    <t>S. NOTE CHANGING THE LABELS FOR THE E-STOP BUTTON</t>
  </si>
  <si>
    <t>GHP26244</t>
  </si>
  <si>
    <t>CS22058032</t>
  </si>
  <si>
    <t>GHP26245</t>
  </si>
  <si>
    <t>CS22057984</t>
  </si>
  <si>
    <t>GHP26246</t>
  </si>
  <si>
    <t>CS22062412</t>
  </si>
  <si>
    <t>CT445-99853</t>
  </si>
  <si>
    <t>REAR SPONGE SHAFT ASM-CS G7</t>
  </si>
  <si>
    <t xml:space="preserve">CT446-54510 </t>
  </si>
  <si>
    <t>GHP26247</t>
  </si>
  <si>
    <t>CS22062465</t>
  </si>
  <si>
    <t>1401-0433</t>
  </si>
  <si>
    <t>PLUG-HOLE FLANGELESS 1.1 OD BLK NEOPRENE ROHS</t>
  </si>
  <si>
    <t>SP INK PUMP MOTOR</t>
  </si>
  <si>
    <t>CS22067949</t>
  </si>
  <si>
    <t>HP INDIGO 7249</t>
  </si>
  <si>
    <t>CA397-00342</t>
  </si>
  <si>
    <t>SP-E/H HEATING UNIT - TO P ASSY</t>
  </si>
  <si>
    <t>GHP26248</t>
  </si>
  <si>
    <t>CS22067950</t>
  </si>
  <si>
    <t>CT354-03321</t>
  </si>
  <si>
    <t>EH CONECTOR</t>
  </si>
  <si>
    <t>CON26026 &amp; CON26032</t>
  </si>
  <si>
    <t>CT354-05281</t>
  </si>
  <si>
    <t>E/H HEATING UNIT</t>
  </si>
  <si>
    <t>GHP26249</t>
  </si>
  <si>
    <t>CS22066692</t>
  </si>
  <si>
    <t>BELT FEEDER LP,PP,MR(SET OF 2)</t>
  </si>
  <si>
    <t>GHP26250</t>
  </si>
  <si>
    <t>CS22067891</t>
  </si>
  <si>
    <t>HP INDIGO 18k</t>
  </si>
  <si>
    <t>GHP26251</t>
  </si>
  <si>
    <t>CS22067947</t>
  </si>
  <si>
    <t>GHP26252</t>
  </si>
  <si>
    <t>CS22071875</t>
  </si>
  <si>
    <t>CT397-30050</t>
  </si>
  <si>
    <t>BID FI HANDLES KIT</t>
  </si>
  <si>
    <t>CA397-01970</t>
  </si>
  <si>
    <t>BRIDGE VACUUM CLEANER</t>
  </si>
  <si>
    <t>CT397-02830</t>
  </si>
  <si>
    <t>Stacker clutch replacement kit</t>
  </si>
  <si>
    <t>CT341-37140</t>
  </si>
  <si>
    <t>Clean belt, registration table</t>
  </si>
  <si>
    <t>CT345-56180</t>
  </si>
  <si>
    <t>PUMP ACTUATOR ASSEMBLY 2 FIXING SCREWS</t>
  </si>
  <si>
    <t>CT245-30711</t>
  </si>
  <si>
    <t>RIGHT PAPER DETECTOR (FRONT)</t>
  </si>
  <si>
    <t>CT245-30741</t>
  </si>
  <si>
    <t>LEFT PAPER DETECTOR (REAR)</t>
  </si>
  <si>
    <t>CT345-55780</t>
  </si>
  <si>
    <t>SINGLE-SHOT BELT (SET OF 5</t>
  </si>
  <si>
    <t>CT245-31000</t>
  </si>
  <si>
    <t>FEED HEAD SHEET SEPARATOR</t>
  </si>
  <si>
    <t>GHP26253</t>
  </si>
  <si>
    <t>CS22071882</t>
  </si>
  <si>
    <t>GHP26254</t>
  </si>
  <si>
    <t>CS22072092</t>
  </si>
  <si>
    <t>CA461-43260</t>
  </si>
  <si>
    <t>CABLE ASSY W14326</t>
  </si>
  <si>
    <t>CT461-43261</t>
  </si>
  <si>
    <t>CU498-04840</t>
  </si>
  <si>
    <t>SENSOR INDUCTIVE PROXIMITY</t>
  </si>
  <si>
    <t>GHP26255</t>
  </si>
  <si>
    <t>CS22072525</t>
  </si>
  <si>
    <t>CT397-30321</t>
  </si>
  <si>
    <t>BOARD ASSEMBLY PLD24</t>
  </si>
  <si>
    <t>CT345-30331</t>
  </si>
  <si>
    <t>Atmor top assembly</t>
  </si>
  <si>
    <t>CT345-30332</t>
  </si>
  <si>
    <t>GHP26256</t>
  </si>
  <si>
    <t>CS22072577</t>
  </si>
  <si>
    <t>CT445-17612</t>
  </si>
  <si>
    <t>GEAR PINION 2M 22Z 20MM-WD</t>
  </si>
  <si>
    <t>GHP26257</t>
  </si>
  <si>
    <t>CS22072824</t>
  </si>
  <si>
    <t>CT497-00720</t>
  </si>
  <si>
    <t>PIP SUCTION CUPS</t>
  </si>
  <si>
    <t>GHP26258</t>
  </si>
  <si>
    <t>CS22072928</t>
  </si>
  <si>
    <t>GHP26259</t>
  </si>
  <si>
    <t>CS22073902</t>
  </si>
  <si>
    <t>LQ037AA </t>
  </si>
  <si>
    <t>HP 1TB SATA 6GB/S HDD</t>
  </si>
  <si>
    <t>W0R10AA</t>
  </si>
  <si>
    <t>GHP26260</t>
  </si>
  <si>
    <t>CS22077525</t>
  </si>
  <si>
    <t>CU498-04280</t>
  </si>
  <si>
    <t>BELT, SYNCHRONOUS, 100 S2M 316 NG</t>
  </si>
  <si>
    <t>GHP26261</t>
  </si>
  <si>
    <t>CS22073419</t>
  </si>
  <si>
    <t>CU314-01262</t>
  </si>
  <si>
    <t>LEAD SCREW BRUSH MOTOR WITH GEAR</t>
  </si>
  <si>
    <t>GHP26262</t>
  </si>
  <si>
    <t>CS22079119</t>
  </si>
  <si>
    <t>CU096-03352</t>
  </si>
  <si>
    <t>PRESSURE SWITCH SPST 150</t>
  </si>
  <si>
    <t>GHP26263</t>
  </si>
  <si>
    <t>CS22079090</t>
  </si>
  <si>
    <t>GHP26264</t>
  </si>
  <si>
    <t>CS22079055</t>
  </si>
  <si>
    <t>CT497-11230</t>
  </si>
  <si>
    <t>180MM AND 250MM HOSE- EH SUCTION TO ENGINE</t>
  </si>
  <si>
    <t>GHP26265</t>
  </si>
  <si>
    <t>CS22097708</t>
  </si>
  <si>
    <t>CS VISUAL - BELT 3MGT- 3 99-15 GATES</t>
  </si>
  <si>
    <t>GHP26266</t>
  </si>
  <si>
    <t>CS22082434</t>
  </si>
  <si>
    <t>GHP26267</t>
  </si>
  <si>
    <t>CS22083942</t>
  </si>
  <si>
    <t>CT001-91950 </t>
  </si>
  <si>
    <t>ODCS SENSOR KIT</t>
  </si>
  <si>
    <t>GHP26268</t>
  </si>
  <si>
    <t>CS22087805</t>
  </si>
  <si>
    <t>1500-1147</t>
  </si>
  <si>
    <t>BELT-GEAR 15-MM-WD 5-MM</t>
  </si>
  <si>
    <t>GHP26269</t>
  </si>
  <si>
    <t>CS22088894</t>
  </si>
  <si>
    <t>DRIVER, PUMP </t>
  </si>
  <si>
    <t>CU010-05715 </t>
  </si>
  <si>
    <t>VALVE OPERATOR LARGE ORIFICE 2WNC (2 UNITS)</t>
  </si>
  <si>
    <t>GHP26270</t>
  </si>
  <si>
    <t>CS22089000</t>
  </si>
  <si>
    <t>CT361-24560</t>
  </si>
  <si>
    <t>CR. INTER. WIRING</t>
  </si>
  <si>
    <t>CA240-18300</t>
  </si>
  <si>
    <t>PIN CONTACT</t>
  </si>
  <si>
    <t>CT345-60411</t>
  </si>
  <si>
    <t>REAR COVER CERAMIC C.R. ASSY</t>
  </si>
  <si>
    <t>GHP26271</t>
  </si>
  <si>
    <t>CS22089115</t>
  </si>
  <si>
    <t>IPSIS</t>
  </si>
  <si>
    <t>GHP26272</t>
  </si>
  <si>
    <t>CS22096680</t>
  </si>
  <si>
    <t xml:space="preserve">CU316-04594  </t>
  </si>
  <si>
    <t>CT454-02830</t>
  </si>
  <si>
    <t>PRESSURE SWITCH, WIRED, AIR KNIFE (S)</t>
  </si>
  <si>
    <t>GHP26273</t>
  </si>
  <si>
    <t>CS22097117</t>
  </si>
  <si>
    <t>EVR SUCTION CUPS (SET OF 10)</t>
  </si>
  <si>
    <t>GHP26274</t>
  </si>
  <si>
    <t>CS22097904</t>
  </si>
  <si>
    <t>GHP26275</t>
  </si>
  <si>
    <t>CS22102024</t>
  </si>
  <si>
    <t>CT445-48230</t>
  </si>
  <si>
    <t>TEMPERATURE SENSOR</t>
  </si>
  <si>
    <t>GHP26276</t>
  </si>
  <si>
    <t>CS22101897</t>
  </si>
  <si>
    <t>CT461-96070</t>
  </si>
  <si>
    <t>258_122_313- 02_A_EN_1_C ABLE_POWER_ TO_FMC</t>
  </si>
  <si>
    <t>GHP26277</t>
  </si>
  <si>
    <t>CS22103082</t>
  </si>
  <si>
    <t>CT446-55050</t>
  </si>
  <si>
    <t>CLEANING STATION ASSEMBLY</t>
  </si>
  <si>
    <t>GHP26278</t>
  </si>
  <si>
    <t>CS22107163</t>
  </si>
  <si>
    <t>HP INDIGO 6k+</t>
  </si>
  <si>
    <t>CU314-01430</t>
  </si>
  <si>
    <t>STEPPER MOTOR NEMA 23 SH ORT 14-48V 4A</t>
  </si>
  <si>
    <t>GHP26280</t>
  </si>
  <si>
    <t>CS22108445</t>
  </si>
  <si>
    <t>EH LAMP MAIN ASSEMBLY (S)</t>
  </si>
  <si>
    <t>GHP26281</t>
  </si>
  <si>
    <t>CS22111575</t>
  </si>
  <si>
    <t>AXLE-ASM EJECT-MODULE WITH SPRINGS</t>
  </si>
  <si>
    <t>GHP26282</t>
  </si>
  <si>
    <t>CS22108491</t>
  </si>
  <si>
    <t>CT441-81921</t>
  </si>
  <si>
    <t>CRU top cover</t>
  </si>
  <si>
    <t>GHP26283</t>
  </si>
  <si>
    <t>CS22112009</t>
  </si>
  <si>
    <t>PIP SUCTION CUPS(12 UNITS)</t>
  </si>
  <si>
    <t>GHP26284</t>
  </si>
  <si>
    <t>CS22113087</t>
  </si>
  <si>
    <t>GHP26285</t>
  </si>
  <si>
    <t>CS22113154</t>
  </si>
  <si>
    <t>CU314-01222</t>
  </si>
  <si>
    <t>MOTOR BRLESS 480VAC 17.4NM 1000RPM</t>
  </si>
  <si>
    <t>GHP26286</t>
  </si>
  <si>
    <t>CS22113448</t>
  </si>
  <si>
    <t>BRASILATA</t>
  </si>
  <si>
    <t>FELIPE ALBUQUERQUE</t>
  </si>
  <si>
    <t>GHP26287</t>
  </si>
  <si>
    <t>CS22113486</t>
  </si>
  <si>
    <t>TORNADO BELT(SET OF 2)</t>
  </si>
  <si>
    <t>GHP26288</t>
  </si>
  <si>
    <t>CS22117606</t>
  </si>
  <si>
    <t>CT446-31240</t>
  </si>
  <si>
    <t>EIXO DE ALINHAMENTO DA PONTE - 222_523_951-01_A_12</t>
  </si>
  <si>
    <t>CT454-04712</t>
  </si>
  <si>
    <t>WHEL3 DRIVERS FANS</t>
  </si>
  <si>
    <t>CT454-00693</t>
  </si>
  <si>
    <t>FAN ASSEMBLY: WHEL3 INLET</t>
  </si>
  <si>
    <t>GHP26289</t>
  </si>
  <si>
    <t>CS22123052</t>
  </si>
  <si>
    <t>0960-2311</t>
  </si>
  <si>
    <t>PUMP PM</t>
  </si>
  <si>
    <t>CT345-50901</t>
  </si>
  <si>
    <t>Perfector vacuum valve</t>
  </si>
  <si>
    <t>GHP26290</t>
  </si>
  <si>
    <t>CS22127484</t>
  </si>
  <si>
    <t>GHP26291</t>
  </si>
  <si>
    <t>CS22134336</t>
  </si>
  <si>
    <t>BLOWER CENTRIFUGL 31IN/H2 O-150CFM 240VAC</t>
  </si>
  <si>
    <t>GHP26292</t>
  </si>
  <si>
    <t>CS22134517</t>
  </si>
  <si>
    <t>CT454-06320</t>
  </si>
  <si>
    <t>IMO WASTE PUMP</t>
  </si>
  <si>
    <t>GHP26293</t>
  </si>
  <si>
    <t>CS22138340</t>
  </si>
  <si>
    <t>CU498-02692</t>
  </si>
  <si>
    <t>SUCTION BELT (SET OF 5)</t>
  </si>
  <si>
    <t>GHP26294</t>
  </si>
  <si>
    <t>CS22137284</t>
  </si>
  <si>
    <t>GHP26295</t>
  </si>
  <si>
    <t>CS22137485</t>
  </si>
  <si>
    <t>DIGITAL IMPRESSOS</t>
  </si>
  <si>
    <t>Vacum pump</t>
  </si>
  <si>
    <t>GHP26296</t>
  </si>
  <si>
    <t>CS22141432</t>
  </si>
  <si>
    <t>GHP26297</t>
  </si>
  <si>
    <t>CS22141813</t>
  </si>
  <si>
    <t>CT354-01352</t>
  </si>
  <si>
    <t>Pump gear assembly wired</t>
  </si>
  <si>
    <t>GHP26298</t>
  </si>
  <si>
    <t>CS22151743</t>
  </si>
  <si>
    <t>CS22142036</t>
  </si>
  <si>
    <t>CA344-09251</t>
  </si>
  <si>
    <t>E/H - REAR ADAPTOR - FLOW</t>
  </si>
  <si>
    <t>GHP26299</t>
  </si>
  <si>
    <t>CS22141851</t>
  </si>
  <si>
    <t>MOTOR PAPER PATH PULLEY ASSEMBLY</t>
  </si>
  <si>
    <t>GHP26300</t>
  </si>
  <si>
    <t>CS22146708</t>
  </si>
  <si>
    <t>ELYON</t>
  </si>
  <si>
    <t>SET, B&amp;R POWER SUPPLY 80 V(IN EC)UPGRADE.</t>
  </si>
  <si>
    <t>GHP26301</t>
  </si>
  <si>
    <t>S.NOTE CHANGING LABELS FOR E-STOP BUTTON</t>
  </si>
  <si>
    <t>GHP26302</t>
  </si>
  <si>
    <t>CS22148141</t>
  </si>
  <si>
    <t>PIP suction cups</t>
  </si>
  <si>
    <t>GHP26303</t>
  </si>
  <si>
    <t>CS22148602</t>
  </si>
  <si>
    <t>DUPLEX DVC BELTS PRETENSION MECHANISM</t>
  </si>
  <si>
    <t>MAINCHECK</t>
  </si>
  <si>
    <t>FEED GUIDE ASSEMBLY, 10,000</t>
  </si>
  <si>
    <t>CU150-02078</t>
  </si>
  <si>
    <t>BELT-TIMING GT3 9MM-WD 2061MM LG</t>
  </si>
  <si>
    <t>GHP26304</t>
  </si>
  <si>
    <t>CS22142256</t>
  </si>
  <si>
    <t>HP INDIGO 35k</t>
  </si>
  <si>
    <t>CT454-05482</t>
  </si>
  <si>
    <t> MR2, STPR2 MODULE</t>
  </si>
  <si>
    <t>GHP26305</t>
  </si>
  <si>
    <t>CS22152865</t>
  </si>
  <si>
    <t>FINGER BELT PULLEY(SET O F 2)</t>
  </si>
  <si>
    <t>GHP26306</t>
  </si>
  <si>
    <t>CS22153048</t>
  </si>
  <si>
    <t>GHP26307</t>
  </si>
  <si>
    <t>CS22153117</t>
  </si>
  <si>
    <t>PIP BEARING FRONT ASSY</t>
  </si>
  <si>
    <t>PIP BEARING HOUSING REAR</t>
  </si>
  <si>
    <t>GHP26308</t>
  </si>
  <si>
    <t>CS22156260</t>
  </si>
  <si>
    <t>CT497-00710</t>
  </si>
  <si>
    <t>MJ SNAP SEAL</t>
  </si>
  <si>
    <t>GHP26309</t>
  </si>
  <si>
    <t>CS22162914</t>
  </si>
  <si>
    <t>CU096-02952</t>
  </si>
  <si>
    <t>Pressure gauge</t>
  </si>
  <si>
    <t>GHP26310</t>
  </si>
  <si>
    <t>CS22162840</t>
  </si>
  <si>
    <t>DRIVER PUMP</t>
  </si>
  <si>
    <t>GHP26311</t>
  </si>
  <si>
    <t>CS22162894</t>
  </si>
  <si>
    <t>UNIGRAFICA</t>
  </si>
  <si>
    <t>CT345-56544</t>
  </si>
  <si>
    <t>LIC pump assembly procon</t>
  </si>
  <si>
    <t>GHP26312</t>
  </si>
  <si>
    <t>CS22163040</t>
  </si>
  <si>
    <t>HEATER TOP ASSEMBLY </t>
  </si>
  <si>
    <t>GHP26313</t>
  </si>
  <si>
    <t>CS22165922</t>
  </si>
  <si>
    <t>50200095 </t>
  </si>
  <si>
    <t>CU498-01970</t>
  </si>
  <si>
    <t>SPINDLE, CPL, R20-20K2-FSC</t>
  </si>
  <si>
    <t>VAGNER GARCIA</t>
  </si>
  <si>
    <t>CT468-65160</t>
  </si>
  <si>
    <t>CU498-02391</t>
  </si>
  <si>
    <t>CLUTCH</t>
  </si>
  <si>
    <t>CT468-03550</t>
  </si>
  <si>
    <t>GHP26314</t>
  </si>
  <si>
    <t>CS22166908</t>
  </si>
  <si>
    <t>GHP26315</t>
  </si>
  <si>
    <t>CS22170724</t>
  </si>
  <si>
    <t>SIDE BLOWER, CPL</t>
  </si>
  <si>
    <t>GHP26317</t>
  </si>
  <si>
    <t>CS22170171</t>
  </si>
  <si>
    <t>CT445-35051</t>
  </si>
  <si>
    <t>GEAR PINION</t>
  </si>
  <si>
    <t>IR IMP DRUM WIRED</t>
  </si>
  <si>
    <t>CT245-06210</t>
  </si>
  <si>
    <t>SENSOR, IR REFLECTIVE</t>
  </si>
  <si>
    <t>CA245-08081</t>
  </si>
  <si>
    <t>GHP26318</t>
  </si>
  <si>
    <t>CS22174517</t>
  </si>
  <si>
    <t>IDU MOTOR ASSEMBLY NORTH LAND</t>
  </si>
  <si>
    <t>GHP26319</t>
  </si>
  <si>
    <t>CS22175683</t>
  </si>
  <si>
    <t>CU812-30485</t>
  </si>
  <si>
    <t>CABLE FFC 0.5 PITCH 60 COND 390MM-LG (S)</t>
  </si>
  <si>
    <t>GHP26320</t>
  </si>
  <si>
    <t>CS22180534</t>
  </si>
  <si>
    <t>GHP26321</t>
  </si>
  <si>
    <t>CS22185766</t>
  </si>
  <si>
    <t>CA245-04934</t>
  </si>
  <si>
    <t>IMPRESSION ROLLER ASSEMBLY</t>
  </si>
  <si>
    <t>GHP26322</t>
  </si>
  <si>
    <t xml:space="preserve">CS22181489 </t>
  </si>
  <si>
    <t>CT990-05470</t>
  </si>
  <si>
    <t>PGR CAM MOTOR FIRST REPLACEMENT KIT</t>
  </si>
  <si>
    <t>GHP26323</t>
  </si>
  <si>
    <t>CS22186535</t>
  </si>
  <si>
    <t>BELT-TIMNG 3MM-PITCH 840MM-LG 15MM-WD</t>
  </si>
  <si>
    <t>GHP26324</t>
  </si>
  <si>
    <t>CS22181524</t>
  </si>
  <si>
    <t>CT497-00280</t>
  </si>
  <si>
    <t>BELT S PAPER PAT</t>
  </si>
  <si>
    <t>CU498-04330</t>
  </si>
  <si>
    <t>GHP26325</t>
  </si>
  <si>
    <t>CS22184905</t>
  </si>
  <si>
    <t>S4 CRU, COVER FOR EC</t>
  </si>
  <si>
    <t>GHP26326</t>
  </si>
  <si>
    <t>CS22185675</t>
  </si>
  <si>
    <t>GHP26327</t>
  </si>
  <si>
    <t>CS22197813</t>
  </si>
  <si>
    <t xml:space="preserve">S4 DUPLEX SUCTION CUPS (10 UNITS) </t>
  </si>
  <si>
    <t>GHP26328</t>
  </si>
  <si>
    <t>CS22199108</t>
  </si>
  <si>
    <t>CT345-60212</t>
  </si>
  <si>
    <t>Blade holder assembly</t>
  </si>
  <si>
    <t>GHP26329</t>
  </si>
  <si>
    <t>CS22202430</t>
  </si>
  <si>
    <t xml:space="preserve">CU498-01672 </t>
  </si>
  <si>
    <t>GHP26330</t>
  </si>
  <si>
    <t>CS22203062</t>
  </si>
  <si>
    <t xml:space="preserve">TORNADO ASSY </t>
  </si>
  <si>
    <t>GHP26331</t>
  </si>
  <si>
    <t>CS22203322</t>
  </si>
  <si>
    <t>CT354-05990</t>
  </si>
  <si>
    <t>OPT. SENSOR ASSEMBLY TYPE 1</t>
  </si>
  <si>
    <t>GHP26332</t>
  </si>
  <si>
    <t>CS22202843</t>
  </si>
  <si>
    <t>PRAKOLAR</t>
  </si>
  <si>
    <t>48500778 </t>
  </si>
  <si>
    <t>Corona generator 220-240 (S)</t>
  </si>
  <si>
    <t>GHP26333</t>
  </si>
  <si>
    <t>CS22210215</t>
  </si>
  <si>
    <t>SOBRAL</t>
  </si>
  <si>
    <t>HP INDIGO 7900</t>
  </si>
  <si>
    <t>GHP26334</t>
  </si>
  <si>
    <t>CS22210283</t>
  </si>
  <si>
    <t>GHP26335</t>
  </si>
  <si>
    <t>CS22210308</t>
  </si>
  <si>
    <t>CT654-04653</t>
  </si>
  <si>
    <t>MCN6 BRACKET ASSY</t>
  </si>
  <si>
    <t>GHP26336</t>
  </si>
  <si>
    <t>CS22225715</t>
  </si>
  <si>
    <t>SENSOR, IR REFLECTIVE, 7 0 MM CABLE</t>
  </si>
  <si>
    <t>GHP26337</t>
  </si>
  <si>
    <t>CS22224802</t>
  </si>
  <si>
    <t>GHP26338</t>
  </si>
  <si>
    <t>CS22226399</t>
  </si>
  <si>
    <t>GHP26339</t>
  </si>
  <si>
    <t>CS22226513</t>
  </si>
  <si>
    <t>GHP26340</t>
  </si>
  <si>
    <t>CS22229991</t>
  </si>
  <si>
    <t xml:space="preserve">BELT TIMING 3P 630L 6W RBR </t>
  </si>
  <si>
    <t>GHP26341</t>
  </si>
  <si>
    <t>CS22230472</t>
  </si>
  <si>
    <t>Wetting roller top assembly</t>
  </si>
  <si>
    <t>GHP26342</t>
  </si>
  <si>
    <t>CS22230826</t>
  </si>
  <si>
    <t>GHP26344</t>
  </si>
  <si>
    <t>CS22234902</t>
  </si>
  <si>
    <t>CT545-32152</t>
  </si>
  <si>
    <t xml:space="preserve">ASP MAIN ASSEMBLY </t>
  </si>
  <si>
    <t>GHP26345</t>
  </si>
  <si>
    <t>CS22235302</t>
  </si>
  <si>
    <t xml:space="preserve">NAUTILAIR AND FILTER ASS EMBLY, EBV, EILAT </t>
  </si>
  <si>
    <t>CT445-92300</t>
  </si>
  <si>
    <t>CVC AIR FILTER WITH HANDLE 250 MICRON</t>
  </si>
  <si>
    <t>GHP26346</t>
  </si>
  <si>
    <t>CS22239473</t>
  </si>
  <si>
    <t>GHP26347</t>
  </si>
  <si>
    <t>CS22239938</t>
  </si>
  <si>
    <t>CT361-01101</t>
  </si>
  <si>
    <t>CABLE ASSEMBLY W110 IOC - CO</t>
  </si>
  <si>
    <t>CT361-01490</t>
  </si>
  <si>
    <t>CABLE ASSY W149 - IOC - OVERFLOW TO WASTE</t>
  </si>
  <si>
    <t>CT361-01093 </t>
  </si>
  <si>
    <t>CABLE ASSEMBLY W109 U/C-PDB</t>
  </si>
  <si>
    <t>CT344-15360 </t>
  </si>
  <si>
    <t>NAUTILAIR INTAKE TECH ASSEMBLY</t>
  </si>
  <si>
    <t>CT344-20230</t>
  </si>
  <si>
    <t>Converger assembly</t>
  </si>
  <si>
    <t>GHP26348</t>
  </si>
  <si>
    <t>CS22243731</t>
  </si>
  <si>
    <t xml:space="preserve">CT345-56544 </t>
  </si>
  <si>
    <t xml:space="preserve">LIC pump assembly procon </t>
  </si>
  <si>
    <t>GHP26349</t>
  </si>
  <si>
    <t>CS22244681</t>
  </si>
  <si>
    <t>GHP26350</t>
  </si>
  <si>
    <t>CS22245138</t>
  </si>
  <si>
    <t>CU049-03217</t>
  </si>
  <si>
    <t>GHP26351</t>
  </si>
  <si>
    <t>CS22245350</t>
  </si>
  <si>
    <t>100K SIDE BLOWER </t>
  </si>
  <si>
    <t>CT540-63790</t>
  </si>
  <si>
    <t>GHP26352</t>
  </si>
  <si>
    <t>CS22245621</t>
  </si>
  <si>
    <t>CT545-35670</t>
  </si>
  <si>
    <t xml:space="preserve">CWS, FILTER ASSY </t>
  </si>
  <si>
    <t>GHP26353</t>
  </si>
  <si>
    <t>CS22250375</t>
  </si>
  <si>
    <t>CA361-21070</t>
  </si>
  <si>
    <t>ILS VHDCI W2107, ASSY</t>
  </si>
  <si>
    <t>CT490-27100 </t>
  </si>
  <si>
    <t>GHP26354</t>
  </si>
  <si>
    <t>CS22251267</t>
  </si>
  <si>
    <t>NEW EBV BLOWER + SSR - FIRST REPLACEMENT</t>
  </si>
  <si>
    <t>CT454-04751</t>
  </si>
  <si>
    <t>POWER LINE RFI FILTER ASSEMBLY</t>
  </si>
  <si>
    <t>GHP26356</t>
  </si>
  <si>
    <t>CS22251807</t>
  </si>
  <si>
    <t>CT341-29670</t>
  </si>
  <si>
    <t>COVER FRONT, CHARGE ROLL</t>
  </si>
  <si>
    <t>CT341-29690</t>
  </si>
  <si>
    <t>Rear cover-machined</t>
  </si>
  <si>
    <t>GHP26357</t>
  </si>
  <si>
    <t>CS22263055</t>
  </si>
  <si>
    <t>GHP26358</t>
  </si>
  <si>
    <t>CS22264270</t>
  </si>
  <si>
    <t>GHP26359</t>
  </si>
  <si>
    <t>CS22264406</t>
  </si>
  <si>
    <t>BOARD ASSY, ILS HS</t>
  </si>
  <si>
    <t>GHP26360</t>
  </si>
  <si>
    <t>CS22264581</t>
  </si>
  <si>
    <t>CU096-02873</t>
  </si>
  <si>
    <t>ACPMULTI VWRM 3.8A HV WS-SINGLE AXIS</t>
  </si>
  <si>
    <t>GHP26361</t>
  </si>
  <si>
    <t>CS22264680</t>
  </si>
  <si>
    <t>GHP26362</t>
  </si>
  <si>
    <t>CS22264717</t>
  </si>
  <si>
    <t>CU498-08930</t>
  </si>
  <si>
    <t>Belt synchronous 1mm s2m 146</t>
  </si>
  <si>
    <t>GHP26363</t>
  </si>
  <si>
    <t>CS22268728</t>
  </si>
  <si>
    <t>48000002 </t>
  </si>
  <si>
    <t>CT990-00460</t>
  </si>
  <si>
    <t>KIT MAINTENANCE-SER 3 ZUWA PUMP BLACK IMPELLER</t>
  </si>
  <si>
    <t>CT990-00461</t>
  </si>
  <si>
    <t>GHP26364</t>
  </si>
  <si>
    <t>CS22268541</t>
  </si>
  <si>
    <t>CU096-02455</t>
  </si>
  <si>
    <t>SWITCH-PROXIMITY-SENSOR</t>
  </si>
  <si>
    <t>GHP26365</t>
  </si>
  <si>
    <t>CS22268654</t>
  </si>
  <si>
    <t>CT446-09023</t>
  </si>
  <si>
    <t>INK PUMP TOP ASSEMBLY</t>
  </si>
  <si>
    <t>GHP26367</t>
  </si>
  <si>
    <t>CS22276086</t>
  </si>
  <si>
    <t>GHP26368</t>
  </si>
  <si>
    <t>CS22281614</t>
  </si>
  <si>
    <t>GHP26369</t>
  </si>
  <si>
    <t>CS22281659</t>
  </si>
  <si>
    <t>CT445-72530</t>
  </si>
  <si>
    <t>TANK OFIR CONNECTOR</t>
  </si>
  <si>
    <t>GHP26370</t>
  </si>
  <si>
    <t>CS22281708</t>
  </si>
  <si>
    <t>GHP26371</t>
  </si>
  <si>
    <t> SENSOR, IR REFLECTIVE, 70 MM CABLE</t>
  </si>
  <si>
    <t>GHP26372</t>
  </si>
  <si>
    <t>CS22289296</t>
  </si>
  <si>
    <t>GHP26373</t>
  </si>
  <si>
    <t>CS22290929</t>
  </si>
  <si>
    <t>CU096-03412</t>
  </si>
  <si>
    <t>Air Manometer</t>
  </si>
  <si>
    <t xml:space="preserve">EDSON  </t>
  </si>
  <si>
    <t>CU315-0995</t>
  </si>
  <si>
    <t>Filter 60x250 80 microns</t>
  </si>
  <si>
    <t>GHP26374</t>
  </si>
  <si>
    <t>CS22290957</t>
  </si>
  <si>
    <t>GHP26375</t>
  </si>
  <si>
    <t>CS22291071</t>
  </si>
  <si>
    <t>HP MNTR E24T G5 FHD TOUC H EURO</t>
  </si>
  <si>
    <t>GHP26376</t>
  </si>
  <si>
    <t>CS22291136</t>
  </si>
  <si>
    <t>CU314-01348</t>
  </si>
  <si>
    <t>MOTOR IMP 67.6NM-PK-TQE 480VAC 16-P 1KW</t>
  </si>
  <si>
    <t>CT445-27164</t>
  </si>
  <si>
    <t>GHP26377</t>
  </si>
  <si>
    <t>CS22291026</t>
  </si>
  <si>
    <t>pressure sensor</t>
  </si>
  <si>
    <t>GHP26378</t>
  </si>
  <si>
    <t>CS22291606</t>
  </si>
  <si>
    <t>Waste pump motor</t>
  </si>
  <si>
    <t>GHP26379</t>
  </si>
  <si>
    <t>CS22291608</t>
  </si>
  <si>
    <t>rear sponge shaft</t>
  </si>
  <si>
    <t>CT446-54510</t>
  </si>
  <si>
    <t>GHP26380</t>
  </si>
  <si>
    <t>CS22291626</t>
  </si>
  <si>
    <t>Pump Head</t>
  </si>
  <si>
    <t>CU010-02984</t>
  </si>
  <si>
    <t>Valv g Cylin</t>
  </si>
  <si>
    <t>GHP26381</t>
  </si>
  <si>
    <t>CS22294109</t>
  </si>
  <si>
    <t>GHP26382</t>
  </si>
  <si>
    <t>CS22294672</t>
  </si>
  <si>
    <t>GHP26383</t>
  </si>
  <si>
    <t>CS22294930</t>
  </si>
  <si>
    <t>CT497-00400</t>
  </si>
  <si>
    <t>ITM LAMPS 5KW</t>
  </si>
  <si>
    <t>GHP26384</t>
  </si>
  <si>
    <t>CS22300458</t>
  </si>
  <si>
    <t>GHP26385</t>
  </si>
  <si>
    <t>CS22255816</t>
  </si>
  <si>
    <t>CT990-06730</t>
  </si>
  <si>
    <t>X20 SAFE DIGITAL 4XO</t>
  </si>
  <si>
    <t>CT454-03181</t>
  </si>
  <si>
    <t>DIRECT CD PUMP 3/4", WIRED</t>
  </si>
  <si>
    <t>CA461-86430</t>
  </si>
  <si>
    <t>CABLE ASSY W18643</t>
  </si>
  <si>
    <t>GHP26386</t>
  </si>
  <si>
    <t>CS22301319</t>
  </si>
  <si>
    <t>CA390-03711 </t>
  </si>
  <si>
    <t>WH V2 (S) ®</t>
  </si>
  <si>
    <t>GHP26387</t>
  </si>
  <si>
    <t>CS22301571</t>
  </si>
  <si>
    <t>CT345-15019</t>
  </si>
  <si>
    <t>PDB2 WITH BRACKET</t>
  </si>
  <si>
    <t>GHP26388</t>
  </si>
  <si>
    <t>CS22301733</t>
  </si>
  <si>
    <t>CA344-05930</t>
  </si>
  <si>
    <t>CL.ST MOTOR ASSY</t>
  </si>
  <si>
    <t>PRESSURE SWITCH SPST 150 PA</t>
  </si>
  <si>
    <t>GHP26389</t>
  </si>
  <si>
    <t>CS22301829</t>
  </si>
  <si>
    <t>GHP26390</t>
  </si>
  <si>
    <t>CS22301054</t>
  </si>
  <si>
    <t>GHP26392</t>
  </si>
  <si>
    <t>CS22301600</t>
  </si>
  <si>
    <t> SWITCH PRESSURE, WIRED, AIR KNIFE</t>
  </si>
  <si>
    <t>GHP26393</t>
  </si>
  <si>
    <t>CS22301382</t>
  </si>
  <si>
    <t>SWITCH PRESSURE, WIRED, AIR KNIFE</t>
  </si>
  <si>
    <t>GHP26394</t>
  </si>
  <si>
    <t>CS22307761</t>
  </si>
  <si>
    <t>CA354-01731</t>
  </si>
  <si>
    <t>IR PTH SENSOR</t>
  </si>
  <si>
    <t>CA354-01741</t>
  </si>
  <si>
    <t>IR ITM BLANKET SENSOR</t>
  </si>
  <si>
    <t>CA354-01751</t>
  </si>
  <si>
    <t>IR ITM DRUM SENSOR</t>
  </si>
  <si>
    <t>GHP26395</t>
  </si>
  <si>
    <t>CS22306414</t>
  </si>
  <si>
    <t>GHP26396</t>
  </si>
  <si>
    <t>CS22307676</t>
  </si>
  <si>
    <t>GHP26397</t>
  </si>
  <si>
    <t>CS22307644</t>
  </si>
  <si>
    <t>CU010-02959</t>
  </si>
  <si>
    <t>VALVE WATER 2/2 3/4IN BSP</t>
  </si>
  <si>
    <t>GHP26398</t>
  </si>
  <si>
    <t>CS22311844</t>
  </si>
  <si>
    <t>CU010-04069</t>
  </si>
  <si>
    <t>REGULADOR DE PRESSAO DE AR ¼ 0-12 BAR</t>
  </si>
  <si>
    <t>GHP26399</t>
  </si>
  <si>
    <t>CS22313494</t>
  </si>
  <si>
    <t>GHP26400</t>
  </si>
  <si>
    <t>CS22320565</t>
  </si>
  <si>
    <t>GHP26401</t>
  </si>
  <si>
    <t>CS22320677</t>
  </si>
  <si>
    <t>Rear driver sponge roller</t>
  </si>
  <si>
    <t>GHP26403</t>
  </si>
  <si>
    <t>CS22325945</t>
  </si>
  <si>
    <t>GHP26404</t>
  </si>
  <si>
    <t>CS22326886</t>
  </si>
  <si>
    <t>GHP26405</t>
  </si>
  <si>
    <t>CS22326935</t>
  </si>
  <si>
    <t>GHP26406</t>
  </si>
  <si>
    <t>CS22327223</t>
  </si>
  <si>
    <t>CT9990-01170</t>
  </si>
  <si>
    <t>RDU Spout Sensor and cover</t>
  </si>
  <si>
    <t>GHP26407</t>
  </si>
  <si>
    <t>CS22331457</t>
  </si>
  <si>
    <t>CU498-10260</t>
  </si>
  <si>
    <t>SCU15P-NTAAT DIAPHRAGM PUMP</t>
  </si>
  <si>
    <t>GHP26408</t>
  </si>
  <si>
    <t>CS22332124</t>
  </si>
  <si>
    <t>GHP26409</t>
  </si>
  <si>
    <t>CS22332457</t>
  </si>
  <si>
    <t>GHP26410</t>
  </si>
  <si>
    <t>CS22335081</t>
  </si>
  <si>
    <t>Comprint</t>
  </si>
  <si>
    <t>HP Indigo 6K</t>
  </si>
  <si>
    <t>Edson /Comprint</t>
  </si>
  <si>
    <t>GHP26411</t>
  </si>
  <si>
    <t>CS22335255</t>
  </si>
  <si>
    <t>GHP26412</t>
  </si>
  <si>
    <t>CS22335899</t>
  </si>
  <si>
    <t>GHP26413</t>
  </si>
  <si>
    <t>CS22336335</t>
  </si>
  <si>
    <t>CU150-01209</t>
  </si>
  <si>
    <t>COUPLER SHORT RESIN TYPE 21.4-MM-LG ROHS</t>
  </si>
  <si>
    <t>GHP26414</t>
  </si>
  <si>
    <t>CT990-01120</t>
  </si>
  <si>
    <t xml:space="preserve">S.NOTE, SBK GROUNDING IM PROVEMENT FOR STKR &amp; EU, 15K </t>
  </si>
  <si>
    <t>S.Note</t>
  </si>
  <si>
    <t xml:space="preserve">P+E / PRINTZ / DIGIPIX </t>
  </si>
  <si>
    <t>GHP26415</t>
  </si>
  <si>
    <t>CS22352288</t>
  </si>
  <si>
    <t>GHP26416</t>
  </si>
  <si>
    <t>CS22346673</t>
  </si>
  <si>
    <t> CT454-02200</t>
  </si>
  <si>
    <t>ITC COOLANT LVL SENSOR</t>
  </si>
  <si>
    <t>GHP26417</t>
  </si>
  <si>
    <t>CS22346710</t>
  </si>
  <si>
    <t> CT454-08060</t>
  </si>
  <si>
    <t>LDD RECYCLING TANK SENSORS</t>
  </si>
  <si>
    <t>GHP26418</t>
  </si>
  <si>
    <t>CS22346707</t>
  </si>
  <si>
    <t> 0403-1173</t>
  </si>
  <si>
    <t>BUMPER FOOT URETHANE ROH</t>
  </si>
  <si>
    <t>CU040-31173</t>
  </si>
  <si>
    <t>GHP26419</t>
  </si>
  <si>
    <t>CS22346700</t>
  </si>
  <si>
    <t>CT454-05970</t>
  </si>
  <si>
    <t>CT454-05971</t>
  </si>
  <si>
    <t>GHP26420</t>
  </si>
  <si>
    <t>CS22346691</t>
  </si>
  <si>
    <t>REAR SPONGE ROLLER SHAFT ASM CS G7</t>
  </si>
  <si>
    <t>GHP26421</t>
  </si>
  <si>
    <t>CS22346685</t>
  </si>
  <si>
    <t> CU096-03151</t>
  </si>
  <si>
    <t>GHP26422</t>
  </si>
  <si>
    <t>CS22356766</t>
  </si>
  <si>
    <t>CT454-08544</t>
  </si>
  <si>
    <t>Whel HDLA Plate</t>
  </si>
  <si>
    <t>GHP26423</t>
  </si>
  <si>
    <t>CS22357678</t>
  </si>
  <si>
    <t>VALVE SOL 1/4 2WNC 24V DC VITON</t>
  </si>
  <si>
    <t>GHP26424</t>
  </si>
  <si>
    <t>CS22358214</t>
  </si>
  <si>
    <t>CU153-02488</t>
  </si>
  <si>
    <t>GAS SPRING COM 300N 60STK</t>
  </si>
  <si>
    <t>GHP26425</t>
  </si>
  <si>
    <t>CS22362601</t>
  </si>
  <si>
    <t>CT345-00746 </t>
  </si>
  <si>
    <t>WETTING ROLLER - TOP ASSY</t>
  </si>
  <si>
    <t>GHP26426</t>
  </si>
  <si>
    <t>CS22361595</t>
  </si>
  <si>
    <t>SIDE BLOWER KPL 10000</t>
  </si>
  <si>
    <t>GHP26427</t>
  </si>
  <si>
    <t>CS22362458</t>
  </si>
  <si>
    <t>CA345-20660</t>
  </si>
  <si>
    <t>COUPLING-CLUTCH</t>
  </si>
  <si>
    <t>GHP26428</t>
  </si>
  <si>
    <t>CS22363592</t>
  </si>
  <si>
    <t>LATCH-ACCY ACTUATOR 32DI</t>
  </si>
  <si>
    <t>GHP26429</t>
  </si>
  <si>
    <t>CS22363387</t>
  </si>
  <si>
    <t>IMAGING OIL PUMP</t>
  </si>
  <si>
    <t>GHP26430</t>
  </si>
  <si>
    <t>CS22367819</t>
  </si>
  <si>
    <t>GHP26431</t>
  </si>
  <si>
    <t>CS22367802</t>
  </si>
  <si>
    <t>GHP26432</t>
  </si>
  <si>
    <t>CS22368022</t>
  </si>
  <si>
    <t>GHP26433</t>
  </si>
  <si>
    <t>CS22367993</t>
  </si>
  <si>
    <t>CU498-01660</t>
  </si>
  <si>
    <t>PHOTOINTERRUPTER</t>
  </si>
  <si>
    <t>GHP26434</t>
  </si>
  <si>
    <t>CS22371941</t>
  </si>
  <si>
    <t>CU498-04180</t>
  </si>
  <si>
    <t>COVER, SPINDLE</t>
  </si>
  <si>
    <t>GHP26436</t>
  </si>
  <si>
    <t>CS22376135</t>
  </si>
  <si>
    <t>CT597-00140</t>
  </si>
  <si>
    <t>SET HINGES, FRONT AND REAR INPUT COVER</t>
  </si>
  <si>
    <t>GHP26437</t>
  </si>
  <si>
    <t>CS22376713</t>
  </si>
  <si>
    <t>GHP26438</t>
  </si>
  <si>
    <t>CS22385449</t>
  </si>
  <si>
    <t>CT443-46500</t>
  </si>
  <si>
    <t>IDS EXHAUST HOSE 3"</t>
  </si>
  <si>
    <t>GHP26439</t>
  </si>
  <si>
    <t>CS22385684</t>
  </si>
  <si>
    <t>GHP26440</t>
  </si>
  <si>
    <t>CS22385741</t>
  </si>
  <si>
    <t>KIT MAINTENANCE-SER 3 ZU WA PUMP BLACK IMPELLER</t>
  </si>
  <si>
    <t>GHP26441</t>
  </si>
  <si>
    <t>CS22385800</t>
  </si>
  <si>
    <t>CT445-52341</t>
  </si>
  <si>
    <t>TANK COVER WITH HANDLES</t>
  </si>
  <si>
    <t>GHP26442</t>
  </si>
  <si>
    <t>CS22385813</t>
  </si>
  <si>
    <t>CT441-14240</t>
  </si>
  <si>
    <t>BELLOWS 52MM FOR DIAMETER 32MM</t>
  </si>
  <si>
    <t>GHP26443</t>
  </si>
  <si>
    <t>CS22389567</t>
  </si>
  <si>
    <t>HP INDIGO 15K</t>
  </si>
  <si>
    <t>CU314-01215</t>
  </si>
  <si>
    <t>MOTOR,SERVO,80VDC,1.3NM, 3 000RPM</t>
  </si>
  <si>
    <t>GHP26444</t>
  </si>
  <si>
    <t>CS22389609</t>
  </si>
  <si>
    <t>BELT SYNCHRONOUS 65 MXL 025 NG</t>
  </si>
  <si>
    <t>GHP26445</t>
  </si>
  <si>
    <t>CS22393420</t>
  </si>
  <si>
    <t>GHP26446</t>
  </si>
  <si>
    <t>CS22396947</t>
  </si>
  <si>
    <t>INK PUMP TOP ASEEMBLY +BD</t>
  </si>
  <si>
    <t>GHP26447</t>
  </si>
  <si>
    <t>CS22401565</t>
  </si>
  <si>
    <t>CT446-13830</t>
  </si>
  <si>
    <t xml:space="preserve">PARS Roller </t>
  </si>
  <si>
    <t>GHP26448</t>
  </si>
  <si>
    <t>CS22401526</t>
  </si>
  <si>
    <t>CU498-01902</t>
  </si>
  <si>
    <t>SHAFT, OFFSETTER, CPL</t>
  </si>
  <si>
    <t>CT497-00250</t>
  </si>
  <si>
    <t>SHEET BELT PROTECTION</t>
  </si>
  <si>
    <t>CT445-33210</t>
  </si>
  <si>
    <t>ROLLER PINCH IFR ASSY, EILAT</t>
  </si>
  <si>
    <t>SENSOR, IR REFLECTIVE, 295 MM CABLE</t>
  </si>
  <si>
    <t>CU316-04350</t>
  </si>
  <si>
    <t>DC BLOWER BRUSHLESS BYPASS 240VAC UL</t>
  </si>
  <si>
    <t>CT445-87450</t>
  </si>
  <si>
    <t>FRONT SIDE FAN</t>
  </si>
  <si>
    <t>CT454-06840</t>
  </si>
  <si>
    <t>CT446-39010</t>
  </si>
  <si>
    <t>IDU TANK M1 SP HNVS W/O IDU CUP</t>
  </si>
  <si>
    <t>SPRING, COMPRESSION, 0.9X7.1X25</t>
  </si>
  <si>
    <t>GHP26449</t>
  </si>
  <si>
    <t>CS22401592</t>
  </si>
  <si>
    <t>CT454-02996</t>
  </si>
  <si>
    <t>RFID MODULE HP S4 </t>
  </si>
  <si>
    <t>CT454-02995</t>
  </si>
  <si>
    <t>GHP26450</t>
  </si>
  <si>
    <t>CS22401414</t>
  </si>
  <si>
    <t>PROCON_PUMP_ASSY+FITTING S</t>
  </si>
  <si>
    <t>GHP26451</t>
  </si>
  <si>
    <t>CS22404683</t>
  </si>
  <si>
    <t>ÓTIMA</t>
  </si>
  <si>
    <t>CU498-01851</t>
  </si>
  <si>
    <t>PCA1 BLOWER DISTRIBUTION BOARD</t>
  </si>
  <si>
    <t>DEFEITO</t>
  </si>
  <si>
    <t>CU096-04563</t>
  </si>
  <si>
    <t>Side Blower Flat Cable</t>
  </si>
  <si>
    <t>GHP26452</t>
  </si>
  <si>
    <t>CS22410557</t>
  </si>
  <si>
    <t>GHP26453</t>
  </si>
  <si>
    <t>CS22413535</t>
  </si>
  <si>
    <t>GHP26454</t>
  </si>
  <si>
    <t>CS22414168</t>
  </si>
  <si>
    <t>CL ST motor assembly</t>
  </si>
  <si>
    <t>GHP26455</t>
  </si>
  <si>
    <t>CS22414548</t>
  </si>
  <si>
    <t>LIC PUMP ASSY PROCON</t>
  </si>
  <si>
    <t>GHP26456</t>
  </si>
  <si>
    <t>CS22414401</t>
  </si>
  <si>
    <t>CR carbon brush</t>
  </si>
  <si>
    <t>GHP26457</t>
  </si>
  <si>
    <t>CS22414812</t>
  </si>
  <si>
    <t>CU150-01959</t>
  </si>
  <si>
    <t>COUPLING JAW 6ID-6ID 3NM SIZE 9</t>
  </si>
  <si>
    <t>GHP26458</t>
  </si>
  <si>
    <t>CS22420697</t>
  </si>
  <si>
    <t>CT990-01170</t>
  </si>
  <si>
    <t xml:space="preserve"> </t>
  </si>
  <si>
    <t>PO</t>
  </si>
  <si>
    <t>Order date</t>
  </si>
  <si>
    <t>Cliente</t>
  </si>
  <si>
    <t>P/N</t>
  </si>
  <si>
    <t>Alteração de PN (Compatible Part)</t>
  </si>
  <si>
    <t xml:space="preserve">Descrição </t>
  </si>
  <si>
    <t>QTY</t>
  </si>
  <si>
    <t>Unit Price</t>
  </si>
  <si>
    <t>Total Price</t>
  </si>
  <si>
    <t>Consolidado</t>
  </si>
  <si>
    <t>Origem</t>
  </si>
  <si>
    <t>OBS</t>
  </si>
  <si>
    <t>Invoice date</t>
  </si>
  <si>
    <t>Date of arrivel to CP</t>
  </si>
  <si>
    <t>Orçamento</t>
  </si>
  <si>
    <t>Ped. Venda</t>
  </si>
  <si>
    <t>Data</t>
  </si>
  <si>
    <t>HP26004</t>
  </si>
  <si>
    <t xml:space="preserve">COMPRINT </t>
  </si>
  <si>
    <t>BELT-BLOWER 840MM-LG 20 MM-WD 1.5MM-T</t>
  </si>
  <si>
    <t>CON26005B</t>
  </si>
  <si>
    <t>HP26005</t>
  </si>
  <si>
    <t xml:space="preserve">PLASUTIL </t>
  </si>
  <si>
    <t>CA345-11402</t>
  </si>
  <si>
    <t>CT354-01470</t>
  </si>
  <si>
    <t xml:space="preserve">INTERLOCK ASSY WIRED </t>
  </si>
  <si>
    <t>LIBERADO</t>
  </si>
  <si>
    <t>HP26006</t>
  </si>
  <si>
    <t xml:space="preserve">MULTIGRAFICA </t>
  </si>
  <si>
    <t>CERAMIC CHARGE ROLLER AS SY</t>
  </si>
  <si>
    <t>HP26009</t>
  </si>
  <si>
    <t>HP26010</t>
  </si>
  <si>
    <t>PUMP HEAD WITHOUT FITTIN GS</t>
  </si>
  <si>
    <t>CU498-07140</t>
  </si>
  <si>
    <t xml:space="preserve">SET, LOCKING, CPL </t>
  </si>
  <si>
    <t>HP26011</t>
  </si>
  <si>
    <t>MOTOR SERVO 2000RPM 1.2N M</t>
  </si>
  <si>
    <t>HP26012</t>
  </si>
  <si>
    <t>0960-2556</t>
  </si>
  <si>
    <t>CU096-04002</t>
  </si>
  <si>
    <t>SER DRIVE DST1405 PLUS CONF. COAT NO U/G</t>
  </si>
  <si>
    <t>CON26012B</t>
  </si>
  <si>
    <t>0960-2554</t>
  </si>
  <si>
    <t>SER DRIVE DST1401 PLUS CONF. COAT NO U/G</t>
  </si>
  <si>
    <t>0960-2555</t>
  </si>
  <si>
    <t>CU096-03991</t>
  </si>
  <si>
    <t>SER DRIVE DST1402 PLUS CONF. COAT NO U/G</t>
  </si>
  <si>
    <t>HP26013</t>
  </si>
  <si>
    <t>CU498-05030</t>
  </si>
  <si>
    <t>DOUBLE TOOTHED BELT TP G ATES 150 TEETH L 1200M</t>
  </si>
  <si>
    <t>HP26014</t>
  </si>
  <si>
    <t xml:space="preserve">TORNADO BELT(SET OF 2) </t>
  </si>
  <si>
    <t xml:space="preserve">CON26016B </t>
  </si>
  <si>
    <t>HP26015</t>
  </si>
  <si>
    <t>BRAKE, PIP &amp; IMP TOP ASS Y, MR</t>
  </si>
  <si>
    <t>HP26016</t>
  </si>
  <si>
    <t>CT545-11112</t>
  </si>
  <si>
    <t>CT000-91330</t>
  </si>
  <si>
    <t>ENGAGE M ASSY</t>
  </si>
  <si>
    <t>HP26017</t>
  </si>
  <si>
    <t>3150-0978</t>
  </si>
  <si>
    <t xml:space="preserve">OZONE FILTER LARGE ROHS </t>
  </si>
  <si>
    <t>CT397-00130</t>
  </si>
  <si>
    <t>MIC-3 AND BRACKET</t>
  </si>
  <si>
    <t>SIDE BLOWER KPL 10000(NE W FFC CABLE AND HOLDER).</t>
  </si>
  <si>
    <t>PCA1 FEED MANAGEMENT CON TROLLER</t>
  </si>
  <si>
    <t>HP26018</t>
  </si>
  <si>
    <t>CT345-37862</t>
  </si>
  <si>
    <t xml:space="preserve">EXIT ROLLER ASSY </t>
  </si>
  <si>
    <t>HP26019</t>
  </si>
  <si>
    <t>CT254-02350</t>
  </si>
  <si>
    <t>CLEANING PUMP ASSY.</t>
  </si>
  <si>
    <t>CA345-09312</t>
  </si>
  <si>
    <t>HEAT EXCHANGER WITH FITT INGS AND PIPES</t>
  </si>
  <si>
    <t>HP26027</t>
  </si>
  <si>
    <t>CT354-05112</t>
  </si>
  <si>
    <t>MOTOR ASSY BID-7 SEMI EN GAGE</t>
  </si>
  <si>
    <t>HP26028</t>
  </si>
  <si>
    <t xml:space="preserve">HP26036 </t>
  </si>
  <si>
    <t>HP26037</t>
  </si>
  <si>
    <t>COIL 24V 10W GEM - SOL R OHS</t>
  </si>
  <si>
    <t>VALVE OPERATOR LARGE ORI FICE 2WNC(SET-2 UNITS)</t>
  </si>
  <si>
    <t>HP26038</t>
  </si>
  <si>
    <t>CT345-29680</t>
  </si>
  <si>
    <t xml:space="preserve">AXLES ASSY </t>
  </si>
  <si>
    <t>MKT-3409-01</t>
  </si>
  <si>
    <t xml:space="preserve">GASKETS FOR ITM COVERS </t>
  </si>
  <si>
    <t>CT345-29833</t>
  </si>
  <si>
    <t xml:space="preserve">AXLE MOTORS PROOF ASSY </t>
  </si>
  <si>
    <t>HP26039</t>
  </si>
  <si>
    <t>CA290-01480</t>
  </si>
  <si>
    <t>S/P BELTS DUPLEX CONVEYO R</t>
  </si>
  <si>
    <t>ENVIAR PARA VIBHUTI</t>
  </si>
  <si>
    <t>CA355-00021</t>
  </si>
  <si>
    <t>CA354-01151</t>
  </si>
  <si>
    <t xml:space="preserve">IOC 3 ASSY. </t>
  </si>
  <si>
    <t>HP26042</t>
  </si>
  <si>
    <t>CT397-02930</t>
  </si>
  <si>
    <t>SP,DRAWER#1 MOVING CABLE S</t>
  </si>
  <si>
    <t>77795</t>
  </si>
  <si>
    <t>HP26044</t>
  </si>
  <si>
    <t xml:space="preserve">CT345-47911 </t>
  </si>
  <si>
    <t>CT345-47913</t>
  </si>
  <si>
    <t>PUMP &amp; BRACKET ASSY FOR 2 MIC.FILTERS</t>
  </si>
  <si>
    <t>HP26046</t>
  </si>
  <si>
    <t xml:space="preserve">CU096-02455 </t>
  </si>
  <si>
    <t xml:space="preserve">SWITCH-PROXIMITY-SENSOR </t>
  </si>
  <si>
    <t>HP26047</t>
  </si>
  <si>
    <t xml:space="preserve">CT490-27100 </t>
  </si>
  <si>
    <t>S4 DUPLEX SUCTION CUPS( 10 UNITS)</t>
  </si>
  <si>
    <t>HP26050</t>
  </si>
  <si>
    <t>MENTOR</t>
  </si>
  <si>
    <t>BELT TIMING HTD3 9MM-312 ROHS</t>
  </si>
  <si>
    <t>77875</t>
  </si>
  <si>
    <t>HP26051</t>
  </si>
  <si>
    <t xml:space="preserve">CT345-59232 </t>
  </si>
  <si>
    <t>CHARGE ROLLER UNIT ASSEM BLY CCR</t>
  </si>
  <si>
    <t>HP26053</t>
  </si>
  <si>
    <t>SKYGRAF</t>
  </si>
  <si>
    <t>E/H-HEATING UNIT -TOP AS SY</t>
  </si>
  <si>
    <t xml:space="preserve">ATMOR TOP ASSY </t>
  </si>
  <si>
    <t>CT254-02450</t>
  </si>
  <si>
    <t>ITM HEATER LAMP ASSY</t>
  </si>
  <si>
    <t>HP26054</t>
  </si>
  <si>
    <t xml:space="preserve">CU498-06820 </t>
  </si>
  <si>
    <t xml:space="preserve">SIDEBLOWER FLAT CABLE </t>
  </si>
  <si>
    <t>HP26055</t>
  </si>
  <si>
    <t>PLASUTIL</t>
  </si>
  <si>
    <t>PUMP DRIVER - ASSY 2 SET SCREW</t>
  </si>
  <si>
    <t>TIC BOARD ASSY FOR S3</t>
  </si>
  <si>
    <t xml:space="preserve">HP26057 </t>
  </si>
  <si>
    <t xml:space="preserve">CT354-05281 </t>
  </si>
  <si>
    <t>77934</t>
  </si>
  <si>
    <t>HP26063</t>
  </si>
  <si>
    <t>ITC_PUMP UL 2500VAC</t>
  </si>
  <si>
    <t>CWS TEMP SENSOR - THERM ISTOR</t>
  </si>
  <si>
    <t>HP26065</t>
  </si>
  <si>
    <t xml:space="preserve">CU150-01487 </t>
  </si>
  <si>
    <t>HP26066</t>
  </si>
  <si>
    <t xml:space="preserve">CT597-00102 </t>
  </si>
  <si>
    <t xml:space="preserve">SET DLC FINGER AND ORING </t>
  </si>
  <si>
    <t xml:space="preserve">CON26012B &amp; CON26016B </t>
  </si>
  <si>
    <t>HP26067</t>
  </si>
  <si>
    <t>CT345-13083</t>
  </si>
  <si>
    <t xml:space="preserve">MOTOR LIFT ASSEMBLY </t>
  </si>
  <si>
    <t>CA345-12910</t>
  </si>
  <si>
    <t>SOLID ADD FITTING ASSY. - LIC</t>
  </si>
  <si>
    <t>INK PUMP, NO TIC</t>
  </si>
  <si>
    <t>CT345-32381</t>
  </si>
  <si>
    <t>PUMP ASSY -LIC</t>
  </si>
  <si>
    <t>CT345-47283</t>
  </si>
  <si>
    <t>SOLID ADD ASSY LIC</t>
  </si>
  <si>
    <t>HP26068</t>
  </si>
  <si>
    <t xml:space="preserve">BOARD ASSY PCA DPC </t>
  </si>
  <si>
    <t>CT556-00220</t>
  </si>
  <si>
    <t xml:space="preserve">PCA CAN EXTENDER </t>
  </si>
  <si>
    <t>ENVIADO PARA IPSIS. A PEÇA FOI UM EMPRÉSTIMO</t>
  </si>
  <si>
    <t>LIBERADA</t>
  </si>
  <si>
    <t>CT554-00300</t>
  </si>
  <si>
    <t xml:space="preserve">FCN ASSEMBLY </t>
  </si>
  <si>
    <t>CON26032B</t>
  </si>
  <si>
    <t>HP26069</t>
  </si>
  <si>
    <t xml:space="preserve">CT345-37862 </t>
  </si>
  <si>
    <t>HP26070</t>
  </si>
  <si>
    <t>CATUAÍ</t>
  </si>
  <si>
    <t xml:space="preserve">CT345-55800 </t>
  </si>
  <si>
    <t>ILS BRIDGE IDLER ROLLER WS6800</t>
  </si>
  <si>
    <t>1 CATUAÍ / 01 ESTOQUE</t>
  </si>
  <si>
    <t>HP26071</t>
  </si>
  <si>
    <t>HP26074</t>
  </si>
  <si>
    <t>CT454-11180</t>
  </si>
  <si>
    <t>CVC PRESSURE SENSOR</t>
  </si>
  <si>
    <t>HP26075</t>
  </si>
  <si>
    <t>TACTICAL CABLE LC-LC OM3 L- 50M</t>
  </si>
  <si>
    <t>HP26076</t>
  </si>
  <si>
    <t>CT244-11150</t>
  </si>
  <si>
    <t>GRIPPER CLAMP ASSY-1 UNI T</t>
  </si>
  <si>
    <t>HP26078</t>
  </si>
  <si>
    <t>MIXING PUMP ASSY, RECYC LING SYSTEM</t>
  </si>
  <si>
    <t>HP26079</t>
  </si>
  <si>
    <t>0100-2574</t>
  </si>
  <si>
    <t>CU010-02574</t>
  </si>
  <si>
    <t>FITTING-COUPLING 55MM-OD ROHS</t>
  </si>
  <si>
    <t>78167</t>
  </si>
  <si>
    <t>HP26082</t>
  </si>
  <si>
    <t xml:space="preserve">PACKSTER </t>
  </si>
  <si>
    <t>NEW EBV BLOWER + SSR - F IRST REPLACEMENT KIT</t>
  </si>
  <si>
    <t>78260</t>
  </si>
  <si>
    <t>HP26083</t>
  </si>
  <si>
    <t>IPS LABEL</t>
  </si>
  <si>
    <t>HP26084</t>
  </si>
  <si>
    <t>HP26085</t>
  </si>
  <si>
    <t>COMPULASER</t>
  </si>
  <si>
    <t>HP26087</t>
  </si>
  <si>
    <t>HP26088</t>
  </si>
  <si>
    <t>CON26016B &amp; CON26022B</t>
  </si>
  <si>
    <t>HP26089</t>
  </si>
  <si>
    <t>DVC MOTOR ASSY</t>
  </si>
  <si>
    <t>HP26090</t>
  </si>
  <si>
    <t>SENSOR, IR REFLECTIVE, 2 95 MM CABLE</t>
  </si>
  <si>
    <t>HP26091</t>
  </si>
  <si>
    <t xml:space="preserve">PAGE WEIGHT </t>
  </si>
  <si>
    <t>HP26097</t>
  </si>
  <si>
    <t>CT345-43511</t>
  </si>
  <si>
    <t>E/H SHUTTER ASSY</t>
  </si>
  <si>
    <t>HP26102</t>
  </si>
  <si>
    <t>ATHALAIA</t>
  </si>
  <si>
    <t xml:space="preserve">CT356-00593 </t>
  </si>
  <si>
    <t>CT356-00594</t>
  </si>
  <si>
    <t>BOARD ASSY UCN2 (UTILITY CABINET NODE)</t>
  </si>
  <si>
    <t>HP26103</t>
  </si>
  <si>
    <t xml:space="preserve">CA397-01970 </t>
  </si>
  <si>
    <t>SP,FEEDER BRIDGE VACUUM BELT(5X)</t>
  </si>
  <si>
    <t>HP26104</t>
  </si>
  <si>
    <t xml:space="preserve">BELT S PAPER PATH </t>
  </si>
  <si>
    <t>HP26108</t>
  </si>
  <si>
    <t xml:space="preserve">MBL-1015-02 </t>
  </si>
  <si>
    <t>HP26112</t>
  </si>
  <si>
    <t>CU916-00561</t>
  </si>
  <si>
    <t>MAGNETIC LINEAR ENCODER LM13 ROHS</t>
  </si>
  <si>
    <t>HP26113</t>
  </si>
  <si>
    <t>HP26114</t>
  </si>
  <si>
    <t>IDU_MOTOR_ASSEMBLY_NORTH L AND</t>
  </si>
  <si>
    <t>HP26115</t>
  </si>
  <si>
    <t>MEGALABEL</t>
  </si>
  <si>
    <t>PIP BEARING FRONT ASEMBL Y</t>
  </si>
  <si>
    <t>HP26117</t>
  </si>
  <si>
    <t>HP26118</t>
  </si>
  <si>
    <t>DIG SER DRI 3PH CUR 1402 STEP PLUS ROHS</t>
  </si>
  <si>
    <t>HP26119</t>
  </si>
  <si>
    <t>PACKSTER</t>
  </si>
  <si>
    <t>CT442-05110</t>
  </si>
  <si>
    <t>90 MM HOSE- UPPER EBV TO ELIPSE ADAPTOR- EBV</t>
  </si>
  <si>
    <t>HP26120</t>
  </si>
  <si>
    <t>CON26022B &amp; CON26026B</t>
  </si>
  <si>
    <t>HP26121</t>
  </si>
  <si>
    <t>ETIQ &amp; CIA</t>
  </si>
  <si>
    <t>CT354-00845</t>
  </si>
  <si>
    <t>CT354-00846</t>
  </si>
  <si>
    <t>EBM OPENING MECHANISM WI RED</t>
  </si>
  <si>
    <t>HP26122</t>
  </si>
  <si>
    <t>HP26123</t>
  </si>
  <si>
    <t>HP26127</t>
  </si>
  <si>
    <t>HP26134</t>
  </si>
  <si>
    <t>CA354-02241</t>
  </si>
  <si>
    <t>SERVOSTAR CD DRIVE 7000 REV-D ROHS</t>
  </si>
  <si>
    <t>HP26135</t>
  </si>
  <si>
    <t xml:space="preserve">CT497-00430 </t>
  </si>
  <si>
    <t xml:space="preserve">SET AXLE DRIVE </t>
  </si>
  <si>
    <t>HP26136</t>
  </si>
  <si>
    <t>HP26144</t>
  </si>
  <si>
    <t>MAXCOR</t>
  </si>
  <si>
    <t>CT245-06673</t>
  </si>
  <si>
    <t xml:space="preserve">ENDCAP SCRORTRON FRONT </t>
  </si>
  <si>
    <t>CT245-34430</t>
  </si>
  <si>
    <t>CT245-34431</t>
  </si>
  <si>
    <t xml:space="preserve">ENDCAP REAR SP </t>
  </si>
  <si>
    <t>HP26146</t>
  </si>
  <si>
    <t xml:space="preserve">SCHOOL PICTURE </t>
  </si>
  <si>
    <t>CT397-06200  </t>
  </si>
  <si>
    <t>SET VACUUM BOX GREEN BEL TS (5 BELTS)</t>
  </si>
  <si>
    <t>HP26147</t>
  </si>
  <si>
    <t>CU498-08890</t>
  </si>
  <si>
    <t>SV2200-5FU AIR VALVE1.1 4 LIQUID UNIT 20K MR2</t>
  </si>
  <si>
    <t>HP26148</t>
  </si>
  <si>
    <t>HP26150</t>
  </si>
  <si>
    <t>SP-E/H HEATING UNIT - TO P ASSY.</t>
  </si>
  <si>
    <t>HP26151</t>
  </si>
  <si>
    <t>HP26153</t>
  </si>
  <si>
    <t>HP26154</t>
  </si>
  <si>
    <t xml:space="preserve">CT446-00380 </t>
  </si>
  <si>
    <t>HP26157</t>
  </si>
  <si>
    <t>WETTING ROLLER - TOP ASS Y</t>
  </si>
  <si>
    <t>HP26158</t>
  </si>
  <si>
    <t>CA240-63850</t>
  </si>
  <si>
    <t>BELLOWS 62MM - 60 SHORE- A</t>
  </si>
  <si>
    <t>HP26160</t>
  </si>
  <si>
    <t>MOTOR ASSY BID SEMI ENGA GE 1-5</t>
  </si>
  <si>
    <t>CON26026B &amp; CON26032B</t>
  </si>
  <si>
    <t>CT345-20650</t>
  </si>
  <si>
    <t>BID DRIVE MOTOR ASSY</t>
  </si>
  <si>
    <t>CT354-05092</t>
  </si>
  <si>
    <t>MOTOR ASSY BID-6 SEMI EN GAGE</t>
  </si>
  <si>
    <t>HP26165</t>
  </si>
  <si>
    <t>CT356-24012</t>
  </si>
  <si>
    <t>MCN2 BOARD ASSY.</t>
  </si>
  <si>
    <t>HP26166</t>
  </si>
  <si>
    <t>CT341-14140</t>
  </si>
  <si>
    <t>CARBON BRUSH HOUSING - I XEF</t>
  </si>
  <si>
    <t>HP26171</t>
  </si>
  <si>
    <t>HP26172</t>
  </si>
  <si>
    <t xml:space="preserve">ELYON </t>
  </si>
  <si>
    <t>HP26177</t>
  </si>
  <si>
    <t>CT345-55800</t>
  </si>
  <si>
    <t>HP26180</t>
  </si>
  <si>
    <t>CT254-03970</t>
  </si>
  <si>
    <t>PAPER SENS ASSY FOR PERF ECTOR CONVEYOR</t>
  </si>
  <si>
    <t>HP26182</t>
  </si>
  <si>
    <t>HP26185</t>
  </si>
  <si>
    <t>CT001-91950</t>
  </si>
  <si>
    <t>CON26026B</t>
  </si>
  <si>
    <t>HP26186</t>
  </si>
  <si>
    <t>HP26187</t>
  </si>
  <si>
    <t>HP26188</t>
  </si>
  <si>
    <t xml:space="preserve">CT454-09390 </t>
  </si>
  <si>
    <t xml:space="preserve">IMO RA LOW SEN </t>
  </si>
  <si>
    <t>HP26191</t>
  </si>
  <si>
    <t>CT344-01252 </t>
  </si>
  <si>
    <t>CARBON BRUSH C.R. ASSEMB LY</t>
  </si>
  <si>
    <t>HP26193</t>
  </si>
  <si>
    <t xml:space="preserve">CT254-02450 </t>
  </si>
  <si>
    <t>HP26195</t>
  </si>
  <si>
    <t xml:space="preserve">CT345-47282 </t>
  </si>
  <si>
    <t xml:space="preserve">CT345-56542 </t>
  </si>
  <si>
    <t>HP26196</t>
  </si>
  <si>
    <t>HP26198</t>
  </si>
  <si>
    <t>LABEL COLOR</t>
  </si>
  <si>
    <t xml:space="preserve">CT361-03162 </t>
  </si>
  <si>
    <t>CABLE W316 INK UNIT DOOR SWITCHES</t>
  </si>
  <si>
    <t>HP26199</t>
  </si>
  <si>
    <t>CT397-31020 </t>
  </si>
  <si>
    <t>SP,IMO SG PUMP FOR FULL I.O SYSTEM</t>
  </si>
  <si>
    <t>HP26200</t>
  </si>
  <si>
    <t xml:space="preserve">CT445-30921 </t>
  </si>
  <si>
    <t xml:space="preserve">CLUTCH D12 N CUPLING D14 </t>
  </si>
  <si>
    <t>HP26201</t>
  </si>
  <si>
    <t>HP26202</t>
  </si>
  <si>
    <t xml:space="preserve">CU150-02037  </t>
  </si>
  <si>
    <t xml:space="preserve">TIMING BELT </t>
  </si>
  <si>
    <t>HP26203</t>
  </si>
  <si>
    <t xml:space="preserve">EOD-0010-01 </t>
  </si>
  <si>
    <t>SENSOR PROXIMITY 12-24 V DC D.D 1.5MM PNP ROHS</t>
  </si>
  <si>
    <t>HP26205</t>
  </si>
  <si>
    <t>EMBEDDED USB SPECTROPHO TOMETER</t>
  </si>
  <si>
    <t>HP26206</t>
  </si>
  <si>
    <t>SGA &amp; LOAD CELL ASSEM 1.5KG</t>
  </si>
  <si>
    <t>HP26207</t>
  </si>
  <si>
    <t>CU096-03069</t>
  </si>
  <si>
    <t>ACOPOSMULTI INVERTER UNI T 7.6A HV SINGLE</t>
  </si>
  <si>
    <t>HP26210</t>
  </si>
  <si>
    <t>CT397-30020</t>
  </si>
  <si>
    <t xml:space="preserve">TURBINE UG KIT FOR S3 </t>
  </si>
  <si>
    <t>HP26211</t>
  </si>
  <si>
    <t>MÁXIMA</t>
  </si>
  <si>
    <t>CT345-15144</t>
  </si>
  <si>
    <t>SHAFT DUBLE CLUTCH DFR ASSY</t>
  </si>
  <si>
    <t>CT345-01931</t>
  </si>
  <si>
    <t xml:space="preserve">DRIVE SHAFT ASSY </t>
  </si>
  <si>
    <t>HP26214</t>
  </si>
  <si>
    <t>CU010-02411</t>
  </si>
  <si>
    <t>MANIFOLD BLOCK 1/8-PORT- CROSS 31MM-LG/WD ROHS</t>
  </si>
  <si>
    <t>HP26216</t>
  </si>
  <si>
    <t>JOS ASSY</t>
  </si>
  <si>
    <t>HP26218</t>
  </si>
  <si>
    <t>CPAD</t>
  </si>
  <si>
    <t>CT397-04962</t>
  </si>
  <si>
    <t>SHAFT EC DRIVE</t>
  </si>
  <si>
    <t>HP26219</t>
  </si>
  <si>
    <t>HP26220</t>
  </si>
  <si>
    <t>HP26222</t>
  </si>
  <si>
    <t xml:space="preserve">MJ SNAP SEAL (8 UNITS) </t>
  </si>
  <si>
    <t>HP26225</t>
  </si>
  <si>
    <t xml:space="preserve">CT361-21070 </t>
  </si>
  <si>
    <t>CABLE ILS VHDCI W2107, A SSY</t>
  </si>
  <si>
    <t>HP26228</t>
  </si>
  <si>
    <t xml:space="preserve">CT397-04962 </t>
  </si>
  <si>
    <t>HP26229</t>
  </si>
  <si>
    <t>CA397-03930 </t>
  </si>
  <si>
    <t>ENHANCE PIP BRAKE FOR SR .3 &amp; 5500 &amp; 4XX0 &amp; 3250</t>
  </si>
  <si>
    <t>HP26230</t>
  </si>
  <si>
    <t>CT397-30970</t>
  </si>
  <si>
    <t>SP, FRONT BEARING WEB KI T</t>
  </si>
  <si>
    <t>CT345-04815</t>
  </si>
  <si>
    <t>BAERING ASSEMBLY, REAR - ITM</t>
  </si>
  <si>
    <t>HP26232</t>
  </si>
  <si>
    <t>HP26233</t>
  </si>
  <si>
    <t xml:space="preserve">PIN CONTACT </t>
  </si>
  <si>
    <t>HP26239</t>
  </si>
  <si>
    <t>CT000-62321</t>
  </si>
  <si>
    <t>ILP_EC_NEW_DELTA_INVERET ERS_KIT-6K&amp;8K</t>
  </si>
  <si>
    <t>CT361-20772</t>
  </si>
  <si>
    <t>VARISTORS ASSY FOR CARME L</t>
  </si>
  <si>
    <t>HP26240</t>
  </si>
  <si>
    <t>HP26243</t>
  </si>
  <si>
    <t>CU498-00140</t>
  </si>
  <si>
    <t xml:space="preserve">STEPPER MOTOR B&amp;R </t>
  </si>
  <si>
    <t>HP26244</t>
  </si>
  <si>
    <t>CA257-00270</t>
  </si>
  <si>
    <t>BOARD ASSY IOB (IMAGING OIL BOARD).</t>
  </si>
  <si>
    <t>HP26247</t>
  </si>
  <si>
    <t>HP26250</t>
  </si>
  <si>
    <t xml:space="preserve">REÚNA </t>
  </si>
  <si>
    <t>HP26251</t>
  </si>
  <si>
    <t>CA397-00401</t>
  </si>
  <si>
    <t>SP- BELT DRIVE(15 UNITS )DUPLEX CO NVEYOR</t>
  </si>
  <si>
    <t>HP26253</t>
  </si>
  <si>
    <t>SCHOOL PICTURE</t>
  </si>
  <si>
    <t>CA397-01720</t>
  </si>
  <si>
    <t>SP,FEEDER MULTI PICK EXI T NIP ROLLER</t>
  </si>
  <si>
    <t>CT344-16840</t>
  </si>
  <si>
    <t>BRIDGE NIP ROLLER WITH P ULLY - ASSY</t>
  </si>
  <si>
    <t>HP26263</t>
  </si>
  <si>
    <t>HP26264</t>
  </si>
  <si>
    <t>HP26269</t>
  </si>
  <si>
    <t>HP26271</t>
  </si>
  <si>
    <t>HP26272</t>
  </si>
  <si>
    <t>CT497-00821</t>
  </si>
  <si>
    <t>DCB400 WITH SSR ASSEMBLY SET</t>
  </si>
  <si>
    <t>CU096-02839</t>
  </si>
  <si>
    <t>ACOPOS MICRO 8A 80V RESO RLVER</t>
  </si>
  <si>
    <t xml:space="preserve">E/H CONNECTOR ARRY WIRED </t>
  </si>
  <si>
    <t>DC BLOWER BRUSHLESS BY PASS 240VAC UL</t>
  </si>
  <si>
    <t>HP26274</t>
  </si>
  <si>
    <t xml:space="preserve">CLUTCH OFFSETTER </t>
  </si>
  <si>
    <t xml:space="preserve">CLUTCH OFFSETTER MR </t>
  </si>
  <si>
    <t xml:space="preserve">SPINDLE ASSY </t>
  </si>
  <si>
    <t>HP26275</t>
  </si>
  <si>
    <t>HP26277</t>
  </si>
  <si>
    <t xml:space="preserve">UPPER CAP </t>
  </si>
  <si>
    <t>FEDEX &amp; CON26027B</t>
  </si>
  <si>
    <t>HP26278</t>
  </si>
  <si>
    <t>CT445-06361</t>
  </si>
  <si>
    <t>IFR SHAFT DRIVER ROLLER ASSY</t>
  </si>
  <si>
    <t>HP26279</t>
  </si>
  <si>
    <t>CT345-41540</t>
  </si>
  <si>
    <t xml:space="preserve">SENSOR RULER WATER </t>
  </si>
  <si>
    <t>CU150-01357</t>
  </si>
  <si>
    <t xml:space="preserve">BELT TIMING 5P 900L 15W </t>
  </si>
  <si>
    <t>CT454-09060</t>
  </si>
  <si>
    <t>CT001-21870</t>
  </si>
  <si>
    <t xml:space="preserve">FLOW METER SENSOR(SER5) </t>
  </si>
  <si>
    <t>CON26032B &amp; CON26034B</t>
  </si>
  <si>
    <t>HP26282</t>
  </si>
  <si>
    <t>BDU MODULE ASSY (WITH B SM)</t>
  </si>
  <si>
    <t>HP26286</t>
  </si>
  <si>
    <t xml:space="preserve">CORGRAF </t>
  </si>
  <si>
    <t>MPT-0997-01</t>
  </si>
  <si>
    <t xml:space="preserve">GEAR 14-MAIN DRIVE </t>
  </si>
  <si>
    <t>HP26287</t>
  </si>
  <si>
    <t>CU498-08940</t>
  </si>
  <si>
    <t>BELT, SYNCHRONOUS, 100 S 2M 454 NG</t>
  </si>
  <si>
    <t xml:space="preserve">SET BELTS, S PAPER PATH </t>
  </si>
  <si>
    <t xml:space="preserve">BRIDGE SUCTION BELT </t>
  </si>
  <si>
    <t>CU150-01863</t>
  </si>
  <si>
    <t>TIMING BELT 210MM-P-LG 1 0MM-WD 105 TEETH</t>
  </si>
  <si>
    <t>CU498-04170</t>
  </si>
  <si>
    <t>CU150-01916</t>
  </si>
  <si>
    <t>TIMING BELT 519MM-P-LG 10MM-WD 173 TEETH</t>
  </si>
  <si>
    <t>DUPLEX DVC BELTS PRETENS ION MECHANISM (MR2 UG)</t>
  </si>
  <si>
    <t>CU150-01376</t>
  </si>
  <si>
    <t>CT442-21400</t>
  </si>
  <si>
    <t xml:space="preserve">DLC TIMING BELT </t>
  </si>
  <si>
    <t>CU498-00280</t>
  </si>
  <si>
    <t xml:space="preserve">BRIDGE SHORT TIMING BELT </t>
  </si>
  <si>
    <t>CU498-00290</t>
  </si>
  <si>
    <t xml:space="preserve">BRIDGE LONG TIMING BELT </t>
  </si>
  <si>
    <t>CU498-00810</t>
  </si>
  <si>
    <t>DESTINATION DIVERTER TIM ING BELT</t>
  </si>
  <si>
    <t>CU498-01320</t>
  </si>
  <si>
    <t xml:space="preserve">OVERPASS TIMING BELT </t>
  </si>
  <si>
    <t xml:space="preserve">SUCTION BELT (SET OF 5) </t>
  </si>
  <si>
    <t>CU498-00550</t>
  </si>
  <si>
    <t>DEPOSITING SHORT TIMING BELT</t>
  </si>
  <si>
    <t>CU498-00560</t>
  </si>
  <si>
    <t>DEPOSITING LONG TIMING B ELT</t>
  </si>
  <si>
    <t>CU498-04162</t>
  </si>
  <si>
    <t>CT497-00430</t>
  </si>
  <si>
    <t>CU498-00350</t>
  </si>
  <si>
    <t xml:space="preserve">TIMING BELT (SET OF 2) </t>
  </si>
  <si>
    <t>BELT_SYNCHRONOUS_100_S2M _146_NG</t>
  </si>
  <si>
    <t>HP26290</t>
  </si>
  <si>
    <t>CT345-51411</t>
  </si>
  <si>
    <t xml:space="preserve">CARBON BRUSH ASSY </t>
  </si>
  <si>
    <t>HP26293</t>
  </si>
  <si>
    <t>CT544-19590</t>
  </si>
  <si>
    <t>CAM &amp;BEARINGS ASSEMBLY, PGR</t>
  </si>
  <si>
    <t xml:space="preserve"> CON26027B</t>
  </si>
  <si>
    <t>HP26296</t>
  </si>
  <si>
    <t>BELT TIMING 5MM-P 9MM-W 1000MM-PITCH-LG</t>
  </si>
  <si>
    <t>HP26297</t>
  </si>
  <si>
    <t>HP26303</t>
  </si>
  <si>
    <t>VIBHUTI</t>
  </si>
  <si>
    <t>HP26304</t>
  </si>
  <si>
    <t>CT345-43442</t>
  </si>
  <si>
    <t>MINI WALL FR TOP ASSY</t>
  </si>
  <si>
    <t>ENVIADO PARA ASTER</t>
  </si>
  <si>
    <t>HP26307</t>
  </si>
  <si>
    <t>HP26308</t>
  </si>
  <si>
    <t xml:space="preserve">CT345-51910 </t>
  </si>
  <si>
    <t>CHARGE ROLLER UNIT ASSEM BLY NEW CB</t>
  </si>
  <si>
    <t>HP26312</t>
  </si>
  <si>
    <t>CCL</t>
  </si>
  <si>
    <t xml:space="preserve">CT341-43620 </t>
  </si>
  <si>
    <t xml:space="preserve">ANTI DRIPPING IRS HOLDER </t>
  </si>
  <si>
    <t>HP26315</t>
  </si>
  <si>
    <t xml:space="preserve">CT354-00130 </t>
  </si>
  <si>
    <t xml:space="preserve">SENSOR PRESSURE WIRED </t>
  </si>
  <si>
    <t xml:space="preserve">CA354-00140 </t>
  </si>
  <si>
    <t xml:space="preserve">SENSOR VACUUM WIRED </t>
  </si>
  <si>
    <t>HP26316</t>
  </si>
  <si>
    <t>CON26034B</t>
  </si>
  <si>
    <t>VALVE WATER 2/2 1/4"BSP 24VDC</t>
  </si>
  <si>
    <t>AXLES ASSY</t>
  </si>
  <si>
    <t>ECP-5307-88</t>
  </si>
  <si>
    <t>CAP MOTOR 3UF 400VAC 28M M O.D ROHS</t>
  </si>
  <si>
    <t>CT356-01212</t>
  </si>
  <si>
    <t xml:space="preserve">ILS FFC BOARD ASSY </t>
  </si>
  <si>
    <t>CT245-28471</t>
  </si>
  <si>
    <t>C.S WETTING &amp; BEARING AS SY</t>
  </si>
  <si>
    <t>CT341-43620</t>
  </si>
  <si>
    <t>CT345-67290</t>
  </si>
  <si>
    <t xml:space="preserve">INK TANK SUB ASSY </t>
  </si>
  <si>
    <t>PIP SUCTION CUPS(12 UNIT S)</t>
  </si>
  <si>
    <t>HP26319</t>
  </si>
  <si>
    <t xml:space="preserve">CT490-24790 </t>
  </si>
  <si>
    <t>HP26320</t>
  </si>
  <si>
    <t xml:space="preserve">CU498-01783 </t>
  </si>
  <si>
    <t>HP26322</t>
  </si>
  <si>
    <t xml:space="preserve">CU150-01945 </t>
  </si>
  <si>
    <t xml:space="preserve">FH TIMING BELT(SET OF 7) </t>
  </si>
  <si>
    <t>HP26325</t>
  </si>
  <si>
    <t>VITAFOR</t>
  </si>
  <si>
    <t xml:space="preserve">CT345-48431 </t>
  </si>
  <si>
    <t>HP26327</t>
  </si>
  <si>
    <t xml:space="preserve">CT445-92300 </t>
  </si>
  <si>
    <t>CVC AIR FILTER WITH HAND LE 250 MICRON</t>
  </si>
  <si>
    <t>CT545-28720</t>
  </si>
  <si>
    <t>CVC AIR FILTER W. HANDLE 250MIC</t>
  </si>
  <si>
    <t>HP26328</t>
  </si>
  <si>
    <t>CT397-02912</t>
  </si>
  <si>
    <t>CT397-02911</t>
  </si>
  <si>
    <t>GRIPPER SHAFT ASSY</t>
  </si>
  <si>
    <t>HP26329</t>
  </si>
  <si>
    <t>DIPIX</t>
  </si>
  <si>
    <t>HP26330</t>
  </si>
  <si>
    <t xml:space="preserve">SEAL, UPPER SUCTION, EBV </t>
  </si>
  <si>
    <t>HP26331</t>
  </si>
  <si>
    <t>HP26332</t>
  </si>
  <si>
    <t>MULTIPRINTI</t>
  </si>
  <si>
    <t>HP26333</t>
  </si>
  <si>
    <t>CU498-04391</t>
  </si>
  <si>
    <t xml:space="preserve">LENGTH ADJUSTER CPL </t>
  </si>
  <si>
    <t>CT461-80290</t>
  </si>
  <si>
    <t xml:space="preserve">CABLE ASSY W18029 </t>
  </si>
  <si>
    <t>CU199-04823</t>
  </si>
  <si>
    <t>SENSOR-MICRO PHOTOELEC TRIC L-TYPE</t>
  </si>
  <si>
    <t>HP26334</t>
  </si>
  <si>
    <t>HP26338</t>
  </si>
  <si>
    <t>HP26341</t>
  </si>
  <si>
    <t>MULTIPRINT</t>
  </si>
  <si>
    <t>CT345-41560</t>
  </si>
  <si>
    <t xml:space="preserve">SENSSORS RULER - PRIMER </t>
  </si>
  <si>
    <t>CU095-72500</t>
  </si>
  <si>
    <t>UNINTERRUPTIBLE POWER SU PPLY 1500VA UPS</t>
  </si>
  <si>
    <t>HP26342</t>
  </si>
  <si>
    <t>CT446-29260</t>
  </si>
  <si>
    <t>BRIDGE X_ALINEMENT_ASSE MBLY</t>
  </si>
  <si>
    <t>CT345-31922</t>
  </si>
  <si>
    <t>CU498-00600</t>
  </si>
  <si>
    <t>TIMING BELT PULLEY - STE EL, 20 TEETH</t>
  </si>
  <si>
    <t>CU498-01930</t>
  </si>
  <si>
    <t>MOTOR SYNCHRON-SERVO 300 0 WITH KEY</t>
  </si>
  <si>
    <t>HP26343</t>
  </si>
  <si>
    <t xml:space="preserve">X20 SAFE DIGITAL 4XO </t>
  </si>
  <si>
    <t>HP26344</t>
  </si>
  <si>
    <t>FITATEX</t>
  </si>
  <si>
    <t>HP26351</t>
  </si>
  <si>
    <t>CT354-00377</t>
  </si>
  <si>
    <t>CT354-00378</t>
  </si>
  <si>
    <t>DCI2 MODULE</t>
  </si>
  <si>
    <t>HP26352</t>
  </si>
  <si>
    <t>HP26355</t>
  </si>
  <si>
    <t xml:space="preserve">REAR COVER-MACHINED </t>
  </si>
  <si>
    <t>HP26356</t>
  </si>
  <si>
    <t>CU146-02974</t>
  </si>
  <si>
    <t xml:space="preserve">SPRING-CPRSN(SET OF 5) </t>
  </si>
  <si>
    <t>KIT, SHAFT OFFSETTER ASS Y</t>
  </si>
  <si>
    <t>ITM BLANKET IR SENSOR S4 SHEET FED</t>
  </si>
  <si>
    <t>CU316-04394</t>
  </si>
  <si>
    <t>CU498-01721</t>
  </si>
  <si>
    <t xml:space="preserve">FAN 120MM 48VDC </t>
  </si>
  <si>
    <t>HP26358</t>
  </si>
  <si>
    <t>CA345-03712</t>
  </si>
  <si>
    <t>IMP PAPER HOLDER ASSY C ARMEL</t>
  </si>
  <si>
    <t>HP26359</t>
  </si>
  <si>
    <t>CA397-00372</t>
  </si>
  <si>
    <t xml:space="preserve">SP-CAM SPRING ASSEMBLY </t>
  </si>
  <si>
    <t>CT397-05030</t>
  </si>
  <si>
    <t>ILS, SCANNER BAR ASSY</t>
  </si>
  <si>
    <t>CT345-30333</t>
  </si>
  <si>
    <t>HP26360</t>
  </si>
  <si>
    <t>HP26374</t>
  </si>
  <si>
    <t>CT245-16851</t>
  </si>
  <si>
    <t>WATER MANIFOLD ASSEMBLY</t>
  </si>
  <si>
    <t>CT361-03020</t>
  </si>
  <si>
    <t>CABLE W302 INKUNIT-WATER MANIFOLD</t>
  </si>
  <si>
    <t>HP26375</t>
  </si>
  <si>
    <t>CT245-26731</t>
  </si>
  <si>
    <t>HP26376</t>
  </si>
  <si>
    <t>CA354-02351</t>
  </si>
  <si>
    <t>CDM SET (CONDUCTIVITY &amp; DENSITY METER)</t>
  </si>
  <si>
    <t>HP26389</t>
  </si>
  <si>
    <t>CU498-07030</t>
  </si>
  <si>
    <t>SET, PIN, LOCKING, TYPE 4-6-BK</t>
  </si>
  <si>
    <t>CT468-63790</t>
  </si>
  <si>
    <t xml:space="preserve">TENSION SPRING </t>
  </si>
  <si>
    <t>CU498-07120</t>
  </si>
  <si>
    <t>CT468-83060</t>
  </si>
  <si>
    <t xml:space="preserve">DRAWER SPRING(SET OF 2) </t>
  </si>
  <si>
    <t>CU153-02621</t>
  </si>
  <si>
    <t xml:space="preserve">GAS SPRING 650N 225L </t>
  </si>
  <si>
    <t>HP26392</t>
  </si>
  <si>
    <t xml:space="preserve">PHOTOINTERRUPTER </t>
  </si>
  <si>
    <t>HP26393</t>
  </si>
  <si>
    <t>HP26395</t>
  </si>
  <si>
    <t>BELT-BLOWER 830MM-LG 20M M-WD 1.5MM-T</t>
  </si>
  <si>
    <t>HP26400</t>
  </si>
  <si>
    <t>HP26401</t>
  </si>
  <si>
    <t>6040-1426</t>
  </si>
  <si>
    <t>LUBT-GREASE SYNTHETIC W ITH MINERAL ROHS</t>
  </si>
  <si>
    <t>HP26407</t>
  </si>
  <si>
    <t xml:space="preserve">DRIVER, PUMP </t>
  </si>
  <si>
    <t xml:space="preserve">KIT-SERVICE FOR PUMP </t>
  </si>
  <si>
    <t>CT345-57800</t>
  </si>
  <si>
    <t>SG GEAR PUMP ASSY</t>
  </si>
  <si>
    <t>CT990-03460</t>
  </si>
  <si>
    <t xml:space="preserve">RECORO 1/4M X 1/4M L38 </t>
  </si>
  <si>
    <t>RMA</t>
  </si>
  <si>
    <t>URGENCY</t>
  </si>
  <si>
    <t>ORDER REASON</t>
  </si>
  <si>
    <t>ORDER STATUS</t>
  </si>
  <si>
    <t>REGULAR</t>
  </si>
  <si>
    <t>CHANNEL REPLENISHMENT</t>
  </si>
  <si>
    <t>DOA</t>
  </si>
  <si>
    <t>OK</t>
  </si>
  <si>
    <t>SEM ESTOQUE</t>
  </si>
  <si>
    <t>MD</t>
  </si>
  <si>
    <t>UTK REPLENISHMENT</t>
  </si>
  <si>
    <t>Delayed</t>
  </si>
  <si>
    <t>PENDENTE</t>
  </si>
  <si>
    <t>PARCIAL</t>
  </si>
  <si>
    <t>BO</t>
  </si>
  <si>
    <t>Cancelled</t>
  </si>
  <si>
    <t>In replenishment process</t>
  </si>
  <si>
    <t>NOT SPARE</t>
  </si>
  <si>
    <t>Serial Number</t>
  </si>
  <si>
    <t>Order Date</t>
  </si>
  <si>
    <t>Customer Name</t>
  </si>
  <si>
    <t>Item Number</t>
  </si>
  <si>
    <t>Part Description</t>
  </si>
  <si>
    <t>Quantity Ordered</t>
  </si>
  <si>
    <t>Quantity Supported</t>
  </si>
  <si>
    <t>Order Urgency</t>
  </si>
  <si>
    <t>Delivery Date</t>
  </si>
  <si>
    <t>Order Reason</t>
  </si>
  <si>
    <t>Order Status</t>
  </si>
  <si>
    <t>CU150-01916 </t>
  </si>
  <si>
    <t>TIMING BELT 519MM</t>
  </si>
  <si>
    <t>IN REPLENISHMENT PROCESS</t>
  </si>
  <si>
    <t>CU498-02680 </t>
  </si>
  <si>
    <t>IDLER SUB ASSEMBLY</t>
  </si>
  <si>
    <t>CT445-87450 </t>
  </si>
  <si>
    <t>Tornado Assy</t>
  </si>
  <si>
    <t>Side Blower</t>
  </si>
  <si>
    <t>EMBEDDED USB SPECTROPHO</t>
  </si>
  <si>
    <t>CT454-10681</t>
  </si>
  <si>
    <t>PUW CHUCK SENSOR EMA ASSY</t>
  </si>
  <si>
    <t>CT454-02221</t>
  </si>
  <si>
    <t>THERMISTOR TO TEMP SENSOR</t>
  </si>
  <si>
    <t>KIT SIDEBLOWER FLAT CABLE</t>
  </si>
  <si>
    <t>CA240 -89670</t>
  </si>
  <si>
    <t>Driver, Pump</t>
  </si>
  <si>
    <t>SET TIMING BELT</t>
  </si>
  <si>
    <t>S4 EVR SUCTION CUPS(SET OF 10)</t>
  </si>
  <si>
    <t>CU096-02847</t>
  </si>
  <si>
    <t>X20DI9371 DIGITAL INPUT MODULES</t>
  </si>
  <si>
    <t>CU096-03046</t>
  </si>
  <si>
    <t>Standar Auxiliary Contact</t>
  </si>
  <si>
    <t>SGA &amp; LOAD CELL 1.5KG</t>
  </si>
  <si>
    <t>CT490-20060</t>
  </si>
  <si>
    <t>HS IMPELLER ASSEMBLY</t>
  </si>
  <si>
    <t>CU316-04507</t>
  </si>
  <si>
    <t>CU209-00978</t>
  </si>
  <si>
    <t>LCD TOUCH SCREEN PANEL 5</t>
  </si>
  <si>
    <t>CU498-01673 </t>
  </si>
  <si>
    <t>Side blower</t>
  </si>
  <si>
    <t>50110057 </t>
  </si>
  <si>
    <t> CU498-01660 </t>
  </si>
  <si>
    <t>Photointerruptor</t>
  </si>
  <si>
    <t>  CT540-31871  </t>
  </si>
  <si>
    <t>Upper bearing housing</t>
  </si>
  <si>
    <t> CU498-07230 </t>
  </si>
  <si>
    <t>KIT, FLANGE BEARING FIXED</t>
  </si>
  <si>
    <t>CU812-11315</t>
  </si>
  <si>
    <t>Cable high power 1.8M-LG</t>
  </si>
  <si>
    <t>MAD-1702-02</t>
  </si>
  <si>
    <t>BEARING BALL 17X40X12 6203ZZ</t>
  </si>
  <si>
    <t>CU141-02965</t>
  </si>
  <si>
    <t>BRG-RLR FOLLOWER 10MM-ID 30MM-OD 15MM-W</t>
  </si>
  <si>
    <t>PULLEY IDLER ASSY BRG</t>
  </si>
  <si>
    <t>Belt time</t>
  </si>
  <si>
    <t>BLOWER 5.7 240VAC</t>
  </si>
  <si>
    <t>CT361-03171</t>
  </si>
  <si>
    <t>CABLE ASSY W317-INK UNIT MIC-HEATER+PUMP</t>
  </si>
  <si>
    <t>CT345-44700</t>
  </si>
  <si>
    <t>Front arm and locker, exit roller (S)</t>
  </si>
  <si>
    <t>EXIT ROLLER</t>
  </si>
  <si>
    <t> CT345-52900</t>
  </si>
  <si>
    <t>S4 EVR SUCTION CUPS </t>
  </si>
  <si>
    <t>CT354-01403</t>
  </si>
  <si>
    <t>MCU module assembly</t>
  </si>
  <si>
    <t>CT497-00430 </t>
  </si>
  <si>
    <t>SET AXLE DRIVE</t>
  </si>
  <si>
    <t>KIT BELT S PAPER PATH</t>
  </si>
  <si>
    <t>CT454-08031</t>
  </si>
  <si>
    <t>PANASONIC DARKON PNP SENSOR</t>
  </si>
  <si>
    <t>CU498-06820 </t>
  </si>
  <si>
    <t>KIT SIDEBLOWER FLAT CABLE (S)</t>
  </si>
  <si>
    <t> MOTOR, SYNCHRON-SERVO, 3000 </t>
  </si>
  <si>
    <t> Ink pump, no tic (S)</t>
  </si>
  <si>
    <t>C.R. CARBON BRUSH SET</t>
  </si>
  <si>
    <t xml:space="preserve">CT445-43435 </t>
  </si>
  <si>
    <t>ITM DRUM (S)</t>
  </si>
  <si>
    <t xml:space="preserve">CT445-43445 </t>
  </si>
  <si>
    <t>BEARING FRONT  ITM DRUM (S)</t>
  </si>
  <si>
    <t xml:space="preserve">CT445-43455 </t>
  </si>
  <si>
    <t>BEARING REAR ITM DRUM (S)</t>
  </si>
  <si>
    <t>CU498-07040</t>
  </si>
  <si>
    <t>CABLE FMC TO EDGE COM FEED MODULE</t>
  </si>
  <si>
    <t>CA442-13452</t>
  </si>
  <si>
    <t>Ink Flow Center main Body</t>
  </si>
  <si>
    <t>MIC Board</t>
  </si>
  <si>
    <t>KIT MAINTENANCE-SER 3 ZUWA PUMP BLACK IMPELLER</t>
  </si>
  <si>
    <t>JOS assembly</t>
  </si>
  <si>
    <t>Wetting roller</t>
  </si>
  <si>
    <t>BELT SYNCHRONOUS</t>
  </si>
  <si>
    <t xml:space="preserve">CU314-01218 </t>
  </si>
  <si>
    <t>TRANS SHAFT WITH SELF ALIGNMENT</t>
  </si>
  <si>
    <t>SPECTROPHOTOMETER</t>
  </si>
  <si>
    <t>CU010-02818</t>
  </si>
  <si>
    <t>SPEED CONTROLLER 10.5 MM</t>
  </si>
  <si>
    <t> CT445-72210</t>
  </si>
  <si>
    <t>EBM assy</t>
  </si>
  <si>
    <t> CT445-36261</t>
  </si>
  <si>
    <t>ADAPTOR EBM ACTUATION INTERFACE</t>
  </si>
  <si>
    <t>CU010-03285</t>
  </si>
  <si>
    <t>VALVE QUARTER TURN 16MM-DIA X 3/4-IN</t>
  </si>
  <si>
    <t>Driver Servo 24-65 VDC, 2 motors</t>
  </si>
  <si>
    <t>50300141 </t>
  </si>
  <si>
    <t>IR reflective Sensor</t>
  </si>
  <si>
    <t>VACUUM PUMP ASSEMBLY</t>
  </si>
  <si>
    <t>44000010 </t>
  </si>
  <si>
    <t>CT345-33380</t>
  </si>
  <si>
    <t> MOTOR AND PULLEY ASSY</t>
  </si>
  <si>
    <t>FLEXCORTE</t>
  </si>
  <si>
    <t>CA345-18840</t>
  </si>
  <si>
    <t>  ILD DEAD SHAFT ASSY</t>
  </si>
  <si>
    <t> IN LINE DENS</t>
  </si>
  <si>
    <t>CT345-19110</t>
  </si>
  <si>
    <t>Large auxiliary can</t>
  </si>
  <si>
    <t>HP MONITOR E24T G5 FHD TOUCH EURO</t>
  </si>
  <si>
    <t>Suction cup TE holder</t>
  </si>
  <si>
    <t>Bid HV3 Module</t>
  </si>
  <si>
    <t>THALES GROUP</t>
  </si>
  <si>
    <t>PIP bearing front assembly</t>
  </si>
  <si>
    <t>SIDE BLOWER FLATCABLE</t>
  </si>
  <si>
    <t>SIDE BLOWER</t>
  </si>
  <si>
    <t xml:space="preserve">CT454-04550 </t>
  </si>
  <si>
    <t>Assem Segregation LCS</t>
  </si>
  <si>
    <t>TIC BOARD ASSEMBLY FOR S3</t>
  </si>
  <si>
    <t>CT454-06131</t>
  </si>
  <si>
    <t>WHEL3 PLATE</t>
  </si>
  <si>
    <t>CA345-00745</t>
  </si>
  <si>
    <t>CARBON BRUSH HOUSING</t>
  </si>
  <si>
    <t>Carbon Brush</t>
  </si>
  <si>
    <t>CU150-01576</t>
  </si>
  <si>
    <t>BELT TIMING 3MM</t>
  </si>
  <si>
    <t>CT443-36000 </t>
  </si>
  <si>
    <t>DVC MOTOR PULLEY Z=21, 3M HTD</t>
  </si>
  <si>
    <t>EH LAMP</t>
  </si>
  <si>
    <t xml:space="preserve">COVER, SPINDLE </t>
  </si>
  <si>
    <t>CT446-34610</t>
  </si>
  <si>
    <t>PAPER LEVER ASSEMBLY</t>
  </si>
  <si>
    <t>TORNADO, HEXAGON ASSEMBLY</t>
  </si>
  <si>
    <t>CU498-04200</t>
  </si>
  <si>
    <t>LOWER CRASH SWITCH</t>
  </si>
  <si>
    <t>CA461-26064</t>
  </si>
  <si>
    <t>CABLE ASSY W12606 EC B&amp;R BOX</t>
  </si>
  <si>
    <t>CT397-02900</t>
  </si>
  <si>
    <t>EBV SUCTION BLOWER FOR S-3</t>
  </si>
  <si>
    <t>CT445-56291 </t>
  </si>
  <si>
    <t>BELT SYNCHRONOUS 65 MXL  025 NG</t>
  </si>
  <si>
    <t>MEGA LABEL</t>
  </si>
  <si>
    <t>DIGITAX FP 1405</t>
  </si>
  <si>
    <t>DIGITAX FEED 1402</t>
  </si>
  <si>
    <t> CT445-82840</t>
  </si>
  <si>
    <t> INSULATED FLOW METER</t>
  </si>
  <si>
    <t> IMAGING OIL PUMP ASSEMBLY</t>
  </si>
  <si>
    <t>CT445-65410 </t>
  </si>
  <si>
    <t>SAS PUMP SET FOR MR</t>
  </si>
  <si>
    <t>CU316-04507 </t>
  </si>
  <si>
    <t>BLOWER 5.7 240V 1200 BYPASS</t>
  </si>
  <si>
    <t>CT446-00380 </t>
  </si>
  <si>
    <t>IDU MOTOR ASASY NORTH </t>
  </si>
  <si>
    <t>CT497-11260</t>
  </si>
  <si>
    <t>Fuji driver</t>
  </si>
  <si>
    <t>CT468-92530</t>
  </si>
  <si>
    <t>IDU CAP 3TR (BELLOWS)</t>
  </si>
  <si>
    <t>CT455-00350 </t>
  </si>
  <si>
    <t>ITS3 &amp; ODS Board</t>
  </si>
  <si>
    <t> MAINTENANCE KIT FOR ZUWA PUMP</t>
  </si>
  <si>
    <t>50000260 </t>
  </si>
  <si>
    <t>METABRASIL</t>
  </si>
  <si>
    <t> CU498-01640</t>
  </si>
  <si>
    <t> PCA1 TORNADO</t>
  </si>
  <si>
    <t>PRESSURE SWITCH, WIRED, AIR KNIFE</t>
  </si>
  <si>
    <t> IMO-PUMP-SILICA GEL/CS PUMP</t>
  </si>
  <si>
    <t>VACUUM BELT</t>
  </si>
  <si>
    <t>CARBON BRUSH HOUSING - IXEF</t>
  </si>
  <si>
    <t>48500665 </t>
  </si>
  <si>
    <t>FLEXUL</t>
  </si>
  <si>
    <t> Mixing pump</t>
  </si>
  <si>
    <t>Ceramic Charge Roller</t>
  </si>
  <si>
    <t>ILS Scanner Bar Assy</t>
  </si>
  <si>
    <t>CA354-06210</t>
  </si>
  <si>
    <t>WIRED PRESSURE GAUGE FOR S3</t>
  </si>
  <si>
    <t>BELT TIMING HTD-3 9MM-312</t>
  </si>
  <si>
    <t>CT590-03140</t>
  </si>
  <si>
    <t>812 DPI UNIFIED WRITTING HEAD</t>
  </si>
  <si>
    <t>Detalhes do Sum of QUANTIDADE</t>
  </si>
  <si>
    <t>CLIENTE</t>
  </si>
  <si>
    <t>NOTA FISCAL</t>
  </si>
  <si>
    <t>GHP25112</t>
  </si>
  <si>
    <t>CS20521399</t>
  </si>
  <si>
    <t>GHP25111</t>
  </si>
  <si>
    <t>CS20521200</t>
  </si>
  <si>
    <t>Retornável - Aguardando entrega</t>
  </si>
  <si>
    <t>Custos pagos pela CP</t>
  </si>
  <si>
    <t>GHP25110</t>
  </si>
  <si>
    <t>CS20521319</t>
  </si>
  <si>
    <t>Retornável - Aguadando devolução</t>
  </si>
  <si>
    <t>GHP25108</t>
  </si>
  <si>
    <t>CS20519374</t>
  </si>
  <si>
    <t>GHP25107</t>
  </si>
  <si>
    <t>CS20516253</t>
  </si>
  <si>
    <t>Retornável - Cobrar o cliente, após a troca</t>
  </si>
  <si>
    <t>GHP25106</t>
  </si>
  <si>
    <t>CS20516110</t>
  </si>
  <si>
    <t xml:space="preserve">Retornável - Aguardando cliente </t>
  </si>
  <si>
    <t>GHP25001</t>
  </si>
  <si>
    <t>CS20519234</t>
  </si>
  <si>
    <t>GHP25104</t>
  </si>
  <si>
    <t>CS20515241</t>
  </si>
  <si>
    <t>GHP25103</t>
  </si>
  <si>
    <t>CS20514055</t>
  </si>
  <si>
    <t>NFS 924</t>
  </si>
  <si>
    <t>GHP25102</t>
  </si>
  <si>
    <t>CS20511376</t>
  </si>
  <si>
    <t>Retornável - Verificar se está no cliente</t>
  </si>
  <si>
    <t>GHP25101</t>
  </si>
  <si>
    <t>CS20513903</t>
  </si>
  <si>
    <t>GHP25100</t>
  </si>
  <si>
    <t>CS20511440</t>
  </si>
  <si>
    <t>60002095 </t>
  </si>
  <si>
    <t xml:space="preserve">PGR CAM MOTOR FIRST REPLACEMENT KIT </t>
  </si>
  <si>
    <t>Não informado</t>
  </si>
  <si>
    <t>GHP25099</t>
  </si>
  <si>
    <t>CS20509338</t>
  </si>
  <si>
    <t>GHP25098</t>
  </si>
  <si>
    <t>CS20509327</t>
  </si>
  <si>
    <t>GHP25097</t>
  </si>
  <si>
    <t>CS20509358</t>
  </si>
  <si>
    <t>NFS 916</t>
  </si>
  <si>
    <t>GHP25096</t>
  </si>
  <si>
    <t xml:space="preserve">CA492-01760 </t>
  </si>
  <si>
    <t xml:space="preserve">S.NOTE BID CLEANING JIG   SER 4 </t>
  </si>
  <si>
    <t>GHP25095</t>
  </si>
  <si>
    <t xml:space="preserve">HP INDIGO 20000 </t>
  </si>
  <si>
    <t>CA492-02040</t>
  </si>
  <si>
    <t>S.Note PLC Authorization Dongle Installation.</t>
  </si>
  <si>
    <t>GHP25093</t>
  </si>
  <si>
    <t>CS20499531</t>
  </si>
  <si>
    <t>CT397-02901</t>
  </si>
  <si>
    <t>NFS 819</t>
  </si>
  <si>
    <t>GHP25092</t>
  </si>
  <si>
    <t>CS20484783</t>
  </si>
  <si>
    <t>GHP25094</t>
  </si>
  <si>
    <t>CS20499768</t>
  </si>
  <si>
    <t>NFS 881</t>
  </si>
  <si>
    <t>GHP25091</t>
  </si>
  <si>
    <t>CS20494091</t>
  </si>
  <si>
    <t xml:space="preserve">Retornável - Aguardando Douglas realizar a troca </t>
  </si>
  <si>
    <t>GHP25090</t>
  </si>
  <si>
    <t>CS20495426</t>
  </si>
  <si>
    <t>GHP25089</t>
  </si>
  <si>
    <t>CS20494920</t>
  </si>
  <si>
    <t>812 DPI UNIFIED WRITING HEAD</t>
  </si>
  <si>
    <t>Retornável - Verificar com Ronald como iremos retornar</t>
  </si>
  <si>
    <t>GHP25088</t>
  </si>
  <si>
    <t>CS20489196</t>
  </si>
  <si>
    <t>NFS 893</t>
  </si>
  <si>
    <t>GHP25087</t>
  </si>
  <si>
    <t>CS20489062</t>
  </si>
  <si>
    <t>GHP25086</t>
  </si>
  <si>
    <t>CS20490576</t>
  </si>
  <si>
    <t>GHP25085</t>
  </si>
  <si>
    <t>CS20490536</t>
  </si>
  <si>
    <t>GHP25073</t>
  </si>
  <si>
    <t>CS20495390</t>
  </si>
  <si>
    <t>HP INDIGO 7500</t>
  </si>
  <si>
    <t>NFS 897</t>
  </si>
  <si>
    <t>GHP25084</t>
  </si>
  <si>
    <t>CA492-02060</t>
  </si>
  <si>
    <t xml:space="preserve">S.NOTE PREMIUM WHITE BACKWARDS 1X000, 30000 </t>
  </si>
  <si>
    <t>GHP25083</t>
  </si>
  <si>
    <t>CS20489015</t>
  </si>
  <si>
    <t>NFS 885</t>
  </si>
  <si>
    <t>GHP25082</t>
  </si>
  <si>
    <t>CS20488905</t>
  </si>
  <si>
    <t>GHP25081</t>
  </si>
  <si>
    <t>CS20480431</t>
  </si>
  <si>
    <t>CT454-06132</t>
  </si>
  <si>
    <t>GHP25080</t>
  </si>
  <si>
    <t>CS20480030</t>
  </si>
  <si>
    <t>NFS 748</t>
  </si>
  <si>
    <t>GHP25079</t>
  </si>
  <si>
    <t>CS20480029</t>
  </si>
  <si>
    <t>CT457-00050</t>
  </si>
  <si>
    <t>GHP25077</t>
  </si>
  <si>
    <t>CS20480529</t>
  </si>
  <si>
    <t>GHP25078</t>
  </si>
  <si>
    <t>CA492-01970</t>
  </si>
  <si>
    <t xml:space="preserve">S.Note Replacing Line Filter Cable Nuts </t>
  </si>
  <si>
    <t>GHP25076</t>
  </si>
  <si>
    <t>CS20456400</t>
  </si>
  <si>
    <t>NFS 820</t>
  </si>
  <si>
    <t>GHP25075</t>
  </si>
  <si>
    <t>CS20464492</t>
  </si>
  <si>
    <t>GHP25074</t>
  </si>
  <si>
    <t>CS20433379</t>
  </si>
  <si>
    <t>NFS 889</t>
  </si>
  <si>
    <t>GHP25072</t>
  </si>
  <si>
    <t>CS20456169</t>
  </si>
  <si>
    <t>GHP25071</t>
  </si>
  <si>
    <t>CS20456113</t>
  </si>
  <si>
    <t>GHP25070</t>
  </si>
  <si>
    <t>CS20456079</t>
  </si>
  <si>
    <t>GHP25069</t>
  </si>
  <si>
    <t>CS20437091</t>
  </si>
  <si>
    <t>GHP25068</t>
  </si>
  <si>
    <t>CS20396185</t>
  </si>
  <si>
    <t>NFS 815</t>
  </si>
  <si>
    <t>GHP25043</t>
  </si>
  <si>
    <t>CS20421088</t>
  </si>
  <si>
    <t>GHP25044</t>
  </si>
  <si>
    <t>CS20424754</t>
  </si>
  <si>
    <t>OK - CT397-00130</t>
  </si>
  <si>
    <t>NFS 836</t>
  </si>
  <si>
    <t>GHP25046</t>
  </si>
  <si>
    <t>CS20430150</t>
  </si>
  <si>
    <t>NFS 890</t>
  </si>
  <si>
    <t>GHP25047</t>
  </si>
  <si>
    <t>CS20430325</t>
  </si>
  <si>
    <t>NFS 808</t>
  </si>
  <si>
    <t>GHP25049</t>
  </si>
  <si>
    <t>CS20431108</t>
  </si>
  <si>
    <t>Retornável - Aguarando cliente fazer a devolução</t>
  </si>
  <si>
    <t>NFS 883</t>
  </si>
  <si>
    <t>GHP25051</t>
  </si>
  <si>
    <t>CS20430400</t>
  </si>
  <si>
    <t>GHP25052</t>
  </si>
  <si>
    <t>CS20430383</t>
  </si>
  <si>
    <t>NFS 887</t>
  </si>
  <si>
    <t>GHP25053</t>
  </si>
  <si>
    <t>CS20432524</t>
  </si>
  <si>
    <t>GHP25050</t>
  </si>
  <si>
    <t>CS20430492</t>
  </si>
  <si>
    <t>GHP25055</t>
  </si>
  <si>
    <t>CS20432598</t>
  </si>
  <si>
    <t>GHP25056</t>
  </si>
  <si>
    <t>CS20424173</t>
  </si>
  <si>
    <t>GHP25058</t>
  </si>
  <si>
    <t>CS20432996</t>
  </si>
  <si>
    <t>NFS 803</t>
  </si>
  <si>
    <t>GHP25059</t>
  </si>
  <si>
    <t>CS20436128</t>
  </si>
  <si>
    <t>GHP25060</t>
  </si>
  <si>
    <t>CS20436017</t>
  </si>
  <si>
    <t>GHP25061</t>
  </si>
  <si>
    <t>CS20435682</t>
  </si>
  <si>
    <t>GHP25045</t>
  </si>
  <si>
    <t>CS20430257</t>
  </si>
  <si>
    <t>GHP25062</t>
  </si>
  <si>
    <t xml:space="preserve">CT990-03080 </t>
  </si>
  <si>
    <t>S.NOTE ANTI-SOAP BRACKET LONGER SCREWS SER 4 &amp; 5</t>
  </si>
  <si>
    <t>GHP25063</t>
  </si>
  <si>
    <t xml:space="preserve">CT990-04690 </t>
  </si>
  <si>
    <t>S.NOTE RIO &amp; WASTE BRACKET REPLACEMENT</t>
  </si>
  <si>
    <t>GHP25064</t>
  </si>
  <si>
    <t>CA492-01520</t>
  </si>
  <si>
    <t xml:space="preserve">S.NOTE Engine Door Support Brackets and PARS Robust Screws </t>
  </si>
  <si>
    <t>GHP25054</t>
  </si>
  <si>
    <t>CS20424739</t>
  </si>
  <si>
    <t>CA545-10713</t>
  </si>
  <si>
    <t>IMO reservoir filtered assembly</t>
  </si>
  <si>
    <t xml:space="preserve">CA545-10714 </t>
  </si>
  <si>
    <t>GHP25065</t>
  </si>
  <si>
    <t>CS20437198</t>
  </si>
  <si>
    <t>NFS 879</t>
  </si>
  <si>
    <t>GHP25066</t>
  </si>
  <si>
    <t>CS20439529</t>
  </si>
  <si>
    <t>GHP25057</t>
  </si>
  <si>
    <t>CS20447934</t>
  </si>
  <si>
    <t>GHP25067</t>
  </si>
  <si>
    <t>CS20444758</t>
  </si>
  <si>
    <t>CT345-61780</t>
  </si>
  <si>
    <t>NFS 802</t>
  </si>
  <si>
    <t>Detalhes do Sum of Quantity Ordered</t>
  </si>
  <si>
    <t>CT445-18692</t>
  </si>
  <si>
    <t>ITC - HEATER TOP ASSY</t>
  </si>
  <si>
    <t>VALVE SOL 1/4" 2WNC 24VDC VITON</t>
  </si>
  <si>
    <t>CT445-82750</t>
  </si>
  <si>
    <t>PRESSURE-SENSORE-INSULATED-ASSEMBLY</t>
  </si>
  <si>
    <t>GRAFICA NMC</t>
  </si>
  <si>
    <t>PUMP ASSEMBLY - LIC (S)</t>
  </si>
  <si>
    <t>SIDE BLOWER KPL 10000(NE W FFC CABLE AND HOLDER)</t>
  </si>
  <si>
    <t>CT445-45903</t>
  </si>
  <si>
    <t>CT456-00673</t>
  </si>
  <si>
    <t>PCA, CIO2 ASSEMBLY, 2ND  LAYOUT MR2</t>
  </si>
  <si>
    <t>STA</t>
  </si>
  <si>
    <t>BELT, SYNCHRONOUS, 100   S3M 519 NGGE</t>
  </si>
  <si>
    <t>INK TANK SUB ASSY</t>
  </si>
  <si>
    <t>CT345-61240</t>
  </si>
  <si>
    <t>SEGREGATION 3WAY VALVE A SSY.</t>
  </si>
  <si>
    <t>SHEET, BELT  PROTECTION( SET OF 2)</t>
  </si>
  <si>
    <t>MOTOR SERVO 24VDC 2.5NM 8JSA33.E4045D000-0</t>
  </si>
  <si>
    <t>MOTOR PAPER PATH PULLEY    ASSY</t>
  </si>
  <si>
    <t>CT445-00370</t>
  </si>
  <si>
    <t>ITS3&amp;ODS,12CLRYMCK,OVG,W   ,DIP,FPV,W.STAN,W.PREC</t>
  </si>
  <si>
    <t>CT354-03831</t>
  </si>
  <si>
    <t>IOC3 ASSY</t>
  </si>
  <si>
    <t>CA490-21173</t>
  </si>
  <si>
    <t> SER4 POLYGON VACUUM SYSTEM SET</t>
  </si>
  <si>
    <t>CT354-03068</t>
  </si>
  <si>
    <t>SUBASSY, PCN AND DSC (ME RON)</t>
  </si>
  <si>
    <t>CU010-02873</t>
  </si>
  <si>
    <t>RESERVOIR REBUILD VALVE</t>
  </si>
  <si>
    <t>CU314-01492</t>
  </si>
  <si>
    <t>Gear Motor KW=0,55 2P UL-CSA PTC Lub</t>
  </si>
  <si>
    <t>CU096-03220</t>
  </si>
  <si>
    <t xml:space="preserve">X20 4 channel motor </t>
  </si>
  <si>
    <t>WHEL3 HDLA PLATE</t>
  </si>
  <si>
    <t> Segregation 3-way valve</t>
  </si>
  <si>
    <t xml:space="preserve"> Ozone filter </t>
  </si>
  <si>
    <t>DIRECT CD PUMP 4 WIRED</t>
  </si>
  <si>
    <t xml:space="preserve">CT444-26340 </t>
  </si>
  <si>
    <t>SG PUMP</t>
  </si>
  <si>
    <t>Pump assembly - LIC (S)</t>
  </si>
  <si>
    <t>ODS &amp; ITS  board</t>
  </si>
  <si>
    <t>Carbon brush C.R. assembly (S)</t>
  </si>
  <si>
    <t>60002072 </t>
  </si>
  <si>
    <t>ITS3&amp;ODS, 12 CLRS</t>
  </si>
  <si>
    <t>INSULATED FLOW METER</t>
  </si>
  <si>
    <t>ITC PUMP</t>
  </si>
  <si>
    <t> S4 DUPLEX SUCTION CUPS (10 UNITS)</t>
  </si>
  <si>
    <t>CU153-02523</t>
  </si>
  <si>
    <t>Gas Spring</t>
  </si>
  <si>
    <t>CT461-25253 </t>
  </si>
  <si>
    <t>Wire W12525</t>
  </si>
  <si>
    <t>CU498-05950</t>
  </si>
  <si>
    <t>Tresu level sensor cable</t>
  </si>
  <si>
    <t> CLUTCH</t>
  </si>
  <si>
    <t>CA461-76562</t>
  </si>
  <si>
    <t>CABLE W17656</t>
  </si>
  <si>
    <t>CT345-10472</t>
  </si>
  <si>
    <t> ARM LOWER ASSEMBLY</t>
  </si>
  <si>
    <t> EH LAMP MAIN ASSY</t>
  </si>
  <si>
    <t>CU096-06003</t>
  </si>
  <si>
    <t>SENSOR ULTRSONIC 400MM RANG PNP 10-30VDC</t>
  </si>
  <si>
    <t> INK TANK SUB-ASSEMBLY</t>
  </si>
  <si>
    <t>SPRING NIP ROLLER (5 U NITS)</t>
  </si>
  <si>
    <t>CT461-26250</t>
  </si>
  <si>
    <t>CABLE ASSY W12625 , EBV</t>
  </si>
  <si>
    <t>AIR_KNIFE_PRESSURE_SWITCH WIRED</t>
  </si>
  <si>
    <t>SIDE BLOWER FLAT CABLE</t>
  </si>
  <si>
    <t>CT544-31330</t>
  </si>
  <si>
    <t>RDU TUBE SEAL LONG NUT WELD ASM</t>
  </si>
  <si>
    <t>0100-5328</t>
  </si>
  <si>
    <t>VALVE BLOCKING - 1 WAY IN LINE G1/8</t>
  </si>
  <si>
    <t>CT445-33941</t>
  </si>
  <si>
    <t>ORS-IMO BUFFER WITH INSERTS</t>
  </si>
  <si>
    <t>Motor Brussles 5.8A</t>
  </si>
  <si>
    <t xml:space="preserve">CT454-08031 </t>
  </si>
  <si>
    <t xml:space="preserve">Panasonic Darkon PNP Sensor </t>
  </si>
  <si>
    <t xml:space="preserve">CT000-24961 </t>
  </si>
  <si>
    <t xml:space="preserve">TRANSPORT SHAFT PP MR </t>
  </si>
  <si>
    <t>BID Drive Motor Assembly (S)</t>
  </si>
  <si>
    <t>LIC Pump Assembly Procon (S)</t>
  </si>
  <si>
    <t>CU498-02011</t>
  </si>
  <si>
    <t> SENSOR ASSY TACTILE</t>
  </si>
  <si>
    <t> TRANSPORT SHAFT PPMR</t>
  </si>
  <si>
    <t> NEW PATTERN NIP ROLLER </t>
  </si>
  <si>
    <t>CU498-01470 </t>
  </si>
  <si>
    <t>TIMING BLET GT3 325</t>
  </si>
  <si>
    <t> BELT VAC ST BRIDGE </t>
  </si>
  <si>
    <t>CU498-02710</t>
  </si>
  <si>
    <t> TRANSPORT SHFAFT DESTINATION </t>
  </si>
  <si>
    <t>CU498-01341</t>
  </si>
  <si>
    <t>TRANSPORT SHAFT</t>
  </si>
  <si>
    <t>SWITCH-PROXIMITY-SENSOR 1A 30VAC ROHS</t>
  </si>
  <si>
    <t>CT345-4156</t>
  </si>
  <si>
    <t>Sensors ruler primer (S)</t>
  </si>
  <si>
    <t>50300097 </t>
  </si>
  <si>
    <t xml:space="preserve">CU498-02992 </t>
  </si>
  <si>
    <t xml:space="preserve">Direct CD Pump </t>
  </si>
  <si>
    <t>CT397-02860</t>
  </si>
  <si>
    <t>FEEDER POWER SUPPLY AND FI </t>
  </si>
  <si>
    <t>Ceramic charge roller assembly (S)</t>
  </si>
  <si>
    <t>CT340-56650</t>
  </si>
  <si>
    <t>FUNNEL, ROUND, RECYCLING SYS</t>
  </si>
  <si>
    <t>CT454-04224</t>
  </si>
  <si>
    <t>INK PUMP MOTOR AND DRIVER</t>
  </si>
  <si>
    <t>Hawaii</t>
  </si>
  <si>
    <t>BELT TIMMING 6MM-WD 2061MM-GRV LG</t>
  </si>
  <si>
    <t> DRIVER, PUMP</t>
  </si>
  <si>
    <t>COIL 24V VALVE</t>
  </si>
  <si>
    <t>Wetting roller top assembly (S)</t>
  </si>
  <si>
    <t>CT445-27940</t>
  </si>
  <si>
    <t>MOTOR MODULE ASSY GDU</t>
  </si>
  <si>
    <t>BLOWER 5.7 240VAC 1200W BYPASS 1STG</t>
  </si>
  <si>
    <t>CT443-04350 </t>
  </si>
  <si>
    <t>VISUAL BELT 3MGT - 399</t>
  </si>
  <si>
    <t>CT445-57823</t>
  </si>
  <si>
    <t>20000 SPM WHITE ROLLER</t>
  </si>
  <si>
    <t>S4 EVR Suction Cups (Set of 10)</t>
  </si>
  <si>
    <t>S4 Duplex Suction Cups</t>
  </si>
  <si>
    <t> CT344-01252</t>
  </si>
  <si>
    <t> Interlock assembly wired (S)</t>
  </si>
  <si>
    <t>CA490-27100</t>
  </si>
  <si>
    <t> DUPLEX SUCTION CUPS</t>
  </si>
  <si>
    <t>CA355-00301</t>
  </si>
  <si>
    <t>MIC3 WITH COVER</t>
  </si>
  <si>
    <t>CA345-21462</t>
  </si>
  <si>
    <t xml:space="preserve">Pneumatic manifold </t>
  </si>
  <si>
    <t xml:space="preserve">CT361-20281 </t>
  </si>
  <si>
    <t>Opt. sensor assembly</t>
  </si>
  <si>
    <t>PLUG-HOLE FLANGELESS</t>
  </si>
  <si>
    <t xml:space="preserve">CT345-32381 </t>
  </si>
  <si>
    <t>Pump assembly - LIC</t>
  </si>
  <si>
    <t>MOTOR-AC 230V</t>
  </si>
  <si>
    <t xml:space="preserve">CT345-13712 </t>
  </si>
  <si>
    <t xml:space="preserve">CT345-20650 </t>
  </si>
  <si>
    <t>BID drive motor assembly (S)</t>
  </si>
  <si>
    <t>CT454-05990</t>
  </si>
  <si>
    <t> IBS1&amp;2 FULL SENSOR</t>
  </si>
  <si>
    <t> CT443-04350</t>
  </si>
  <si>
    <t> BELT 3MGT-399-15 GATES</t>
  </si>
  <si>
    <t>Solid add assembly LIC (S)</t>
  </si>
  <si>
    <t>PWR SPLY AC - DC 48V/1000W 12C</t>
  </si>
  <si>
    <t>DIGITAX 1405</t>
  </si>
  <si>
    <t>HEATER</t>
  </si>
  <si>
    <t>CT446-34220</t>
  </si>
  <si>
    <t>PNEUMATIC SERVICE UNIT</t>
  </si>
  <si>
    <t>ESW-0212-07</t>
  </si>
  <si>
    <t>MICRO SWITCH HINGE LEVER 0.1A 8gr</t>
  </si>
  <si>
    <t>CT440-98130</t>
  </si>
  <si>
    <t>SOLID ADD CONECTOR ENGAGE SIDE</t>
  </si>
  <si>
    <t>tornado assy</t>
  </si>
  <si>
    <t>MHN-0009-01</t>
  </si>
  <si>
    <t>HANDLE DOOR</t>
  </si>
  <si>
    <t xml:space="preserve">CT445-34312 </t>
  </si>
  <si>
    <t>HX CONDENSATION CATCH TRAY ASSEMBLY</t>
  </si>
  <si>
    <t> CT446-29240</t>
  </si>
  <si>
    <t>FITTING SOLENOID VALVE BASE MOUNT</t>
  </si>
  <si>
    <t>CU199-04927</t>
  </si>
  <si>
    <t>MINIATURE PHOTOELECTRIC SENSOR</t>
  </si>
  <si>
    <t xml:space="preserve">CT444-63202 </t>
  </si>
  <si>
    <t> UPPER IFR GUIDE ASSEMBL</t>
  </si>
  <si>
    <t xml:space="preserve">CT554-01630 </t>
  </si>
  <si>
    <t xml:space="preserve">BARAK RFID MODULE </t>
  </si>
  <si>
    <t>CT446-28241</t>
  </si>
  <si>
    <t>CWS FLOW SENSOR ASSY</t>
  </si>
  <si>
    <t>GRAFICA REUNA</t>
  </si>
  <si>
    <t>TIC Board Assembly</t>
  </si>
  <si>
    <t>ESC GTK SHAFT </t>
  </si>
  <si>
    <t>CT490-22920</t>
  </si>
  <si>
    <t>SOLID NIP ROLLER &amp; ALIGNER BRACKETS</t>
  </si>
  <si>
    <t>SUCTION CUPS TE HOLDER</t>
  </si>
  <si>
    <t>SEAL, UPPER SUCTION, EBV</t>
  </si>
  <si>
    <t> CU090-51735</t>
  </si>
  <si>
    <t> SEAL HYDRAULIC EPDM 50 SHORE 9.5MM TH</t>
  </si>
  <si>
    <t xml:space="preserve">VR LABEL </t>
  </si>
  <si>
    <t>CT990-01400</t>
  </si>
  <si>
    <t xml:space="preserve">Dust covers for 25K </t>
  </si>
  <si>
    <t xml:space="preserve">CA297-00150 </t>
  </si>
  <si>
    <t>CU010-03569 </t>
  </si>
  <si>
    <t xml:space="preserve"> FITTING HOSE BARB PLUG 1/4" ID </t>
  </si>
  <si>
    <t>CU010-03573</t>
  </si>
  <si>
    <t xml:space="preserve">FITTING HOSE BARB SOCKET 1/4"- ID </t>
  </si>
  <si>
    <t>0403-1173</t>
  </si>
  <si>
    <t>bumper foot urethane</t>
  </si>
  <si>
    <t>HP MNTR E24T G5 FHD TOUC H EURO (6N6E6AA)</t>
  </si>
  <si>
    <t>PNEUMATIC SERVICE UNIT WITH TUBES</t>
  </si>
  <si>
    <t>CA345-52980</t>
  </si>
  <si>
    <t>ASSEMBLY - DANCER CYLINDER</t>
  </si>
  <si>
    <t>CU498-03110</t>
  </si>
  <si>
    <t>BELT, SYNCHRONOUS, 100 S2M 440 NG</t>
  </si>
  <si>
    <t>GLS GDU PUP GEAR PP ASSY</t>
  </si>
  <si>
    <t>EBV SUCTION BLOWER</t>
  </si>
  <si>
    <t>TUBE ENGAGE SEAL 43MM-OD 32MM-ID</t>
  </si>
  <si>
    <t> CT345-49506</t>
  </si>
  <si>
    <t> Recycling System Main Assembly</t>
  </si>
  <si>
    <t>Ótima Gráfica</t>
  </si>
  <si>
    <t> CU095_72419</t>
  </si>
  <si>
    <t>Power Supply 24V</t>
  </si>
  <si>
    <t>CT001-00620</t>
  </si>
  <si>
    <t>MARKA SP ASSEMBLY</t>
  </si>
  <si>
    <t xml:space="preserve">CT446-43761 </t>
  </si>
  <si>
    <t>INK TANK PUMP SOFT COUPLING</t>
  </si>
  <si>
    <t xml:space="preserve">CT341-14140 </t>
  </si>
  <si>
    <t xml:space="preserve">CARBON BRUSH HOUSING </t>
  </si>
  <si>
    <t>CU498-02000</t>
  </si>
  <si>
    <t>BELT SYNCHRONOUS 100 S2M 278 NG</t>
  </si>
  <si>
    <t>CU498-02391 </t>
  </si>
  <si>
    <t>CLUTCH OFFSETTER</t>
  </si>
  <si>
    <t>SHAFT OFFSETTER ASSEMBLY</t>
  </si>
  <si>
    <t>BELT TIMING 3P 630L 6W RBR</t>
  </si>
  <si>
    <t> IDU (FUJI) DRIVER</t>
  </si>
  <si>
    <t>250 MM HOSE- EH SUCTION BLOWER TO ENGINE</t>
  </si>
  <si>
    <t>CU199-04416</t>
  </si>
  <si>
    <t>PHOTOELECTRIC SLOT SENSOR</t>
  </si>
  <si>
    <t>IMP MOTOR ROTOR SPACER</t>
  </si>
  <si>
    <t> NEW PATTERN NIP ROLLER ASSEMBLY</t>
  </si>
  <si>
    <t>CT345-50911</t>
  </si>
  <si>
    <t>Valve Assembly, pressure</t>
  </si>
  <si>
    <t>MOTOR SERVO 24VDC 2.5NW 4500 RPM</t>
  </si>
  <si>
    <t>AARON</t>
  </si>
  <si>
    <t>MIC3 &amp; BRACKET</t>
  </si>
  <si>
    <t>ALL4LABELS - BLU</t>
  </si>
  <si>
    <t>CT345-51103 </t>
  </si>
  <si>
    <t>White Roller for SPM</t>
  </si>
  <si>
    <t>CT344- 01252 </t>
  </si>
  <si>
    <t>Carbon Brush Assembly</t>
  </si>
  <si>
    <t>CU498- 01673</t>
  </si>
  <si>
    <t>Side Blower KPL</t>
  </si>
  <si>
    <t>Idler Shaft</t>
  </si>
  <si>
    <t>Nip Assembly</t>
  </si>
  <si>
    <t>C490-09812</t>
  </si>
  <si>
    <t xml:space="preserve">ITM DRUM JIG </t>
  </si>
  <si>
    <t>CT445-25742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</si>
</sst>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-[$$-409]* #,##0.00_ ;_-[$$-409]* \-#,##0.00\ ;_-[$$-409]* &quot;-&quot;??_ ;_-@_ "/>
    <numFmt numFmtId="166" formatCode="mm/dd/yyyy"/>
    <numFmt numFmtId="167" formatCode="dd/mm/yy;@"/>
    <numFmt numFmtId="168" formatCode="mm/dd/yy;@"/>
    <numFmt numFmtId="169" formatCode="h:mm;@"/>
    <numFmt numFmtId="170" formatCode="m/d/yyyy;@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0"/>
      <name val="Calibri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2"/>
      <color theme="0"/>
      <name val="Calibri"/>
      <family val="2"/>
    </font>
    <font>
      <sz val="11"/>
      <color theme="0"/>
      <name val="Calibri"/>
    </font>
    <font>
      <sz val="11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BF7EC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7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6" fontId="0" fillId="0" borderId="0" xfId="0" applyNumberFormat="1"/>
    <xf numFmtId="166" fontId="3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6" fontId="2" fillId="0" borderId="15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8" borderId="0" xfId="0" applyFill="1"/>
    <xf numFmtId="0" fontId="10" fillId="0" borderId="0" xfId="2" applyFont="1" applyFill="1" applyAlignment="1">
      <alignment horizontal="center"/>
    </xf>
    <xf numFmtId="0" fontId="9" fillId="0" borderId="0" xfId="0" applyFont="1"/>
    <xf numFmtId="0" fontId="11" fillId="0" borderId="0" xfId="0" applyFont="1"/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168" fontId="12" fillId="0" borderId="3" xfId="0" applyNumberFormat="1" applyFont="1" applyBorder="1" applyAlignment="1">
      <alignment horizontal="center"/>
    </xf>
    <xf numFmtId="169" fontId="12" fillId="0" borderId="3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169" fontId="12" fillId="0" borderId="15" xfId="0" applyNumberFormat="1" applyFont="1" applyBorder="1" applyAlignment="1">
      <alignment horizontal="center"/>
    </xf>
    <xf numFmtId="14" fontId="0" fillId="0" borderId="0" xfId="0" applyNumberFormat="1"/>
    <xf numFmtId="0" fontId="13" fillId="0" borderId="0" xfId="0" applyFont="1"/>
    <xf numFmtId="170" fontId="12" fillId="0" borderId="3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4" fillId="0" borderId="15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4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14" fontId="1" fillId="0" borderId="1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4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 vertical="center" wrapText="1"/>
    </xf>
    <xf numFmtId="14" fontId="12" fillId="0" borderId="15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14" fontId="12" fillId="0" borderId="15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0" fontId="12" fillId="0" borderId="9" xfId="0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14" fontId="12" fillId="0" borderId="9" xfId="0" applyNumberFormat="1" applyFont="1" applyBorder="1" applyAlignment="1">
      <alignment horizontal="center"/>
    </xf>
    <xf numFmtId="169" fontId="12" fillId="0" borderId="9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14" fontId="12" fillId="0" borderId="18" xfId="0" applyNumberFormat="1" applyFont="1" applyBorder="1" applyAlignment="1">
      <alignment horizontal="center"/>
    </xf>
    <xf numFmtId="169" fontId="12" fillId="0" borderId="18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9" borderId="0" xfId="0" applyFill="1"/>
    <xf numFmtId="167" fontId="2" fillId="0" borderId="0" xfId="0" applyNumberFormat="1" applyFont="1" applyAlignment="1">
      <alignment horizontal="center"/>
    </xf>
    <xf numFmtId="165" fontId="2" fillId="0" borderId="0" xfId="0" applyNumberFormat="1" applyFont="1"/>
    <xf numFmtId="49" fontId="0" fillId="0" borderId="0" xfId="0" applyNumberFormat="1"/>
    <xf numFmtId="0" fontId="16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9" borderId="15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2" fillId="7" borderId="15" xfId="0" applyFont="1" applyFill="1" applyBorder="1" applyAlignment="1">
      <alignment vertic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4" fontId="16" fillId="0" borderId="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167" fontId="9" fillId="0" borderId="2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6" fillId="0" borderId="0" xfId="2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2" fillId="0" borderId="2" xfId="0" applyNumberFormat="1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67" fontId="9" fillId="0" borderId="12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5" fontId="2" fillId="0" borderId="14" xfId="0" applyNumberFormat="1" applyFont="1" applyBorder="1"/>
    <xf numFmtId="0" fontId="9" fillId="0" borderId="13" xfId="0" applyFont="1" applyBorder="1" applyAlignment="1">
      <alignment horizontal="center"/>
    </xf>
    <xf numFmtId="14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67" fontId="2" fillId="0" borderId="12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 vertical="center"/>
    </xf>
    <xf numFmtId="168" fontId="2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168" fontId="2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168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69" fontId="12" fillId="0" borderId="3" xfId="0" applyNumberFormat="1" applyFont="1" applyBorder="1" applyAlignment="1">
      <alignment vertical="center"/>
    </xf>
    <xf numFmtId="168" fontId="12" fillId="0" borderId="15" xfId="0" applyNumberFormat="1" applyFont="1" applyBorder="1" applyAlignment="1">
      <alignment horizontal="center" vertical="center"/>
    </xf>
    <xf numFmtId="168" fontId="12" fillId="0" borderId="15" xfId="0" applyNumberFormat="1" applyFont="1" applyBorder="1" applyAlignment="1">
      <alignment horizontal="center"/>
    </xf>
    <xf numFmtId="169" fontId="12" fillId="0" borderId="15" xfId="0" applyNumberFormat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170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168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170" fontId="9" fillId="0" borderId="15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169" fontId="9" fillId="0" borderId="3" xfId="0" applyNumberFormat="1" applyFont="1" applyBorder="1" applyAlignment="1">
      <alignment vertical="center"/>
    </xf>
    <xf numFmtId="169" fontId="9" fillId="0" borderId="1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6" fontId="0" fillId="0" borderId="3" xfId="0" applyNumberFormat="1" applyBorder="1" applyAlignment="1">
      <alignment horizontal="center"/>
    </xf>
    <xf numFmtId="170" fontId="9" fillId="0" borderId="9" xfId="0" applyNumberFormat="1" applyFont="1" applyBorder="1" applyAlignment="1">
      <alignment horizontal="center"/>
    </xf>
    <xf numFmtId="169" fontId="9" fillId="0" borderId="9" xfId="0" applyNumberFormat="1" applyFont="1" applyBorder="1" applyAlignment="1">
      <alignment vertical="center"/>
    </xf>
    <xf numFmtId="166" fontId="2" fillId="0" borderId="3" xfId="0" applyNumberFormat="1" applyFont="1" applyBorder="1"/>
    <xf numFmtId="166" fontId="2" fillId="0" borderId="15" xfId="0" applyNumberFormat="1" applyFont="1" applyBorder="1"/>
    <xf numFmtId="166" fontId="0" fillId="0" borderId="3" xfId="0" applyNumberFormat="1" applyBorder="1"/>
    <xf numFmtId="166" fontId="0" fillId="0" borderId="15" xfId="0" applyNumberFormat="1" applyBorder="1"/>
    <xf numFmtId="0" fontId="2" fillId="0" borderId="20" xfId="0" applyFont="1" applyBorder="1" applyAlignment="1">
      <alignment vertical="center"/>
    </xf>
    <xf numFmtId="14" fontId="9" fillId="0" borderId="3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3" xfId="0" applyFont="1" applyBorder="1"/>
    <xf numFmtId="0" fontId="17" fillId="4" borderId="1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7" fillId="2" borderId="2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3" fillId="11" borderId="0" xfId="0" applyFont="1" applyFill="1" applyAlignment="1">
      <alignment horizontal="center"/>
    </xf>
    <xf numFmtId="0" fontId="19" fillId="12" borderId="2" xfId="0" applyFont="1" applyFill="1" applyBorder="1" applyAlignment="1">
      <alignment horizontal="center" vertical="center"/>
    </xf>
    <xf numFmtId="14" fontId="19" fillId="12" borderId="2" xfId="0" applyNumberFormat="1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 wrapText="1"/>
    </xf>
    <xf numFmtId="165" fontId="19" fillId="12" borderId="2" xfId="0" applyNumberFormat="1" applyFont="1" applyFill="1" applyBorder="1" applyAlignment="1">
      <alignment horizontal="center" vertical="center"/>
    </xf>
    <xf numFmtId="167" fontId="19" fillId="12" borderId="2" xfId="0" applyNumberFormat="1" applyFont="1" applyFill="1" applyBorder="1" applyAlignment="1">
      <alignment horizontal="center" vertical="center"/>
    </xf>
    <xf numFmtId="0" fontId="19" fillId="12" borderId="17" xfId="0" applyFont="1" applyFill="1" applyBorder="1" applyAlignment="1">
      <alignment horizontal="center" vertical="center"/>
    </xf>
    <xf numFmtId="167" fontId="19" fillId="12" borderId="17" xfId="0" applyNumberFormat="1" applyFont="1" applyFill="1" applyBorder="1" applyAlignment="1">
      <alignment horizontal="center" vertical="center"/>
    </xf>
    <xf numFmtId="0" fontId="16" fillId="12" borderId="0" xfId="0" applyFont="1" applyFill="1"/>
    <xf numFmtId="0" fontId="2" fillId="0" borderId="13" xfId="0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67" fontId="2" fillId="0" borderId="23" xfId="0" applyNumberFormat="1" applyFont="1" applyBorder="1" applyAlignment="1">
      <alignment horizontal="center"/>
    </xf>
    <xf numFmtId="0" fontId="12" fillId="0" borderId="0" xfId="2" applyFont="1" applyFill="1" applyAlignment="1">
      <alignment horizontal="center"/>
    </xf>
    <xf numFmtId="0" fontId="5" fillId="0" borderId="24" xfId="0" applyFont="1" applyBorder="1"/>
    <xf numFmtId="14" fontId="2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164" fontId="2" fillId="0" borderId="24" xfId="1" applyFont="1" applyFill="1" applyBorder="1" applyAlignment="1">
      <alignment horizontal="center"/>
    </xf>
    <xf numFmtId="0" fontId="2" fillId="0" borderId="24" xfId="0" applyFont="1" applyBorder="1"/>
    <xf numFmtId="164" fontId="2" fillId="0" borderId="24" xfId="1" applyFont="1" applyBorder="1" applyAlignment="1">
      <alignment horizontal="center"/>
    </xf>
    <xf numFmtId="0" fontId="20" fillId="0" borderId="24" xfId="0" applyFont="1" applyBorder="1"/>
    <xf numFmtId="14" fontId="2" fillId="0" borderId="24" xfId="0" applyNumberFormat="1" applyFont="1" applyBorder="1"/>
    <xf numFmtId="164" fontId="2" fillId="0" borderId="24" xfId="1" applyFont="1" applyBorder="1"/>
    <xf numFmtId="14" fontId="16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6" fillId="0" borderId="24" xfId="0" applyFont="1" applyBorder="1" applyAlignment="1">
      <alignment horizontal="center" wrapText="1"/>
    </xf>
    <xf numFmtId="0" fontId="16" fillId="0" borderId="24" xfId="0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4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14" fontId="2" fillId="0" borderId="27" xfId="0" applyNumberFormat="1" applyFont="1" applyBorder="1" applyAlignment="1">
      <alignment horizontal="center"/>
    </xf>
    <xf numFmtId="164" fontId="2" fillId="0" borderId="27" xfId="1" applyFont="1" applyBorder="1" applyAlignment="1">
      <alignment horizontal="center"/>
    </xf>
    <xf numFmtId="14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14" fontId="2" fillId="0" borderId="28" xfId="0" applyNumberFormat="1" applyFont="1" applyBorder="1" applyAlignment="1">
      <alignment horizontal="center"/>
    </xf>
    <xf numFmtId="164" fontId="2" fillId="0" borderId="28" xfId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4" fontId="16" fillId="0" borderId="3" xfId="0" applyNumberFormat="1" applyFont="1" applyBorder="1" applyAlignment="1">
      <alignment horizontal="center"/>
    </xf>
    <xf numFmtId="164" fontId="16" fillId="0" borderId="3" xfId="1" applyFont="1" applyBorder="1" applyAlignment="1">
      <alignment horizontal="center"/>
    </xf>
    <xf numFmtId="0" fontId="16" fillId="0" borderId="3" xfId="0" applyFont="1" applyBorder="1" applyAlignment="1">
      <alignment horizontal="center" wrapText="1"/>
    </xf>
    <xf numFmtId="14" fontId="16" fillId="0" borderId="24" xfId="0" applyNumberFormat="1" applyFont="1" applyBorder="1" applyAlignment="1">
      <alignment horizontal="center"/>
    </xf>
    <xf numFmtId="164" fontId="16" fillId="0" borderId="24" xfId="1" applyFont="1" applyFill="1" applyBorder="1" applyAlignment="1">
      <alignment horizontal="center"/>
    </xf>
    <xf numFmtId="14" fontId="16" fillId="0" borderId="24" xfId="0" applyNumberFormat="1" applyFont="1" applyBorder="1" applyAlignment="1">
      <alignment horizontal="center" wrapText="1"/>
    </xf>
    <xf numFmtId="0" fontId="16" fillId="0" borderId="27" xfId="0" applyFont="1" applyBorder="1" applyAlignment="1">
      <alignment horizontal="center"/>
    </xf>
    <xf numFmtId="14" fontId="16" fillId="0" borderId="3" xfId="0" applyNumberFormat="1" applyFont="1" applyBorder="1" applyAlignment="1">
      <alignment horizontal="center" wrapText="1"/>
    </xf>
    <xf numFmtId="164" fontId="16" fillId="0" borderId="3" xfId="1" applyFont="1" applyFill="1" applyBorder="1" applyAlignment="1">
      <alignment horizontal="center"/>
    </xf>
    <xf numFmtId="164" fontId="16" fillId="0" borderId="15" xfId="1" applyFont="1" applyFill="1" applyBorder="1" applyAlignment="1">
      <alignment horizontal="center"/>
    </xf>
    <xf numFmtId="0" fontId="2" fillId="0" borderId="28" xfId="0" applyFont="1" applyBorder="1"/>
    <xf numFmtId="164" fontId="2" fillId="0" borderId="3" xfId="1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" fillId="0" borderId="30" xfId="0" applyFont="1" applyBorder="1"/>
    <xf numFmtId="0" fontId="16" fillId="0" borderId="1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7" xfId="0" applyFont="1" applyBorder="1"/>
    <xf numFmtId="2" fontId="2" fillId="14" borderId="24" xfId="0" applyNumberFormat="1" applyFont="1" applyFill="1" applyBorder="1" applyAlignment="1">
      <alignment horizontal="center"/>
    </xf>
    <xf numFmtId="14" fontId="2" fillId="14" borderId="24" xfId="0" applyNumberFormat="1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/>
    </xf>
    <xf numFmtId="14" fontId="2" fillId="14" borderId="24" xfId="0" applyNumberFormat="1" applyFont="1" applyFill="1" applyBorder="1" applyAlignment="1">
      <alignment horizontal="center"/>
    </xf>
    <xf numFmtId="164" fontId="2" fillId="14" borderId="24" xfId="1" applyFont="1" applyFill="1" applyBorder="1" applyAlignment="1">
      <alignment horizontal="center"/>
    </xf>
    <xf numFmtId="0" fontId="2" fillId="14" borderId="24" xfId="0" applyFont="1" applyFill="1" applyBorder="1"/>
    <xf numFmtId="0" fontId="19" fillId="12" borderId="17" xfId="0" applyFont="1" applyFill="1" applyBorder="1" applyAlignment="1">
      <alignment vertical="center"/>
    </xf>
    <xf numFmtId="0" fontId="16" fillId="0" borderId="29" xfId="0" applyFont="1" applyBorder="1" applyAlignment="1">
      <alignment horizontal="center"/>
    </xf>
    <xf numFmtId="0" fontId="5" fillId="10" borderId="24" xfId="0" applyFont="1" applyFill="1" applyBorder="1" applyAlignment="1">
      <alignment horizontal="center" vertical="center" wrapText="1"/>
    </xf>
    <xf numFmtId="14" fontId="5" fillId="3" borderId="24" xfId="0" applyNumberFormat="1" applyFont="1" applyFill="1" applyBorder="1" applyAlignment="1">
      <alignment horizontal="center" vertical="center" wrapText="1"/>
    </xf>
    <xf numFmtId="0" fontId="5" fillId="13" borderId="24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65" fontId="0" fillId="0" borderId="24" xfId="0" applyNumberFormat="1" applyBorder="1"/>
    <xf numFmtId="0" fontId="16" fillId="0" borderId="30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4" fontId="23" fillId="0" borderId="27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14" fontId="23" fillId="0" borderId="27" xfId="0" applyNumberFormat="1" applyFont="1" applyBorder="1" applyAlignment="1">
      <alignment horizontal="center"/>
    </xf>
    <xf numFmtId="14" fontId="22" fillId="0" borderId="27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14" fontId="2" fillId="0" borderId="28" xfId="0" applyNumberFormat="1" applyFont="1" applyBorder="1"/>
    <xf numFmtId="0" fontId="22" fillId="0" borderId="15" xfId="0" applyFont="1" applyBorder="1" applyAlignment="1">
      <alignment horizontal="center"/>
    </xf>
    <xf numFmtId="0" fontId="23" fillId="0" borderId="24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/>
    </xf>
    <xf numFmtId="164" fontId="23" fillId="0" borderId="27" xfId="1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24" xfId="0" applyFont="1" applyBorder="1"/>
  </cellXfs>
  <cellStyles count="3">
    <cellStyle name="Hiperlink" xfId="2" builtinId="8"/>
    <cellStyle name="Moeda" xfId="1" builtinId="4"/>
    <cellStyle name="Normal" xfId="0" builtinId="0"/>
  </cellStyles>
  <dxfs count="10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numFmt numFmtId="19" formatCode="dd/mm/yyyy"/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left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numFmt numFmtId="19" formatCode="dd/mm/yyyy"/>
      <alignment horizontal="center"/>
    </dxf>
    <dxf>
      <font>
        <name val="Aptos Narrow"/>
        <scheme val="minor"/>
      </font>
      <alignment horizontal="center"/>
    </dxf>
    <dxf>
      <font>
        <name val="Aptos Narrow"/>
        <scheme val="minor"/>
      </font>
      <alignment horizontal="center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mm/dd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mm/d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mm/d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7" formatCode="dd/mm/yy;@"/>
      <fill>
        <patternFill patternType="none">
          <fgColor indexed="64"/>
          <bgColor auto="1"/>
        </patternFill>
      </fill>
      <alignment horizontal="center"/>
      <border outline="0">
        <left style="dotted">
          <color rgb="FF000000"/>
        </left>
        <right/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border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outline="0">
        <left/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</dxfs>
  <tableStyles count="0" defaultTableStyle="TableStyleMedium2" defaultPivotStyle="PivotStyleLight16"/>
  <colors>
    <mruColors>
      <color rgb="FF9BF7EC"/>
      <color rgb="FF83CCEB"/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AE665" totalsRowShown="0" headerRowDxfId="103" dataDxfId="102" headerRowBorderDxfId="100" tableBorderDxfId="101">
  <autoFilter ref="A1:AE665" xr:uid="{00000000-000C-0000-FFFF-FFFF00000000}"/>
  <tableColumns count="31">
    <tableColumn id="1" xr3:uid="{00000000-0010-0000-0000-000001000000}" name="ORDEM" dataDxfId="99"/>
    <tableColumn id="13" xr3:uid="{FB1D3971-C751-4730-B8F0-ECD767A906C1}" name="DATA PEDIDO HP" dataDxfId="98"/>
    <tableColumn id="2" xr3:uid="{00000000-0010-0000-0000-000002000000}" name="DATA DO PEDIDO" dataDxfId="97"/>
    <tableColumn id="3" xr3:uid="{00000000-0010-0000-0000-000003000000}" name="CASO HP" dataDxfId="96"/>
    <tableColumn id="4" xr3:uid="{00000000-0010-0000-0000-000004000000}" name="CUSTOMER" dataDxfId="95"/>
    <tableColumn id="5" xr3:uid="{00000000-0010-0000-0000-000005000000}" name="EQUIPAMENTO" dataDxfId="94"/>
    <tableColumn id="6" xr3:uid="{00000000-0010-0000-0000-000006000000}" name="NUM SÉRIE" dataDxfId="93"/>
    <tableColumn id="7" xr3:uid="{00000000-0010-0000-0000-000007000000}" name="CÓDIGO " dataDxfId="92"/>
    <tableColumn id="8" xr3:uid="{00000000-0010-0000-0000-000008000000}" name="DESCRIÇÃO" dataDxfId="91"/>
    <tableColumn id="32" xr3:uid="{5D8F25F7-9F5D-4088-9F23-6373E932B732}" name="QUANTIDADE" dataDxfId="90"/>
    <tableColumn id="10" xr3:uid="{00000000-0010-0000-0000-00000A000000}" name="URGENTE" dataDxfId="89"/>
    <tableColumn id="11" xr3:uid="{00000000-0010-0000-0000-00000B000000}" name="TÉCNICO" dataDxfId="88"/>
    <tableColumn id="12" xr3:uid="{00000000-0010-0000-0000-00000C000000}" name="MOTIVO REPOSIÇÃO" dataDxfId="87"/>
    <tableColumn id="28" xr3:uid="{DF3B575A-EC7D-47D4-BC44-ECA50B4575F8}" name="RAT" dataDxfId="86"/>
    <tableColumn id="14" xr3:uid="{00000000-0010-0000-0000-00000E000000}" name="ORIGEM" dataDxfId="85"/>
    <tableColumn id="15" xr3:uid="{00000000-0010-0000-0000-00000F000000}" name="QTD ESTOQUE CP" dataDxfId="84"/>
    <tableColumn id="26" xr3:uid="{9D0C94E7-00A9-447C-B018-8A8E321E452C}" name="LOF" dataDxfId="83"/>
    <tableColumn id="16" xr3:uid="{00000000-0010-0000-0000-000010000000}" name="COD ALTERNATIVO" dataDxfId="82"/>
    <tableColumn id="18" xr3:uid="{00000000-0010-0000-0000-000012000000}" name="DATA DE ENTREGA AO CLIENTE" dataDxfId="81"/>
    <tableColumn id="19" xr3:uid="{00000000-0010-0000-0000-000013000000}" name="DATA DE ENVIO HP" dataDxfId="80"/>
    <tableColumn id="20" xr3:uid="{00000000-0010-0000-0000-000014000000}" name="DATA DE RECEBIMENTO CP" dataDxfId="79"/>
    <tableColumn id="21" xr3:uid="{00000000-0010-0000-0000-000015000000}" name="CONSOLIDADO" dataDxfId="78"/>
    <tableColumn id="23" xr3:uid="{00000000-0010-0000-0000-000017000000}" name="PREÇO UNITARIO" dataDxfId="77"/>
    <tableColumn id="24" xr3:uid="{00000000-0010-0000-0000-000018000000}" name="PREÇO TOTAL" dataDxfId="76">
      <calculatedColumnFormula>Table2[[#This Row],[QUANTIDADE]]*Table2[[#This Row],[PREÇO UNITARIO]]</calculatedColumnFormula>
    </tableColumn>
    <tableColumn id="25" xr3:uid="{00000000-0010-0000-0000-000019000000}" name="OBSERVAÇÃO" dataDxfId="75"/>
    <tableColumn id="27" xr3:uid="{2CFE3C89-14A5-4626-B4BE-75E7E569426A}" name="MES" dataDxfId="74">
      <calculatedColumnFormula>MONTH(B2)</calculatedColumnFormula>
    </tableColumn>
    <tableColumn id="17" xr3:uid="{797BD5C3-E8A5-4E2C-A65E-527EBC1713C4}" name="TIPO" dataDxfId="73"/>
    <tableColumn id="31" xr3:uid="{959F476F-9DCE-49DC-A865-8E8EC9671F66}" name="HOJE" dataDxfId="72">
      <calculatedColumnFormula>TODAY()</calculatedColumnFormula>
    </tableColumn>
    <tableColumn id="29" xr3:uid="{E2444964-B58C-4B07-9CED-9E027E10B276}" name="HOLD" dataDxfId="71">
      <calculatedColumnFormula>_xlfn.DAYS(Table2[[#This Row],[HOJE]],Table2[[#This Row],[DATA PEDIDO HP]])</calculatedColumnFormula>
    </tableColumn>
    <tableColumn id="9" xr3:uid="{340E8908-41CA-459D-A973-828B6AB1A855}" name="STATUS" dataDxfId="70">
      <calculatedColumnFormula>IF(Table2[[#This Row],[STATUS2]]="ENTREGUE","ENTREGUE","")</calculatedColumnFormula>
    </tableColumn>
    <tableColumn id="30" xr3:uid="{DB52EB30-083F-46EA-9589-2E3633733317}" name="STATUS2" dataDxfId="69">
      <calculatedColumnFormula>IF(Table2[[#This Row],[HOLD]]&gt;30,"ATRASADO","NO PRAZO")</calculatedColumnFormula>
    </tableColumn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B1398E-EAAB-4CE3-B68F-DD4864816712}" name="Table3" displayName="Table3" ref="A1:R510" totalsRowShown="0" headerRowDxfId="64" dataDxfId="63">
  <autoFilter ref="A1:R510" xr:uid="{DFB1398E-EAAB-4CE3-B68F-DD4864816712}"/>
  <tableColumns count="18">
    <tableColumn id="1" xr3:uid="{A4A44C80-A96A-41D1-B7F4-C8E089183F97}" name="PO" dataDxfId="62"/>
    <tableColumn id="2" xr3:uid="{D5D1DA21-6852-48DB-A7A9-1F32941FF3EA}" name="Order date" dataDxfId="61"/>
    <tableColumn id="3" xr3:uid="{02A51F93-BE90-4B81-82C0-D93DA63CA0D8}" name="Cliente" dataDxfId="60"/>
    <tableColumn id="4" xr3:uid="{AE6DFD60-786C-4F35-AF0B-C5465C19A4D9}" name="P/N" dataDxfId="59"/>
    <tableColumn id="5" xr3:uid="{0CA4D992-3FA6-4BFA-B541-5F704C20CAAD}" name="Alteração de PN (Compatible Part)" dataDxfId="58"/>
    <tableColumn id="6" xr3:uid="{75891FF3-64E5-433B-BB73-422AB08A186B}" name="Descrição " dataDxfId="57"/>
    <tableColumn id="7" xr3:uid="{9BB6EF0F-CC79-47D6-9463-07EB8C81FF08}" name="QTY" dataDxfId="56"/>
    <tableColumn id="8" xr3:uid="{1E915BF5-62AE-4AEC-A6CF-88BFFE17FAC4}" name="Unit Price" dataDxfId="55"/>
    <tableColumn id="9" xr3:uid="{AA58CD01-4732-474E-BD26-8C1AB7BBDFF3}" name="Total Price" dataDxfId="54">
      <calculatedColumnFormula>Table3[[#This Row],[Unit Price]]*Table3[[#This Row],[QTY]]</calculatedColumnFormula>
    </tableColumn>
    <tableColumn id="10" xr3:uid="{E050F116-0EBE-467E-9B89-C581DD93C632}" name="Consolidado" dataDxfId="53"/>
    <tableColumn id="11" xr3:uid="{B55DDC8F-33AE-4CE8-B893-3949261CC63C}" name="Origem" dataDxfId="52"/>
    <tableColumn id="12" xr3:uid="{51AB16E9-3665-43C9-AF73-B9C97CA5B4C2}" name="OBS" dataDxfId="51"/>
    <tableColumn id="13" xr3:uid="{DADA67CD-2298-4EEF-BA72-C155C6E1DEB0}" name="Invoice date" dataDxfId="50"/>
    <tableColumn id="14" xr3:uid="{2168508F-2497-4BA1-97EC-6E88BED53DD0}" name="Date of arrivel to CP" dataDxfId="49"/>
    <tableColumn id="15" xr3:uid="{81C3369B-24DC-471F-B296-E8FB845A284E}" name="Orçamento" dataDxfId="48"/>
    <tableColumn id="16" xr3:uid="{22182933-BCD5-473C-8B5A-AB9A2B79D5D5}" name="Ped. Venda" dataDxfId="47"/>
    <tableColumn id="17" xr3:uid="{626C9DA9-9DC5-4559-945F-5C2CC5222F23}" name="Data" dataDxfId="46"/>
    <tableColumn id="20" xr3:uid="{D44FF209-963E-4219-83D0-83C424DAD63B}" name="STATUS" dataDxfId="4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57A67-DC47-40DC-A63D-35870AE548FC}" name="Table4" displayName="Table4" ref="A1:L164" totalsRowShown="0" headerRowDxfId="44" dataDxfId="43" headerRowBorderDxfId="41" tableBorderDxfId="42">
  <autoFilter ref="A1:L164" xr:uid="{8D657A67-DC47-40DC-A63D-35870AE548FC}">
    <filterColumn colId="11">
      <filters>
        <filter val="3"/>
      </filters>
    </filterColumn>
  </autoFilter>
  <sortState xmlns:xlrd2="http://schemas.microsoft.com/office/spreadsheetml/2017/richdata2" ref="A2:L55">
    <sortCondition ref="A1:A55"/>
  </sortState>
  <tableColumns count="12">
    <tableColumn id="1" xr3:uid="{AB658431-4044-4496-83BE-D0AD951F0DD7}" name="Serial Number" dataDxfId="40"/>
    <tableColumn id="12" xr3:uid="{EE708A9B-31F6-4067-804A-A667263E3AB2}" name="Order Date" dataDxfId="39"/>
    <tableColumn id="2" xr3:uid="{E7C7CD95-DC22-4E15-928A-C66BC6145287}" name="Customer Name" dataDxfId="38"/>
    <tableColumn id="3" xr3:uid="{2ECD6508-0A82-46C0-8C08-772AD26E34AC}" name="Item Number" dataDxfId="37"/>
    <tableColumn id="4" xr3:uid="{5D61498C-D91F-403A-B202-9439D5420A65}" name="Part Description" dataDxfId="36"/>
    <tableColumn id="5" xr3:uid="{AC8042AE-FF02-4EF0-A653-9DA0E985A952}" name="Quantity Ordered" dataDxfId="35"/>
    <tableColumn id="6" xr3:uid="{CF6DC18F-546B-4F32-B469-4275F4947F80}" name="Quantity Supported" dataDxfId="34"/>
    <tableColumn id="7" xr3:uid="{555F4E06-2E1B-4524-8C85-E828543C0ECB}" name="Order Urgency" dataDxfId="33"/>
    <tableColumn id="8" xr3:uid="{A9F47474-E9F0-401E-84DC-BFD77C15FFA5}" name="Delivery Date" dataDxfId="32"/>
    <tableColumn id="9" xr3:uid="{6641410A-82FB-49B4-BC6A-AD1FD33E3513}" name="Order Reason" dataDxfId="31"/>
    <tableColumn id="10" xr3:uid="{F4C044D5-6316-4DAA-B88B-82C57D9E82B5}" name="Order Status" dataDxfId="30"/>
    <tableColumn id="11" xr3:uid="{3F6E6AF2-BDB6-4972-BB97-64EB1A18DB7C}" name="MES" dataDxfId="29">
      <calculatedColumnFormula>MONTH(Table4[[#This Row],[Order Date]])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AC289F-4F09-4F95-8B73-99912F34B7D4}" name="Tabela4" displayName="Tabela4" ref="A3:Y88" totalsRowShown="0">
  <autoFilter ref="A3:Y88" xr:uid="{45AC289F-4F09-4F95-8B73-99912F34B7D4}"/>
  <tableColumns count="25">
    <tableColumn id="1" xr3:uid="{75EB83A0-ADC6-4262-92EE-5A3F749AD30F}" name="ORDEM"/>
    <tableColumn id="2" xr3:uid="{CB13D8D2-D9BC-4342-A2E4-906DA8EB5FC3}" name="DATA PEDIDO HP" dataDxfId="28"/>
    <tableColumn id="3" xr3:uid="{1ED7FBD5-F1FF-486D-A300-7F27DC18F546}" name="DATA DO PEDIDO" dataDxfId="27"/>
    <tableColumn id="4" xr3:uid="{6491D61B-5511-4BD8-A254-EFA097B9DCEB}" name="CASO HP"/>
    <tableColumn id="5" xr3:uid="{58B508A6-8FCD-42A5-AA72-67F2C0DDABB5}" name="CLIENTE"/>
    <tableColumn id="6" xr3:uid="{23AE111F-C8CC-4DA8-BDD4-DAA831F1D507}" name="EQUIPAMENTO"/>
    <tableColumn id="7" xr3:uid="{E2D53A97-4F09-4150-BF05-E497052CE2F9}" name="NUM SÉRIE"/>
    <tableColumn id="8" xr3:uid="{705719C9-4E8D-43BD-A13C-6501C60BCC28}" name="CÓDIGO "/>
    <tableColumn id="9" xr3:uid="{DF14273C-9253-4A05-AEA5-04887AD08DA1}" name="DESCRIÇÃO"/>
    <tableColumn id="10" xr3:uid="{2ADA2058-26B0-4D74-B06E-D9C7ED6E18F8}" name="QUANTIDADE"/>
    <tableColumn id="11" xr3:uid="{64221FD0-AC57-44A7-B575-1258C2AC9AAA}" name="URGENTE"/>
    <tableColumn id="12" xr3:uid="{4A4734DA-8991-4D86-9989-09438554213F}" name="TÉCNICO"/>
    <tableColumn id="13" xr3:uid="{08FD4576-DD76-47A3-A002-CE162CD5C95C}" name="MOTIVO REPOSIÇÃO"/>
    <tableColumn id="14" xr3:uid="{16A47601-E1F7-457F-9719-896064EF2EA5}" name="ORIGEM"/>
    <tableColumn id="15" xr3:uid="{EE995C90-DAA3-4B4A-A22F-6206572D16D9}" name="QTD ESTOQUE CP"/>
    <tableColumn id="16" xr3:uid="{89CDAAB0-628E-4786-A44B-B9B6C34322A2}" name="COD ALTERNATIVO"/>
    <tableColumn id="17" xr3:uid="{8ACD1D70-1392-4D3A-A80A-DDA3E0A540F9}" name="RMA"/>
    <tableColumn id="18" xr3:uid="{0DAD8A2E-2601-4BF8-B9DA-6AE9FEAF0BD3}" name="DATA DE ENTREGA AO CLIENTE" dataDxfId="26"/>
    <tableColumn id="19" xr3:uid="{C06AD3F6-A425-4BFC-9A58-2921E1B210E3}" name="DATA DE ENVIO HP"/>
    <tableColumn id="20" xr3:uid="{62302F7B-011E-44DC-84BD-9E7EF708D479}" name="DATA DE RECEBIMENTO CP"/>
    <tableColumn id="21" xr3:uid="{5E7EE461-851F-4A10-876B-DE5418238F53}" name="CONSOLIDADO"/>
    <tableColumn id="22" xr3:uid="{08E917D5-473C-4731-A59B-7F538D397619}" name="NOTA FISCAL"/>
    <tableColumn id="23" xr3:uid="{6B887ED1-A648-4173-8ED1-97E5767ECA07}" name="PREÇO UNITARIO"/>
    <tableColumn id="24" xr3:uid="{3ACE48B7-BA04-42A7-B4E2-42D80F198D27}" name="PREÇO TOTAL"/>
    <tableColumn id="25" xr3:uid="{DC614367-15B4-4E6C-9817-A6D78CC44B5B}" name="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95ECF2-E34E-4F9F-9584-58E60E85768F}" name="Tabela5" displayName="Tabela5" ref="A3:Y89" totalsRowCount="1">
  <autoFilter ref="A3:Y88" xr:uid="{B895ECF2-E34E-4F9F-9584-58E60E85768F}"/>
  <tableColumns count="25">
    <tableColumn id="1" xr3:uid="{8B729AFE-8E43-4707-B8D2-1FE37202CE24}" name="ORDEM"/>
    <tableColumn id="2" xr3:uid="{25FBB8BC-E359-46DE-87C0-2D40BD38DBD0}" name="DATA PEDIDO HP" dataDxfId="24" totalsRowDxfId="25"/>
    <tableColumn id="3" xr3:uid="{05EC1478-85BD-41E2-A8A6-263FBA08CC9C}" name="DATA DO PEDIDO" dataDxfId="22" totalsRowDxfId="23"/>
    <tableColumn id="4" xr3:uid="{F79AE189-2C99-4831-B8F2-6954F6B55557}" name="CASO HP"/>
    <tableColumn id="5" xr3:uid="{EE8ADDBD-C0FA-4B29-A105-3295161E093F}" name="CLIENTE"/>
    <tableColumn id="6" xr3:uid="{9CD9CC33-AAF1-4214-B7F3-95362BF4B608}" name="EQUIPAMENTO"/>
    <tableColumn id="7" xr3:uid="{109B78DD-3651-4766-B970-0655D40DFE4E}" name="NUM SÉRIE"/>
    <tableColumn id="8" xr3:uid="{65302FE1-EDDC-4EC1-8DC9-4350ECACB05D}" name="CÓDIGO "/>
    <tableColumn id="9" xr3:uid="{EDA32D31-65AD-4C65-8B46-57BC2A5BAFAA}" name="DESCRIÇÃO"/>
    <tableColumn id="10" xr3:uid="{2DDC92B2-8CC1-4973-AE37-C5029B84D0FB}" name="QUANTIDADE" totalsRowFunction="sum"/>
    <tableColumn id="11" xr3:uid="{EA395BC3-BDFF-4FD4-8F1F-A3192B0E8AA2}" name="URGENTE"/>
    <tableColumn id="12" xr3:uid="{85C0783A-B21D-490D-93BE-477B7A231AA9}" name="TÉCNICO"/>
    <tableColumn id="13" xr3:uid="{A6AE68D0-71A9-4054-AB02-749CA52C8BEA}" name="MOTIVO REPOSIÇÃO"/>
    <tableColumn id="14" xr3:uid="{6B2B813F-4ACC-4F23-A25F-E5C6BB219218}" name="ORIGEM"/>
    <tableColumn id="15" xr3:uid="{D786EDEB-8030-4268-B047-EFA2E8377D8B}" name="QTD ESTOQUE CP" totalsRowFunction="sum"/>
    <tableColumn id="16" xr3:uid="{D725E346-5FAD-475D-9C99-6B77ABE02885}" name="COD ALTERNATIVO"/>
    <tableColumn id="17" xr3:uid="{719D97F4-074D-41AD-8151-0DC08B168775}" name="RMA"/>
    <tableColumn id="18" xr3:uid="{F65F556E-C803-4A6A-9ABF-FE74AB76B631}" name="DATA DE ENTREGA AO CLIENTE" dataDxfId="20" totalsRowDxfId="21"/>
    <tableColumn id="19" xr3:uid="{7677A692-CEF7-46DF-BF23-5CD6D4131F25}" name="DATA DE ENVIO HP"/>
    <tableColumn id="20" xr3:uid="{5F8CD32B-8FAF-4577-BE36-39D3D3AE6644}" name="DATA DE RECEBIMENTO CP"/>
    <tableColumn id="21" xr3:uid="{B12984AE-E8FA-4CEC-833A-4371C933724C}" name="CONSOLIDADO"/>
    <tableColumn id="22" xr3:uid="{1C8D058D-A9D1-499D-92DB-F9CFA5D34106}" name="NOTA FISCAL"/>
    <tableColumn id="23" xr3:uid="{5C8F8BFD-4E4B-4F18-BE4B-4706147B4407}" name="PREÇO UNITARIO"/>
    <tableColumn id="24" xr3:uid="{885DBAE6-9FF5-4463-89DB-4B48CB5A9C9A}" name="PREÇO TOTAL"/>
    <tableColumn id="25" xr3:uid="{A409523C-CFB4-4375-ADFB-F50328004725}" name="OBSERVA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C4FCF0-77BD-4AF9-B79A-81CAF61F8CD3}" name="Tabela6" displayName="Tabela6" ref="A3:L89" totalsRowShown="0">
  <autoFilter ref="A3:L89" xr:uid="{19C4FCF0-77BD-4AF9-B79A-81CAF61F8CD3}"/>
  <tableColumns count="12">
    <tableColumn id="1" xr3:uid="{7313F9AA-B0A3-4B36-8015-3651324AF39E}" name="Serial Number"/>
    <tableColumn id="2" xr3:uid="{F745A967-57C8-4199-A48D-B7948A57A592}" name="Order Date" dataDxfId="19"/>
    <tableColumn id="3" xr3:uid="{40EA249D-FC1A-4D54-979C-F4042222D6F1}" name="Customer Name"/>
    <tableColumn id="4" xr3:uid="{8D78F6B8-D821-45C9-B64E-D02D9DC5F9C8}" name="Item Number"/>
    <tableColumn id="5" xr3:uid="{9AA9BC45-2567-4FF7-86CB-0A300383B488}" name="Part Description"/>
    <tableColumn id="6" xr3:uid="{69D608D6-42FE-45B1-BCE1-CA25C5DE489C}" name="Quantity Ordered"/>
    <tableColumn id="7" xr3:uid="{945A6C63-471E-4CBF-BE21-02B4276F2105}" name="Quantity Supported"/>
    <tableColumn id="8" xr3:uid="{07086D7E-E0D3-4CDF-A7E3-47F43CB36546}" name="Order Urgency"/>
    <tableColumn id="9" xr3:uid="{62B80CD6-030B-4D3A-992B-31CE95062DA1}" name="Delivery Date" dataDxfId="18"/>
    <tableColumn id="10" xr3:uid="{28CDEC66-6DE2-4490-8B87-EFC1598B68D0}" name="Order Reason"/>
    <tableColumn id="11" xr3:uid="{7EDC8BAA-C9AE-4ADD-8E8F-14AC45B4DB7C}" name="Order Status"/>
    <tableColumn id="12" xr3:uid="{DE8B3925-32B6-4CFE-AF54-78C5DB35021A}" name="M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ABC303-4F14-411F-B238-186DA9DB18C5}" name="Tabela7" displayName="Tabela7" ref="A3:L305" totalsRowShown="0" dataDxfId="17">
  <autoFilter ref="A3:L305" xr:uid="{5BABC303-4F14-411F-B238-186DA9DB18C5}">
    <filterColumn colId="11">
      <filters>
        <filter val="5"/>
      </filters>
    </filterColumn>
  </autoFilter>
  <tableColumns count="12">
    <tableColumn id="1" xr3:uid="{B6018F26-C00A-4EB6-9A51-CC8206B0A8B1}" name="Serial Number" dataDxfId="16"/>
    <tableColumn id="2" xr3:uid="{81FE0C9C-9E4C-40D3-94BF-8E2CBB5F1F93}" name="Order Date" dataDxfId="15"/>
    <tableColumn id="3" xr3:uid="{695256A4-7587-4FD4-B25B-A88279A4F330}" name="Customer Name" dataDxfId="14"/>
    <tableColumn id="4" xr3:uid="{208AE531-21EA-4A64-9276-6C9160D344A4}" name="Item Number" dataDxfId="13"/>
    <tableColumn id="5" xr3:uid="{77C7E460-F545-4071-B349-B8678F1A35A3}" name="Part Description" dataDxfId="12"/>
    <tableColumn id="6" xr3:uid="{CB17CFB8-4F03-4F06-BEA2-36074020749C}" name="Quantity Ordered" dataDxfId="11"/>
    <tableColumn id="7" xr3:uid="{0908CDD8-CF91-468C-ACE4-5BCB8CE70184}" name="Quantity Supported" dataDxfId="10"/>
    <tableColumn id="8" xr3:uid="{9E34D102-403F-49A4-84E7-51E6BAB09024}" name="Order Urgency" dataDxfId="9"/>
    <tableColumn id="9" xr3:uid="{C4C0F6D6-F300-4FCC-8089-D86B549F5B34}" name="Delivery Date" dataDxfId="8"/>
    <tableColumn id="10" xr3:uid="{DD346644-87A1-4053-8AAE-F7B183343211}" name="Order Reason" dataDxfId="7"/>
    <tableColumn id="11" xr3:uid="{9209BE49-44E5-4AE4-B99F-38B5D87B048D}" name="Order Status" dataDxfId="6"/>
    <tableColumn id="12" xr3:uid="{7E995DDA-C8FB-4185-8DEE-39ED1FB4533E}" name="MES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BC66A0-FA92-49E3-925C-D9BC7AD9C202}" name="Tabela8" displayName="Tabela8" ref="A3:L89" totalsRowShown="0">
  <autoFilter ref="A3:L89" xr:uid="{1ABC66A0-FA92-49E3-925C-D9BC7AD9C202}"/>
  <tableColumns count="12">
    <tableColumn id="1" xr3:uid="{D20F9171-BD4F-4847-97C5-AEA6203C79B0}" name="Serial Number"/>
    <tableColumn id="2" xr3:uid="{918B7C5D-6E9D-4E84-8B16-88191D5FF715}" name="Order Date" dataDxfId="4"/>
    <tableColumn id="3" xr3:uid="{72DAB5D6-FF2C-4583-AE4C-D27DFA37CD63}" name="Customer Name"/>
    <tableColumn id="4" xr3:uid="{74D99A0F-B310-4AEE-9856-2851ECF647C2}" name="Item Number"/>
    <tableColumn id="5" xr3:uid="{07E06363-7355-49CF-82A6-97175F8A2ED0}" name="Part Description"/>
    <tableColumn id="6" xr3:uid="{F174B258-E77A-49E1-9536-05FA2675955C}" name="Quantity Ordered"/>
    <tableColumn id="7" xr3:uid="{E887B96B-19C8-4900-94B0-1E5195F30B90}" name="Quantity Supported"/>
    <tableColumn id="8" xr3:uid="{C83CF5BA-0095-4E22-9E9B-695515267EBB}" name="Order Urgency"/>
    <tableColumn id="9" xr3:uid="{51D8FED3-3A8C-4768-80AC-3DC071EB5A33}" name="Delivery Date" dataDxfId="3"/>
    <tableColumn id="10" xr3:uid="{94153EE1-8A26-4604-86CB-616C90C0620C}" name="Order Reason"/>
    <tableColumn id="11" xr3:uid="{FEB938C9-27FC-46DC-B932-89B90BA28997}" name="Order Status"/>
    <tableColumn id="12" xr3:uid="{8ECACB41-0DF5-4F38-A9AC-6EA436C09072}" name="M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0B05E9-F3C1-48BC-B37A-A2FF2F47442C}" name="Tabela9" displayName="Tabela9" ref="A3:Y88" totalsRowShown="0">
  <autoFilter ref="A3:Y88" xr:uid="{7A0B05E9-F3C1-48BC-B37A-A2FF2F47442C}"/>
  <tableColumns count="25">
    <tableColumn id="1" xr3:uid="{6A0F0084-63DD-46C3-926D-D0DA5EE2D086}" name="ORDEM"/>
    <tableColumn id="2" xr3:uid="{6AA8C5CA-1D87-42DF-8D0F-76CE7A307E8A}" name="DATA PEDIDO HP" dataDxfId="2"/>
    <tableColumn id="3" xr3:uid="{EAD01124-9B58-44BD-B30D-012E4B7CABCB}" name="DATA DO PEDIDO" dataDxfId="1"/>
    <tableColumn id="4" xr3:uid="{979C5492-CBF2-41F3-8FFA-82DC9002F263}" name="CASO HP"/>
    <tableColumn id="5" xr3:uid="{45AAC65A-9666-4017-9D9B-114BD95DD73D}" name="CLIENTE"/>
    <tableColumn id="6" xr3:uid="{1429EBD7-66A5-4D5C-8653-4F9D3A0B701E}" name="EQUIPAMENTO"/>
    <tableColumn id="7" xr3:uid="{99BB4D50-E1C9-4F62-A1E8-AAC08420F508}" name="NUM SÉRIE"/>
    <tableColumn id="8" xr3:uid="{AAC4B3B7-7398-4C2C-BB04-595F7928F209}" name="CÓDIGO "/>
    <tableColumn id="9" xr3:uid="{F57FD1A2-3A9A-40A5-9D47-0FD079E8F0A6}" name="DESCRIÇÃO"/>
    <tableColumn id="10" xr3:uid="{1C44CEE1-107E-43C9-A300-6E190E4F40F9}" name="QUANTIDADE"/>
    <tableColumn id="11" xr3:uid="{542B71EC-E109-4FD4-AA55-3B8DAA5BD0F7}" name="URGENTE"/>
    <tableColumn id="12" xr3:uid="{95710213-D512-45FF-8047-8B965F6962D2}" name="TÉCNICO"/>
    <tableColumn id="13" xr3:uid="{44C705CB-9A34-456F-9CA7-DFE31CD4666B}" name="MOTIVO REPOSIÇÃO"/>
    <tableColumn id="14" xr3:uid="{2C426099-0B16-4611-86BF-7B875046A4D0}" name="ORIGEM"/>
    <tableColumn id="15" xr3:uid="{F7755E79-9514-4B24-BC63-C7A09F92DB5C}" name="QTD ESTOQUE CP"/>
    <tableColumn id="16" xr3:uid="{44EDFE64-1574-4997-A1B0-5AC72FABB540}" name="COD ALTERNATIVO"/>
    <tableColumn id="17" xr3:uid="{EEED3CA4-EDD9-4099-8272-FA117899743C}" name="RMA"/>
    <tableColumn id="18" xr3:uid="{1DAAD751-B7CE-4935-B4F7-4E6DF30BAF9D}" name="DATA DE ENTREGA AO CLIENTE" dataDxfId="0"/>
    <tableColumn id="19" xr3:uid="{C86BA9A5-2080-48A0-B9A5-00AC8B888F0A}" name="DATA DE ENVIO HP"/>
    <tableColumn id="20" xr3:uid="{CD83714C-C97B-4CDD-8DDE-FB18125542CB}" name="DATA DE RECEBIMENTO CP"/>
    <tableColumn id="21" xr3:uid="{310DF9A2-F97B-43B0-8DDB-9ED98DB57ED0}" name="CONSOLIDADO"/>
    <tableColumn id="22" xr3:uid="{4F28E8FA-C172-4B88-8E49-CF8EBC25A9FD}" name="NOTA FISCAL"/>
    <tableColumn id="23" xr3:uid="{67CB5E45-D43C-4F7D-B357-E0EEBC5AE4A4}" name="PREÇO UNITARIO"/>
    <tableColumn id="24" xr3:uid="{9E9307A2-5ACB-464B-9268-D2D31916F8A7}" name="PREÇO TOTAL"/>
    <tableColumn id="25" xr3:uid="{75BF110A-9BA6-49DB-9AFE-6DF0ACA0DBC3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ss-ext-pro.houston.hp.com/qadcse/cgi-bin/msgr/spareparts/sparePartsOrderStatusDetail.html?screenHeight=900&amp;browserName=ie&amp;browserVersion=5&amp;RequestNumber=17105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67"/>
  <sheetViews>
    <sheetView tabSelected="1" topLeftCell="A591" zoomScaleNormal="100" workbookViewId="0">
      <pane xSplit="9" topLeftCell="J584" activePane="topRight" state="frozen"/>
      <selection pane="topRight" activeCell="M611" sqref="M611"/>
      <selection activeCell="A245" sqref="A245"/>
    </sheetView>
  </sheetViews>
  <sheetFormatPr defaultColWidth="9.28515625" defaultRowHeight="15" customHeight="1"/>
  <cols>
    <col min="1" max="1" width="12.7109375" style="222" customWidth="1"/>
    <col min="2" max="2" width="13.7109375" style="225" customWidth="1"/>
    <col min="3" max="3" width="14.85546875" style="222" customWidth="1"/>
    <col min="4" max="4" width="14.7109375" style="222" customWidth="1"/>
    <col min="5" max="5" width="14" style="222" customWidth="1"/>
    <col min="6" max="6" width="19.28515625" style="222" customWidth="1"/>
    <col min="7" max="7" width="13.7109375" style="222" customWidth="1"/>
    <col min="8" max="8" width="18.5703125" style="222" customWidth="1"/>
    <col min="9" max="9" width="51.28515625" style="222" customWidth="1"/>
    <col min="10" max="10" width="18.7109375" style="222" customWidth="1"/>
    <col min="11" max="11" width="15.140625" style="222" customWidth="1"/>
    <col min="12" max="12" width="28.85546875" style="222" customWidth="1"/>
    <col min="13" max="13" width="17" style="219" bestFit="1" customWidth="1"/>
    <col min="14" max="14" width="11.42578125" style="222" customWidth="1"/>
    <col min="15" max="15" width="14.5703125" style="222" customWidth="1"/>
    <col min="16" max="16" width="18" style="222" customWidth="1"/>
    <col min="17" max="17" width="10" style="222" customWidth="1"/>
    <col min="18" max="18" width="16" style="222" customWidth="1"/>
    <col min="19" max="19" width="29.28515625" style="222" customWidth="1"/>
    <col min="20" max="20" width="24.7109375" style="222" customWidth="1"/>
    <col min="21" max="21" width="21.5703125" style="222" bestFit="1" customWidth="1"/>
    <col min="22" max="22" width="22.7109375" style="222" bestFit="1" customWidth="1"/>
    <col min="23" max="23" width="15.7109375" style="226" customWidth="1"/>
    <col min="24" max="24" width="21.7109375" style="226" customWidth="1"/>
    <col min="25" max="25" width="75" style="222" bestFit="1" customWidth="1"/>
    <col min="26" max="26" width="13.7109375" style="222" customWidth="1"/>
    <col min="27" max="27" width="21.28515625" style="222" customWidth="1"/>
    <col min="28" max="28" width="11.85546875" style="222" customWidth="1"/>
    <col min="29" max="29" width="10.42578125" style="222" customWidth="1"/>
    <col min="30" max="30" width="57" style="222" customWidth="1"/>
    <col min="31" max="31" width="10.42578125" style="222" customWidth="1"/>
    <col min="32" max="32" width="21.42578125" style="222" customWidth="1"/>
    <col min="33" max="16384" width="9.28515625" style="222"/>
  </cols>
  <sheetData>
    <row r="1" spans="1:32" s="216" customFormat="1" ht="44.45" customHeight="1">
      <c r="A1" s="272" t="s">
        <v>0</v>
      </c>
      <c r="B1" s="273" t="s">
        <v>1</v>
      </c>
      <c r="C1" s="272" t="s">
        <v>2</v>
      </c>
      <c r="D1" s="272" t="s">
        <v>3</v>
      </c>
      <c r="E1" s="272" t="s">
        <v>4</v>
      </c>
      <c r="F1" s="272" t="s">
        <v>5</v>
      </c>
      <c r="G1" s="272" t="s">
        <v>6</v>
      </c>
      <c r="H1" s="272" t="s">
        <v>7</v>
      </c>
      <c r="I1" s="272" t="s">
        <v>8</v>
      </c>
      <c r="J1" s="272" t="s">
        <v>9</v>
      </c>
      <c r="K1" s="272" t="s">
        <v>10</v>
      </c>
      <c r="L1" s="272" t="s">
        <v>11</v>
      </c>
      <c r="M1" s="272" t="s">
        <v>12</v>
      </c>
      <c r="N1" s="274" t="s">
        <v>13</v>
      </c>
      <c r="O1" s="274" t="s">
        <v>14</v>
      </c>
      <c r="P1" s="274" t="s">
        <v>15</v>
      </c>
      <c r="Q1" s="274" t="s">
        <v>16</v>
      </c>
      <c r="R1" s="275" t="s">
        <v>17</v>
      </c>
      <c r="S1" s="274" t="s">
        <v>18</v>
      </c>
      <c r="T1" s="275" t="s">
        <v>19</v>
      </c>
      <c r="U1" s="275" t="s">
        <v>20</v>
      </c>
      <c r="V1" s="275" t="s">
        <v>21</v>
      </c>
      <c r="W1" s="275" t="s">
        <v>22</v>
      </c>
      <c r="X1" s="275" t="s">
        <v>23</v>
      </c>
      <c r="Y1" s="274" t="s">
        <v>24</v>
      </c>
      <c r="Z1" s="274" t="s">
        <v>25</v>
      </c>
      <c r="AA1" s="274" t="s">
        <v>26</v>
      </c>
      <c r="AB1" s="274" t="s">
        <v>27</v>
      </c>
      <c r="AC1" s="274" t="s">
        <v>28</v>
      </c>
      <c r="AD1" s="274" t="s">
        <v>29</v>
      </c>
      <c r="AE1" s="274" t="s">
        <v>30</v>
      </c>
      <c r="AF1" s="276">
        <f>SUBTOTAL(9, X2:X665)</f>
        <v>304442.60000000044</v>
      </c>
    </row>
    <row r="2" spans="1:32" ht="14.45">
      <c r="A2" s="233" t="s">
        <v>31</v>
      </c>
      <c r="B2" s="217">
        <v>46027</v>
      </c>
      <c r="C2" s="217">
        <v>45659</v>
      </c>
      <c r="D2" s="218" t="s">
        <v>32</v>
      </c>
      <c r="E2" s="218" t="s">
        <v>33</v>
      </c>
      <c r="F2" s="218" t="s">
        <v>34</v>
      </c>
      <c r="G2" s="218">
        <v>50110372</v>
      </c>
      <c r="H2" s="218" t="s">
        <v>35</v>
      </c>
      <c r="I2" s="218" t="s">
        <v>36</v>
      </c>
      <c r="J2" s="218">
        <v>1</v>
      </c>
      <c r="K2" s="218" t="s">
        <v>37</v>
      </c>
      <c r="L2" s="218" t="s">
        <v>38</v>
      </c>
      <c r="M2" s="218" t="s">
        <v>39</v>
      </c>
      <c r="N2" s="218">
        <v>152604</v>
      </c>
      <c r="O2" s="219"/>
      <c r="P2" s="219"/>
      <c r="Q2" s="219"/>
      <c r="R2" s="219" t="s">
        <v>40</v>
      </c>
      <c r="S2" s="220">
        <v>46087</v>
      </c>
      <c r="T2" s="220">
        <v>46168</v>
      </c>
      <c r="U2" s="220">
        <v>46185</v>
      </c>
      <c r="V2" s="219" t="s">
        <v>41</v>
      </c>
      <c r="W2" s="221">
        <v>691.66</v>
      </c>
      <c r="X2" s="221">
        <f>Table2[[#This Row],[QUANTIDADE]]*Table2[[#This Row],[PREÇO UNITARIO]]</f>
        <v>691.66</v>
      </c>
      <c r="Y2" s="219"/>
      <c r="Z2" s="219">
        <f t="shared" ref="Z2:Z65" si="0">MONTH(B2)</f>
        <v>1</v>
      </c>
      <c r="AA2" s="219" t="s">
        <v>42</v>
      </c>
      <c r="AB2" s="220">
        <f t="shared" ref="AB2:AB65" ca="1" si="1">TODAY()</f>
        <v>46235</v>
      </c>
      <c r="AC2" s="219">
        <f ca="1">_xlfn.DAYS(Table2[[#This Row],[HOJE]],Table2[[#This Row],[DATA PEDIDO HP]])</f>
        <v>208</v>
      </c>
      <c r="AD2" s="219" t="str">
        <f>IF(Table2[[#This Row],[STATUS2]]="ENTREGUE","ENTREGUE","")</f>
        <v>ENTREGUE</v>
      </c>
      <c r="AE2" s="219" t="s">
        <v>43</v>
      </c>
    </row>
    <row r="3" spans="1:32" s="219" customFormat="1" ht="14.45">
      <c r="A3" s="233" t="s">
        <v>31</v>
      </c>
      <c r="B3" s="217">
        <v>46027</v>
      </c>
      <c r="C3" s="217">
        <v>45659</v>
      </c>
      <c r="D3" s="217" t="s">
        <v>32</v>
      </c>
      <c r="E3" s="218" t="s">
        <v>33</v>
      </c>
      <c r="F3" s="218" t="s">
        <v>34</v>
      </c>
      <c r="G3" s="218">
        <v>50110372</v>
      </c>
      <c r="H3" s="218" t="s">
        <v>44</v>
      </c>
      <c r="I3" s="218" t="s">
        <v>45</v>
      </c>
      <c r="J3" s="218">
        <v>1</v>
      </c>
      <c r="K3" s="218" t="s">
        <v>37</v>
      </c>
      <c r="L3" s="218" t="s">
        <v>38</v>
      </c>
      <c r="M3" s="218" t="s">
        <v>39</v>
      </c>
      <c r="N3" s="218">
        <v>152604</v>
      </c>
      <c r="S3" s="220">
        <v>46087</v>
      </c>
      <c r="T3" s="220">
        <v>46069</v>
      </c>
      <c r="U3" s="220">
        <v>46078</v>
      </c>
      <c r="V3" s="219" t="s">
        <v>46</v>
      </c>
      <c r="W3" s="221">
        <v>278.93</v>
      </c>
      <c r="X3" s="221">
        <f>Table2[[#This Row],[QUANTIDADE]]*Table2[[#This Row],[PREÇO UNITARIO]]</f>
        <v>278.93</v>
      </c>
      <c r="Z3" s="219">
        <f t="shared" si="0"/>
        <v>1</v>
      </c>
      <c r="AA3" s="219" t="s">
        <v>42</v>
      </c>
      <c r="AB3" s="220">
        <f t="shared" ca="1" si="1"/>
        <v>46235</v>
      </c>
      <c r="AC3" s="219">
        <f ca="1">_xlfn.DAYS(Table2[[#This Row],[HOJE]],Table2[[#This Row],[DATA PEDIDO HP]])</f>
        <v>208</v>
      </c>
      <c r="AD3" s="219" t="str">
        <f>IF(Table2[[#This Row],[STATUS2]]="ENTREGUE","ENTREGUE","")</f>
        <v>ENTREGUE</v>
      </c>
      <c r="AE3" s="219" t="s">
        <v>43</v>
      </c>
    </row>
    <row r="4" spans="1:32" ht="14.45">
      <c r="A4" s="233" t="s">
        <v>31</v>
      </c>
      <c r="B4" s="217">
        <v>46027</v>
      </c>
      <c r="C4" s="217">
        <v>45659</v>
      </c>
      <c r="D4" s="217" t="s">
        <v>32</v>
      </c>
      <c r="E4" s="218" t="s">
        <v>33</v>
      </c>
      <c r="F4" s="218" t="s">
        <v>34</v>
      </c>
      <c r="G4" s="218">
        <v>50110372</v>
      </c>
      <c r="H4" s="218" t="s">
        <v>47</v>
      </c>
      <c r="I4" s="218" t="s">
        <v>48</v>
      </c>
      <c r="J4" s="218">
        <v>1</v>
      </c>
      <c r="K4" s="218" t="s">
        <v>37</v>
      </c>
      <c r="L4" s="218" t="s">
        <v>38</v>
      </c>
      <c r="M4" s="218" t="s">
        <v>39</v>
      </c>
      <c r="N4" s="218">
        <v>152604</v>
      </c>
      <c r="O4" s="219"/>
      <c r="P4" s="219"/>
      <c r="Q4" s="219"/>
      <c r="R4" s="219"/>
      <c r="S4" s="220">
        <v>46087</v>
      </c>
      <c r="T4" s="220">
        <v>46070</v>
      </c>
      <c r="U4" s="220">
        <v>46084</v>
      </c>
      <c r="V4" s="219" t="s">
        <v>49</v>
      </c>
      <c r="W4" s="221">
        <v>244.96</v>
      </c>
      <c r="X4" s="221">
        <f>Table2[[#This Row],[QUANTIDADE]]*Table2[[#This Row],[PREÇO UNITARIO]]</f>
        <v>244.96</v>
      </c>
      <c r="Y4" s="219"/>
      <c r="Z4" s="219">
        <f t="shared" si="0"/>
        <v>1</v>
      </c>
      <c r="AA4" s="219" t="s">
        <v>42</v>
      </c>
      <c r="AB4" s="220">
        <f t="shared" ca="1" si="1"/>
        <v>46235</v>
      </c>
      <c r="AC4" s="219">
        <f ca="1">_xlfn.DAYS(Table2[[#This Row],[HOJE]],Table2[[#This Row],[DATA PEDIDO HP]])</f>
        <v>208</v>
      </c>
      <c r="AD4" s="219" t="str">
        <f>IF(Table2[[#This Row],[STATUS2]]="ENTREGUE","ENTREGUE","")</f>
        <v>ENTREGUE</v>
      </c>
      <c r="AE4" s="219" t="s">
        <v>43</v>
      </c>
    </row>
    <row r="5" spans="1:32" ht="14.45">
      <c r="A5" s="233" t="s">
        <v>31</v>
      </c>
      <c r="B5" s="217">
        <v>46027</v>
      </c>
      <c r="C5" s="217">
        <v>45659</v>
      </c>
      <c r="D5" s="217" t="s">
        <v>32</v>
      </c>
      <c r="E5" s="218" t="s">
        <v>33</v>
      </c>
      <c r="F5" s="218" t="s">
        <v>34</v>
      </c>
      <c r="G5" s="218">
        <v>50110372</v>
      </c>
      <c r="H5" s="218" t="s">
        <v>50</v>
      </c>
      <c r="I5" s="218" t="s">
        <v>51</v>
      </c>
      <c r="J5" s="218">
        <v>1</v>
      </c>
      <c r="K5" s="218" t="s">
        <v>37</v>
      </c>
      <c r="L5" s="218" t="s">
        <v>38</v>
      </c>
      <c r="M5" s="218" t="s">
        <v>39</v>
      </c>
      <c r="N5" s="218">
        <v>152604</v>
      </c>
      <c r="O5" s="219"/>
      <c r="P5" s="219"/>
      <c r="Q5" s="219"/>
      <c r="R5" s="219"/>
      <c r="S5" s="220">
        <v>46087</v>
      </c>
      <c r="T5" s="220">
        <v>46070</v>
      </c>
      <c r="U5" s="220">
        <v>46084</v>
      </c>
      <c r="V5" s="219" t="s">
        <v>49</v>
      </c>
      <c r="W5" s="221">
        <v>202.65</v>
      </c>
      <c r="X5" s="221">
        <f>Table2[[#This Row],[QUANTIDADE]]*Table2[[#This Row],[PREÇO UNITARIO]]</f>
        <v>202.65</v>
      </c>
      <c r="Y5" s="219"/>
      <c r="Z5" s="219">
        <f t="shared" si="0"/>
        <v>1</v>
      </c>
      <c r="AA5" s="219" t="s">
        <v>42</v>
      </c>
      <c r="AB5" s="220">
        <f t="shared" ca="1" si="1"/>
        <v>46235</v>
      </c>
      <c r="AC5" s="219">
        <f ca="1">_xlfn.DAYS(Table2[[#This Row],[HOJE]],Table2[[#This Row],[DATA PEDIDO HP]])</f>
        <v>208</v>
      </c>
      <c r="AD5" s="219" t="str">
        <f>IF(Table2[[#This Row],[STATUS2]]="ENTREGUE","ENTREGUE","")</f>
        <v>ENTREGUE</v>
      </c>
      <c r="AE5" s="219" t="s">
        <v>43</v>
      </c>
    </row>
    <row r="6" spans="1:32" ht="14.45">
      <c r="A6" s="233" t="s">
        <v>31</v>
      </c>
      <c r="B6" s="217">
        <v>46027</v>
      </c>
      <c r="C6" s="217">
        <v>45659</v>
      </c>
      <c r="D6" s="218" t="s">
        <v>32</v>
      </c>
      <c r="E6" s="218" t="s">
        <v>33</v>
      </c>
      <c r="F6" s="218" t="s">
        <v>34</v>
      </c>
      <c r="G6" s="218">
        <v>50110372</v>
      </c>
      <c r="H6" s="218" t="s">
        <v>52</v>
      </c>
      <c r="I6" s="218" t="s">
        <v>53</v>
      </c>
      <c r="J6" s="218">
        <v>1</v>
      </c>
      <c r="K6" s="218" t="s">
        <v>37</v>
      </c>
      <c r="L6" s="218" t="s">
        <v>38</v>
      </c>
      <c r="M6" s="218" t="s">
        <v>39</v>
      </c>
      <c r="N6" s="218">
        <v>152604</v>
      </c>
      <c r="O6" s="219"/>
      <c r="P6" s="219"/>
      <c r="Q6" s="219"/>
      <c r="R6" s="219"/>
      <c r="S6" s="220">
        <v>46087</v>
      </c>
      <c r="T6" s="220">
        <v>46070</v>
      </c>
      <c r="U6" s="220">
        <v>46084</v>
      </c>
      <c r="V6" s="219" t="s">
        <v>49</v>
      </c>
      <c r="W6" s="221">
        <v>139.96</v>
      </c>
      <c r="X6" s="221">
        <f>Table2[[#This Row],[QUANTIDADE]]*Table2[[#This Row],[PREÇO UNITARIO]]</f>
        <v>139.96</v>
      </c>
      <c r="Y6" s="219"/>
      <c r="Z6" s="219">
        <f t="shared" si="0"/>
        <v>1</v>
      </c>
      <c r="AA6" s="219" t="s">
        <v>42</v>
      </c>
      <c r="AB6" s="220">
        <f t="shared" ca="1" si="1"/>
        <v>46235</v>
      </c>
      <c r="AC6" s="219">
        <f ca="1">_xlfn.DAYS(Table2[[#This Row],[HOJE]],Table2[[#This Row],[DATA PEDIDO HP]])</f>
        <v>208</v>
      </c>
      <c r="AD6" s="219" t="str">
        <f>IF(Table2[[#This Row],[STATUS2]]="ENTREGUE","ENTREGUE","")</f>
        <v>ENTREGUE</v>
      </c>
      <c r="AE6" s="219" t="s">
        <v>43</v>
      </c>
    </row>
    <row r="7" spans="1:32" ht="14.45">
      <c r="A7" s="233" t="s">
        <v>31</v>
      </c>
      <c r="B7" s="217">
        <v>46027</v>
      </c>
      <c r="C7" s="217">
        <v>45659</v>
      </c>
      <c r="D7" s="218" t="s">
        <v>32</v>
      </c>
      <c r="E7" s="218" t="s">
        <v>33</v>
      </c>
      <c r="F7" s="218" t="s">
        <v>34</v>
      </c>
      <c r="G7" s="218">
        <v>50110372</v>
      </c>
      <c r="H7" s="218" t="s">
        <v>54</v>
      </c>
      <c r="I7" s="218" t="s">
        <v>55</v>
      </c>
      <c r="J7" s="218">
        <v>1</v>
      </c>
      <c r="K7" s="218" t="s">
        <v>37</v>
      </c>
      <c r="L7" s="218" t="s">
        <v>38</v>
      </c>
      <c r="M7" s="218" t="s">
        <v>39</v>
      </c>
      <c r="N7" s="218">
        <v>152604</v>
      </c>
      <c r="O7" s="219"/>
      <c r="P7" s="219"/>
      <c r="Q7" s="219"/>
      <c r="R7" s="219"/>
      <c r="S7" s="220">
        <v>46087</v>
      </c>
      <c r="T7" s="220">
        <v>46104</v>
      </c>
      <c r="U7" s="220">
        <v>46120</v>
      </c>
      <c r="V7" s="219" t="s">
        <v>56</v>
      </c>
      <c r="W7" s="221">
        <v>31.03</v>
      </c>
      <c r="X7" s="221">
        <f>Table2[[#This Row],[QUANTIDADE]]*Table2[[#This Row],[PREÇO UNITARIO]]</f>
        <v>31.03</v>
      </c>
      <c r="Y7" s="219"/>
      <c r="Z7" s="219">
        <f t="shared" si="0"/>
        <v>1</v>
      </c>
      <c r="AA7" s="219" t="s">
        <v>42</v>
      </c>
      <c r="AB7" s="220">
        <f t="shared" ca="1" si="1"/>
        <v>46235</v>
      </c>
      <c r="AC7" s="219">
        <f ca="1">_xlfn.DAYS(Table2[[#This Row],[HOJE]],Table2[[#This Row],[DATA PEDIDO HP]])</f>
        <v>208</v>
      </c>
      <c r="AD7" s="219" t="str">
        <f>IF(Table2[[#This Row],[STATUS2]]="ENTREGUE","ENTREGUE","")</f>
        <v>ENTREGUE</v>
      </c>
      <c r="AE7" s="219" t="s">
        <v>43</v>
      </c>
    </row>
    <row r="8" spans="1:32" ht="14.45">
      <c r="A8" s="233" t="s">
        <v>57</v>
      </c>
      <c r="B8" s="217">
        <v>46027</v>
      </c>
      <c r="C8" s="217">
        <v>45659</v>
      </c>
      <c r="D8" s="218" t="s">
        <v>58</v>
      </c>
      <c r="E8" s="218" t="s">
        <v>33</v>
      </c>
      <c r="F8" s="218" t="s">
        <v>34</v>
      </c>
      <c r="G8" s="218">
        <v>50110372</v>
      </c>
      <c r="H8" s="218" t="s">
        <v>59</v>
      </c>
      <c r="I8" s="218" t="s">
        <v>60</v>
      </c>
      <c r="J8" s="218">
        <v>1</v>
      </c>
      <c r="K8" s="218" t="s">
        <v>37</v>
      </c>
      <c r="L8" s="218" t="s">
        <v>38</v>
      </c>
      <c r="M8" s="218" t="s">
        <v>39</v>
      </c>
      <c r="N8" s="218">
        <v>152604</v>
      </c>
      <c r="O8" s="219"/>
      <c r="P8" s="219"/>
      <c r="Q8" s="219"/>
      <c r="R8" s="219"/>
      <c r="S8" s="220">
        <v>46087</v>
      </c>
      <c r="T8" s="220">
        <v>46056</v>
      </c>
      <c r="U8" s="220">
        <v>46065</v>
      </c>
      <c r="V8" s="219" t="s">
        <v>61</v>
      </c>
      <c r="W8" s="221">
        <v>171.64</v>
      </c>
      <c r="X8" s="221">
        <f>Table2[[#This Row],[QUANTIDADE]]*Table2[[#This Row],[PREÇO UNITARIO]]</f>
        <v>171.64</v>
      </c>
      <c r="Y8" s="219"/>
      <c r="Z8" s="219">
        <f t="shared" si="0"/>
        <v>1</v>
      </c>
      <c r="AA8" s="219" t="s">
        <v>42</v>
      </c>
      <c r="AB8" s="220">
        <f t="shared" ca="1" si="1"/>
        <v>46235</v>
      </c>
      <c r="AC8" s="219">
        <f ca="1">_xlfn.DAYS(Table2[[#This Row],[HOJE]],Table2[[#This Row],[DATA PEDIDO HP]])</f>
        <v>208</v>
      </c>
      <c r="AD8" s="219" t="str">
        <f>IF(Table2[[#This Row],[STATUS2]]="ENTREGUE","ENTREGUE","")</f>
        <v>ENTREGUE</v>
      </c>
      <c r="AE8" s="219" t="s">
        <v>43</v>
      </c>
    </row>
    <row r="9" spans="1:32" ht="14.45">
      <c r="A9" s="233" t="s">
        <v>57</v>
      </c>
      <c r="B9" s="217">
        <v>46027</v>
      </c>
      <c r="C9" s="217">
        <v>45659</v>
      </c>
      <c r="D9" s="218" t="s">
        <v>58</v>
      </c>
      <c r="E9" s="218" t="s">
        <v>33</v>
      </c>
      <c r="F9" s="218" t="s">
        <v>34</v>
      </c>
      <c r="G9" s="218">
        <v>50110372</v>
      </c>
      <c r="H9" s="218" t="s">
        <v>62</v>
      </c>
      <c r="I9" s="218" t="s">
        <v>63</v>
      </c>
      <c r="J9" s="218">
        <v>1</v>
      </c>
      <c r="K9" s="218" t="s">
        <v>37</v>
      </c>
      <c r="L9" s="218" t="s">
        <v>38</v>
      </c>
      <c r="M9" s="218" t="s">
        <v>39</v>
      </c>
      <c r="N9" s="218">
        <v>152604</v>
      </c>
      <c r="O9" s="219"/>
      <c r="P9" s="219"/>
      <c r="Q9" s="219"/>
      <c r="R9" s="219" t="s">
        <v>64</v>
      </c>
      <c r="S9" s="220">
        <v>46087</v>
      </c>
      <c r="T9" s="220">
        <v>46056</v>
      </c>
      <c r="U9" s="220">
        <v>46065</v>
      </c>
      <c r="V9" s="219" t="s">
        <v>61</v>
      </c>
      <c r="W9" s="221">
        <v>102.89</v>
      </c>
      <c r="X9" s="221">
        <f>Table2[[#This Row],[QUANTIDADE]]*Table2[[#This Row],[PREÇO UNITARIO]]</f>
        <v>102.89</v>
      </c>
      <c r="Y9" s="219"/>
      <c r="Z9" s="219">
        <f t="shared" si="0"/>
        <v>1</v>
      </c>
      <c r="AA9" s="219" t="s">
        <v>42</v>
      </c>
      <c r="AB9" s="220">
        <f t="shared" ca="1" si="1"/>
        <v>46235</v>
      </c>
      <c r="AC9" s="219">
        <f ca="1">_xlfn.DAYS(Table2[[#This Row],[HOJE]],Table2[[#This Row],[DATA PEDIDO HP]])</f>
        <v>208</v>
      </c>
      <c r="AD9" s="219" t="str">
        <f>IF(Table2[[#This Row],[STATUS2]]="ENTREGUE","ENTREGUE","")</f>
        <v>ENTREGUE</v>
      </c>
      <c r="AE9" s="219" t="s">
        <v>43</v>
      </c>
    </row>
    <row r="10" spans="1:32" ht="14.45">
      <c r="A10" s="233" t="s">
        <v>57</v>
      </c>
      <c r="B10" s="217">
        <v>46027</v>
      </c>
      <c r="C10" s="217">
        <v>45659</v>
      </c>
      <c r="D10" s="218" t="s">
        <v>58</v>
      </c>
      <c r="E10" s="218" t="s">
        <v>33</v>
      </c>
      <c r="F10" s="218" t="s">
        <v>34</v>
      </c>
      <c r="G10" s="218">
        <v>50110372</v>
      </c>
      <c r="H10" s="218" t="s">
        <v>65</v>
      </c>
      <c r="I10" s="218" t="s">
        <v>66</v>
      </c>
      <c r="J10" s="218">
        <v>1</v>
      </c>
      <c r="K10" s="218" t="s">
        <v>37</v>
      </c>
      <c r="L10" s="218" t="s">
        <v>38</v>
      </c>
      <c r="M10" s="218" t="s">
        <v>39</v>
      </c>
      <c r="N10" s="218">
        <v>152604</v>
      </c>
      <c r="O10" s="219"/>
      <c r="P10" s="219"/>
      <c r="Q10" s="219"/>
      <c r="R10" s="219"/>
      <c r="S10" s="220">
        <v>46087</v>
      </c>
      <c r="T10" s="220">
        <v>46056</v>
      </c>
      <c r="U10" s="220">
        <v>46065</v>
      </c>
      <c r="V10" s="219" t="s">
        <v>61</v>
      </c>
      <c r="W10" s="221">
        <v>56.63</v>
      </c>
      <c r="X10" s="221">
        <f>Table2[[#This Row],[QUANTIDADE]]*Table2[[#This Row],[PREÇO UNITARIO]]</f>
        <v>56.63</v>
      </c>
      <c r="Y10" s="219"/>
      <c r="Z10" s="219">
        <f t="shared" si="0"/>
        <v>1</v>
      </c>
      <c r="AA10" s="219" t="s">
        <v>42</v>
      </c>
      <c r="AB10" s="220">
        <f t="shared" ca="1" si="1"/>
        <v>46235</v>
      </c>
      <c r="AC10" s="219">
        <f ca="1">_xlfn.DAYS(Table2[[#This Row],[HOJE]],Table2[[#This Row],[DATA PEDIDO HP]])</f>
        <v>208</v>
      </c>
      <c r="AD10" s="219" t="str">
        <f>IF(Table2[[#This Row],[STATUS2]]="ENTREGUE","ENTREGUE","")</f>
        <v>ENTREGUE</v>
      </c>
      <c r="AE10" s="219" t="s">
        <v>43</v>
      </c>
    </row>
    <row r="11" spans="1:32" ht="14.45">
      <c r="A11" s="233" t="s">
        <v>67</v>
      </c>
      <c r="B11" s="217">
        <v>46030</v>
      </c>
      <c r="C11" s="217">
        <v>46007</v>
      </c>
      <c r="D11" s="218" t="s">
        <v>68</v>
      </c>
      <c r="E11" s="218" t="s">
        <v>69</v>
      </c>
      <c r="F11" s="218" t="s">
        <v>34</v>
      </c>
      <c r="G11" s="218">
        <v>50200095</v>
      </c>
      <c r="H11" s="218" t="s">
        <v>70</v>
      </c>
      <c r="I11" s="218" t="s">
        <v>71</v>
      </c>
      <c r="J11" s="218">
        <v>1</v>
      </c>
      <c r="K11" s="218" t="s">
        <v>37</v>
      </c>
      <c r="L11" s="218" t="s">
        <v>72</v>
      </c>
      <c r="M11" s="218" t="s">
        <v>73</v>
      </c>
      <c r="N11" s="218">
        <v>151547</v>
      </c>
      <c r="O11" s="219"/>
      <c r="P11" s="219"/>
      <c r="Q11" s="219"/>
      <c r="R11" s="219"/>
      <c r="S11" s="220"/>
      <c r="T11" s="220">
        <v>46070</v>
      </c>
      <c r="U11" s="220">
        <v>46084</v>
      </c>
      <c r="V11" s="219" t="s">
        <v>49</v>
      </c>
      <c r="W11" s="221">
        <v>35.19</v>
      </c>
      <c r="X11" s="221">
        <f>Table2[[#This Row],[QUANTIDADE]]*Table2[[#This Row],[PREÇO UNITARIO]]</f>
        <v>35.19</v>
      </c>
      <c r="Y11" s="219"/>
      <c r="Z11" s="219">
        <f t="shared" si="0"/>
        <v>1</v>
      </c>
      <c r="AA11" s="219" t="s">
        <v>74</v>
      </c>
      <c r="AB11" s="220">
        <f t="shared" ca="1" si="1"/>
        <v>46235</v>
      </c>
      <c r="AC11" s="219">
        <f ca="1">_xlfn.DAYS(Table2[[#This Row],[HOJE]],Table2[[#This Row],[DATA PEDIDO HP]])</f>
        <v>205</v>
      </c>
      <c r="AD11" s="219" t="str">
        <f>IF(Table2[[#This Row],[STATUS2]]="ENTREGUE","ENTREGUE","")</f>
        <v>ENTREGUE</v>
      </c>
      <c r="AE11" s="219" t="s">
        <v>43</v>
      </c>
    </row>
    <row r="12" spans="1:32" ht="14.45">
      <c r="A12" s="233" t="s">
        <v>67</v>
      </c>
      <c r="B12" s="217">
        <v>46030</v>
      </c>
      <c r="C12" s="217">
        <v>46007</v>
      </c>
      <c r="D12" s="218" t="s">
        <v>68</v>
      </c>
      <c r="E12" s="218" t="s">
        <v>69</v>
      </c>
      <c r="F12" s="218" t="s">
        <v>34</v>
      </c>
      <c r="G12" s="218">
        <v>50200095</v>
      </c>
      <c r="H12" s="218" t="s">
        <v>75</v>
      </c>
      <c r="I12" s="218" t="s">
        <v>76</v>
      </c>
      <c r="J12" s="218">
        <v>1</v>
      </c>
      <c r="K12" s="218" t="s">
        <v>37</v>
      </c>
      <c r="L12" s="218" t="s">
        <v>72</v>
      </c>
      <c r="M12" s="218" t="s">
        <v>73</v>
      </c>
      <c r="N12" s="218">
        <v>151547</v>
      </c>
      <c r="O12" s="219"/>
      <c r="P12" s="219"/>
      <c r="Q12" s="219"/>
      <c r="R12" s="219"/>
      <c r="S12" s="220"/>
      <c r="T12" s="220">
        <v>46070</v>
      </c>
      <c r="U12" s="220">
        <v>46084</v>
      </c>
      <c r="V12" s="219" t="s">
        <v>49</v>
      </c>
      <c r="W12" s="221">
        <v>31.55</v>
      </c>
      <c r="X12" s="221">
        <f>Table2[[#This Row],[QUANTIDADE]]*Table2[[#This Row],[PREÇO UNITARIO]]</f>
        <v>31.55</v>
      </c>
      <c r="Y12" s="219"/>
      <c r="Z12" s="219">
        <f t="shared" si="0"/>
        <v>1</v>
      </c>
      <c r="AA12" s="219" t="s">
        <v>74</v>
      </c>
      <c r="AB12" s="220">
        <f t="shared" ca="1" si="1"/>
        <v>46235</v>
      </c>
      <c r="AC12" s="219">
        <f ca="1">_xlfn.DAYS(Table2[[#This Row],[HOJE]],Table2[[#This Row],[DATA PEDIDO HP]])</f>
        <v>205</v>
      </c>
      <c r="AD12" s="219" t="str">
        <f>IF(Table2[[#This Row],[STATUS2]]="ENTREGUE","ENTREGUE","")</f>
        <v>ENTREGUE</v>
      </c>
      <c r="AE12" s="219" t="s">
        <v>43</v>
      </c>
    </row>
    <row r="13" spans="1:32" ht="14.45">
      <c r="A13" s="233" t="s">
        <v>77</v>
      </c>
      <c r="B13" s="217">
        <v>46030</v>
      </c>
      <c r="C13" s="217">
        <v>46027</v>
      </c>
      <c r="D13" s="218" t="s">
        <v>78</v>
      </c>
      <c r="E13" s="218" t="s">
        <v>33</v>
      </c>
      <c r="F13" s="218" t="s">
        <v>34</v>
      </c>
      <c r="G13" s="218">
        <v>50110372</v>
      </c>
      <c r="H13" s="218" t="s">
        <v>79</v>
      </c>
      <c r="I13" s="218" t="s">
        <v>80</v>
      </c>
      <c r="J13" s="218">
        <v>1</v>
      </c>
      <c r="K13" s="218" t="s">
        <v>37</v>
      </c>
      <c r="L13" s="218" t="s">
        <v>72</v>
      </c>
      <c r="M13" s="218" t="s">
        <v>81</v>
      </c>
      <c r="N13" s="218">
        <v>153527</v>
      </c>
      <c r="O13" s="219"/>
      <c r="P13" s="219"/>
      <c r="Q13" s="219"/>
      <c r="R13" s="219"/>
      <c r="S13" s="220">
        <v>46087</v>
      </c>
      <c r="T13" s="220">
        <v>46070</v>
      </c>
      <c r="U13" s="220">
        <v>46084</v>
      </c>
      <c r="V13" s="219" t="s">
        <v>49</v>
      </c>
      <c r="W13" s="221">
        <v>42.46</v>
      </c>
      <c r="X13" s="221">
        <f>Table2[[#This Row],[QUANTIDADE]]*Table2[[#This Row],[PREÇO UNITARIO]]</f>
        <v>42.46</v>
      </c>
      <c r="Y13" s="219"/>
      <c r="Z13" s="219">
        <f t="shared" si="0"/>
        <v>1</v>
      </c>
      <c r="AA13" s="219" t="s">
        <v>42</v>
      </c>
      <c r="AB13" s="220">
        <f t="shared" ca="1" si="1"/>
        <v>46235</v>
      </c>
      <c r="AC13" s="219">
        <f ca="1">_xlfn.DAYS(Table2[[#This Row],[HOJE]],Table2[[#This Row],[DATA PEDIDO HP]])</f>
        <v>205</v>
      </c>
      <c r="AD13" s="219" t="str">
        <f>IF(Table2[[#This Row],[STATUS2]]="ENTREGUE","ENTREGUE","")</f>
        <v>ENTREGUE</v>
      </c>
      <c r="AE13" s="219" t="s">
        <v>43</v>
      </c>
    </row>
    <row r="14" spans="1:32" ht="14.45">
      <c r="A14" s="233" t="s">
        <v>77</v>
      </c>
      <c r="B14" s="217">
        <v>46030</v>
      </c>
      <c r="C14" s="217">
        <v>46027</v>
      </c>
      <c r="D14" s="218" t="s">
        <v>78</v>
      </c>
      <c r="E14" s="218" t="s">
        <v>33</v>
      </c>
      <c r="F14" s="218" t="s">
        <v>34</v>
      </c>
      <c r="G14" s="218">
        <v>50110372</v>
      </c>
      <c r="H14" s="218" t="s">
        <v>82</v>
      </c>
      <c r="I14" s="218" t="s">
        <v>83</v>
      </c>
      <c r="J14" s="218">
        <v>1</v>
      </c>
      <c r="K14" s="218" t="s">
        <v>37</v>
      </c>
      <c r="L14" s="218" t="s">
        <v>72</v>
      </c>
      <c r="M14" s="218" t="s">
        <v>81</v>
      </c>
      <c r="N14" s="218">
        <v>153527</v>
      </c>
      <c r="O14" s="219"/>
      <c r="P14" s="219"/>
      <c r="Q14" s="219"/>
      <c r="R14" s="219"/>
      <c r="S14" s="220">
        <v>46087</v>
      </c>
      <c r="T14" s="220">
        <v>46070</v>
      </c>
      <c r="U14" s="220">
        <v>46084</v>
      </c>
      <c r="V14" s="219" t="s">
        <v>49</v>
      </c>
      <c r="W14" s="221">
        <v>19.600000000000001</v>
      </c>
      <c r="X14" s="221">
        <f>Table2[[#This Row],[QUANTIDADE]]*Table2[[#This Row],[PREÇO UNITARIO]]</f>
        <v>19.600000000000001</v>
      </c>
      <c r="Y14" s="219"/>
      <c r="Z14" s="219">
        <f t="shared" si="0"/>
        <v>1</v>
      </c>
      <c r="AA14" s="219" t="s">
        <v>42</v>
      </c>
      <c r="AB14" s="220">
        <f t="shared" ca="1" si="1"/>
        <v>46235</v>
      </c>
      <c r="AC14" s="219">
        <f ca="1">_xlfn.DAYS(Table2[[#This Row],[HOJE]],Table2[[#This Row],[DATA PEDIDO HP]])</f>
        <v>205</v>
      </c>
      <c r="AD14" s="219" t="str">
        <f>IF(Table2[[#This Row],[STATUS2]]="ENTREGUE","ENTREGUE","")</f>
        <v>ENTREGUE</v>
      </c>
      <c r="AE14" s="219" t="s">
        <v>43</v>
      </c>
    </row>
    <row r="15" spans="1:32" ht="14.45">
      <c r="A15" s="233" t="s">
        <v>84</v>
      </c>
      <c r="B15" s="217">
        <v>46030</v>
      </c>
      <c r="C15" s="217">
        <v>46029</v>
      </c>
      <c r="D15" s="218" t="s">
        <v>85</v>
      </c>
      <c r="E15" s="218" t="s">
        <v>33</v>
      </c>
      <c r="F15" s="218" t="s">
        <v>34</v>
      </c>
      <c r="G15" s="218">
        <v>50110372</v>
      </c>
      <c r="H15" s="218" t="s">
        <v>70</v>
      </c>
      <c r="I15" s="218" t="s">
        <v>71</v>
      </c>
      <c r="J15" s="218">
        <v>1</v>
      </c>
      <c r="K15" s="218" t="s">
        <v>37</v>
      </c>
      <c r="L15" s="218" t="s">
        <v>72</v>
      </c>
      <c r="M15" s="218" t="s">
        <v>81</v>
      </c>
      <c r="N15" s="218">
        <v>153924</v>
      </c>
      <c r="O15" s="219"/>
      <c r="P15" s="219"/>
      <c r="Q15" s="219"/>
      <c r="R15" s="219"/>
      <c r="S15" s="220">
        <v>46087</v>
      </c>
      <c r="T15" s="220">
        <v>46070</v>
      </c>
      <c r="U15" s="220">
        <v>46084</v>
      </c>
      <c r="V15" s="219" t="s">
        <v>49</v>
      </c>
      <c r="W15" s="221">
        <v>35.19</v>
      </c>
      <c r="X15" s="221">
        <f>Table2[[#This Row],[QUANTIDADE]]*Table2[[#This Row],[PREÇO UNITARIO]]</f>
        <v>35.19</v>
      </c>
      <c r="Y15" s="219"/>
      <c r="Z15" s="219">
        <f t="shared" si="0"/>
        <v>1</v>
      </c>
      <c r="AA15" s="219" t="s">
        <v>42</v>
      </c>
      <c r="AB15" s="220">
        <f t="shared" ca="1" si="1"/>
        <v>46235</v>
      </c>
      <c r="AC15" s="219">
        <f ca="1">_xlfn.DAYS(Table2[[#This Row],[HOJE]],Table2[[#This Row],[DATA PEDIDO HP]])</f>
        <v>205</v>
      </c>
      <c r="AD15" s="219" t="str">
        <f>IF(Table2[[#This Row],[STATUS2]]="ENTREGUE","ENTREGUE","")</f>
        <v>ENTREGUE</v>
      </c>
      <c r="AE15" s="219" t="s">
        <v>43</v>
      </c>
    </row>
    <row r="16" spans="1:32" ht="14.45">
      <c r="A16" s="233" t="s">
        <v>86</v>
      </c>
      <c r="B16" s="217">
        <v>46030</v>
      </c>
      <c r="C16" s="217">
        <v>46013</v>
      </c>
      <c r="D16" s="218" t="s">
        <v>87</v>
      </c>
      <c r="E16" s="218" t="s">
        <v>88</v>
      </c>
      <c r="F16" s="218" t="s">
        <v>34</v>
      </c>
      <c r="G16" s="218">
        <v>50110057</v>
      </c>
      <c r="H16" s="218" t="s">
        <v>89</v>
      </c>
      <c r="I16" s="218" t="s">
        <v>90</v>
      </c>
      <c r="J16" s="218">
        <v>1</v>
      </c>
      <c r="K16" s="218" t="s">
        <v>37</v>
      </c>
      <c r="L16" s="218" t="s">
        <v>72</v>
      </c>
      <c r="M16" s="218" t="s">
        <v>73</v>
      </c>
      <c r="N16" s="218">
        <v>152606</v>
      </c>
      <c r="O16" s="219"/>
      <c r="P16" s="219"/>
      <c r="Q16" s="219"/>
      <c r="R16" s="219" t="s">
        <v>91</v>
      </c>
      <c r="S16" s="220"/>
      <c r="T16" s="220">
        <v>46070</v>
      </c>
      <c r="U16" s="220">
        <v>46084</v>
      </c>
      <c r="V16" s="219" t="s">
        <v>49</v>
      </c>
      <c r="W16" s="221">
        <v>874.36</v>
      </c>
      <c r="X16" s="221">
        <f>Table2[[#This Row],[QUANTIDADE]]*Table2[[#This Row],[PREÇO UNITARIO]]</f>
        <v>874.36</v>
      </c>
      <c r="Y16" s="219"/>
      <c r="Z16" s="219">
        <f t="shared" si="0"/>
        <v>1</v>
      </c>
      <c r="AA16" s="219" t="s">
        <v>42</v>
      </c>
      <c r="AB16" s="220">
        <f t="shared" ca="1" si="1"/>
        <v>46235</v>
      </c>
      <c r="AC16" s="219">
        <f ca="1">_xlfn.DAYS(Table2[[#This Row],[HOJE]],Table2[[#This Row],[DATA PEDIDO HP]])</f>
        <v>205</v>
      </c>
      <c r="AD16" s="219" t="str">
        <f>IF(Table2[[#This Row],[STATUS2]]="ENTREGUE","ENTREGUE","")</f>
        <v>ENTREGUE</v>
      </c>
      <c r="AE16" s="219" t="s">
        <v>43</v>
      </c>
    </row>
    <row r="17" spans="1:31" ht="14.45">
      <c r="A17" s="233" t="s">
        <v>92</v>
      </c>
      <c r="B17" s="217">
        <v>46030</v>
      </c>
      <c r="C17" s="217">
        <v>46008</v>
      </c>
      <c r="D17" s="218" t="s">
        <v>93</v>
      </c>
      <c r="E17" s="218" t="s">
        <v>94</v>
      </c>
      <c r="F17" s="218" t="s">
        <v>95</v>
      </c>
      <c r="G17" s="218">
        <v>60002072</v>
      </c>
      <c r="H17" s="218" t="s">
        <v>96</v>
      </c>
      <c r="I17" s="218" t="s">
        <v>97</v>
      </c>
      <c r="J17" s="218">
        <v>1</v>
      </c>
      <c r="K17" s="218" t="s">
        <v>37</v>
      </c>
      <c r="L17" s="218" t="s">
        <v>98</v>
      </c>
      <c r="M17" s="218" t="s">
        <v>39</v>
      </c>
      <c r="N17" s="218">
        <v>151185</v>
      </c>
      <c r="O17" s="219"/>
      <c r="P17" s="219"/>
      <c r="Q17" s="219"/>
      <c r="R17" s="219"/>
      <c r="S17" s="220">
        <v>46091</v>
      </c>
      <c r="T17" s="220">
        <v>46070</v>
      </c>
      <c r="U17" s="220">
        <v>46084</v>
      </c>
      <c r="V17" s="219" t="s">
        <v>49</v>
      </c>
      <c r="W17" s="221">
        <v>1533.55</v>
      </c>
      <c r="X17" s="221">
        <f>Table2[[#This Row],[QUANTIDADE]]*Table2[[#This Row],[PREÇO UNITARIO]]</f>
        <v>1533.55</v>
      </c>
      <c r="Y17" s="219"/>
      <c r="Z17" s="219">
        <f t="shared" si="0"/>
        <v>1</v>
      </c>
      <c r="AA17" s="219" t="s">
        <v>74</v>
      </c>
      <c r="AB17" s="220">
        <f t="shared" ca="1" si="1"/>
        <v>46235</v>
      </c>
      <c r="AC17" s="219">
        <f ca="1">_xlfn.DAYS(Table2[[#This Row],[HOJE]],Table2[[#This Row],[DATA PEDIDO HP]])</f>
        <v>205</v>
      </c>
      <c r="AD17" s="219" t="str">
        <f>IF(Table2[[#This Row],[STATUS2]]="ENTREGUE","ENTREGUE","")</f>
        <v>ENTREGUE</v>
      </c>
      <c r="AE17" s="219" t="s">
        <v>43</v>
      </c>
    </row>
    <row r="18" spans="1:31" ht="14.45">
      <c r="A18" s="233" t="s">
        <v>99</v>
      </c>
      <c r="B18" s="217">
        <v>46030</v>
      </c>
      <c r="C18" s="217">
        <v>46030</v>
      </c>
      <c r="D18" s="218" t="s">
        <v>100</v>
      </c>
      <c r="E18" s="218" t="s">
        <v>101</v>
      </c>
      <c r="F18" s="218" t="s">
        <v>102</v>
      </c>
      <c r="G18" s="218">
        <v>51000136</v>
      </c>
      <c r="H18" s="218" t="s">
        <v>103</v>
      </c>
      <c r="I18" s="218" t="s">
        <v>104</v>
      </c>
      <c r="J18" s="218">
        <v>1</v>
      </c>
      <c r="K18" s="218" t="s">
        <v>105</v>
      </c>
      <c r="L18" s="218" t="s">
        <v>106</v>
      </c>
      <c r="M18" s="218" t="s">
        <v>73</v>
      </c>
      <c r="N18" s="218"/>
      <c r="O18" s="219"/>
      <c r="P18" s="219"/>
      <c r="Q18" s="219"/>
      <c r="R18" s="219" t="s">
        <v>107</v>
      </c>
      <c r="S18" s="220"/>
      <c r="T18" s="220">
        <v>46070</v>
      </c>
      <c r="U18" s="220">
        <v>46084</v>
      </c>
      <c r="V18" s="219" t="s">
        <v>49</v>
      </c>
      <c r="W18" s="221">
        <v>243.33</v>
      </c>
      <c r="X18" s="221">
        <f>Table2[[#This Row],[QUANTIDADE]]*Table2[[#This Row],[PREÇO UNITARIO]]</f>
        <v>243.33</v>
      </c>
      <c r="Y18" s="219"/>
      <c r="Z18" s="219">
        <f t="shared" si="0"/>
        <v>1</v>
      </c>
      <c r="AA18" s="219" t="s">
        <v>42</v>
      </c>
      <c r="AB18" s="220">
        <f t="shared" ca="1" si="1"/>
        <v>46235</v>
      </c>
      <c r="AC18" s="219">
        <f ca="1">_xlfn.DAYS(Table2[[#This Row],[HOJE]],Table2[[#This Row],[DATA PEDIDO HP]])</f>
        <v>205</v>
      </c>
      <c r="AD18" s="219" t="str">
        <f>IF(Table2[[#This Row],[STATUS2]]="ENTREGUE","ENTREGUE","")</f>
        <v>ENTREGUE</v>
      </c>
      <c r="AE18" s="219" t="s">
        <v>43</v>
      </c>
    </row>
    <row r="19" spans="1:31" ht="14.45">
      <c r="A19" s="233" t="s">
        <v>108</v>
      </c>
      <c r="B19" s="217">
        <v>46030</v>
      </c>
      <c r="C19" s="217">
        <v>46030</v>
      </c>
      <c r="D19" s="218" t="s">
        <v>109</v>
      </c>
      <c r="E19" s="218" t="s">
        <v>101</v>
      </c>
      <c r="F19" s="218" t="s">
        <v>102</v>
      </c>
      <c r="G19" s="218">
        <v>51000136</v>
      </c>
      <c r="H19" s="218" t="s">
        <v>110</v>
      </c>
      <c r="I19" s="218" t="s">
        <v>111</v>
      </c>
      <c r="J19" s="218">
        <v>1</v>
      </c>
      <c r="K19" s="218" t="s">
        <v>105</v>
      </c>
      <c r="L19" s="218" t="s">
        <v>106</v>
      </c>
      <c r="M19" s="218" t="s">
        <v>73</v>
      </c>
      <c r="N19" s="218"/>
      <c r="O19" s="219"/>
      <c r="P19" s="219"/>
      <c r="Q19" s="219"/>
      <c r="R19" s="219"/>
      <c r="S19" s="220"/>
      <c r="T19" s="220">
        <v>46070</v>
      </c>
      <c r="U19" s="220">
        <v>46084</v>
      </c>
      <c r="V19" s="219" t="s">
        <v>49</v>
      </c>
      <c r="W19" s="221">
        <v>898.2</v>
      </c>
      <c r="X19" s="221">
        <f>Table2[[#This Row],[QUANTIDADE]]*Table2[[#This Row],[PREÇO UNITARIO]]</f>
        <v>898.2</v>
      </c>
      <c r="Y19" s="219"/>
      <c r="Z19" s="219">
        <f t="shared" si="0"/>
        <v>1</v>
      </c>
      <c r="AA19" s="219" t="s">
        <v>42</v>
      </c>
      <c r="AB19" s="220">
        <f t="shared" ca="1" si="1"/>
        <v>46235</v>
      </c>
      <c r="AC19" s="219">
        <f ca="1">_xlfn.DAYS(Table2[[#This Row],[HOJE]],Table2[[#This Row],[DATA PEDIDO HP]])</f>
        <v>205</v>
      </c>
      <c r="AD19" s="219" t="str">
        <f>IF(Table2[[#This Row],[STATUS2]]="ENTREGUE","ENTREGUE","")</f>
        <v>ENTREGUE</v>
      </c>
      <c r="AE19" s="219" t="s">
        <v>43</v>
      </c>
    </row>
    <row r="20" spans="1:31" ht="14.45">
      <c r="A20" s="233" t="s">
        <v>112</v>
      </c>
      <c r="B20" s="217">
        <v>46030</v>
      </c>
      <c r="C20" s="217">
        <v>46029</v>
      </c>
      <c r="D20" s="218" t="s">
        <v>113</v>
      </c>
      <c r="E20" s="218" t="s">
        <v>33</v>
      </c>
      <c r="F20" s="218" t="s">
        <v>95</v>
      </c>
      <c r="G20" s="218">
        <v>60002095</v>
      </c>
      <c r="H20" s="218" t="s">
        <v>114</v>
      </c>
      <c r="I20" s="218" t="s">
        <v>115</v>
      </c>
      <c r="J20" s="218">
        <v>1</v>
      </c>
      <c r="K20" s="218" t="s">
        <v>37</v>
      </c>
      <c r="L20" s="218" t="s">
        <v>72</v>
      </c>
      <c r="M20" s="218" t="s">
        <v>73</v>
      </c>
      <c r="N20" s="218">
        <v>153298</v>
      </c>
      <c r="O20" s="219"/>
      <c r="P20" s="219"/>
      <c r="Q20" s="219"/>
      <c r="R20" s="219"/>
      <c r="S20" s="220"/>
      <c r="T20" s="220">
        <v>46070</v>
      </c>
      <c r="U20" s="220">
        <v>46084</v>
      </c>
      <c r="V20" s="219" t="s">
        <v>49</v>
      </c>
      <c r="W20" s="221">
        <v>238.43</v>
      </c>
      <c r="X20" s="221">
        <f>Table2[[#This Row],[QUANTIDADE]]*Table2[[#This Row],[PREÇO UNITARIO]]</f>
        <v>238.43</v>
      </c>
      <c r="Y20" s="219"/>
      <c r="Z20" s="219">
        <f t="shared" si="0"/>
        <v>1</v>
      </c>
      <c r="AA20" s="219" t="s">
        <v>42</v>
      </c>
      <c r="AB20" s="220">
        <f t="shared" ca="1" si="1"/>
        <v>46235</v>
      </c>
      <c r="AC20" s="219">
        <f ca="1">_xlfn.DAYS(Table2[[#This Row],[HOJE]],Table2[[#This Row],[DATA PEDIDO HP]])</f>
        <v>205</v>
      </c>
      <c r="AD20" s="219" t="str">
        <f>IF(Table2[[#This Row],[STATUS2]]="ENTREGUE","ENTREGUE","")</f>
        <v>ENTREGUE</v>
      </c>
      <c r="AE20" s="219" t="s">
        <v>43</v>
      </c>
    </row>
    <row r="21" spans="1:31" ht="14.45">
      <c r="A21" s="233" t="s">
        <v>112</v>
      </c>
      <c r="B21" s="217">
        <v>46030</v>
      </c>
      <c r="C21" s="217">
        <v>46029</v>
      </c>
      <c r="D21" s="218" t="s">
        <v>113</v>
      </c>
      <c r="E21" s="218" t="s">
        <v>33</v>
      </c>
      <c r="F21" s="218" t="s">
        <v>95</v>
      </c>
      <c r="G21" s="218">
        <v>60002095</v>
      </c>
      <c r="H21" s="218" t="s">
        <v>116</v>
      </c>
      <c r="I21" s="218" t="s">
        <v>117</v>
      </c>
      <c r="J21" s="218">
        <v>1</v>
      </c>
      <c r="K21" s="218" t="s">
        <v>37</v>
      </c>
      <c r="L21" s="218" t="s">
        <v>72</v>
      </c>
      <c r="M21" s="218" t="s">
        <v>81</v>
      </c>
      <c r="N21" s="218">
        <v>153298</v>
      </c>
      <c r="O21" s="219"/>
      <c r="P21" s="219"/>
      <c r="Q21" s="219"/>
      <c r="R21" s="219"/>
      <c r="S21" s="220">
        <v>46087</v>
      </c>
      <c r="T21" s="220">
        <v>46070</v>
      </c>
      <c r="U21" s="220">
        <v>46084</v>
      </c>
      <c r="V21" s="219" t="s">
        <v>49</v>
      </c>
      <c r="W21" s="221">
        <v>8.11</v>
      </c>
      <c r="X21" s="221">
        <f>Table2[[#This Row],[QUANTIDADE]]*Table2[[#This Row],[PREÇO UNITARIO]]</f>
        <v>8.11</v>
      </c>
      <c r="Y21" s="219"/>
      <c r="Z21" s="219">
        <f t="shared" si="0"/>
        <v>1</v>
      </c>
      <c r="AA21" s="219" t="s">
        <v>42</v>
      </c>
      <c r="AB21" s="220">
        <f t="shared" ca="1" si="1"/>
        <v>46235</v>
      </c>
      <c r="AC21" s="219">
        <f ca="1">_xlfn.DAYS(Table2[[#This Row],[HOJE]],Table2[[#This Row],[DATA PEDIDO HP]])</f>
        <v>205</v>
      </c>
      <c r="AD21" s="219" t="str">
        <f>IF(Table2[[#This Row],[STATUS2]]="ENTREGUE","ENTREGUE","")</f>
        <v>ENTREGUE</v>
      </c>
      <c r="AE21" s="219" t="s">
        <v>43</v>
      </c>
    </row>
    <row r="22" spans="1:31" ht="14.45">
      <c r="A22" s="233" t="s">
        <v>118</v>
      </c>
      <c r="B22" s="217">
        <v>46030</v>
      </c>
      <c r="C22" s="217">
        <v>46007</v>
      </c>
      <c r="D22" s="218" t="s">
        <v>119</v>
      </c>
      <c r="E22" s="218" t="s">
        <v>101</v>
      </c>
      <c r="F22" s="218" t="s">
        <v>102</v>
      </c>
      <c r="G22" s="218">
        <v>51000323</v>
      </c>
      <c r="H22" s="218" t="s">
        <v>120</v>
      </c>
      <c r="I22" s="218" t="s">
        <v>121</v>
      </c>
      <c r="J22" s="218">
        <v>2</v>
      </c>
      <c r="K22" s="218" t="s">
        <v>37</v>
      </c>
      <c r="L22" s="218" t="s">
        <v>122</v>
      </c>
      <c r="M22" s="218" t="s">
        <v>39</v>
      </c>
      <c r="N22" s="218">
        <v>151549</v>
      </c>
      <c r="O22" s="219"/>
      <c r="P22" s="219"/>
      <c r="Q22" s="219"/>
      <c r="R22" s="219"/>
      <c r="S22" s="217">
        <v>46091</v>
      </c>
      <c r="T22" s="220">
        <v>46070</v>
      </c>
      <c r="U22" s="220">
        <v>46084</v>
      </c>
      <c r="V22" s="219" t="s">
        <v>49</v>
      </c>
      <c r="W22" s="221">
        <v>3.48</v>
      </c>
      <c r="X22" s="221">
        <f>Table2[[#This Row],[QUANTIDADE]]*Table2[[#This Row],[PREÇO UNITARIO]]</f>
        <v>6.96</v>
      </c>
      <c r="Y22" s="219"/>
      <c r="Z22" s="219">
        <f t="shared" si="0"/>
        <v>1</v>
      </c>
      <c r="AA22" s="219" t="s">
        <v>42</v>
      </c>
      <c r="AB22" s="220">
        <f t="shared" ca="1" si="1"/>
        <v>46235</v>
      </c>
      <c r="AC22" s="219">
        <f ca="1">_xlfn.DAYS(Table2[[#This Row],[HOJE]],Table2[[#This Row],[DATA PEDIDO HP]])</f>
        <v>205</v>
      </c>
      <c r="AD22" s="219" t="str">
        <f>IF(Table2[[#This Row],[STATUS2]]="ENTREGUE","ENTREGUE","")</f>
        <v>ENTREGUE</v>
      </c>
      <c r="AE22" s="219" t="s">
        <v>43</v>
      </c>
    </row>
    <row r="23" spans="1:31" ht="14.45">
      <c r="A23" s="233" t="s">
        <v>123</v>
      </c>
      <c r="B23" s="217">
        <v>46030</v>
      </c>
      <c r="C23" s="217">
        <v>46008</v>
      </c>
      <c r="D23" s="218" t="s">
        <v>124</v>
      </c>
      <c r="E23" s="218" t="s">
        <v>125</v>
      </c>
      <c r="F23" s="218" t="s">
        <v>34</v>
      </c>
      <c r="G23" s="218">
        <v>50110193</v>
      </c>
      <c r="H23" s="218" t="s">
        <v>126</v>
      </c>
      <c r="I23" s="218" t="s">
        <v>127</v>
      </c>
      <c r="J23" s="218">
        <v>1</v>
      </c>
      <c r="K23" s="218" t="s">
        <v>37</v>
      </c>
      <c r="L23" s="218" t="s">
        <v>122</v>
      </c>
      <c r="M23" s="218" t="s">
        <v>81</v>
      </c>
      <c r="N23" s="218">
        <v>151679</v>
      </c>
      <c r="O23" s="219"/>
      <c r="P23" s="219"/>
      <c r="Q23" s="219"/>
      <c r="R23" s="219"/>
      <c r="S23" s="220">
        <v>46094</v>
      </c>
      <c r="T23" s="220">
        <v>46070</v>
      </c>
      <c r="U23" s="220">
        <v>46084</v>
      </c>
      <c r="V23" s="219" t="s">
        <v>49</v>
      </c>
      <c r="W23" s="221">
        <v>790.42</v>
      </c>
      <c r="X23" s="221">
        <f>Table2[[#This Row],[QUANTIDADE]]*Table2[[#This Row],[PREÇO UNITARIO]]</f>
        <v>790.42</v>
      </c>
      <c r="Y23" s="219"/>
      <c r="Z23" s="219">
        <f t="shared" si="0"/>
        <v>1</v>
      </c>
      <c r="AA23" s="219" t="s">
        <v>42</v>
      </c>
      <c r="AB23" s="220">
        <f t="shared" ca="1" si="1"/>
        <v>46235</v>
      </c>
      <c r="AC23" s="219">
        <f ca="1">_xlfn.DAYS(Table2[[#This Row],[HOJE]],Table2[[#This Row],[DATA PEDIDO HP]])</f>
        <v>205</v>
      </c>
      <c r="AD23" s="219" t="str">
        <f>IF(Table2[[#This Row],[STATUS2]]="ENTREGUE","ENTREGUE","")</f>
        <v>ENTREGUE</v>
      </c>
      <c r="AE23" s="219" t="s">
        <v>43</v>
      </c>
    </row>
    <row r="24" spans="1:31" ht="14.45">
      <c r="A24" s="233" t="s">
        <v>123</v>
      </c>
      <c r="B24" s="217">
        <v>46030</v>
      </c>
      <c r="C24" s="217">
        <v>46008</v>
      </c>
      <c r="D24" s="218" t="s">
        <v>124</v>
      </c>
      <c r="E24" s="218" t="s">
        <v>125</v>
      </c>
      <c r="F24" s="218" t="s">
        <v>34</v>
      </c>
      <c r="G24" s="218">
        <v>50110193</v>
      </c>
      <c r="H24" s="218" t="s">
        <v>128</v>
      </c>
      <c r="I24" s="218" t="s">
        <v>129</v>
      </c>
      <c r="J24" s="218">
        <v>1</v>
      </c>
      <c r="K24" s="218" t="s">
        <v>37</v>
      </c>
      <c r="L24" s="218" t="s">
        <v>122</v>
      </c>
      <c r="M24" s="218" t="s">
        <v>81</v>
      </c>
      <c r="N24" s="218">
        <v>151679</v>
      </c>
      <c r="O24" s="219"/>
      <c r="P24" s="219"/>
      <c r="Q24" s="219"/>
      <c r="R24" s="219"/>
      <c r="S24" s="220">
        <v>46094</v>
      </c>
      <c r="T24" s="220">
        <v>46070</v>
      </c>
      <c r="U24" s="220">
        <v>46084</v>
      </c>
      <c r="V24" s="219" t="s">
        <v>49</v>
      </c>
      <c r="W24" s="221">
        <v>173.11</v>
      </c>
      <c r="X24" s="221">
        <f>Table2[[#This Row],[QUANTIDADE]]*Table2[[#This Row],[PREÇO UNITARIO]]</f>
        <v>173.11</v>
      </c>
      <c r="Y24" s="219"/>
      <c r="Z24" s="219">
        <f t="shared" si="0"/>
        <v>1</v>
      </c>
      <c r="AA24" s="219" t="s">
        <v>42</v>
      </c>
      <c r="AB24" s="220">
        <f t="shared" ca="1" si="1"/>
        <v>46235</v>
      </c>
      <c r="AC24" s="219">
        <f ca="1">_xlfn.DAYS(Table2[[#This Row],[HOJE]],Table2[[#This Row],[DATA PEDIDO HP]])</f>
        <v>205</v>
      </c>
      <c r="AD24" s="219" t="str">
        <f>IF(Table2[[#This Row],[STATUS2]]="ENTREGUE","ENTREGUE","")</f>
        <v>ENTREGUE</v>
      </c>
      <c r="AE24" s="219" t="s">
        <v>43</v>
      </c>
    </row>
    <row r="25" spans="1:31" ht="14.45">
      <c r="A25" s="233" t="s">
        <v>123</v>
      </c>
      <c r="B25" s="217">
        <v>46030</v>
      </c>
      <c r="C25" s="217">
        <v>46008</v>
      </c>
      <c r="D25" s="218" t="s">
        <v>124</v>
      </c>
      <c r="E25" s="218" t="s">
        <v>125</v>
      </c>
      <c r="F25" s="218" t="s">
        <v>34</v>
      </c>
      <c r="G25" s="218">
        <v>50110193</v>
      </c>
      <c r="H25" s="218" t="s">
        <v>130</v>
      </c>
      <c r="I25" s="218" t="s">
        <v>131</v>
      </c>
      <c r="J25" s="218">
        <v>1</v>
      </c>
      <c r="K25" s="218" t="s">
        <v>37</v>
      </c>
      <c r="L25" s="218" t="s">
        <v>122</v>
      </c>
      <c r="M25" s="218" t="s">
        <v>39</v>
      </c>
      <c r="N25" s="218">
        <v>151679</v>
      </c>
      <c r="O25" s="219"/>
      <c r="P25" s="219"/>
      <c r="Q25" s="219"/>
      <c r="R25" s="219"/>
      <c r="S25" s="220">
        <v>46094</v>
      </c>
      <c r="T25" s="220">
        <v>46070</v>
      </c>
      <c r="U25" s="220">
        <v>46084</v>
      </c>
      <c r="V25" s="219" t="s">
        <v>49</v>
      </c>
      <c r="W25" s="221">
        <v>101.58</v>
      </c>
      <c r="X25" s="221">
        <f>Table2[[#This Row],[QUANTIDADE]]*Table2[[#This Row],[PREÇO UNITARIO]]</f>
        <v>101.58</v>
      </c>
      <c r="Y25" s="219"/>
      <c r="Z25" s="219">
        <f t="shared" si="0"/>
        <v>1</v>
      </c>
      <c r="AA25" s="219" t="s">
        <v>42</v>
      </c>
      <c r="AB25" s="220">
        <f t="shared" ca="1" si="1"/>
        <v>46235</v>
      </c>
      <c r="AC25" s="219">
        <f ca="1">_xlfn.DAYS(Table2[[#This Row],[HOJE]],Table2[[#This Row],[DATA PEDIDO HP]])</f>
        <v>205</v>
      </c>
      <c r="AD25" s="219" t="str">
        <f>IF(Table2[[#This Row],[STATUS2]]="ENTREGUE","ENTREGUE","")</f>
        <v>ENTREGUE</v>
      </c>
      <c r="AE25" s="219" t="s">
        <v>43</v>
      </c>
    </row>
    <row r="26" spans="1:31" ht="14.45">
      <c r="A26" s="233" t="s">
        <v>132</v>
      </c>
      <c r="B26" s="217">
        <v>46030</v>
      </c>
      <c r="C26" s="217">
        <v>46007</v>
      </c>
      <c r="D26" s="218" t="s">
        <v>133</v>
      </c>
      <c r="E26" s="218" t="s">
        <v>134</v>
      </c>
      <c r="F26" s="218" t="s">
        <v>135</v>
      </c>
      <c r="G26" s="218">
        <v>48500783</v>
      </c>
      <c r="H26" s="218" t="s">
        <v>136</v>
      </c>
      <c r="I26" s="218" t="s">
        <v>137</v>
      </c>
      <c r="J26" s="218">
        <v>1</v>
      </c>
      <c r="K26" s="218" t="s">
        <v>37</v>
      </c>
      <c r="L26" s="218" t="s">
        <v>122</v>
      </c>
      <c r="M26" s="218" t="s">
        <v>81</v>
      </c>
      <c r="N26" s="218">
        <v>151646</v>
      </c>
      <c r="O26" s="219"/>
      <c r="P26" s="219"/>
      <c r="Q26" s="219"/>
      <c r="R26" s="219"/>
      <c r="S26" s="217">
        <v>46091</v>
      </c>
      <c r="T26" s="220">
        <v>46070</v>
      </c>
      <c r="U26" s="220">
        <v>46084</v>
      </c>
      <c r="V26" s="219" t="s">
        <v>49</v>
      </c>
      <c r="W26" s="221">
        <v>110.15</v>
      </c>
      <c r="X26" s="221">
        <f>Table2[[#This Row],[QUANTIDADE]]*Table2[[#This Row],[PREÇO UNITARIO]]</f>
        <v>110.15</v>
      </c>
      <c r="Y26" s="219"/>
      <c r="Z26" s="219">
        <f t="shared" si="0"/>
        <v>1</v>
      </c>
      <c r="AA26" s="219" t="s">
        <v>74</v>
      </c>
      <c r="AB26" s="220">
        <f t="shared" ca="1" si="1"/>
        <v>46235</v>
      </c>
      <c r="AC26" s="219">
        <f ca="1">_xlfn.DAYS(Table2[[#This Row],[HOJE]],Table2[[#This Row],[DATA PEDIDO HP]])</f>
        <v>205</v>
      </c>
      <c r="AD26" s="219" t="str">
        <f>IF(Table2[[#This Row],[STATUS2]]="ENTREGUE","ENTREGUE","")</f>
        <v>ENTREGUE</v>
      </c>
      <c r="AE26" s="219" t="s">
        <v>43</v>
      </c>
    </row>
    <row r="27" spans="1:31" ht="14.45">
      <c r="A27" s="233" t="s">
        <v>138</v>
      </c>
      <c r="B27" s="217">
        <v>46030</v>
      </c>
      <c r="C27" s="217">
        <v>46007</v>
      </c>
      <c r="D27" s="218" t="s">
        <v>139</v>
      </c>
      <c r="E27" s="218" t="s">
        <v>134</v>
      </c>
      <c r="F27" s="218" t="s">
        <v>140</v>
      </c>
      <c r="G27" s="218">
        <v>48300301</v>
      </c>
      <c r="H27" s="218" t="s">
        <v>141</v>
      </c>
      <c r="I27" s="218" t="s">
        <v>142</v>
      </c>
      <c r="J27" s="218">
        <v>1</v>
      </c>
      <c r="K27" s="218" t="s">
        <v>37</v>
      </c>
      <c r="L27" s="218" t="s">
        <v>122</v>
      </c>
      <c r="M27" s="218" t="s">
        <v>73</v>
      </c>
      <c r="N27" s="218">
        <v>151151</v>
      </c>
      <c r="O27" s="219"/>
      <c r="P27" s="219"/>
      <c r="Q27" s="219"/>
      <c r="R27" s="219"/>
      <c r="S27" s="220"/>
      <c r="T27" s="220">
        <v>46070</v>
      </c>
      <c r="U27" s="220">
        <v>46084</v>
      </c>
      <c r="V27" s="219" t="s">
        <v>49</v>
      </c>
      <c r="W27" s="221">
        <v>1009.25</v>
      </c>
      <c r="X27" s="221">
        <f>Table2[[#This Row],[QUANTIDADE]]*Table2[[#This Row],[PREÇO UNITARIO]]</f>
        <v>1009.25</v>
      </c>
      <c r="Y27" s="219"/>
      <c r="Z27" s="219">
        <f t="shared" si="0"/>
        <v>1</v>
      </c>
      <c r="AA27" s="219" t="s">
        <v>74</v>
      </c>
      <c r="AB27" s="220">
        <f t="shared" ca="1" si="1"/>
        <v>46235</v>
      </c>
      <c r="AC27" s="219">
        <f ca="1">_xlfn.DAYS(Table2[[#This Row],[HOJE]],Table2[[#This Row],[DATA PEDIDO HP]])</f>
        <v>205</v>
      </c>
      <c r="AD27" s="219" t="str">
        <f>IF(Table2[[#This Row],[STATUS2]]="ENTREGUE","ENTREGUE","")</f>
        <v>ENTREGUE</v>
      </c>
      <c r="AE27" s="219" t="s">
        <v>43</v>
      </c>
    </row>
    <row r="28" spans="1:31" ht="14.45">
      <c r="A28" s="233" t="s">
        <v>143</v>
      </c>
      <c r="B28" s="217">
        <v>46030</v>
      </c>
      <c r="C28" s="217">
        <v>46007</v>
      </c>
      <c r="D28" s="218" t="s">
        <v>144</v>
      </c>
      <c r="E28" s="218" t="s">
        <v>134</v>
      </c>
      <c r="F28" s="218" t="s">
        <v>145</v>
      </c>
      <c r="G28" s="218">
        <v>48000432</v>
      </c>
      <c r="H28" s="218" t="s">
        <v>146</v>
      </c>
      <c r="I28" s="218" t="s">
        <v>147</v>
      </c>
      <c r="J28" s="218">
        <v>1</v>
      </c>
      <c r="K28" s="218" t="s">
        <v>37</v>
      </c>
      <c r="L28" s="218" t="s">
        <v>122</v>
      </c>
      <c r="M28" s="218" t="s">
        <v>81</v>
      </c>
      <c r="N28" s="218">
        <v>151382</v>
      </c>
      <c r="O28" s="219"/>
      <c r="P28" s="219"/>
      <c r="Q28" s="219"/>
      <c r="R28" s="219"/>
      <c r="S28" s="217">
        <v>46091</v>
      </c>
      <c r="T28" s="220">
        <v>46070</v>
      </c>
      <c r="U28" s="220">
        <v>46084</v>
      </c>
      <c r="V28" s="219" t="s">
        <v>49</v>
      </c>
      <c r="W28" s="221">
        <v>611.42999999999995</v>
      </c>
      <c r="X28" s="221">
        <f>Table2[[#This Row],[QUANTIDADE]]*Table2[[#This Row],[PREÇO UNITARIO]]</f>
        <v>611.42999999999995</v>
      </c>
      <c r="Y28" s="219"/>
      <c r="Z28" s="219">
        <f t="shared" si="0"/>
        <v>1</v>
      </c>
      <c r="AA28" s="219" t="s">
        <v>74</v>
      </c>
      <c r="AB28" s="220">
        <f t="shared" ca="1" si="1"/>
        <v>46235</v>
      </c>
      <c r="AC28" s="219">
        <f ca="1">_xlfn.DAYS(Table2[[#This Row],[HOJE]],Table2[[#This Row],[DATA PEDIDO HP]])</f>
        <v>205</v>
      </c>
      <c r="AD28" s="219" t="str">
        <f>IF(Table2[[#This Row],[STATUS2]]="ENTREGUE","ENTREGUE","")</f>
        <v>ENTREGUE</v>
      </c>
      <c r="AE28" s="219" t="s">
        <v>43</v>
      </c>
    </row>
    <row r="29" spans="1:31" ht="14.45">
      <c r="A29" s="233" t="s">
        <v>148</v>
      </c>
      <c r="B29" s="217">
        <v>46030</v>
      </c>
      <c r="C29" s="217">
        <v>46009</v>
      </c>
      <c r="D29" s="218" t="s">
        <v>149</v>
      </c>
      <c r="E29" s="218" t="s">
        <v>94</v>
      </c>
      <c r="F29" s="218" t="s">
        <v>95</v>
      </c>
      <c r="G29" s="218">
        <v>60002072</v>
      </c>
      <c r="H29" s="218" t="s">
        <v>150</v>
      </c>
      <c r="I29" s="218" t="s">
        <v>151</v>
      </c>
      <c r="J29" s="218">
        <v>1</v>
      </c>
      <c r="K29" s="218" t="s">
        <v>37</v>
      </c>
      <c r="L29" s="218" t="s">
        <v>122</v>
      </c>
      <c r="M29" s="218" t="s">
        <v>81</v>
      </c>
      <c r="N29" s="218">
        <v>152339</v>
      </c>
      <c r="O29" s="219"/>
      <c r="P29" s="219"/>
      <c r="Q29" s="219"/>
      <c r="R29" s="219"/>
      <c r="S29" s="220">
        <v>46091</v>
      </c>
      <c r="T29" s="220">
        <v>46070</v>
      </c>
      <c r="U29" s="220">
        <v>46084</v>
      </c>
      <c r="V29" s="219" t="s">
        <v>49</v>
      </c>
      <c r="W29" s="221">
        <v>9.92</v>
      </c>
      <c r="X29" s="221">
        <f>Table2[[#This Row],[QUANTIDADE]]*Table2[[#This Row],[PREÇO UNITARIO]]</f>
        <v>9.92</v>
      </c>
      <c r="Y29" s="219"/>
      <c r="Z29" s="219">
        <f t="shared" si="0"/>
        <v>1</v>
      </c>
      <c r="AA29" s="219" t="s">
        <v>74</v>
      </c>
      <c r="AB29" s="220">
        <f t="shared" ca="1" si="1"/>
        <v>46235</v>
      </c>
      <c r="AC29" s="219">
        <f ca="1">_xlfn.DAYS(Table2[[#This Row],[HOJE]],Table2[[#This Row],[DATA PEDIDO HP]])</f>
        <v>205</v>
      </c>
      <c r="AD29" s="219" t="str">
        <f>IF(Table2[[#This Row],[STATUS2]]="ENTREGUE","ENTREGUE","")</f>
        <v>ENTREGUE</v>
      </c>
      <c r="AE29" s="219" t="s">
        <v>43</v>
      </c>
    </row>
    <row r="30" spans="1:31" ht="14.45">
      <c r="A30" s="233" t="s">
        <v>152</v>
      </c>
      <c r="B30" s="217">
        <v>46030</v>
      </c>
      <c r="C30" s="217">
        <v>46008</v>
      </c>
      <c r="D30" s="218" t="s">
        <v>153</v>
      </c>
      <c r="E30" s="218" t="s">
        <v>154</v>
      </c>
      <c r="F30" s="218" t="s">
        <v>145</v>
      </c>
      <c r="G30" s="218">
        <v>48000044</v>
      </c>
      <c r="H30" s="218" t="s">
        <v>155</v>
      </c>
      <c r="I30" s="218" t="s">
        <v>156</v>
      </c>
      <c r="J30" s="218">
        <v>1</v>
      </c>
      <c r="K30" s="218" t="s">
        <v>37</v>
      </c>
      <c r="L30" s="218" t="s">
        <v>122</v>
      </c>
      <c r="M30" s="218" t="s">
        <v>39</v>
      </c>
      <c r="N30" s="218">
        <v>152009</v>
      </c>
      <c r="O30" s="219"/>
      <c r="P30" s="219"/>
      <c r="Q30" s="219"/>
      <c r="R30" s="219"/>
      <c r="S30" s="217">
        <v>46094</v>
      </c>
      <c r="T30" s="220">
        <v>46070</v>
      </c>
      <c r="U30" s="220">
        <v>46084</v>
      </c>
      <c r="V30" s="219" t="s">
        <v>49</v>
      </c>
      <c r="W30" s="221">
        <v>72.69</v>
      </c>
      <c r="X30" s="221">
        <f>Table2[[#This Row],[QUANTIDADE]]*Table2[[#This Row],[PREÇO UNITARIO]]</f>
        <v>72.69</v>
      </c>
      <c r="Y30" s="219"/>
      <c r="Z30" s="219">
        <f t="shared" si="0"/>
        <v>1</v>
      </c>
      <c r="AA30" s="219" t="s">
        <v>74</v>
      </c>
      <c r="AB30" s="220">
        <f t="shared" ca="1" si="1"/>
        <v>46235</v>
      </c>
      <c r="AC30" s="219">
        <f ca="1">_xlfn.DAYS(Table2[[#This Row],[HOJE]],Table2[[#This Row],[DATA PEDIDO HP]])</f>
        <v>205</v>
      </c>
      <c r="AD30" s="219" t="str">
        <f>IF(Table2[[#This Row],[STATUS2]]="ENTREGUE","ENTREGUE","")</f>
        <v>ENTREGUE</v>
      </c>
      <c r="AE30" s="219" t="s">
        <v>43</v>
      </c>
    </row>
    <row r="31" spans="1:31" ht="14.45">
      <c r="A31" s="233" t="s">
        <v>157</v>
      </c>
      <c r="B31" s="217">
        <v>46030</v>
      </c>
      <c r="C31" s="217">
        <v>46024</v>
      </c>
      <c r="D31" s="218" t="s">
        <v>158</v>
      </c>
      <c r="E31" s="218" t="s">
        <v>33</v>
      </c>
      <c r="F31" s="218" t="s">
        <v>95</v>
      </c>
      <c r="G31" s="218">
        <v>60002095</v>
      </c>
      <c r="H31" s="218" t="s">
        <v>110</v>
      </c>
      <c r="I31" s="218" t="s">
        <v>159</v>
      </c>
      <c r="J31" s="218">
        <v>1</v>
      </c>
      <c r="K31" s="218" t="s">
        <v>37</v>
      </c>
      <c r="L31" s="218" t="s">
        <v>38</v>
      </c>
      <c r="M31" s="218" t="s">
        <v>73</v>
      </c>
      <c r="N31" s="218">
        <v>152768</v>
      </c>
      <c r="O31" s="219"/>
      <c r="P31" s="219"/>
      <c r="Q31" s="219"/>
      <c r="R31" s="219"/>
      <c r="S31" s="220"/>
      <c r="T31" s="220">
        <v>46070</v>
      </c>
      <c r="U31" s="220">
        <v>46084</v>
      </c>
      <c r="V31" s="219" t="s">
        <v>49</v>
      </c>
      <c r="W31" s="221">
        <v>898.2</v>
      </c>
      <c r="X31" s="221">
        <f>Table2[[#This Row],[QUANTIDADE]]*Table2[[#This Row],[PREÇO UNITARIO]]</f>
        <v>898.2</v>
      </c>
      <c r="Y31" s="219"/>
      <c r="Z31" s="219">
        <f t="shared" si="0"/>
        <v>1</v>
      </c>
      <c r="AA31" s="219" t="s">
        <v>42</v>
      </c>
      <c r="AB31" s="220">
        <f t="shared" ca="1" si="1"/>
        <v>46235</v>
      </c>
      <c r="AC31" s="219">
        <f ca="1">_xlfn.DAYS(Table2[[#This Row],[HOJE]],Table2[[#This Row],[DATA PEDIDO HP]])</f>
        <v>205</v>
      </c>
      <c r="AD31" s="219" t="str">
        <f>IF(Table2[[#This Row],[STATUS2]]="ENTREGUE","ENTREGUE","")</f>
        <v>ENTREGUE</v>
      </c>
      <c r="AE31" s="219" t="s">
        <v>43</v>
      </c>
    </row>
    <row r="32" spans="1:31" ht="14.45">
      <c r="A32" s="233" t="s">
        <v>160</v>
      </c>
      <c r="B32" s="217">
        <v>46030</v>
      </c>
      <c r="C32" s="217">
        <v>46030</v>
      </c>
      <c r="D32" s="218" t="s">
        <v>161</v>
      </c>
      <c r="E32" s="218" t="s">
        <v>162</v>
      </c>
      <c r="F32" s="218" t="s">
        <v>140</v>
      </c>
      <c r="G32" s="218">
        <v>48300315</v>
      </c>
      <c r="H32" s="218" t="s">
        <v>163</v>
      </c>
      <c r="I32" s="218" t="s">
        <v>164</v>
      </c>
      <c r="J32" s="218">
        <v>1</v>
      </c>
      <c r="K32" s="218" t="s">
        <v>37</v>
      </c>
      <c r="L32" s="218" t="s">
        <v>72</v>
      </c>
      <c r="M32" s="218" t="s">
        <v>73</v>
      </c>
      <c r="N32" s="218">
        <v>153428</v>
      </c>
      <c r="O32" s="219"/>
      <c r="P32" s="219"/>
      <c r="Q32" s="219"/>
      <c r="R32" s="219"/>
      <c r="S32" s="220"/>
      <c r="T32" s="220">
        <v>46168</v>
      </c>
      <c r="U32" s="220">
        <v>46185</v>
      </c>
      <c r="V32" s="219" t="s">
        <v>41</v>
      </c>
      <c r="W32" s="221">
        <v>1189.48</v>
      </c>
      <c r="X32" s="221">
        <f>Table2[[#This Row],[QUANTIDADE]]*Table2[[#This Row],[PREÇO UNITARIO]]</f>
        <v>1189.48</v>
      </c>
      <c r="Y32" s="219"/>
      <c r="Z32" s="219">
        <f t="shared" si="0"/>
        <v>1</v>
      </c>
      <c r="AA32" s="219" t="s">
        <v>74</v>
      </c>
      <c r="AB32" s="220">
        <f t="shared" ca="1" si="1"/>
        <v>46235</v>
      </c>
      <c r="AC32" s="219">
        <f ca="1">_xlfn.DAYS(Table2[[#This Row],[HOJE]],Table2[[#This Row],[DATA PEDIDO HP]])</f>
        <v>205</v>
      </c>
      <c r="AD32" s="219" t="str">
        <f ca="1">IF(Table2[[#This Row],[STATUS2]]="ENTREGUE","ENTREGUE","")</f>
        <v/>
      </c>
      <c r="AE32" s="219" t="str">
        <f ca="1">IF(Table2[[#This Row],[HOLD]]&gt;30,"ATRASADO","NO PRAZO")</f>
        <v>ATRASADO</v>
      </c>
    </row>
    <row r="33" spans="1:31" ht="14.45">
      <c r="A33" s="233" t="s">
        <v>165</v>
      </c>
      <c r="B33" s="217">
        <v>46030</v>
      </c>
      <c r="C33" s="217">
        <v>46008</v>
      </c>
      <c r="D33" s="218" t="s">
        <v>166</v>
      </c>
      <c r="E33" s="218" t="s">
        <v>125</v>
      </c>
      <c r="F33" s="218" t="s">
        <v>34</v>
      </c>
      <c r="G33" s="218">
        <v>50110193</v>
      </c>
      <c r="H33" s="218" t="s">
        <v>167</v>
      </c>
      <c r="I33" s="218" t="s">
        <v>168</v>
      </c>
      <c r="J33" s="218">
        <v>1</v>
      </c>
      <c r="K33" s="218" t="s">
        <v>37</v>
      </c>
      <c r="L33" s="218" t="s">
        <v>122</v>
      </c>
      <c r="M33" s="218" t="s">
        <v>73</v>
      </c>
      <c r="N33" s="218">
        <v>151679</v>
      </c>
      <c r="O33" s="219"/>
      <c r="P33" s="219"/>
      <c r="Q33" s="219"/>
      <c r="R33" s="219"/>
      <c r="S33" s="220"/>
      <c r="T33" s="220">
        <v>46070</v>
      </c>
      <c r="U33" s="220">
        <v>46084</v>
      </c>
      <c r="V33" s="219" t="s">
        <v>49</v>
      </c>
      <c r="W33" s="221">
        <v>125.76</v>
      </c>
      <c r="X33" s="221">
        <f>Table2[[#This Row],[QUANTIDADE]]*Table2[[#This Row],[PREÇO UNITARIO]]</f>
        <v>125.76</v>
      </c>
      <c r="Y33" s="219"/>
      <c r="Z33" s="219">
        <f t="shared" si="0"/>
        <v>1</v>
      </c>
      <c r="AA33" s="219" t="s">
        <v>42</v>
      </c>
      <c r="AB33" s="220">
        <f t="shared" ca="1" si="1"/>
        <v>46235</v>
      </c>
      <c r="AC33" s="219">
        <f ca="1">_xlfn.DAYS(Table2[[#This Row],[HOJE]],Table2[[#This Row],[DATA PEDIDO HP]])</f>
        <v>205</v>
      </c>
      <c r="AD33" s="219" t="str">
        <f>IF(Table2[[#This Row],[STATUS2]]="ENTREGUE","ENTREGUE","")</f>
        <v>ENTREGUE</v>
      </c>
      <c r="AE33" s="219" t="s">
        <v>43</v>
      </c>
    </row>
    <row r="34" spans="1:31" ht="14.45">
      <c r="A34" s="233" t="s">
        <v>165</v>
      </c>
      <c r="B34" s="217">
        <v>46030</v>
      </c>
      <c r="C34" s="217">
        <v>46008</v>
      </c>
      <c r="D34" s="218" t="s">
        <v>166</v>
      </c>
      <c r="E34" s="218" t="s">
        <v>125</v>
      </c>
      <c r="F34" s="218" t="s">
        <v>34</v>
      </c>
      <c r="G34" s="218">
        <v>50110193</v>
      </c>
      <c r="H34" s="218" t="s">
        <v>169</v>
      </c>
      <c r="I34" s="218" t="s">
        <v>170</v>
      </c>
      <c r="J34" s="218">
        <v>1</v>
      </c>
      <c r="K34" s="218" t="s">
        <v>37</v>
      </c>
      <c r="L34" s="218" t="s">
        <v>122</v>
      </c>
      <c r="M34" s="218" t="s">
        <v>73</v>
      </c>
      <c r="N34" s="218">
        <v>151679</v>
      </c>
      <c r="O34" s="219"/>
      <c r="P34" s="219"/>
      <c r="Q34" s="219"/>
      <c r="R34" s="219"/>
      <c r="S34" s="220"/>
      <c r="T34" s="220">
        <v>46070</v>
      </c>
      <c r="U34" s="220">
        <v>46084</v>
      </c>
      <c r="V34" s="219" t="s">
        <v>49</v>
      </c>
      <c r="W34" s="221">
        <v>71.86</v>
      </c>
      <c r="X34" s="221">
        <f>Table2[[#This Row],[QUANTIDADE]]*Table2[[#This Row],[PREÇO UNITARIO]]</f>
        <v>71.86</v>
      </c>
      <c r="Y34" s="219"/>
      <c r="Z34" s="219">
        <f t="shared" si="0"/>
        <v>1</v>
      </c>
      <c r="AA34" s="219" t="s">
        <v>42</v>
      </c>
      <c r="AB34" s="220">
        <f t="shared" ca="1" si="1"/>
        <v>46235</v>
      </c>
      <c r="AC34" s="219">
        <f ca="1">_xlfn.DAYS(Table2[[#This Row],[HOJE]],Table2[[#This Row],[DATA PEDIDO HP]])</f>
        <v>205</v>
      </c>
      <c r="AD34" s="219" t="str">
        <f>IF(Table2[[#This Row],[STATUS2]]="ENTREGUE","ENTREGUE","")</f>
        <v>ENTREGUE</v>
      </c>
      <c r="AE34" s="219" t="s">
        <v>43</v>
      </c>
    </row>
    <row r="35" spans="1:31" ht="14.45">
      <c r="A35" s="233" t="s">
        <v>171</v>
      </c>
      <c r="B35" s="217">
        <v>46030</v>
      </c>
      <c r="C35" s="217">
        <v>46030</v>
      </c>
      <c r="D35" s="218" t="s">
        <v>172</v>
      </c>
      <c r="E35" s="218" t="s">
        <v>33</v>
      </c>
      <c r="F35" s="218" t="s">
        <v>34</v>
      </c>
      <c r="G35" s="218">
        <v>50110372</v>
      </c>
      <c r="H35" s="218" t="s">
        <v>173</v>
      </c>
      <c r="I35" s="218" t="s">
        <v>174</v>
      </c>
      <c r="J35" s="218">
        <v>5</v>
      </c>
      <c r="K35" s="218" t="s">
        <v>37</v>
      </c>
      <c r="L35" s="218" t="s">
        <v>72</v>
      </c>
      <c r="M35" s="218" t="s">
        <v>73</v>
      </c>
      <c r="N35" s="218">
        <v>154354</v>
      </c>
      <c r="O35" s="219"/>
      <c r="P35" s="219"/>
      <c r="Q35" s="219"/>
      <c r="R35" s="219"/>
      <c r="S35" s="220"/>
      <c r="T35" s="220">
        <v>46069</v>
      </c>
      <c r="U35" s="220">
        <v>46078</v>
      </c>
      <c r="V35" s="219" t="s">
        <v>46</v>
      </c>
      <c r="W35" s="221">
        <v>32.79</v>
      </c>
      <c r="X35" s="221">
        <f>Table2[[#This Row],[QUANTIDADE]]*Table2[[#This Row],[PREÇO UNITARIO]]</f>
        <v>163.95</v>
      </c>
      <c r="Y35" s="219"/>
      <c r="Z35" s="219">
        <f t="shared" si="0"/>
        <v>1</v>
      </c>
      <c r="AA35" s="219" t="s">
        <v>42</v>
      </c>
      <c r="AB35" s="220">
        <f t="shared" ca="1" si="1"/>
        <v>46235</v>
      </c>
      <c r="AC35" s="219">
        <f ca="1">_xlfn.DAYS(Table2[[#This Row],[HOJE]],Table2[[#This Row],[DATA PEDIDO HP]])</f>
        <v>205</v>
      </c>
      <c r="AD35" s="219" t="str">
        <f>IF(Table2[[#This Row],[STATUS2]]="ENTREGUE","ENTREGUE","")</f>
        <v>ENTREGUE</v>
      </c>
      <c r="AE35" s="219" t="s">
        <v>43</v>
      </c>
    </row>
    <row r="36" spans="1:31" ht="14.45">
      <c r="A36" s="233" t="s">
        <v>175</v>
      </c>
      <c r="B36" s="217">
        <v>46030</v>
      </c>
      <c r="C36" s="217">
        <v>46021</v>
      </c>
      <c r="D36" s="218" t="s">
        <v>176</v>
      </c>
      <c r="E36" s="218" t="s">
        <v>134</v>
      </c>
      <c r="F36" s="218" t="s">
        <v>135</v>
      </c>
      <c r="G36" s="218">
        <v>48500783</v>
      </c>
      <c r="H36" s="218" t="s">
        <v>177</v>
      </c>
      <c r="I36" s="218" t="s">
        <v>178</v>
      </c>
      <c r="J36" s="218">
        <v>1</v>
      </c>
      <c r="K36" s="218" t="s">
        <v>37</v>
      </c>
      <c r="L36" s="218" t="s">
        <v>72</v>
      </c>
      <c r="M36" s="218" t="s">
        <v>73</v>
      </c>
      <c r="N36" s="218">
        <v>152636</v>
      </c>
      <c r="O36" s="219"/>
      <c r="P36" s="219"/>
      <c r="Q36" s="219"/>
      <c r="R36" s="219"/>
      <c r="S36" s="220"/>
      <c r="T36" s="220">
        <v>46070</v>
      </c>
      <c r="U36" s="220">
        <v>46084</v>
      </c>
      <c r="V36" s="219" t="s">
        <v>49</v>
      </c>
      <c r="W36" s="221">
        <v>1758.61</v>
      </c>
      <c r="X36" s="221">
        <f>Table2[[#This Row],[QUANTIDADE]]*Table2[[#This Row],[PREÇO UNITARIO]]</f>
        <v>1758.61</v>
      </c>
      <c r="Y36" s="219"/>
      <c r="Z36" s="219">
        <f t="shared" si="0"/>
        <v>1</v>
      </c>
      <c r="AA36" s="219" t="s">
        <v>74</v>
      </c>
      <c r="AB36" s="220">
        <f t="shared" ca="1" si="1"/>
        <v>46235</v>
      </c>
      <c r="AC36" s="219">
        <f ca="1">_xlfn.DAYS(Table2[[#This Row],[HOJE]],Table2[[#This Row],[DATA PEDIDO HP]])</f>
        <v>205</v>
      </c>
      <c r="AD36" s="219" t="str">
        <f>IF(Table2[[#This Row],[STATUS2]]="ENTREGUE","ENTREGUE","")</f>
        <v>ENTREGUE</v>
      </c>
      <c r="AE36" s="219" t="s">
        <v>43</v>
      </c>
    </row>
    <row r="37" spans="1:31" ht="14.45">
      <c r="A37" s="233" t="s">
        <v>179</v>
      </c>
      <c r="B37" s="217">
        <v>46030</v>
      </c>
      <c r="C37" s="217">
        <v>46030</v>
      </c>
      <c r="D37" s="218" t="s">
        <v>180</v>
      </c>
      <c r="E37" s="218" t="s">
        <v>181</v>
      </c>
      <c r="F37" s="218" t="s">
        <v>182</v>
      </c>
      <c r="G37" s="218">
        <v>44000010</v>
      </c>
      <c r="H37" s="218" t="s">
        <v>183</v>
      </c>
      <c r="I37" s="218" t="s">
        <v>184</v>
      </c>
      <c r="J37" s="218">
        <v>1</v>
      </c>
      <c r="K37" s="218" t="s">
        <v>105</v>
      </c>
      <c r="L37" s="218" t="s">
        <v>106</v>
      </c>
      <c r="M37" s="218" t="s">
        <v>185</v>
      </c>
      <c r="N37" s="218"/>
      <c r="O37" s="219"/>
      <c r="P37" s="219"/>
      <c r="Q37" s="219"/>
      <c r="R37" s="219"/>
      <c r="S37" s="220"/>
      <c r="T37" s="220">
        <v>46070</v>
      </c>
      <c r="U37" s="220">
        <v>46084</v>
      </c>
      <c r="V37" s="219" t="s">
        <v>49</v>
      </c>
      <c r="W37" s="221">
        <v>1371.91</v>
      </c>
      <c r="X37" s="221">
        <f>Table2[[#This Row],[QUANTIDADE]]*Table2[[#This Row],[PREÇO UNITARIO]]</f>
        <v>1371.91</v>
      </c>
      <c r="Y37" s="219"/>
      <c r="Z37" s="219">
        <f t="shared" si="0"/>
        <v>1</v>
      </c>
      <c r="AA37" s="219" t="s">
        <v>74</v>
      </c>
      <c r="AB37" s="220">
        <f t="shared" ca="1" si="1"/>
        <v>46235</v>
      </c>
      <c r="AC37" s="219">
        <f ca="1">_xlfn.DAYS(Table2[[#This Row],[HOJE]],Table2[[#This Row],[DATA PEDIDO HP]])</f>
        <v>205</v>
      </c>
      <c r="AD37" s="219" t="str">
        <f>IF(Table2[[#This Row],[STATUS2]]="ENTREGUE","ENTREGUE","")</f>
        <v>ENTREGUE</v>
      </c>
      <c r="AE37" s="219" t="s">
        <v>43</v>
      </c>
    </row>
    <row r="38" spans="1:31" ht="14.45">
      <c r="A38" s="233" t="s">
        <v>179</v>
      </c>
      <c r="B38" s="217">
        <v>46030</v>
      </c>
      <c r="C38" s="217">
        <v>46030</v>
      </c>
      <c r="D38" s="218" t="s">
        <v>180</v>
      </c>
      <c r="E38" s="218" t="s">
        <v>181</v>
      </c>
      <c r="F38" s="218" t="s">
        <v>186</v>
      </c>
      <c r="G38" s="218">
        <v>44000010</v>
      </c>
      <c r="H38" s="218" t="s">
        <v>187</v>
      </c>
      <c r="I38" s="218" t="s">
        <v>188</v>
      </c>
      <c r="J38" s="218">
        <v>1</v>
      </c>
      <c r="K38" s="218" t="s">
        <v>37</v>
      </c>
      <c r="L38" s="218" t="s">
        <v>106</v>
      </c>
      <c r="M38" s="218" t="s">
        <v>73</v>
      </c>
      <c r="N38" s="218"/>
      <c r="O38" s="219"/>
      <c r="P38" s="219"/>
      <c r="Q38" s="219"/>
      <c r="R38" s="219"/>
      <c r="S38" s="220"/>
      <c r="T38" s="220">
        <v>46070</v>
      </c>
      <c r="U38" s="220">
        <v>46084</v>
      </c>
      <c r="V38" s="219" t="s">
        <v>49</v>
      </c>
      <c r="W38" s="221">
        <v>1172.56</v>
      </c>
      <c r="X38" s="221">
        <f>Table2[[#This Row],[QUANTIDADE]]*Table2[[#This Row],[PREÇO UNITARIO]]</f>
        <v>1172.56</v>
      </c>
      <c r="Y38" s="219"/>
      <c r="Z38" s="219">
        <f t="shared" si="0"/>
        <v>1</v>
      </c>
      <c r="AA38" s="219" t="s">
        <v>74</v>
      </c>
      <c r="AB38" s="220">
        <f t="shared" ca="1" si="1"/>
        <v>46235</v>
      </c>
      <c r="AC38" s="219">
        <f ca="1">_xlfn.DAYS(Table2[[#This Row],[HOJE]],Table2[[#This Row],[DATA PEDIDO HP]])</f>
        <v>205</v>
      </c>
      <c r="AD38" s="219" t="str">
        <f>IF(Table2[[#This Row],[STATUS2]]="ENTREGUE","ENTREGUE","")</f>
        <v>ENTREGUE</v>
      </c>
      <c r="AE38" s="219" t="s">
        <v>43</v>
      </c>
    </row>
    <row r="39" spans="1:31" ht="14.45">
      <c r="A39" s="233" t="s">
        <v>189</v>
      </c>
      <c r="B39" s="217">
        <v>46030</v>
      </c>
      <c r="C39" s="217">
        <v>46029</v>
      </c>
      <c r="D39" s="218" t="s">
        <v>190</v>
      </c>
      <c r="E39" s="218" t="s">
        <v>191</v>
      </c>
      <c r="F39" s="218" t="s">
        <v>95</v>
      </c>
      <c r="G39" s="218">
        <v>60001111</v>
      </c>
      <c r="H39" s="218" t="s">
        <v>192</v>
      </c>
      <c r="I39" s="218" t="s">
        <v>193</v>
      </c>
      <c r="J39" s="218">
        <v>1</v>
      </c>
      <c r="K39" s="218" t="s">
        <v>37</v>
      </c>
      <c r="L39" s="218" t="s">
        <v>72</v>
      </c>
      <c r="M39" s="218" t="s">
        <v>73</v>
      </c>
      <c r="N39" s="218">
        <v>154319</v>
      </c>
      <c r="O39" s="219"/>
      <c r="P39" s="219"/>
      <c r="Q39" s="218"/>
      <c r="R39" s="219"/>
      <c r="S39" s="220"/>
      <c r="T39" s="220">
        <v>46070</v>
      </c>
      <c r="U39" s="220">
        <v>46084</v>
      </c>
      <c r="V39" s="219" t="s">
        <v>49</v>
      </c>
      <c r="W39" s="221">
        <v>93.09</v>
      </c>
      <c r="X39" s="221">
        <f>Table2[[#This Row],[QUANTIDADE]]*Table2[[#This Row],[PREÇO UNITARIO]]</f>
        <v>93.09</v>
      </c>
      <c r="Y39" s="219"/>
      <c r="Z39" s="219">
        <f t="shared" si="0"/>
        <v>1</v>
      </c>
      <c r="AA39" s="219" t="s">
        <v>42</v>
      </c>
      <c r="AB39" s="220">
        <f t="shared" ca="1" si="1"/>
        <v>46235</v>
      </c>
      <c r="AC39" s="219">
        <f ca="1">_xlfn.DAYS(Table2[[#This Row],[HOJE]],Table2[[#This Row],[DATA PEDIDO HP]])</f>
        <v>205</v>
      </c>
      <c r="AD39" s="219" t="str">
        <f>IF(Table2[[#This Row],[STATUS2]]="ENTREGUE","ENTREGUE","")</f>
        <v>ENTREGUE</v>
      </c>
      <c r="AE39" s="219" t="s">
        <v>43</v>
      </c>
    </row>
    <row r="40" spans="1:31" ht="14.45">
      <c r="A40" s="233" t="s">
        <v>189</v>
      </c>
      <c r="B40" s="217">
        <v>46030</v>
      </c>
      <c r="C40" s="217">
        <v>46029</v>
      </c>
      <c r="D40" s="218" t="s">
        <v>190</v>
      </c>
      <c r="E40" s="218" t="s">
        <v>191</v>
      </c>
      <c r="F40" s="218" t="s">
        <v>95</v>
      </c>
      <c r="G40" s="218">
        <v>60001111</v>
      </c>
      <c r="H40" s="218" t="s">
        <v>194</v>
      </c>
      <c r="I40" s="218" t="s">
        <v>195</v>
      </c>
      <c r="J40" s="218">
        <v>1</v>
      </c>
      <c r="K40" s="218" t="s">
        <v>37</v>
      </c>
      <c r="L40" s="218" t="s">
        <v>72</v>
      </c>
      <c r="M40" s="218" t="s">
        <v>81</v>
      </c>
      <c r="N40" s="218">
        <v>154319</v>
      </c>
      <c r="O40" s="219"/>
      <c r="P40" s="219"/>
      <c r="Q40" s="219"/>
      <c r="R40" s="219"/>
      <c r="S40" s="220">
        <v>46086</v>
      </c>
      <c r="T40" s="220">
        <v>46070</v>
      </c>
      <c r="U40" s="220">
        <v>46084</v>
      </c>
      <c r="V40" s="219" t="s">
        <v>49</v>
      </c>
      <c r="W40" s="221">
        <v>22.19</v>
      </c>
      <c r="X40" s="221">
        <f>Table2[[#This Row],[QUANTIDADE]]*Table2[[#This Row],[PREÇO UNITARIO]]</f>
        <v>22.19</v>
      </c>
      <c r="Y40" s="219"/>
      <c r="Z40" s="219">
        <f t="shared" si="0"/>
        <v>1</v>
      </c>
      <c r="AA40" s="219" t="s">
        <v>42</v>
      </c>
      <c r="AB40" s="220">
        <f t="shared" ca="1" si="1"/>
        <v>46235</v>
      </c>
      <c r="AC40" s="219">
        <f ca="1">_xlfn.DAYS(Table2[[#This Row],[HOJE]],Table2[[#This Row],[DATA PEDIDO HP]])</f>
        <v>205</v>
      </c>
      <c r="AD40" s="219" t="str">
        <f>IF(Table2[[#This Row],[STATUS2]]="ENTREGUE","ENTREGUE","")</f>
        <v>ENTREGUE</v>
      </c>
      <c r="AE40" s="219" t="s">
        <v>43</v>
      </c>
    </row>
    <row r="41" spans="1:31" ht="14.45">
      <c r="A41" s="233" t="s">
        <v>189</v>
      </c>
      <c r="B41" s="217">
        <v>46030</v>
      </c>
      <c r="C41" s="217">
        <v>46029</v>
      </c>
      <c r="D41" s="218" t="s">
        <v>190</v>
      </c>
      <c r="E41" s="218" t="s">
        <v>191</v>
      </c>
      <c r="F41" s="218" t="s">
        <v>95</v>
      </c>
      <c r="G41" s="218">
        <v>60001111</v>
      </c>
      <c r="H41" s="218" t="s">
        <v>150</v>
      </c>
      <c r="I41" s="218" t="s">
        <v>196</v>
      </c>
      <c r="J41" s="218">
        <v>1</v>
      </c>
      <c r="K41" s="218" t="s">
        <v>37</v>
      </c>
      <c r="L41" s="218" t="s">
        <v>72</v>
      </c>
      <c r="M41" s="218" t="s">
        <v>81</v>
      </c>
      <c r="N41" s="218">
        <v>154319</v>
      </c>
      <c r="O41" s="219"/>
      <c r="P41" s="219"/>
      <c r="Q41" s="218"/>
      <c r="R41" s="219"/>
      <c r="S41" s="220">
        <v>46086</v>
      </c>
      <c r="T41" s="220">
        <v>46070</v>
      </c>
      <c r="U41" s="220">
        <v>46084</v>
      </c>
      <c r="V41" s="219" t="s">
        <v>49</v>
      </c>
      <c r="W41" s="221">
        <v>9.92</v>
      </c>
      <c r="X41" s="221">
        <f>Table2[[#This Row],[QUANTIDADE]]*Table2[[#This Row],[PREÇO UNITARIO]]</f>
        <v>9.92</v>
      </c>
      <c r="Y41" s="219"/>
      <c r="Z41" s="219">
        <f t="shared" si="0"/>
        <v>1</v>
      </c>
      <c r="AA41" s="219" t="s">
        <v>42</v>
      </c>
      <c r="AB41" s="220">
        <f t="shared" ca="1" si="1"/>
        <v>46235</v>
      </c>
      <c r="AC41" s="219">
        <f ca="1">_xlfn.DAYS(Table2[[#This Row],[HOJE]],Table2[[#This Row],[DATA PEDIDO HP]])</f>
        <v>205</v>
      </c>
      <c r="AD41" s="219" t="str">
        <f>IF(Table2[[#This Row],[STATUS2]]="ENTREGUE","ENTREGUE","")</f>
        <v>ENTREGUE</v>
      </c>
      <c r="AE41" s="219" t="s">
        <v>43</v>
      </c>
    </row>
    <row r="42" spans="1:31" ht="14.45">
      <c r="A42" s="233" t="s">
        <v>189</v>
      </c>
      <c r="B42" s="217">
        <v>46030</v>
      </c>
      <c r="C42" s="217">
        <v>46029</v>
      </c>
      <c r="D42" s="218" t="s">
        <v>190</v>
      </c>
      <c r="E42" s="218" t="s">
        <v>191</v>
      </c>
      <c r="F42" s="218" t="s">
        <v>95</v>
      </c>
      <c r="G42" s="218">
        <v>60001111</v>
      </c>
      <c r="H42" s="218" t="s">
        <v>197</v>
      </c>
      <c r="I42" s="218" t="s">
        <v>198</v>
      </c>
      <c r="J42" s="218">
        <v>1</v>
      </c>
      <c r="K42" s="218" t="s">
        <v>37</v>
      </c>
      <c r="L42" s="218" t="s">
        <v>72</v>
      </c>
      <c r="M42" s="218" t="s">
        <v>81</v>
      </c>
      <c r="N42" s="218">
        <v>154319</v>
      </c>
      <c r="O42" s="219"/>
      <c r="P42" s="219"/>
      <c r="Q42" s="218"/>
      <c r="R42" s="219"/>
      <c r="S42" s="220">
        <v>46086</v>
      </c>
      <c r="T42" s="220">
        <v>46070</v>
      </c>
      <c r="U42" s="220">
        <v>46084</v>
      </c>
      <c r="V42" s="219" t="s">
        <v>49</v>
      </c>
      <c r="W42" s="221">
        <v>5.29</v>
      </c>
      <c r="X42" s="221">
        <f>Table2[[#This Row],[QUANTIDADE]]*Table2[[#This Row],[PREÇO UNITARIO]]</f>
        <v>5.29</v>
      </c>
      <c r="Y42" s="219"/>
      <c r="Z42" s="219">
        <f t="shared" si="0"/>
        <v>1</v>
      </c>
      <c r="AA42" s="219" t="s">
        <v>42</v>
      </c>
      <c r="AB42" s="220">
        <f t="shared" ca="1" si="1"/>
        <v>46235</v>
      </c>
      <c r="AC42" s="219">
        <f ca="1">_xlfn.DAYS(Table2[[#This Row],[HOJE]],Table2[[#This Row],[DATA PEDIDO HP]])</f>
        <v>205</v>
      </c>
      <c r="AD42" s="219" t="str">
        <f>IF(Table2[[#This Row],[STATUS2]]="ENTREGUE","ENTREGUE","")</f>
        <v>ENTREGUE</v>
      </c>
      <c r="AE42" s="219" t="s">
        <v>43</v>
      </c>
    </row>
    <row r="43" spans="1:31" ht="14.45">
      <c r="A43" s="233" t="s">
        <v>199</v>
      </c>
      <c r="B43" s="217">
        <v>46030</v>
      </c>
      <c r="C43" s="217">
        <v>46013</v>
      </c>
      <c r="D43" s="218" t="s">
        <v>200</v>
      </c>
      <c r="E43" s="218" t="s">
        <v>191</v>
      </c>
      <c r="F43" s="218" t="s">
        <v>95</v>
      </c>
      <c r="G43" s="218">
        <v>60001111</v>
      </c>
      <c r="H43" s="218" t="s">
        <v>201</v>
      </c>
      <c r="I43" s="218" t="s">
        <v>202</v>
      </c>
      <c r="J43" s="218">
        <v>1</v>
      </c>
      <c r="K43" s="218" t="s">
        <v>37</v>
      </c>
      <c r="L43" s="218" t="s">
        <v>72</v>
      </c>
      <c r="M43" s="218" t="s">
        <v>73</v>
      </c>
      <c r="N43" s="218">
        <v>152702</v>
      </c>
      <c r="O43" s="219"/>
      <c r="P43" s="219"/>
      <c r="Q43" s="218"/>
      <c r="R43" s="219"/>
      <c r="S43" s="220"/>
      <c r="T43" s="220">
        <v>46070</v>
      </c>
      <c r="U43" s="220">
        <v>46084</v>
      </c>
      <c r="V43" s="219" t="s">
        <v>49</v>
      </c>
      <c r="W43" s="221">
        <v>1721.28</v>
      </c>
      <c r="X43" s="221">
        <f>Table2[[#This Row],[QUANTIDADE]]*Table2[[#This Row],[PREÇO UNITARIO]]</f>
        <v>1721.28</v>
      </c>
      <c r="Y43" s="219"/>
      <c r="Z43" s="219">
        <f t="shared" si="0"/>
        <v>1</v>
      </c>
      <c r="AA43" s="219" t="s">
        <v>42</v>
      </c>
      <c r="AB43" s="220">
        <f t="shared" ca="1" si="1"/>
        <v>46235</v>
      </c>
      <c r="AC43" s="219">
        <f ca="1">_xlfn.DAYS(Table2[[#This Row],[HOJE]],Table2[[#This Row],[DATA PEDIDO HP]])</f>
        <v>205</v>
      </c>
      <c r="AD43" s="219" t="str">
        <f>IF(Table2[[#This Row],[STATUS2]]="ENTREGUE","ENTREGUE","")</f>
        <v>ENTREGUE</v>
      </c>
      <c r="AE43" s="219" t="s">
        <v>43</v>
      </c>
    </row>
    <row r="44" spans="1:31" ht="14.45">
      <c r="A44" s="233" t="s">
        <v>203</v>
      </c>
      <c r="B44" s="217">
        <v>46030</v>
      </c>
      <c r="C44" s="217">
        <v>46021</v>
      </c>
      <c r="D44" s="218" t="s">
        <v>204</v>
      </c>
      <c r="E44" s="218" t="s">
        <v>191</v>
      </c>
      <c r="F44" s="218" t="s">
        <v>95</v>
      </c>
      <c r="G44" s="218">
        <v>60001111</v>
      </c>
      <c r="H44" s="218" t="s">
        <v>205</v>
      </c>
      <c r="I44" s="218" t="s">
        <v>206</v>
      </c>
      <c r="J44" s="218">
        <v>4</v>
      </c>
      <c r="K44" s="218" t="s">
        <v>37</v>
      </c>
      <c r="L44" s="218" t="s">
        <v>72</v>
      </c>
      <c r="M44" s="218" t="s">
        <v>73</v>
      </c>
      <c r="N44" s="218">
        <v>152900</v>
      </c>
      <c r="O44" s="219"/>
      <c r="P44" s="219"/>
      <c r="Q44" s="218"/>
      <c r="R44" s="219"/>
      <c r="S44" s="220"/>
      <c r="T44" s="220">
        <v>46070</v>
      </c>
      <c r="U44" s="220">
        <v>46084</v>
      </c>
      <c r="V44" s="219" t="s">
        <v>49</v>
      </c>
      <c r="W44" s="221">
        <v>238.43</v>
      </c>
      <c r="X44" s="221">
        <f>Table2[[#This Row],[QUANTIDADE]]*Table2[[#This Row],[PREÇO UNITARIO]]</f>
        <v>953.72</v>
      </c>
      <c r="Y44" s="219"/>
      <c r="Z44" s="219">
        <f t="shared" si="0"/>
        <v>1</v>
      </c>
      <c r="AA44" s="219" t="s">
        <v>42</v>
      </c>
      <c r="AB44" s="220">
        <f t="shared" ca="1" si="1"/>
        <v>46235</v>
      </c>
      <c r="AC44" s="219">
        <f ca="1">_xlfn.DAYS(Table2[[#This Row],[HOJE]],Table2[[#This Row],[DATA PEDIDO HP]])</f>
        <v>205</v>
      </c>
      <c r="AD44" s="219" t="str">
        <f>IF(Table2[[#This Row],[STATUS2]]="ENTREGUE","ENTREGUE","")</f>
        <v>ENTREGUE</v>
      </c>
      <c r="AE44" s="219" t="s">
        <v>43</v>
      </c>
    </row>
    <row r="45" spans="1:31" ht="14.45">
      <c r="A45" s="233" t="s">
        <v>207</v>
      </c>
      <c r="B45" s="217">
        <v>46030</v>
      </c>
      <c r="C45" s="217">
        <v>46009</v>
      </c>
      <c r="D45" s="218" t="s">
        <v>208</v>
      </c>
      <c r="E45" s="218" t="s">
        <v>191</v>
      </c>
      <c r="F45" s="218" t="s">
        <v>95</v>
      </c>
      <c r="G45" s="218">
        <v>60001111</v>
      </c>
      <c r="H45" s="218" t="s">
        <v>79</v>
      </c>
      <c r="I45" s="218" t="s">
        <v>80</v>
      </c>
      <c r="J45" s="218">
        <v>1</v>
      </c>
      <c r="K45" s="218" t="s">
        <v>37</v>
      </c>
      <c r="L45" s="218" t="s">
        <v>72</v>
      </c>
      <c r="M45" s="218" t="s">
        <v>81</v>
      </c>
      <c r="N45" s="218">
        <v>152471</v>
      </c>
      <c r="O45" s="219"/>
      <c r="P45" s="219"/>
      <c r="Q45" s="218"/>
      <c r="R45" s="219"/>
      <c r="S45" s="220">
        <v>46086</v>
      </c>
      <c r="T45" s="220">
        <v>46070</v>
      </c>
      <c r="U45" s="220">
        <v>46084</v>
      </c>
      <c r="V45" s="219" t="s">
        <v>49</v>
      </c>
      <c r="W45" s="221">
        <v>42.46</v>
      </c>
      <c r="X45" s="221">
        <f>Table2[[#This Row],[QUANTIDADE]]*Table2[[#This Row],[PREÇO UNITARIO]]</f>
        <v>42.46</v>
      </c>
      <c r="Y45" s="219"/>
      <c r="Z45" s="219">
        <f t="shared" si="0"/>
        <v>1</v>
      </c>
      <c r="AA45" s="219" t="s">
        <v>42</v>
      </c>
      <c r="AB45" s="220">
        <f t="shared" ca="1" si="1"/>
        <v>46235</v>
      </c>
      <c r="AC45" s="219">
        <f ca="1">_xlfn.DAYS(Table2[[#This Row],[HOJE]],Table2[[#This Row],[DATA PEDIDO HP]])</f>
        <v>205</v>
      </c>
      <c r="AD45" s="219" t="str">
        <f>IF(Table2[[#This Row],[STATUS2]]="ENTREGUE","ENTREGUE","")</f>
        <v>ENTREGUE</v>
      </c>
      <c r="AE45" s="219" t="s">
        <v>43</v>
      </c>
    </row>
    <row r="46" spans="1:31" ht="14.45">
      <c r="A46" s="233" t="s">
        <v>207</v>
      </c>
      <c r="B46" s="217">
        <v>46030</v>
      </c>
      <c r="C46" s="217">
        <v>46009</v>
      </c>
      <c r="D46" s="218" t="s">
        <v>208</v>
      </c>
      <c r="E46" s="218" t="s">
        <v>191</v>
      </c>
      <c r="F46" s="218" t="s">
        <v>95</v>
      </c>
      <c r="G46" s="218">
        <v>60001111</v>
      </c>
      <c r="H46" s="218" t="s">
        <v>82</v>
      </c>
      <c r="I46" s="218" t="s">
        <v>83</v>
      </c>
      <c r="J46" s="218">
        <v>1</v>
      </c>
      <c r="K46" s="218" t="s">
        <v>37</v>
      </c>
      <c r="L46" s="218" t="s">
        <v>72</v>
      </c>
      <c r="M46" s="218" t="s">
        <v>81</v>
      </c>
      <c r="N46" s="218">
        <v>152471</v>
      </c>
      <c r="O46" s="219"/>
      <c r="P46" s="219"/>
      <c r="Q46" s="218"/>
      <c r="R46" s="219"/>
      <c r="S46" s="220">
        <v>46086</v>
      </c>
      <c r="T46" s="220">
        <v>46070</v>
      </c>
      <c r="U46" s="220">
        <v>46084</v>
      </c>
      <c r="V46" s="219" t="s">
        <v>49</v>
      </c>
      <c r="W46" s="221">
        <v>19.600000000000001</v>
      </c>
      <c r="X46" s="221">
        <f>Table2[[#This Row],[QUANTIDADE]]*Table2[[#This Row],[PREÇO UNITARIO]]</f>
        <v>19.600000000000001</v>
      </c>
      <c r="Y46" s="219"/>
      <c r="Z46" s="219">
        <f t="shared" si="0"/>
        <v>1</v>
      </c>
      <c r="AA46" s="219" t="s">
        <v>42</v>
      </c>
      <c r="AB46" s="220">
        <f t="shared" ca="1" si="1"/>
        <v>46235</v>
      </c>
      <c r="AC46" s="219">
        <f ca="1">_xlfn.DAYS(Table2[[#This Row],[HOJE]],Table2[[#This Row],[DATA PEDIDO HP]])</f>
        <v>205</v>
      </c>
      <c r="AD46" s="219" t="str">
        <f>IF(Table2[[#This Row],[STATUS2]]="ENTREGUE","ENTREGUE","")</f>
        <v>ENTREGUE</v>
      </c>
      <c r="AE46" s="219" t="s">
        <v>43</v>
      </c>
    </row>
    <row r="47" spans="1:31" ht="14.45">
      <c r="A47" s="233" t="s">
        <v>209</v>
      </c>
      <c r="B47" s="217">
        <v>46030</v>
      </c>
      <c r="C47" s="217">
        <v>46007</v>
      </c>
      <c r="D47" s="218" t="s">
        <v>210</v>
      </c>
      <c r="E47" s="218" t="s">
        <v>101</v>
      </c>
      <c r="F47" s="218" t="s">
        <v>102</v>
      </c>
      <c r="G47" s="218">
        <v>51000136</v>
      </c>
      <c r="H47" s="218" t="s">
        <v>110</v>
      </c>
      <c r="I47" s="218" t="s">
        <v>211</v>
      </c>
      <c r="J47" s="218">
        <v>2</v>
      </c>
      <c r="K47" s="218" t="s">
        <v>37</v>
      </c>
      <c r="L47" s="218" t="s">
        <v>72</v>
      </c>
      <c r="M47" s="218" t="s">
        <v>73</v>
      </c>
      <c r="N47" s="218">
        <v>146533</v>
      </c>
      <c r="O47" s="219"/>
      <c r="P47" s="219"/>
      <c r="Q47" s="218"/>
      <c r="R47" s="219"/>
      <c r="S47" s="220"/>
      <c r="T47" s="220">
        <v>46070</v>
      </c>
      <c r="U47" s="220">
        <v>46084</v>
      </c>
      <c r="V47" s="219" t="s">
        <v>49</v>
      </c>
      <c r="W47" s="221">
        <v>898.2</v>
      </c>
      <c r="X47" s="221">
        <f>Table2[[#This Row],[QUANTIDADE]]*Table2[[#This Row],[PREÇO UNITARIO]]</f>
        <v>1796.4</v>
      </c>
      <c r="Y47" s="219"/>
      <c r="Z47" s="219">
        <f t="shared" si="0"/>
        <v>1</v>
      </c>
      <c r="AA47" s="219" t="s">
        <v>42</v>
      </c>
      <c r="AB47" s="220">
        <f t="shared" ca="1" si="1"/>
        <v>46235</v>
      </c>
      <c r="AC47" s="219">
        <f ca="1">_xlfn.DAYS(Table2[[#This Row],[HOJE]],Table2[[#This Row],[DATA PEDIDO HP]])</f>
        <v>205</v>
      </c>
      <c r="AD47" s="219" t="str">
        <f>IF(Table2[[#This Row],[STATUS2]]="ENTREGUE","ENTREGUE","")</f>
        <v>ENTREGUE</v>
      </c>
      <c r="AE47" s="219" t="s">
        <v>43</v>
      </c>
    </row>
    <row r="48" spans="1:31" ht="14.45">
      <c r="A48" s="233" t="s">
        <v>209</v>
      </c>
      <c r="B48" s="217">
        <v>46030</v>
      </c>
      <c r="C48" s="217">
        <v>46007</v>
      </c>
      <c r="D48" s="218" t="s">
        <v>210</v>
      </c>
      <c r="E48" s="218" t="s">
        <v>101</v>
      </c>
      <c r="F48" s="218" t="s">
        <v>102</v>
      </c>
      <c r="G48" s="218">
        <v>51000136</v>
      </c>
      <c r="H48" s="218" t="s">
        <v>212</v>
      </c>
      <c r="I48" s="218" t="s">
        <v>213</v>
      </c>
      <c r="J48" s="218">
        <v>1</v>
      </c>
      <c r="K48" s="218" t="s">
        <v>37</v>
      </c>
      <c r="L48" s="218" t="s">
        <v>72</v>
      </c>
      <c r="M48" s="218" t="s">
        <v>73</v>
      </c>
      <c r="N48" s="218">
        <v>146533</v>
      </c>
      <c r="O48" s="219"/>
      <c r="P48" s="219"/>
      <c r="Q48" s="218"/>
      <c r="R48" s="219"/>
      <c r="S48" s="220"/>
      <c r="T48" s="220">
        <v>46070</v>
      </c>
      <c r="U48" s="220">
        <v>46084</v>
      </c>
      <c r="V48" s="219" t="s">
        <v>49</v>
      </c>
      <c r="W48" s="221">
        <v>220.47</v>
      </c>
      <c r="X48" s="221">
        <f>Table2[[#This Row],[QUANTIDADE]]*Table2[[#This Row],[PREÇO UNITARIO]]</f>
        <v>220.47</v>
      </c>
      <c r="Y48" s="219"/>
      <c r="Z48" s="219">
        <f t="shared" si="0"/>
        <v>1</v>
      </c>
      <c r="AA48" s="219" t="s">
        <v>42</v>
      </c>
      <c r="AB48" s="220">
        <f t="shared" ca="1" si="1"/>
        <v>46235</v>
      </c>
      <c r="AC48" s="219">
        <f ca="1">_xlfn.DAYS(Table2[[#This Row],[HOJE]],Table2[[#This Row],[DATA PEDIDO HP]])</f>
        <v>205</v>
      </c>
      <c r="AD48" s="219" t="str">
        <f>IF(Table2[[#This Row],[STATUS2]]="ENTREGUE","ENTREGUE","")</f>
        <v>ENTREGUE</v>
      </c>
      <c r="AE48" s="219" t="s">
        <v>43</v>
      </c>
    </row>
    <row r="49" spans="1:31" ht="14.45">
      <c r="A49" s="233" t="s">
        <v>214</v>
      </c>
      <c r="B49" s="217">
        <v>46030</v>
      </c>
      <c r="C49" s="217">
        <v>46030</v>
      </c>
      <c r="D49" s="218" t="s">
        <v>215</v>
      </c>
      <c r="E49" s="218" t="s">
        <v>125</v>
      </c>
      <c r="F49" s="218" t="s">
        <v>34</v>
      </c>
      <c r="G49" s="218">
        <v>50110193</v>
      </c>
      <c r="H49" s="218" t="s">
        <v>216</v>
      </c>
      <c r="I49" s="218" t="s">
        <v>217</v>
      </c>
      <c r="J49" s="218">
        <v>1</v>
      </c>
      <c r="K49" s="218" t="s">
        <v>37</v>
      </c>
      <c r="L49" s="218" t="s">
        <v>72</v>
      </c>
      <c r="M49" s="218" t="s">
        <v>73</v>
      </c>
      <c r="N49" s="218">
        <v>154286</v>
      </c>
      <c r="O49" s="219"/>
      <c r="P49" s="219"/>
      <c r="Q49" s="218"/>
      <c r="R49" s="219"/>
      <c r="S49" s="220"/>
      <c r="T49" s="220">
        <v>46070</v>
      </c>
      <c r="U49" s="220">
        <v>46084</v>
      </c>
      <c r="V49" s="219" t="s">
        <v>49</v>
      </c>
      <c r="W49" s="221">
        <v>1187.4100000000001</v>
      </c>
      <c r="X49" s="221">
        <f>Table2[[#This Row],[QUANTIDADE]]*Table2[[#This Row],[PREÇO UNITARIO]]</f>
        <v>1187.4100000000001</v>
      </c>
      <c r="Y49" s="219"/>
      <c r="Z49" s="219">
        <f t="shared" si="0"/>
        <v>1</v>
      </c>
      <c r="AA49" s="219" t="s">
        <v>42</v>
      </c>
      <c r="AB49" s="220">
        <f t="shared" ca="1" si="1"/>
        <v>46235</v>
      </c>
      <c r="AC49" s="219">
        <f ca="1">_xlfn.DAYS(Table2[[#This Row],[HOJE]],Table2[[#This Row],[DATA PEDIDO HP]])</f>
        <v>205</v>
      </c>
      <c r="AD49" s="219" t="str">
        <f>IF(Table2[[#This Row],[STATUS2]]="ENTREGUE","ENTREGUE","")</f>
        <v>ENTREGUE</v>
      </c>
      <c r="AE49" s="219" t="s">
        <v>43</v>
      </c>
    </row>
    <row r="50" spans="1:31" ht="14.45">
      <c r="A50" s="233" t="s">
        <v>218</v>
      </c>
      <c r="B50" s="217">
        <v>46030</v>
      </c>
      <c r="C50" s="217">
        <v>46013</v>
      </c>
      <c r="D50" s="218" t="s">
        <v>219</v>
      </c>
      <c r="E50" s="218" t="s">
        <v>125</v>
      </c>
      <c r="F50" s="218" t="s">
        <v>34</v>
      </c>
      <c r="G50" s="218">
        <v>50110193</v>
      </c>
      <c r="H50" s="218" t="s">
        <v>220</v>
      </c>
      <c r="I50" s="218" t="s">
        <v>221</v>
      </c>
      <c r="J50" s="218">
        <v>2</v>
      </c>
      <c r="K50" s="218" t="s">
        <v>37</v>
      </c>
      <c r="L50" s="218" t="s">
        <v>72</v>
      </c>
      <c r="M50" s="218" t="s">
        <v>81</v>
      </c>
      <c r="N50" s="218">
        <v>152669</v>
      </c>
      <c r="O50" s="219"/>
      <c r="P50" s="219"/>
      <c r="Q50" s="218"/>
      <c r="R50" s="219"/>
      <c r="S50" s="220">
        <v>46094</v>
      </c>
      <c r="T50" s="220">
        <v>46070</v>
      </c>
      <c r="U50" s="220">
        <v>46084</v>
      </c>
      <c r="V50" s="219" t="s">
        <v>49</v>
      </c>
      <c r="W50" s="221">
        <v>274.36</v>
      </c>
      <c r="X50" s="221">
        <f>Table2[[#This Row],[QUANTIDADE]]*Table2[[#This Row],[PREÇO UNITARIO]]</f>
        <v>548.72</v>
      </c>
      <c r="Y50" s="219"/>
      <c r="Z50" s="219">
        <f t="shared" si="0"/>
        <v>1</v>
      </c>
      <c r="AA50" s="219" t="s">
        <v>42</v>
      </c>
      <c r="AB50" s="220">
        <f t="shared" ca="1" si="1"/>
        <v>46235</v>
      </c>
      <c r="AC50" s="219">
        <f ca="1">_xlfn.DAYS(Table2[[#This Row],[HOJE]],Table2[[#This Row],[DATA PEDIDO HP]])</f>
        <v>205</v>
      </c>
      <c r="AD50" s="219" t="str">
        <f>IF(Table2[[#This Row],[STATUS2]]="ENTREGUE","ENTREGUE","")</f>
        <v>ENTREGUE</v>
      </c>
      <c r="AE50" s="219" t="s">
        <v>43</v>
      </c>
    </row>
    <row r="51" spans="1:31" ht="14.45">
      <c r="A51" s="233" t="s">
        <v>218</v>
      </c>
      <c r="B51" s="217">
        <v>46030</v>
      </c>
      <c r="C51" s="217">
        <v>46013</v>
      </c>
      <c r="D51" s="218" t="s">
        <v>219</v>
      </c>
      <c r="E51" s="218" t="s">
        <v>125</v>
      </c>
      <c r="F51" s="218" t="s">
        <v>34</v>
      </c>
      <c r="G51" s="218">
        <v>50110193</v>
      </c>
      <c r="H51" s="218" t="s">
        <v>222</v>
      </c>
      <c r="I51" s="232" t="s">
        <v>223</v>
      </c>
      <c r="J51" s="218">
        <v>1</v>
      </c>
      <c r="K51" s="218" t="s">
        <v>37</v>
      </c>
      <c r="L51" s="218" t="s">
        <v>72</v>
      </c>
      <c r="M51" s="218" t="s">
        <v>73</v>
      </c>
      <c r="N51" s="218">
        <v>152669</v>
      </c>
      <c r="O51" s="219"/>
      <c r="P51" s="219"/>
      <c r="Q51" s="218"/>
      <c r="R51" s="219"/>
      <c r="S51" s="220"/>
      <c r="T51" s="220">
        <v>46070</v>
      </c>
      <c r="U51" s="220">
        <v>46084</v>
      </c>
      <c r="V51" s="219" t="s">
        <v>49</v>
      </c>
      <c r="W51" s="221">
        <v>207.82</v>
      </c>
      <c r="X51" s="221">
        <f>Table2[[#This Row],[QUANTIDADE]]*Table2[[#This Row],[PREÇO UNITARIO]]</f>
        <v>207.82</v>
      </c>
      <c r="Y51" s="219"/>
      <c r="Z51" s="219">
        <f t="shared" si="0"/>
        <v>1</v>
      </c>
      <c r="AA51" s="219" t="s">
        <v>42</v>
      </c>
      <c r="AB51" s="220">
        <f t="shared" ca="1" si="1"/>
        <v>46235</v>
      </c>
      <c r="AC51" s="219">
        <f ca="1">_xlfn.DAYS(Table2[[#This Row],[HOJE]],Table2[[#This Row],[DATA PEDIDO HP]])</f>
        <v>205</v>
      </c>
      <c r="AD51" s="219" t="str">
        <f>IF(Table2[[#This Row],[STATUS2]]="ENTREGUE","ENTREGUE","")</f>
        <v>ENTREGUE</v>
      </c>
      <c r="AE51" s="219" t="s">
        <v>43</v>
      </c>
    </row>
    <row r="52" spans="1:31" ht="14.45">
      <c r="A52" s="233" t="s">
        <v>218</v>
      </c>
      <c r="B52" s="217">
        <v>46030</v>
      </c>
      <c r="C52" s="217">
        <v>46013</v>
      </c>
      <c r="D52" s="218" t="s">
        <v>219</v>
      </c>
      <c r="E52" s="218" t="s">
        <v>125</v>
      </c>
      <c r="F52" s="218" t="s">
        <v>34</v>
      </c>
      <c r="G52" s="218">
        <v>50110193</v>
      </c>
      <c r="H52" s="218" t="s">
        <v>224</v>
      </c>
      <c r="I52" s="218" t="s">
        <v>225</v>
      </c>
      <c r="J52" s="218">
        <v>1</v>
      </c>
      <c r="K52" s="218" t="s">
        <v>37</v>
      </c>
      <c r="L52" s="218" t="s">
        <v>72</v>
      </c>
      <c r="M52" s="218" t="s">
        <v>81</v>
      </c>
      <c r="N52" s="218">
        <v>152669</v>
      </c>
      <c r="O52" s="219"/>
      <c r="P52" s="219"/>
      <c r="Q52" s="218"/>
      <c r="R52" s="219" t="s">
        <v>226</v>
      </c>
      <c r="S52" s="220">
        <v>46094</v>
      </c>
      <c r="T52" s="220">
        <v>46070</v>
      </c>
      <c r="U52" s="220">
        <v>46084</v>
      </c>
      <c r="V52" s="219" t="s">
        <v>49</v>
      </c>
      <c r="W52" s="221">
        <v>132.54</v>
      </c>
      <c r="X52" s="221">
        <f>Table2[[#This Row],[QUANTIDADE]]*Table2[[#This Row],[PREÇO UNITARIO]]</f>
        <v>132.54</v>
      </c>
      <c r="Y52" s="219"/>
      <c r="Z52" s="219">
        <f t="shared" si="0"/>
        <v>1</v>
      </c>
      <c r="AA52" s="219" t="s">
        <v>42</v>
      </c>
      <c r="AB52" s="220">
        <f t="shared" ca="1" si="1"/>
        <v>46235</v>
      </c>
      <c r="AC52" s="219">
        <f ca="1">_xlfn.DAYS(Table2[[#This Row],[HOJE]],Table2[[#This Row],[DATA PEDIDO HP]])</f>
        <v>205</v>
      </c>
      <c r="AD52" s="219" t="str">
        <f>IF(Table2[[#This Row],[STATUS2]]="ENTREGUE","ENTREGUE","")</f>
        <v>ENTREGUE</v>
      </c>
      <c r="AE52" s="219" t="s">
        <v>43</v>
      </c>
    </row>
    <row r="53" spans="1:31" ht="14.45">
      <c r="A53" s="233" t="s">
        <v>227</v>
      </c>
      <c r="B53" s="217">
        <v>46030</v>
      </c>
      <c r="C53" s="217">
        <v>46007</v>
      </c>
      <c r="D53" s="218" t="s">
        <v>228</v>
      </c>
      <c r="E53" s="218" t="s">
        <v>154</v>
      </c>
      <c r="F53" s="218" t="s">
        <v>102</v>
      </c>
      <c r="G53" s="218">
        <v>51000174</v>
      </c>
      <c r="H53" s="218" t="s">
        <v>229</v>
      </c>
      <c r="I53" s="218" t="s">
        <v>230</v>
      </c>
      <c r="J53" s="218">
        <v>1</v>
      </c>
      <c r="K53" s="218" t="s">
        <v>37</v>
      </c>
      <c r="L53" s="218" t="s">
        <v>72</v>
      </c>
      <c r="M53" s="218" t="s">
        <v>81</v>
      </c>
      <c r="N53" s="218">
        <v>151548</v>
      </c>
      <c r="O53" s="219"/>
      <c r="P53" s="219"/>
      <c r="Q53" s="218"/>
      <c r="R53" s="219" t="s">
        <v>231</v>
      </c>
      <c r="S53" s="220">
        <v>46094</v>
      </c>
      <c r="T53" s="220">
        <v>46070</v>
      </c>
      <c r="U53" s="220">
        <v>46084</v>
      </c>
      <c r="V53" s="219" t="s">
        <v>49</v>
      </c>
      <c r="W53" s="221">
        <v>112.68</v>
      </c>
      <c r="X53" s="221">
        <f>Table2[[#This Row],[QUANTIDADE]]*Table2[[#This Row],[PREÇO UNITARIO]]</f>
        <v>112.68</v>
      </c>
      <c r="Y53" s="219"/>
      <c r="Z53" s="219">
        <f t="shared" si="0"/>
        <v>1</v>
      </c>
      <c r="AA53" s="219" t="s">
        <v>74</v>
      </c>
      <c r="AB53" s="220">
        <f t="shared" ca="1" si="1"/>
        <v>46235</v>
      </c>
      <c r="AC53" s="219">
        <f ca="1">_xlfn.DAYS(Table2[[#This Row],[HOJE]],Table2[[#This Row],[DATA PEDIDO HP]])</f>
        <v>205</v>
      </c>
      <c r="AD53" s="219" t="str">
        <f>IF(Table2[[#This Row],[STATUS2]]="ENTREGUE","ENTREGUE","")</f>
        <v>ENTREGUE</v>
      </c>
      <c r="AE53" s="219" t="s">
        <v>43</v>
      </c>
    </row>
    <row r="54" spans="1:31" ht="14.45">
      <c r="A54" s="233" t="s">
        <v>232</v>
      </c>
      <c r="B54" s="217">
        <v>46030</v>
      </c>
      <c r="C54" s="217">
        <v>46030</v>
      </c>
      <c r="D54" s="218" t="s">
        <v>233</v>
      </c>
      <c r="E54" s="218" t="s">
        <v>234</v>
      </c>
      <c r="F54" s="218" t="s">
        <v>135</v>
      </c>
      <c r="G54" s="218" t="s">
        <v>235</v>
      </c>
      <c r="H54" s="218" t="s">
        <v>236</v>
      </c>
      <c r="I54" s="218" t="s">
        <v>237</v>
      </c>
      <c r="J54" s="218">
        <v>1</v>
      </c>
      <c r="K54" s="218" t="s">
        <v>37</v>
      </c>
      <c r="L54" s="218" t="s">
        <v>238</v>
      </c>
      <c r="M54" s="218" t="s">
        <v>81</v>
      </c>
      <c r="N54" s="218"/>
      <c r="O54" s="219"/>
      <c r="P54" s="219"/>
      <c r="Q54" s="218"/>
      <c r="R54" s="219"/>
      <c r="S54" s="220"/>
      <c r="T54" s="220">
        <v>46070</v>
      </c>
      <c r="U54" s="220">
        <v>46084</v>
      </c>
      <c r="V54" s="219" t="s">
        <v>49</v>
      </c>
      <c r="W54" s="221">
        <v>979.86</v>
      </c>
      <c r="X54" s="221">
        <f>Table2[[#This Row],[QUANTIDADE]]*Table2[[#This Row],[PREÇO UNITARIO]]</f>
        <v>979.86</v>
      </c>
      <c r="Y54" s="219"/>
      <c r="Z54" s="219">
        <f t="shared" si="0"/>
        <v>1</v>
      </c>
      <c r="AA54" s="219" t="s">
        <v>74</v>
      </c>
      <c r="AB54" s="220">
        <f t="shared" ca="1" si="1"/>
        <v>46235</v>
      </c>
      <c r="AC54" s="219">
        <f ca="1">_xlfn.DAYS(Table2[[#This Row],[HOJE]],Table2[[#This Row],[DATA PEDIDO HP]])</f>
        <v>205</v>
      </c>
      <c r="AD54" s="219" t="str">
        <f>IF(Table2[[#This Row],[STATUS2]]="ENTREGUE","ENTREGUE","")</f>
        <v>ENTREGUE</v>
      </c>
      <c r="AE54" s="219" t="s">
        <v>43</v>
      </c>
    </row>
    <row r="55" spans="1:31" ht="14.45">
      <c r="A55" s="233" t="s">
        <v>239</v>
      </c>
      <c r="B55" s="217">
        <v>46031</v>
      </c>
      <c r="C55" s="217">
        <v>46030</v>
      </c>
      <c r="D55" s="218" t="s">
        <v>240</v>
      </c>
      <c r="E55" s="218" t="s">
        <v>241</v>
      </c>
      <c r="F55" s="218" t="s">
        <v>242</v>
      </c>
      <c r="G55" s="218">
        <v>51100064</v>
      </c>
      <c r="H55" s="218" t="s">
        <v>243</v>
      </c>
      <c r="I55" s="218" t="s">
        <v>244</v>
      </c>
      <c r="J55" s="218">
        <v>1</v>
      </c>
      <c r="K55" s="218" t="s">
        <v>37</v>
      </c>
      <c r="L55" s="218" t="s">
        <v>72</v>
      </c>
      <c r="M55" s="218" t="s">
        <v>73</v>
      </c>
      <c r="N55" s="218">
        <v>154353</v>
      </c>
      <c r="O55" s="219"/>
      <c r="P55" s="219"/>
      <c r="Q55" s="218"/>
      <c r="R55" s="219"/>
      <c r="S55" s="220"/>
      <c r="T55" s="220">
        <v>46070</v>
      </c>
      <c r="U55" s="220">
        <v>46084</v>
      </c>
      <c r="V55" s="219" t="s">
        <v>49</v>
      </c>
      <c r="W55" s="221">
        <v>354.38</v>
      </c>
      <c r="X55" s="221">
        <f>Table2[[#This Row],[QUANTIDADE]]*Table2[[#This Row],[PREÇO UNITARIO]]</f>
        <v>354.38</v>
      </c>
      <c r="Y55" s="219"/>
      <c r="Z55" s="219">
        <f t="shared" si="0"/>
        <v>1</v>
      </c>
      <c r="AA55" s="219" t="s">
        <v>74</v>
      </c>
      <c r="AB55" s="220">
        <f t="shared" ca="1" si="1"/>
        <v>46235</v>
      </c>
      <c r="AC55" s="219">
        <f ca="1">_xlfn.DAYS(Table2[[#This Row],[HOJE]],Table2[[#This Row],[DATA PEDIDO HP]])</f>
        <v>204</v>
      </c>
      <c r="AD55" s="219" t="str">
        <f>IF(Table2[[#This Row],[STATUS2]]="ENTREGUE","ENTREGUE","")</f>
        <v>ENTREGUE</v>
      </c>
      <c r="AE55" s="219" t="s">
        <v>43</v>
      </c>
    </row>
    <row r="56" spans="1:31" ht="14.45">
      <c r="A56" s="233" t="s">
        <v>245</v>
      </c>
      <c r="B56" s="217">
        <v>46031</v>
      </c>
      <c r="C56" s="217">
        <v>46031</v>
      </c>
      <c r="D56" s="218" t="s">
        <v>246</v>
      </c>
      <c r="E56" s="218" t="s">
        <v>247</v>
      </c>
      <c r="F56" s="218" t="s">
        <v>248</v>
      </c>
      <c r="G56" s="218">
        <v>46000053</v>
      </c>
      <c r="H56" s="218" t="s">
        <v>249</v>
      </c>
      <c r="I56" s="218" t="s">
        <v>250</v>
      </c>
      <c r="J56" s="218">
        <v>1</v>
      </c>
      <c r="K56" s="218" t="s">
        <v>37</v>
      </c>
      <c r="L56" s="218" t="s">
        <v>251</v>
      </c>
      <c r="M56" s="218" t="s">
        <v>81</v>
      </c>
      <c r="N56" s="218">
        <v>154718</v>
      </c>
      <c r="O56" s="219"/>
      <c r="P56" s="219"/>
      <c r="Q56" s="218"/>
      <c r="R56" s="219" t="s">
        <v>236</v>
      </c>
      <c r="S56" s="220"/>
      <c r="T56" s="220">
        <v>46056</v>
      </c>
      <c r="U56" s="220">
        <v>46065</v>
      </c>
      <c r="V56" s="219" t="s">
        <v>252</v>
      </c>
      <c r="W56" s="221">
        <v>979.86</v>
      </c>
      <c r="X56" s="221">
        <f>Table2[[#This Row],[QUANTIDADE]]*Table2[[#This Row],[PREÇO UNITARIO]]</f>
        <v>979.86</v>
      </c>
      <c r="Y56" s="219"/>
      <c r="Z56" s="219">
        <f t="shared" si="0"/>
        <v>1</v>
      </c>
      <c r="AA56" s="219" t="s">
        <v>74</v>
      </c>
      <c r="AB56" s="220">
        <f t="shared" ca="1" si="1"/>
        <v>46235</v>
      </c>
      <c r="AC56" s="219">
        <f ca="1">_xlfn.DAYS(Table2[[#This Row],[HOJE]],Table2[[#This Row],[DATA PEDIDO HP]])</f>
        <v>204</v>
      </c>
      <c r="AD56" s="219" t="str">
        <f>IF(Table2[[#This Row],[STATUS2]]="ENTREGUE","ENTREGUE","")</f>
        <v>ENTREGUE</v>
      </c>
      <c r="AE56" s="219" t="s">
        <v>43</v>
      </c>
    </row>
    <row r="57" spans="1:31" ht="14.45">
      <c r="A57" s="233" t="s">
        <v>245</v>
      </c>
      <c r="B57" s="217">
        <v>46031</v>
      </c>
      <c r="C57" s="217">
        <v>46031</v>
      </c>
      <c r="D57" s="218" t="s">
        <v>246</v>
      </c>
      <c r="E57" s="218" t="s">
        <v>247</v>
      </c>
      <c r="F57" s="218" t="s">
        <v>248</v>
      </c>
      <c r="G57" s="218">
        <v>46000053</v>
      </c>
      <c r="H57" s="218" t="s">
        <v>253</v>
      </c>
      <c r="I57" s="218" t="s">
        <v>254</v>
      </c>
      <c r="J57" s="218">
        <v>1</v>
      </c>
      <c r="K57" s="218" t="s">
        <v>37</v>
      </c>
      <c r="L57" s="218" t="s">
        <v>251</v>
      </c>
      <c r="M57" s="218" t="s">
        <v>81</v>
      </c>
      <c r="N57" s="218">
        <v>154718</v>
      </c>
      <c r="O57" s="219"/>
      <c r="P57" s="219"/>
      <c r="Q57" s="218"/>
      <c r="R57" s="219"/>
      <c r="S57" s="220"/>
      <c r="T57" s="220">
        <v>46056</v>
      </c>
      <c r="U57" s="220">
        <v>46065</v>
      </c>
      <c r="V57" s="219" t="s">
        <v>252</v>
      </c>
      <c r="W57" s="221">
        <v>2.71</v>
      </c>
      <c r="X57" s="221">
        <f>Table2[[#This Row],[QUANTIDADE]]*Table2[[#This Row],[PREÇO UNITARIO]]</f>
        <v>2.71</v>
      </c>
      <c r="Y57" s="219"/>
      <c r="Z57" s="219">
        <f t="shared" si="0"/>
        <v>1</v>
      </c>
      <c r="AA57" s="219" t="s">
        <v>74</v>
      </c>
      <c r="AB57" s="220">
        <f t="shared" ca="1" si="1"/>
        <v>46235</v>
      </c>
      <c r="AC57" s="219">
        <f ca="1">_xlfn.DAYS(Table2[[#This Row],[HOJE]],Table2[[#This Row],[DATA PEDIDO HP]])</f>
        <v>204</v>
      </c>
      <c r="AD57" s="219" t="str">
        <f>IF(Table2[[#This Row],[STATUS2]]="ENTREGUE","ENTREGUE","")</f>
        <v>ENTREGUE</v>
      </c>
      <c r="AE57" s="219" t="s">
        <v>43</v>
      </c>
    </row>
    <row r="58" spans="1:31" ht="14.45">
      <c r="A58" s="233" t="s">
        <v>255</v>
      </c>
      <c r="B58" s="217">
        <v>46034</v>
      </c>
      <c r="C58" s="217">
        <v>46034</v>
      </c>
      <c r="D58" s="218" t="s">
        <v>256</v>
      </c>
      <c r="E58" s="218" t="s">
        <v>154</v>
      </c>
      <c r="F58" s="218" t="s">
        <v>145</v>
      </c>
      <c r="G58" s="218">
        <v>48000044</v>
      </c>
      <c r="H58" s="218" t="s">
        <v>257</v>
      </c>
      <c r="I58" s="218" t="s">
        <v>258</v>
      </c>
      <c r="J58" s="218">
        <v>1</v>
      </c>
      <c r="K58" s="218" t="s">
        <v>37</v>
      </c>
      <c r="L58" s="218" t="s">
        <v>72</v>
      </c>
      <c r="M58" s="218" t="s">
        <v>39</v>
      </c>
      <c r="N58" s="218">
        <v>154748</v>
      </c>
      <c r="O58" s="219"/>
      <c r="P58" s="219"/>
      <c r="Q58" s="218"/>
      <c r="R58" s="219"/>
      <c r="S58" s="220">
        <v>46094</v>
      </c>
      <c r="T58" s="220">
        <v>46056</v>
      </c>
      <c r="U58" s="220">
        <v>46065</v>
      </c>
      <c r="V58" s="219" t="s">
        <v>252</v>
      </c>
      <c r="W58" s="221">
        <v>72.98</v>
      </c>
      <c r="X58" s="221">
        <f>Table2[[#This Row],[QUANTIDADE]]*Table2[[#This Row],[PREÇO UNITARIO]]</f>
        <v>72.98</v>
      </c>
      <c r="Y58" s="219"/>
      <c r="Z58" s="219">
        <f t="shared" si="0"/>
        <v>1</v>
      </c>
      <c r="AA58" s="219" t="s">
        <v>74</v>
      </c>
      <c r="AB58" s="220">
        <f t="shared" ca="1" si="1"/>
        <v>46235</v>
      </c>
      <c r="AC58" s="219">
        <f ca="1">_xlfn.DAYS(Table2[[#This Row],[HOJE]],Table2[[#This Row],[DATA PEDIDO HP]])</f>
        <v>201</v>
      </c>
      <c r="AD58" s="219" t="str">
        <f>IF(Table2[[#This Row],[STATUS2]]="ENTREGUE","ENTREGUE","")</f>
        <v>ENTREGUE</v>
      </c>
      <c r="AE58" s="219" t="s">
        <v>43</v>
      </c>
    </row>
    <row r="59" spans="1:31" ht="14.45">
      <c r="A59" s="233" t="s">
        <v>255</v>
      </c>
      <c r="B59" s="217">
        <v>46034</v>
      </c>
      <c r="C59" s="217">
        <v>46034</v>
      </c>
      <c r="D59" s="218" t="s">
        <v>256</v>
      </c>
      <c r="E59" s="218" t="s">
        <v>154</v>
      </c>
      <c r="F59" s="218" t="s">
        <v>145</v>
      </c>
      <c r="G59" s="218">
        <v>48000044</v>
      </c>
      <c r="H59" s="218" t="s">
        <v>259</v>
      </c>
      <c r="I59" s="218" t="s">
        <v>260</v>
      </c>
      <c r="J59" s="218">
        <v>1</v>
      </c>
      <c r="K59" s="218" t="s">
        <v>37</v>
      </c>
      <c r="L59" s="218" t="s">
        <v>72</v>
      </c>
      <c r="M59" s="218" t="s">
        <v>73</v>
      </c>
      <c r="N59" s="218">
        <v>154748</v>
      </c>
      <c r="O59" s="219"/>
      <c r="P59" s="219"/>
      <c r="Q59" s="218"/>
      <c r="R59" s="219"/>
      <c r="S59" s="220"/>
      <c r="T59" s="220">
        <v>46056</v>
      </c>
      <c r="U59" s="220">
        <v>46065</v>
      </c>
      <c r="V59" s="219" t="s">
        <v>252</v>
      </c>
      <c r="W59" s="221">
        <v>11.63</v>
      </c>
      <c r="X59" s="221">
        <f>Table2[[#This Row],[QUANTIDADE]]*Table2[[#This Row],[PREÇO UNITARIO]]</f>
        <v>11.63</v>
      </c>
      <c r="Y59" s="219"/>
      <c r="Z59" s="219">
        <f t="shared" si="0"/>
        <v>1</v>
      </c>
      <c r="AA59" s="219" t="s">
        <v>74</v>
      </c>
      <c r="AB59" s="220">
        <f t="shared" ca="1" si="1"/>
        <v>46235</v>
      </c>
      <c r="AC59" s="219">
        <f ca="1">_xlfn.DAYS(Table2[[#This Row],[HOJE]],Table2[[#This Row],[DATA PEDIDO HP]])</f>
        <v>201</v>
      </c>
      <c r="AD59" s="219" t="str">
        <f>IF(Table2[[#This Row],[STATUS2]]="ENTREGUE","ENTREGUE","")</f>
        <v>ENTREGUE</v>
      </c>
      <c r="AE59" s="219" t="s">
        <v>43</v>
      </c>
    </row>
    <row r="60" spans="1:31" ht="14.45">
      <c r="A60" s="233" t="s">
        <v>261</v>
      </c>
      <c r="B60" s="217">
        <v>46034</v>
      </c>
      <c r="C60" s="217">
        <v>46034</v>
      </c>
      <c r="D60" s="218" t="s">
        <v>262</v>
      </c>
      <c r="E60" s="218" t="s">
        <v>234</v>
      </c>
      <c r="F60" s="218" t="s">
        <v>135</v>
      </c>
      <c r="G60" s="218" t="s">
        <v>235</v>
      </c>
      <c r="H60" s="218" t="s">
        <v>263</v>
      </c>
      <c r="I60" s="218" t="s">
        <v>264</v>
      </c>
      <c r="J60" s="218">
        <v>1</v>
      </c>
      <c r="K60" s="218" t="s">
        <v>37</v>
      </c>
      <c r="L60" s="218" t="s">
        <v>72</v>
      </c>
      <c r="M60" s="218" t="s">
        <v>73</v>
      </c>
      <c r="N60" s="218">
        <v>154616</v>
      </c>
      <c r="O60" s="219"/>
      <c r="P60" s="219"/>
      <c r="Q60" s="218"/>
      <c r="R60" s="219"/>
      <c r="S60" s="220"/>
      <c r="T60" s="220">
        <v>46069</v>
      </c>
      <c r="U60" s="220">
        <v>46078</v>
      </c>
      <c r="V60" s="219" t="s">
        <v>46</v>
      </c>
      <c r="W60" s="221">
        <v>160.38999999999999</v>
      </c>
      <c r="X60" s="221">
        <f>Table2[[#This Row],[QUANTIDADE]]*Table2[[#This Row],[PREÇO UNITARIO]]</f>
        <v>160.38999999999999</v>
      </c>
      <c r="Y60" s="219"/>
      <c r="Z60" s="219">
        <f t="shared" si="0"/>
        <v>1</v>
      </c>
      <c r="AA60" s="219" t="s">
        <v>74</v>
      </c>
      <c r="AB60" s="220">
        <f t="shared" ca="1" si="1"/>
        <v>46235</v>
      </c>
      <c r="AC60" s="219">
        <f ca="1">_xlfn.DAYS(Table2[[#This Row],[HOJE]],Table2[[#This Row],[DATA PEDIDO HP]])</f>
        <v>201</v>
      </c>
      <c r="AD60" s="219" t="str">
        <f>IF(Table2[[#This Row],[STATUS2]]="ENTREGUE","ENTREGUE","")</f>
        <v>ENTREGUE</v>
      </c>
      <c r="AE60" s="219" t="s">
        <v>43</v>
      </c>
    </row>
    <row r="61" spans="1:31" ht="14.45">
      <c r="A61" s="233" t="s">
        <v>265</v>
      </c>
      <c r="B61" s="217">
        <v>46034</v>
      </c>
      <c r="C61" s="217">
        <v>46034</v>
      </c>
      <c r="D61" s="218" t="s">
        <v>266</v>
      </c>
      <c r="E61" s="218" t="s">
        <v>191</v>
      </c>
      <c r="F61" s="218" t="s">
        <v>95</v>
      </c>
      <c r="G61" s="218">
        <v>60001111</v>
      </c>
      <c r="H61" s="218" t="s">
        <v>267</v>
      </c>
      <c r="I61" s="218" t="s">
        <v>268</v>
      </c>
      <c r="J61" s="218">
        <v>1</v>
      </c>
      <c r="K61" s="218" t="s">
        <v>269</v>
      </c>
      <c r="L61" s="218" t="s">
        <v>72</v>
      </c>
      <c r="M61" s="218" t="s">
        <v>39</v>
      </c>
      <c r="N61" s="218">
        <v>154913</v>
      </c>
      <c r="O61" s="219"/>
      <c r="P61" s="219"/>
      <c r="Q61" s="218"/>
      <c r="R61" s="219"/>
      <c r="S61" s="220">
        <v>46086</v>
      </c>
      <c r="T61" s="220">
        <v>46042</v>
      </c>
      <c r="U61" s="220">
        <v>46045</v>
      </c>
      <c r="V61" s="219" t="s">
        <v>61</v>
      </c>
      <c r="W61" s="221">
        <v>723.56</v>
      </c>
      <c r="X61" s="221">
        <f>Table2[[#This Row],[QUANTIDADE]]*Table2[[#This Row],[PREÇO UNITARIO]]</f>
        <v>723.56</v>
      </c>
      <c r="Y61" s="219"/>
      <c r="Z61" s="219">
        <f t="shared" si="0"/>
        <v>1</v>
      </c>
      <c r="AA61" s="219" t="s">
        <v>42</v>
      </c>
      <c r="AB61" s="220">
        <f t="shared" ca="1" si="1"/>
        <v>46235</v>
      </c>
      <c r="AC61" s="219">
        <f ca="1">_xlfn.DAYS(Table2[[#This Row],[HOJE]],Table2[[#This Row],[DATA PEDIDO HP]])</f>
        <v>201</v>
      </c>
      <c r="AD61" s="219" t="str">
        <f>IF(Table2[[#This Row],[STATUS2]]="ENTREGUE","ENTREGUE","")</f>
        <v>ENTREGUE</v>
      </c>
      <c r="AE61" s="219" t="s">
        <v>43</v>
      </c>
    </row>
    <row r="62" spans="1:31" ht="14.45">
      <c r="A62" s="233" t="s">
        <v>270</v>
      </c>
      <c r="B62" s="217">
        <v>46034</v>
      </c>
      <c r="C62" s="217">
        <v>46034</v>
      </c>
      <c r="D62" s="218" t="s">
        <v>271</v>
      </c>
      <c r="E62" s="218" t="s">
        <v>162</v>
      </c>
      <c r="F62" s="218" t="s">
        <v>140</v>
      </c>
      <c r="G62" s="218">
        <v>48300315</v>
      </c>
      <c r="H62" s="218" t="s">
        <v>272</v>
      </c>
      <c r="I62" s="218" t="s">
        <v>273</v>
      </c>
      <c r="J62" s="218">
        <v>1</v>
      </c>
      <c r="K62" s="218" t="s">
        <v>37</v>
      </c>
      <c r="L62" s="218" t="s">
        <v>72</v>
      </c>
      <c r="M62" s="218" t="s">
        <v>73</v>
      </c>
      <c r="N62" s="218">
        <v>154584</v>
      </c>
      <c r="O62" s="219"/>
      <c r="P62" s="219"/>
      <c r="Q62" s="218"/>
      <c r="R62" s="219"/>
      <c r="S62" s="220"/>
      <c r="T62" s="220">
        <v>46069</v>
      </c>
      <c r="U62" s="220">
        <v>46078</v>
      </c>
      <c r="V62" s="219" t="s">
        <v>46</v>
      </c>
      <c r="W62" s="221">
        <v>427.1</v>
      </c>
      <c r="X62" s="221">
        <f>Table2[[#This Row],[QUANTIDADE]]*Table2[[#This Row],[PREÇO UNITARIO]]</f>
        <v>427.1</v>
      </c>
      <c r="Y62" s="219"/>
      <c r="Z62" s="219">
        <f t="shared" si="0"/>
        <v>1</v>
      </c>
      <c r="AA62" s="219" t="s">
        <v>74</v>
      </c>
      <c r="AB62" s="220">
        <f t="shared" ca="1" si="1"/>
        <v>46235</v>
      </c>
      <c r="AC62" s="219">
        <f ca="1">_xlfn.DAYS(Table2[[#This Row],[HOJE]],Table2[[#This Row],[DATA PEDIDO HP]])</f>
        <v>201</v>
      </c>
      <c r="AD62" s="219" t="str">
        <f>IF(Table2[[#This Row],[STATUS2]]="ENTREGUE","ENTREGUE","")</f>
        <v>ENTREGUE</v>
      </c>
      <c r="AE62" s="219" t="s">
        <v>43</v>
      </c>
    </row>
    <row r="63" spans="1:31" ht="14.45">
      <c r="A63" s="233" t="s">
        <v>274</v>
      </c>
      <c r="B63" s="217">
        <v>46034</v>
      </c>
      <c r="C63" s="217">
        <v>46034</v>
      </c>
      <c r="D63" s="218" t="s">
        <v>275</v>
      </c>
      <c r="E63" s="218" t="s">
        <v>88</v>
      </c>
      <c r="F63" s="218" t="s">
        <v>34</v>
      </c>
      <c r="G63" s="218">
        <v>50110057</v>
      </c>
      <c r="H63" s="218" t="s">
        <v>276</v>
      </c>
      <c r="I63" s="218" t="s">
        <v>277</v>
      </c>
      <c r="J63" s="218">
        <v>1</v>
      </c>
      <c r="K63" s="218" t="s">
        <v>37</v>
      </c>
      <c r="L63" s="218" t="s">
        <v>72</v>
      </c>
      <c r="M63" s="218" t="s">
        <v>81</v>
      </c>
      <c r="N63" s="218">
        <v>154979</v>
      </c>
      <c r="O63" s="219"/>
      <c r="P63" s="219"/>
      <c r="Q63" s="218"/>
      <c r="R63" s="219" t="s">
        <v>278</v>
      </c>
      <c r="S63" s="220"/>
      <c r="T63" s="220">
        <v>46069</v>
      </c>
      <c r="U63" s="220">
        <v>46078</v>
      </c>
      <c r="V63" s="219" t="s">
        <v>46</v>
      </c>
      <c r="W63" s="221">
        <v>397.76</v>
      </c>
      <c r="X63" s="221">
        <f>Table2[[#This Row],[QUANTIDADE]]*Table2[[#This Row],[PREÇO UNITARIO]]</f>
        <v>397.76</v>
      </c>
      <c r="Y63" s="219"/>
      <c r="Z63" s="219">
        <f t="shared" si="0"/>
        <v>1</v>
      </c>
      <c r="AA63" s="219" t="s">
        <v>42</v>
      </c>
      <c r="AB63" s="220">
        <f t="shared" ca="1" si="1"/>
        <v>46235</v>
      </c>
      <c r="AC63" s="219">
        <f ca="1">_xlfn.DAYS(Table2[[#This Row],[HOJE]],Table2[[#This Row],[DATA PEDIDO HP]])</f>
        <v>201</v>
      </c>
      <c r="AD63" s="219" t="str">
        <f>IF(Table2[[#This Row],[STATUS2]]="ENTREGUE","ENTREGUE","")</f>
        <v>ENTREGUE</v>
      </c>
      <c r="AE63" s="219" t="s">
        <v>43</v>
      </c>
    </row>
    <row r="64" spans="1:31" ht="14.45">
      <c r="A64" s="233" t="s">
        <v>279</v>
      </c>
      <c r="B64" s="217">
        <v>46035</v>
      </c>
      <c r="C64" s="217">
        <v>46035</v>
      </c>
      <c r="D64" s="218" t="s">
        <v>280</v>
      </c>
      <c r="E64" s="218" t="s">
        <v>33</v>
      </c>
      <c r="F64" s="218" t="s">
        <v>95</v>
      </c>
      <c r="G64" s="218">
        <v>60002095</v>
      </c>
      <c r="H64" s="218" t="s">
        <v>281</v>
      </c>
      <c r="I64" s="218" t="s">
        <v>282</v>
      </c>
      <c r="J64" s="218">
        <v>1</v>
      </c>
      <c r="K64" s="218" t="s">
        <v>37</v>
      </c>
      <c r="L64" s="218" t="s">
        <v>98</v>
      </c>
      <c r="M64" s="218" t="s">
        <v>73</v>
      </c>
      <c r="N64" s="218">
        <v>153298</v>
      </c>
      <c r="O64" s="219"/>
      <c r="P64" s="219"/>
      <c r="Q64" s="218"/>
      <c r="R64" s="219" t="s">
        <v>283</v>
      </c>
      <c r="S64" s="220"/>
      <c r="T64" s="220">
        <v>46069</v>
      </c>
      <c r="U64" s="220">
        <v>46078</v>
      </c>
      <c r="V64" s="219" t="s">
        <v>46</v>
      </c>
      <c r="W64" s="221">
        <v>4432.21</v>
      </c>
      <c r="X64" s="221">
        <f>Table2[[#This Row],[QUANTIDADE]]*Table2[[#This Row],[PREÇO UNITARIO]]</f>
        <v>4432.21</v>
      </c>
      <c r="Y64" s="219"/>
      <c r="Z64" s="219">
        <f t="shared" si="0"/>
        <v>1</v>
      </c>
      <c r="AA64" s="219" t="s">
        <v>42</v>
      </c>
      <c r="AB64" s="220">
        <f t="shared" ca="1" si="1"/>
        <v>46235</v>
      </c>
      <c r="AC64" s="219">
        <f ca="1">_xlfn.DAYS(Table2[[#This Row],[HOJE]],Table2[[#This Row],[DATA PEDIDO HP]])</f>
        <v>200</v>
      </c>
      <c r="AD64" s="219" t="str">
        <f>IF(Table2[[#This Row],[STATUS2]]="ENTREGUE","ENTREGUE","")</f>
        <v>ENTREGUE</v>
      </c>
      <c r="AE64" s="219" t="s">
        <v>43</v>
      </c>
    </row>
    <row r="65" spans="1:31" ht="14.45">
      <c r="A65" s="233" t="s">
        <v>279</v>
      </c>
      <c r="B65" s="217">
        <v>46035</v>
      </c>
      <c r="C65" s="217">
        <v>46035</v>
      </c>
      <c r="D65" s="218" t="s">
        <v>280</v>
      </c>
      <c r="E65" s="218" t="s">
        <v>33</v>
      </c>
      <c r="F65" s="218" t="s">
        <v>95</v>
      </c>
      <c r="G65" s="218">
        <v>60002095</v>
      </c>
      <c r="H65" s="218" t="s">
        <v>284</v>
      </c>
      <c r="I65" s="218" t="s">
        <v>285</v>
      </c>
      <c r="J65" s="218">
        <v>1</v>
      </c>
      <c r="K65" s="218" t="s">
        <v>37</v>
      </c>
      <c r="L65" s="218" t="s">
        <v>98</v>
      </c>
      <c r="M65" s="218" t="s">
        <v>73</v>
      </c>
      <c r="N65" s="218">
        <v>153298</v>
      </c>
      <c r="O65" s="219"/>
      <c r="P65" s="219"/>
      <c r="Q65" s="218"/>
      <c r="R65" s="219"/>
      <c r="S65" s="220"/>
      <c r="T65" s="220">
        <v>46069</v>
      </c>
      <c r="U65" s="220">
        <v>46078</v>
      </c>
      <c r="V65" s="219" t="s">
        <v>46</v>
      </c>
      <c r="W65" s="221">
        <v>89.82</v>
      </c>
      <c r="X65" s="221">
        <f>Table2[[#This Row],[QUANTIDADE]]*Table2[[#This Row],[PREÇO UNITARIO]]</f>
        <v>89.82</v>
      </c>
      <c r="Y65" s="219"/>
      <c r="Z65" s="219">
        <f t="shared" si="0"/>
        <v>1</v>
      </c>
      <c r="AA65" s="219" t="s">
        <v>42</v>
      </c>
      <c r="AB65" s="220">
        <f t="shared" ca="1" si="1"/>
        <v>46235</v>
      </c>
      <c r="AC65" s="219">
        <f ca="1">_xlfn.DAYS(Table2[[#This Row],[HOJE]],Table2[[#This Row],[DATA PEDIDO HP]])</f>
        <v>200</v>
      </c>
      <c r="AD65" s="219" t="str">
        <f>IF(Table2[[#This Row],[STATUS2]]="ENTREGUE","ENTREGUE","")</f>
        <v>ENTREGUE</v>
      </c>
      <c r="AE65" s="219" t="s">
        <v>43</v>
      </c>
    </row>
    <row r="66" spans="1:31" ht="14.45">
      <c r="A66" s="233" t="s">
        <v>286</v>
      </c>
      <c r="B66" s="217">
        <v>46036</v>
      </c>
      <c r="C66" s="217">
        <v>46035</v>
      </c>
      <c r="D66" s="218"/>
      <c r="E66" s="218" t="s">
        <v>247</v>
      </c>
      <c r="F66" s="218"/>
      <c r="G66" s="218">
        <v>50200003</v>
      </c>
      <c r="H66" s="218" t="s">
        <v>287</v>
      </c>
      <c r="I66" s="218" t="s">
        <v>288</v>
      </c>
      <c r="J66" s="218">
        <v>1</v>
      </c>
      <c r="K66" s="218"/>
      <c r="L66" s="218"/>
      <c r="M66" s="218" t="s">
        <v>289</v>
      </c>
      <c r="N66" s="218"/>
      <c r="O66" s="219"/>
      <c r="P66" s="219"/>
      <c r="Q66" s="219"/>
      <c r="R66" s="219"/>
      <c r="S66" s="220"/>
      <c r="T66" s="220">
        <v>46222</v>
      </c>
      <c r="U66" s="220">
        <v>46232</v>
      </c>
      <c r="V66" s="219" t="s">
        <v>290</v>
      </c>
      <c r="W66" s="221">
        <v>130.65</v>
      </c>
      <c r="X66" s="221">
        <f>Table2[[#This Row],[QUANTIDADE]]*Table2[[#This Row],[PREÇO UNITARIO]]</f>
        <v>130.65</v>
      </c>
      <c r="Y66" s="219"/>
      <c r="Z66" s="219">
        <f t="shared" ref="Z66:Z129" si="2">MONTH(B66)</f>
        <v>1</v>
      </c>
      <c r="AA66" s="219" t="s">
        <v>74</v>
      </c>
      <c r="AB66" s="220">
        <f t="shared" ref="AB66:AB129" ca="1" si="3">TODAY()</f>
        <v>46235</v>
      </c>
      <c r="AC66" s="219">
        <f ca="1">_xlfn.DAYS(Table2[[#This Row],[HOJE]],Table2[[#This Row],[DATA PEDIDO HP]])</f>
        <v>199</v>
      </c>
      <c r="AD66" s="219" t="str">
        <f ca="1">IF(Table2[[#This Row],[STATUS2]]="ENTREGUE","ENTREGUE","")</f>
        <v/>
      </c>
      <c r="AE66" s="219" t="str">
        <f ca="1">IF(Table2[[#This Row],[HOLD]]&gt;30,"ATRASADO","NO PRAZO")</f>
        <v>ATRASADO</v>
      </c>
    </row>
    <row r="67" spans="1:31" ht="14.45">
      <c r="A67" s="233" t="s">
        <v>291</v>
      </c>
      <c r="B67" s="217">
        <v>46037</v>
      </c>
      <c r="C67" s="217">
        <v>46036</v>
      </c>
      <c r="D67" s="218"/>
      <c r="E67" s="218" t="s">
        <v>292</v>
      </c>
      <c r="F67" s="218"/>
      <c r="G67" s="218"/>
      <c r="H67" s="218" t="s">
        <v>293</v>
      </c>
      <c r="I67" s="218" t="s">
        <v>294</v>
      </c>
      <c r="J67" s="218">
        <v>7</v>
      </c>
      <c r="K67" s="218"/>
      <c r="L67" s="218"/>
      <c r="M67" s="218" t="s">
        <v>289</v>
      </c>
      <c r="N67" s="218"/>
      <c r="O67" s="219"/>
      <c r="P67" s="219"/>
      <c r="Q67" s="219"/>
      <c r="R67" s="219"/>
      <c r="S67" s="220"/>
      <c r="T67" s="220">
        <v>46069</v>
      </c>
      <c r="U67" s="220">
        <v>46078</v>
      </c>
      <c r="V67" s="219" t="s">
        <v>46</v>
      </c>
      <c r="W67" s="221">
        <v>15.32</v>
      </c>
      <c r="X67" s="221">
        <f>Table2[[#This Row],[QUANTIDADE]]*Table2[[#This Row],[PREÇO UNITARIO]]</f>
        <v>107.24000000000001</v>
      </c>
      <c r="Y67" s="219" t="s">
        <v>295</v>
      </c>
      <c r="Z67" s="219">
        <f t="shared" si="2"/>
        <v>1</v>
      </c>
      <c r="AA67" s="219" t="s">
        <v>42</v>
      </c>
      <c r="AB67" s="220">
        <f t="shared" ca="1" si="3"/>
        <v>46235</v>
      </c>
      <c r="AC67" s="219">
        <f ca="1">_xlfn.DAYS(Table2[[#This Row],[HOJE]],Table2[[#This Row],[DATA PEDIDO HP]])</f>
        <v>198</v>
      </c>
      <c r="AD67" s="219" t="str">
        <f>IF(Table2[[#This Row],[STATUS2]]="ENTREGUE","ENTREGUE","")</f>
        <v>ENTREGUE</v>
      </c>
      <c r="AE67" s="219" t="s">
        <v>43</v>
      </c>
    </row>
    <row r="68" spans="1:31" ht="14.45">
      <c r="A68" s="233" t="s">
        <v>296</v>
      </c>
      <c r="B68" s="217">
        <v>46037</v>
      </c>
      <c r="C68" s="217">
        <v>46037</v>
      </c>
      <c r="D68" s="218" t="s">
        <v>297</v>
      </c>
      <c r="E68" s="218" t="s">
        <v>298</v>
      </c>
      <c r="F68" s="218" t="s">
        <v>34</v>
      </c>
      <c r="G68" s="218">
        <v>50110261</v>
      </c>
      <c r="H68" s="218" t="s">
        <v>299</v>
      </c>
      <c r="I68" s="218" t="s">
        <v>300</v>
      </c>
      <c r="J68" s="218">
        <v>1</v>
      </c>
      <c r="K68" s="218" t="s">
        <v>37</v>
      </c>
      <c r="L68" s="218" t="s">
        <v>72</v>
      </c>
      <c r="M68" s="218" t="s">
        <v>73</v>
      </c>
      <c r="N68" s="218">
        <v>154946</v>
      </c>
      <c r="O68" s="219"/>
      <c r="P68" s="219"/>
      <c r="Q68" s="219"/>
      <c r="R68" s="219"/>
      <c r="S68" s="220"/>
      <c r="T68" s="220">
        <v>46069</v>
      </c>
      <c r="U68" s="220">
        <v>46078</v>
      </c>
      <c r="V68" s="219" t="s">
        <v>46</v>
      </c>
      <c r="W68" s="221">
        <v>32.659999999999997</v>
      </c>
      <c r="X68" s="221">
        <f>Table2[[#This Row],[QUANTIDADE]]*Table2[[#This Row],[PREÇO UNITARIO]]</f>
        <v>32.659999999999997</v>
      </c>
      <c r="Y68" s="219"/>
      <c r="Z68" s="219">
        <f t="shared" si="2"/>
        <v>1</v>
      </c>
      <c r="AA68" s="219" t="s">
        <v>74</v>
      </c>
      <c r="AB68" s="220">
        <f t="shared" ca="1" si="3"/>
        <v>46235</v>
      </c>
      <c r="AC68" s="219">
        <f ca="1">_xlfn.DAYS(Table2[[#This Row],[HOJE]],Table2[[#This Row],[DATA PEDIDO HP]])</f>
        <v>198</v>
      </c>
      <c r="AD68" s="219" t="str">
        <f>IF(Table2[[#This Row],[STATUS2]]="ENTREGUE","ENTREGUE","")</f>
        <v>ENTREGUE</v>
      </c>
      <c r="AE68" s="219" t="s">
        <v>43</v>
      </c>
    </row>
    <row r="69" spans="1:31" ht="14.45">
      <c r="A69" s="233" t="s">
        <v>301</v>
      </c>
      <c r="B69" s="217">
        <v>46037</v>
      </c>
      <c r="C69" s="217">
        <v>46037</v>
      </c>
      <c r="D69" s="218" t="s">
        <v>302</v>
      </c>
      <c r="E69" s="218" t="s">
        <v>303</v>
      </c>
      <c r="F69" s="218" t="s">
        <v>304</v>
      </c>
      <c r="G69" s="218">
        <v>47200274</v>
      </c>
      <c r="H69" s="218" t="s">
        <v>305</v>
      </c>
      <c r="I69" s="218" t="s">
        <v>306</v>
      </c>
      <c r="J69" s="218">
        <v>1</v>
      </c>
      <c r="K69" s="218" t="s">
        <v>269</v>
      </c>
      <c r="L69" s="218" t="s">
        <v>307</v>
      </c>
      <c r="M69" s="218" t="s">
        <v>39</v>
      </c>
      <c r="N69" s="218">
        <v>155673</v>
      </c>
      <c r="O69" s="219"/>
      <c r="P69" s="219"/>
      <c r="Q69" s="219"/>
      <c r="R69" s="219"/>
      <c r="S69" s="220">
        <v>46057</v>
      </c>
      <c r="T69" s="220"/>
      <c r="U69" s="220">
        <v>46055</v>
      </c>
      <c r="V69" s="219"/>
      <c r="W69" s="221">
        <v>1227.08</v>
      </c>
      <c r="X69" s="221">
        <f>Table2[[#This Row],[QUANTIDADE]]*Table2[[#This Row],[PREÇO UNITARIO]]</f>
        <v>1227.08</v>
      </c>
      <c r="Y69" s="219" t="s">
        <v>308</v>
      </c>
      <c r="Z69" s="219">
        <f t="shared" si="2"/>
        <v>1</v>
      </c>
      <c r="AA69" s="219" t="s">
        <v>74</v>
      </c>
      <c r="AB69" s="220">
        <f t="shared" ca="1" si="3"/>
        <v>46235</v>
      </c>
      <c r="AC69" s="219">
        <f ca="1">_xlfn.DAYS(Table2[[#This Row],[HOJE]],Table2[[#This Row],[DATA PEDIDO HP]])</f>
        <v>198</v>
      </c>
      <c r="AD69" s="219" t="str">
        <f>IF(Table2[[#This Row],[STATUS2]]="ENTREGUE","ENTREGUE","")</f>
        <v>ENTREGUE</v>
      </c>
      <c r="AE69" s="219" t="s">
        <v>43</v>
      </c>
    </row>
    <row r="70" spans="1:31" ht="14.45">
      <c r="A70" s="233" t="s">
        <v>309</v>
      </c>
      <c r="B70" s="217">
        <v>46037</v>
      </c>
      <c r="C70" s="217">
        <v>46037</v>
      </c>
      <c r="D70" s="218" t="s">
        <v>310</v>
      </c>
      <c r="E70" s="218" t="s">
        <v>134</v>
      </c>
      <c r="F70" s="218" t="s">
        <v>135</v>
      </c>
      <c r="G70" s="218">
        <v>48500783</v>
      </c>
      <c r="H70" s="218" t="s">
        <v>311</v>
      </c>
      <c r="I70" s="218" t="s">
        <v>312</v>
      </c>
      <c r="J70" s="218">
        <v>1</v>
      </c>
      <c r="K70" s="218" t="s">
        <v>37</v>
      </c>
      <c r="L70" s="218" t="s">
        <v>122</v>
      </c>
      <c r="M70" s="218" t="s">
        <v>73</v>
      </c>
      <c r="N70" s="218">
        <v>155541</v>
      </c>
      <c r="O70" s="219"/>
      <c r="P70" s="219"/>
      <c r="Q70" s="219"/>
      <c r="R70" s="219"/>
      <c r="S70" s="220"/>
      <c r="T70" s="220">
        <v>46069</v>
      </c>
      <c r="U70" s="220">
        <v>46078</v>
      </c>
      <c r="V70" s="219" t="s">
        <v>46</v>
      </c>
      <c r="W70" s="221">
        <v>1272.6400000000001</v>
      </c>
      <c r="X70" s="221">
        <f>Table2[[#This Row],[QUANTIDADE]]*Table2[[#This Row],[PREÇO UNITARIO]]</f>
        <v>1272.6400000000001</v>
      </c>
      <c r="Y70" s="219"/>
      <c r="Z70" s="219">
        <f t="shared" si="2"/>
        <v>1</v>
      </c>
      <c r="AA70" s="219" t="s">
        <v>74</v>
      </c>
      <c r="AB70" s="220">
        <f t="shared" ca="1" si="3"/>
        <v>46235</v>
      </c>
      <c r="AC70" s="219">
        <f ca="1">_xlfn.DAYS(Table2[[#This Row],[HOJE]],Table2[[#This Row],[DATA PEDIDO HP]])</f>
        <v>198</v>
      </c>
      <c r="AD70" s="219" t="str">
        <f>IF(Table2[[#This Row],[STATUS2]]="ENTREGUE","ENTREGUE","")</f>
        <v>ENTREGUE</v>
      </c>
      <c r="AE70" s="219" t="s">
        <v>43</v>
      </c>
    </row>
    <row r="71" spans="1:31" ht="14.45">
      <c r="A71" s="233" t="s">
        <v>313</v>
      </c>
      <c r="B71" s="217">
        <v>46037</v>
      </c>
      <c r="C71" s="217">
        <v>46037</v>
      </c>
      <c r="D71" s="218" t="s">
        <v>314</v>
      </c>
      <c r="E71" s="218" t="s">
        <v>101</v>
      </c>
      <c r="F71" s="218" t="s">
        <v>102</v>
      </c>
      <c r="G71" s="218">
        <v>51000323</v>
      </c>
      <c r="H71" s="218" t="s">
        <v>315</v>
      </c>
      <c r="I71" s="218" t="s">
        <v>316</v>
      </c>
      <c r="J71" s="218">
        <v>1</v>
      </c>
      <c r="K71" s="218" t="s">
        <v>37</v>
      </c>
      <c r="L71" s="218" t="s">
        <v>122</v>
      </c>
      <c r="M71" s="218" t="s">
        <v>73</v>
      </c>
      <c r="N71" s="218">
        <v>155771</v>
      </c>
      <c r="O71" s="219"/>
      <c r="P71" s="219"/>
      <c r="Q71" s="219"/>
      <c r="R71" s="219" t="s">
        <v>317</v>
      </c>
      <c r="S71" s="220"/>
      <c r="T71" s="220">
        <v>46069</v>
      </c>
      <c r="U71" s="220">
        <v>46078</v>
      </c>
      <c r="V71" s="219" t="s">
        <v>46</v>
      </c>
      <c r="W71" s="221">
        <v>360.91</v>
      </c>
      <c r="X71" s="221">
        <f>Table2[[#This Row],[QUANTIDADE]]*Table2[[#This Row],[PREÇO UNITARIO]]</f>
        <v>360.91</v>
      </c>
      <c r="Y71" s="219"/>
      <c r="Z71" s="219">
        <f t="shared" si="2"/>
        <v>1</v>
      </c>
      <c r="AA71" s="219" t="s">
        <v>42</v>
      </c>
      <c r="AB71" s="220">
        <f t="shared" ca="1" si="3"/>
        <v>46235</v>
      </c>
      <c r="AC71" s="219">
        <f ca="1">_xlfn.DAYS(Table2[[#This Row],[HOJE]],Table2[[#This Row],[DATA PEDIDO HP]])</f>
        <v>198</v>
      </c>
      <c r="AD71" s="219" t="str">
        <f>IF(Table2[[#This Row],[STATUS2]]="ENTREGUE","ENTREGUE","")</f>
        <v>ENTREGUE</v>
      </c>
      <c r="AE71" s="219" t="s">
        <v>43</v>
      </c>
    </row>
    <row r="72" spans="1:31" ht="14.45">
      <c r="A72" s="233" t="s">
        <v>318</v>
      </c>
      <c r="B72" s="217">
        <v>46041</v>
      </c>
      <c r="C72" s="217">
        <v>46041</v>
      </c>
      <c r="D72" s="218" t="s">
        <v>319</v>
      </c>
      <c r="E72" s="218" t="s">
        <v>33</v>
      </c>
      <c r="F72" s="218" t="s">
        <v>34</v>
      </c>
      <c r="G72" s="218">
        <v>50110372</v>
      </c>
      <c r="H72" s="218" t="s">
        <v>231</v>
      </c>
      <c r="I72" s="218" t="s">
        <v>320</v>
      </c>
      <c r="J72" s="218">
        <v>1</v>
      </c>
      <c r="K72" s="218" t="s">
        <v>37</v>
      </c>
      <c r="L72" s="218" t="s">
        <v>122</v>
      </c>
      <c r="M72" s="218" t="s">
        <v>73</v>
      </c>
      <c r="N72" s="218">
        <v>156299</v>
      </c>
      <c r="O72" s="219"/>
      <c r="P72" s="219"/>
      <c r="Q72" s="219"/>
      <c r="R72" s="219"/>
      <c r="S72" s="220"/>
      <c r="T72" s="220">
        <v>46069</v>
      </c>
      <c r="U72" s="220">
        <v>46078</v>
      </c>
      <c r="V72" s="219" t="s">
        <v>46</v>
      </c>
      <c r="W72" s="221">
        <v>112.68</v>
      </c>
      <c r="X72" s="221">
        <f>Table2[[#This Row],[QUANTIDADE]]*Table2[[#This Row],[PREÇO UNITARIO]]</f>
        <v>112.68</v>
      </c>
      <c r="Y72" s="219"/>
      <c r="Z72" s="219">
        <f t="shared" si="2"/>
        <v>1</v>
      </c>
      <c r="AA72" s="219" t="s">
        <v>42</v>
      </c>
      <c r="AB72" s="220">
        <f t="shared" ca="1" si="3"/>
        <v>46235</v>
      </c>
      <c r="AC72" s="219">
        <f ca="1">_xlfn.DAYS(Table2[[#This Row],[HOJE]],Table2[[#This Row],[DATA PEDIDO HP]])</f>
        <v>194</v>
      </c>
      <c r="AD72" s="219" t="str">
        <f>IF(Table2[[#This Row],[STATUS2]]="ENTREGUE","ENTREGUE","")</f>
        <v>ENTREGUE</v>
      </c>
      <c r="AE72" s="219" t="s">
        <v>43</v>
      </c>
    </row>
    <row r="73" spans="1:31" ht="14.45">
      <c r="A73" s="233" t="s">
        <v>321</v>
      </c>
      <c r="B73" s="217">
        <v>46041</v>
      </c>
      <c r="C73" s="217">
        <v>46041</v>
      </c>
      <c r="D73" s="218" t="s">
        <v>322</v>
      </c>
      <c r="E73" s="218" t="s">
        <v>101</v>
      </c>
      <c r="F73" s="218" t="s">
        <v>102</v>
      </c>
      <c r="G73" s="218">
        <v>51000136</v>
      </c>
      <c r="H73" s="218" t="s">
        <v>323</v>
      </c>
      <c r="I73" s="218" t="s">
        <v>324</v>
      </c>
      <c r="J73" s="218">
        <v>1</v>
      </c>
      <c r="K73" s="218" t="s">
        <v>37</v>
      </c>
      <c r="L73" s="218" t="s">
        <v>122</v>
      </c>
      <c r="M73" s="218" t="s">
        <v>81</v>
      </c>
      <c r="N73" s="218">
        <v>156332</v>
      </c>
      <c r="O73" s="219"/>
      <c r="P73" s="219"/>
      <c r="Q73" s="219"/>
      <c r="R73" s="219"/>
      <c r="S73" s="217">
        <v>46091</v>
      </c>
      <c r="T73" s="220">
        <v>46069</v>
      </c>
      <c r="U73" s="220">
        <v>46078</v>
      </c>
      <c r="V73" s="219" t="s">
        <v>46</v>
      </c>
      <c r="W73" s="221">
        <v>96.35</v>
      </c>
      <c r="X73" s="221">
        <f>Table2[[#This Row],[QUANTIDADE]]*Table2[[#This Row],[PREÇO UNITARIO]]</f>
        <v>96.35</v>
      </c>
      <c r="Y73" s="219"/>
      <c r="Z73" s="219">
        <f t="shared" si="2"/>
        <v>1</v>
      </c>
      <c r="AA73" s="219" t="s">
        <v>42</v>
      </c>
      <c r="AB73" s="220">
        <f t="shared" ca="1" si="3"/>
        <v>46235</v>
      </c>
      <c r="AC73" s="219">
        <f ca="1">_xlfn.DAYS(Table2[[#This Row],[HOJE]],Table2[[#This Row],[DATA PEDIDO HP]])</f>
        <v>194</v>
      </c>
      <c r="AD73" s="219" t="str">
        <f>IF(Table2[[#This Row],[STATUS2]]="ENTREGUE","ENTREGUE","")</f>
        <v>ENTREGUE</v>
      </c>
      <c r="AE73" s="219" t="s">
        <v>43</v>
      </c>
    </row>
    <row r="74" spans="1:31" ht="14.45">
      <c r="A74" s="233" t="s">
        <v>325</v>
      </c>
      <c r="B74" s="217">
        <v>46042</v>
      </c>
      <c r="C74" s="217">
        <v>46042</v>
      </c>
      <c r="D74" s="218" t="s">
        <v>326</v>
      </c>
      <c r="E74" s="218" t="s">
        <v>327</v>
      </c>
      <c r="F74" s="218" t="s">
        <v>328</v>
      </c>
      <c r="G74" s="218">
        <v>50000260</v>
      </c>
      <c r="H74" s="218" t="s">
        <v>329</v>
      </c>
      <c r="I74" s="218" t="s">
        <v>330</v>
      </c>
      <c r="J74" s="218">
        <v>1</v>
      </c>
      <c r="K74" s="218" t="s">
        <v>37</v>
      </c>
      <c r="L74" s="218" t="s">
        <v>72</v>
      </c>
      <c r="M74" s="218" t="s">
        <v>73</v>
      </c>
      <c r="N74" s="218">
        <v>155804</v>
      </c>
      <c r="O74" s="219"/>
      <c r="P74" s="219"/>
      <c r="Q74" s="219"/>
      <c r="R74" s="219"/>
      <c r="S74" s="220"/>
      <c r="T74" s="220">
        <v>46069</v>
      </c>
      <c r="U74" s="220">
        <v>46078</v>
      </c>
      <c r="V74" s="219" t="s">
        <v>46</v>
      </c>
      <c r="W74" s="221">
        <v>49.81</v>
      </c>
      <c r="X74" s="221">
        <f>Table2[[#This Row],[QUANTIDADE]]*Table2[[#This Row],[PREÇO UNITARIO]]</f>
        <v>49.81</v>
      </c>
      <c r="Y74" s="219"/>
      <c r="Z74" s="219">
        <f t="shared" si="2"/>
        <v>1</v>
      </c>
      <c r="AA74" s="219" t="s">
        <v>42</v>
      </c>
      <c r="AB74" s="220">
        <f t="shared" ca="1" si="3"/>
        <v>46235</v>
      </c>
      <c r="AC74" s="219">
        <f ca="1">_xlfn.DAYS(Table2[[#This Row],[HOJE]],Table2[[#This Row],[DATA PEDIDO HP]])</f>
        <v>193</v>
      </c>
      <c r="AD74" s="219" t="str">
        <f>IF(Table2[[#This Row],[STATUS2]]="ENTREGUE","ENTREGUE","")</f>
        <v>ENTREGUE</v>
      </c>
      <c r="AE74" s="219" t="s">
        <v>43</v>
      </c>
    </row>
    <row r="75" spans="1:31" ht="14.45">
      <c r="A75" s="233" t="s">
        <v>331</v>
      </c>
      <c r="B75" s="217">
        <v>46042</v>
      </c>
      <c r="C75" s="217">
        <v>46042</v>
      </c>
      <c r="D75" s="218" t="s">
        <v>332</v>
      </c>
      <c r="E75" s="218" t="s">
        <v>333</v>
      </c>
      <c r="F75" s="218" t="s">
        <v>334</v>
      </c>
      <c r="G75" s="218">
        <v>50300097</v>
      </c>
      <c r="H75" s="218" t="s">
        <v>335</v>
      </c>
      <c r="I75" s="218" t="s">
        <v>336</v>
      </c>
      <c r="J75" s="218">
        <v>2</v>
      </c>
      <c r="K75" s="218" t="s">
        <v>37</v>
      </c>
      <c r="L75" s="218" t="s">
        <v>122</v>
      </c>
      <c r="M75" s="218" t="s">
        <v>39</v>
      </c>
      <c r="N75" s="218">
        <v>156663</v>
      </c>
      <c r="O75" s="219"/>
      <c r="P75" s="219"/>
      <c r="Q75" s="219"/>
      <c r="R75" s="219"/>
      <c r="S75" s="220"/>
      <c r="T75" s="220">
        <v>46069</v>
      </c>
      <c r="U75" s="220">
        <v>46078</v>
      </c>
      <c r="V75" s="219" t="s">
        <v>46</v>
      </c>
      <c r="W75" s="221">
        <v>17.28</v>
      </c>
      <c r="X75" s="221">
        <f>Table2[[#This Row],[QUANTIDADE]]*Table2[[#This Row],[PREÇO UNITARIO]]</f>
        <v>34.56</v>
      </c>
      <c r="Y75" s="219"/>
      <c r="Z75" s="219">
        <f t="shared" si="2"/>
        <v>1</v>
      </c>
      <c r="AA75" s="219" t="s">
        <v>74</v>
      </c>
      <c r="AB75" s="220">
        <f t="shared" ca="1" si="3"/>
        <v>46235</v>
      </c>
      <c r="AC75" s="219">
        <f ca="1">_xlfn.DAYS(Table2[[#This Row],[HOJE]],Table2[[#This Row],[DATA PEDIDO HP]])</f>
        <v>193</v>
      </c>
      <c r="AD75" s="219" t="str">
        <f>IF(Table2[[#This Row],[STATUS2]]="ENTREGUE","ENTREGUE","")</f>
        <v>ENTREGUE</v>
      </c>
      <c r="AE75" s="219" t="s">
        <v>43</v>
      </c>
    </row>
    <row r="76" spans="1:31" ht="14.45">
      <c r="A76" s="233" t="s">
        <v>331</v>
      </c>
      <c r="B76" s="217">
        <v>46042</v>
      </c>
      <c r="C76" s="217">
        <v>46042</v>
      </c>
      <c r="D76" s="218" t="s">
        <v>332</v>
      </c>
      <c r="E76" s="218" t="s">
        <v>333</v>
      </c>
      <c r="F76" s="218" t="s">
        <v>334</v>
      </c>
      <c r="G76" s="218">
        <v>50300097</v>
      </c>
      <c r="H76" s="218" t="s">
        <v>337</v>
      </c>
      <c r="I76" s="218" t="s">
        <v>338</v>
      </c>
      <c r="J76" s="218">
        <v>2</v>
      </c>
      <c r="K76" s="218" t="s">
        <v>37</v>
      </c>
      <c r="L76" s="218" t="s">
        <v>122</v>
      </c>
      <c r="M76" s="218" t="s">
        <v>39</v>
      </c>
      <c r="N76" s="218">
        <v>156663</v>
      </c>
      <c r="O76" s="219"/>
      <c r="P76" s="219"/>
      <c r="Q76" s="219"/>
      <c r="R76" s="219"/>
      <c r="S76" s="220"/>
      <c r="T76" s="220">
        <v>46069</v>
      </c>
      <c r="U76" s="220">
        <v>46078</v>
      </c>
      <c r="V76" s="219" t="s">
        <v>46</v>
      </c>
      <c r="W76" s="221">
        <v>3.48</v>
      </c>
      <c r="X76" s="221">
        <f>Table2[[#This Row],[QUANTIDADE]]*Table2[[#This Row],[PREÇO UNITARIO]]</f>
        <v>6.96</v>
      </c>
      <c r="Y76" s="219"/>
      <c r="Z76" s="219">
        <f t="shared" si="2"/>
        <v>1</v>
      </c>
      <c r="AA76" s="219" t="s">
        <v>74</v>
      </c>
      <c r="AB76" s="220">
        <f t="shared" ca="1" si="3"/>
        <v>46235</v>
      </c>
      <c r="AC76" s="219">
        <f ca="1">_xlfn.DAYS(Table2[[#This Row],[HOJE]],Table2[[#This Row],[DATA PEDIDO HP]])</f>
        <v>193</v>
      </c>
      <c r="AD76" s="219" t="str">
        <f>IF(Table2[[#This Row],[STATUS2]]="ENTREGUE","ENTREGUE","")</f>
        <v>ENTREGUE</v>
      </c>
      <c r="AE76" s="219" t="s">
        <v>43</v>
      </c>
    </row>
    <row r="77" spans="1:31" ht="14.45">
      <c r="A77" s="233" t="s">
        <v>339</v>
      </c>
      <c r="B77" s="217">
        <v>46043</v>
      </c>
      <c r="C77" s="217">
        <v>46043</v>
      </c>
      <c r="D77" s="218" t="s">
        <v>340</v>
      </c>
      <c r="E77" s="218" t="s">
        <v>94</v>
      </c>
      <c r="F77" s="218" t="s">
        <v>95</v>
      </c>
      <c r="G77" s="218">
        <v>60002072</v>
      </c>
      <c r="H77" s="218" t="s">
        <v>341</v>
      </c>
      <c r="I77" s="218" t="s">
        <v>342</v>
      </c>
      <c r="J77" s="218">
        <v>1</v>
      </c>
      <c r="K77" s="218" t="s">
        <v>37</v>
      </c>
      <c r="L77" s="218" t="s">
        <v>72</v>
      </c>
      <c r="M77" s="218" t="s">
        <v>81</v>
      </c>
      <c r="N77" s="218">
        <v>156365</v>
      </c>
      <c r="O77" s="219"/>
      <c r="P77" s="219"/>
      <c r="Q77" s="219"/>
      <c r="R77" s="219"/>
      <c r="S77" s="220">
        <v>46091</v>
      </c>
      <c r="T77" s="220">
        <v>46104</v>
      </c>
      <c r="U77" s="220">
        <v>46120</v>
      </c>
      <c r="V77" s="219" t="s">
        <v>56</v>
      </c>
      <c r="W77" s="221">
        <v>60.74</v>
      </c>
      <c r="X77" s="221">
        <f>Table2[[#This Row],[QUANTIDADE]]*Table2[[#This Row],[PREÇO UNITARIO]]</f>
        <v>60.74</v>
      </c>
      <c r="Y77" s="219"/>
      <c r="Z77" s="219">
        <f t="shared" si="2"/>
        <v>1</v>
      </c>
      <c r="AA77" s="219" t="s">
        <v>74</v>
      </c>
      <c r="AB77" s="220">
        <f t="shared" ca="1" si="3"/>
        <v>46235</v>
      </c>
      <c r="AC77" s="219">
        <f ca="1">_xlfn.DAYS(Table2[[#This Row],[HOJE]],Table2[[#This Row],[DATA PEDIDO HP]])</f>
        <v>192</v>
      </c>
      <c r="AD77" s="219" t="str">
        <f>IF(Table2[[#This Row],[STATUS2]]="ENTREGUE","ENTREGUE","")</f>
        <v>ENTREGUE</v>
      </c>
      <c r="AE77" s="219" t="s">
        <v>43</v>
      </c>
    </row>
    <row r="78" spans="1:31" ht="14.45">
      <c r="A78" s="233" t="s">
        <v>343</v>
      </c>
      <c r="B78" s="217">
        <v>46044</v>
      </c>
      <c r="C78" s="217">
        <v>46044</v>
      </c>
      <c r="D78" s="218" t="s">
        <v>344</v>
      </c>
      <c r="E78" s="218" t="s">
        <v>345</v>
      </c>
      <c r="F78" s="218" t="s">
        <v>34</v>
      </c>
      <c r="G78" s="218">
        <v>50110229</v>
      </c>
      <c r="H78" s="218" t="s">
        <v>329</v>
      </c>
      <c r="I78" s="218" t="s">
        <v>346</v>
      </c>
      <c r="J78" s="218">
        <v>1</v>
      </c>
      <c r="K78" s="218" t="s">
        <v>37</v>
      </c>
      <c r="L78" s="218" t="s">
        <v>72</v>
      </c>
      <c r="M78" s="218" t="s">
        <v>81</v>
      </c>
      <c r="N78" s="218">
        <v>157388</v>
      </c>
      <c r="O78" s="219"/>
      <c r="P78" s="219"/>
      <c r="Q78" s="219"/>
      <c r="R78" s="219"/>
      <c r="S78" s="220">
        <v>46140</v>
      </c>
      <c r="T78" s="220">
        <v>46069</v>
      </c>
      <c r="U78" s="220">
        <v>46078</v>
      </c>
      <c r="V78" s="219" t="s">
        <v>46</v>
      </c>
      <c r="W78" s="221">
        <v>49.81</v>
      </c>
      <c r="X78" s="221">
        <f>Table2[[#This Row],[QUANTIDADE]]*Table2[[#This Row],[PREÇO UNITARIO]]</f>
        <v>49.81</v>
      </c>
      <c r="Y78" s="219"/>
      <c r="Z78" s="219">
        <f t="shared" si="2"/>
        <v>1</v>
      </c>
      <c r="AA78" s="219" t="s">
        <v>42</v>
      </c>
      <c r="AB78" s="220">
        <f t="shared" ca="1" si="3"/>
        <v>46235</v>
      </c>
      <c r="AC78" s="219">
        <f ca="1">_xlfn.DAYS(Table2[[#This Row],[HOJE]],Table2[[#This Row],[DATA PEDIDO HP]])</f>
        <v>191</v>
      </c>
      <c r="AD78" s="219" t="str">
        <f>IF(Table2[[#This Row],[STATUS2]]="ENTREGUE","ENTREGUE","")</f>
        <v>ENTREGUE</v>
      </c>
      <c r="AE78" s="219" t="s">
        <v>43</v>
      </c>
    </row>
    <row r="79" spans="1:31" ht="14.45">
      <c r="A79" s="233" t="s">
        <v>347</v>
      </c>
      <c r="B79" s="217">
        <v>46044</v>
      </c>
      <c r="C79" s="217">
        <v>46044</v>
      </c>
      <c r="D79" s="218" t="s">
        <v>348</v>
      </c>
      <c r="E79" s="218" t="s">
        <v>69</v>
      </c>
      <c r="F79" s="218" t="s">
        <v>34</v>
      </c>
      <c r="G79" s="218">
        <v>50200095</v>
      </c>
      <c r="H79" s="218" t="s">
        <v>329</v>
      </c>
      <c r="I79" s="218" t="s">
        <v>349</v>
      </c>
      <c r="J79" s="218">
        <v>1</v>
      </c>
      <c r="K79" s="218" t="s">
        <v>37</v>
      </c>
      <c r="L79" s="218" t="s">
        <v>122</v>
      </c>
      <c r="M79" s="218" t="s">
        <v>81</v>
      </c>
      <c r="N79" s="218">
        <v>157322</v>
      </c>
      <c r="O79" s="219"/>
      <c r="P79" s="219"/>
      <c r="Q79" s="219"/>
      <c r="R79" s="219"/>
      <c r="S79" s="220"/>
      <c r="T79" s="220">
        <v>46069</v>
      </c>
      <c r="U79" s="220">
        <v>46078</v>
      </c>
      <c r="V79" s="219" t="s">
        <v>46</v>
      </c>
      <c r="W79" s="221">
        <v>49.81</v>
      </c>
      <c r="X79" s="221">
        <f>Table2[[#This Row],[QUANTIDADE]]*Table2[[#This Row],[PREÇO UNITARIO]]</f>
        <v>49.81</v>
      </c>
      <c r="Y79" s="219"/>
      <c r="Z79" s="219">
        <f t="shared" si="2"/>
        <v>1</v>
      </c>
      <c r="AA79" s="219" t="s">
        <v>74</v>
      </c>
      <c r="AB79" s="220">
        <f t="shared" ca="1" si="3"/>
        <v>46235</v>
      </c>
      <c r="AC79" s="219">
        <f ca="1">_xlfn.DAYS(Table2[[#This Row],[HOJE]],Table2[[#This Row],[DATA PEDIDO HP]])</f>
        <v>191</v>
      </c>
      <c r="AD79" s="219" t="str">
        <f>IF(Table2[[#This Row],[STATUS2]]="ENTREGUE","ENTREGUE","")</f>
        <v>ENTREGUE</v>
      </c>
      <c r="AE79" s="219" t="s">
        <v>43</v>
      </c>
    </row>
    <row r="80" spans="1:31" ht="14.45">
      <c r="A80" s="233" t="s">
        <v>350</v>
      </c>
      <c r="B80" s="217">
        <v>46044</v>
      </c>
      <c r="C80" s="217">
        <v>46044</v>
      </c>
      <c r="D80" s="218" t="s">
        <v>351</v>
      </c>
      <c r="E80" s="218" t="s">
        <v>69</v>
      </c>
      <c r="F80" s="218" t="s">
        <v>34</v>
      </c>
      <c r="G80" s="218">
        <v>50200095</v>
      </c>
      <c r="H80" s="218" t="s">
        <v>70</v>
      </c>
      <c r="I80" s="218" t="s">
        <v>352</v>
      </c>
      <c r="J80" s="218">
        <v>1</v>
      </c>
      <c r="K80" s="218" t="s">
        <v>37</v>
      </c>
      <c r="L80" s="218" t="s">
        <v>122</v>
      </c>
      <c r="M80" s="218" t="s">
        <v>81</v>
      </c>
      <c r="N80" s="218">
        <v>157322</v>
      </c>
      <c r="O80" s="219"/>
      <c r="P80" s="219"/>
      <c r="Q80" s="219"/>
      <c r="R80" s="219"/>
      <c r="S80" s="220"/>
      <c r="T80" s="220">
        <v>46069</v>
      </c>
      <c r="U80" s="220">
        <v>46078</v>
      </c>
      <c r="V80" s="219" t="s">
        <v>46</v>
      </c>
      <c r="W80" s="221">
        <v>35.19</v>
      </c>
      <c r="X80" s="221">
        <f>Table2[[#This Row],[QUANTIDADE]]*Table2[[#This Row],[PREÇO UNITARIO]]</f>
        <v>35.19</v>
      </c>
      <c r="Y80" s="219"/>
      <c r="Z80" s="219">
        <f t="shared" si="2"/>
        <v>1</v>
      </c>
      <c r="AA80" s="219" t="s">
        <v>74</v>
      </c>
      <c r="AB80" s="220">
        <f t="shared" ca="1" si="3"/>
        <v>46235</v>
      </c>
      <c r="AC80" s="219">
        <f ca="1">_xlfn.DAYS(Table2[[#This Row],[HOJE]],Table2[[#This Row],[DATA PEDIDO HP]])</f>
        <v>191</v>
      </c>
      <c r="AD80" s="219" t="str">
        <f>IF(Table2[[#This Row],[STATUS2]]="ENTREGUE","ENTREGUE","")</f>
        <v>ENTREGUE</v>
      </c>
      <c r="AE80" s="219" t="s">
        <v>43</v>
      </c>
    </row>
    <row r="81" spans="1:31" ht="14.45">
      <c r="A81" s="233" t="s">
        <v>353</v>
      </c>
      <c r="B81" s="217">
        <v>46044</v>
      </c>
      <c r="C81" s="217">
        <v>46044</v>
      </c>
      <c r="D81" s="218" t="s">
        <v>354</v>
      </c>
      <c r="E81" s="218" t="s">
        <v>191</v>
      </c>
      <c r="F81" s="218" t="s">
        <v>95</v>
      </c>
      <c r="G81" s="218">
        <v>60001111</v>
      </c>
      <c r="H81" s="218" t="s">
        <v>79</v>
      </c>
      <c r="I81" s="218" t="s">
        <v>355</v>
      </c>
      <c r="J81" s="218">
        <v>1</v>
      </c>
      <c r="K81" s="218" t="s">
        <v>37</v>
      </c>
      <c r="L81" s="218" t="s">
        <v>122</v>
      </c>
      <c r="M81" s="218" t="s">
        <v>81</v>
      </c>
      <c r="N81" s="218">
        <v>157586</v>
      </c>
      <c r="O81" s="219"/>
      <c r="P81" s="219"/>
      <c r="Q81" s="219"/>
      <c r="R81" s="219"/>
      <c r="S81" s="220">
        <v>46086</v>
      </c>
      <c r="T81" s="220">
        <v>46069</v>
      </c>
      <c r="U81" s="220">
        <v>46078</v>
      </c>
      <c r="V81" s="219" t="s">
        <v>46</v>
      </c>
      <c r="W81" s="221">
        <v>42.46</v>
      </c>
      <c r="X81" s="221">
        <f>Table2[[#This Row],[QUANTIDADE]]*Table2[[#This Row],[PREÇO UNITARIO]]</f>
        <v>42.46</v>
      </c>
      <c r="Y81" s="219"/>
      <c r="Z81" s="219">
        <f t="shared" si="2"/>
        <v>1</v>
      </c>
      <c r="AA81" s="219" t="s">
        <v>42</v>
      </c>
      <c r="AB81" s="220">
        <f t="shared" ca="1" si="3"/>
        <v>46235</v>
      </c>
      <c r="AC81" s="219">
        <f ca="1">_xlfn.DAYS(Table2[[#This Row],[HOJE]],Table2[[#This Row],[DATA PEDIDO HP]])</f>
        <v>191</v>
      </c>
      <c r="AD81" s="219" t="str">
        <f>IF(Table2[[#This Row],[STATUS2]]="ENTREGUE","ENTREGUE","")</f>
        <v>ENTREGUE</v>
      </c>
      <c r="AE81" s="219" t="s">
        <v>43</v>
      </c>
    </row>
    <row r="82" spans="1:31" ht="14.45">
      <c r="A82" s="233" t="s">
        <v>356</v>
      </c>
      <c r="B82" s="217">
        <v>46045</v>
      </c>
      <c r="C82" s="217">
        <v>46045</v>
      </c>
      <c r="D82" s="218" t="s">
        <v>357</v>
      </c>
      <c r="E82" s="218" t="s">
        <v>125</v>
      </c>
      <c r="F82" s="218" t="s">
        <v>34</v>
      </c>
      <c r="G82" s="218">
        <v>50110193</v>
      </c>
      <c r="H82" s="218" t="s">
        <v>358</v>
      </c>
      <c r="I82" s="218" t="s">
        <v>359</v>
      </c>
      <c r="J82" s="218">
        <v>1</v>
      </c>
      <c r="K82" s="218" t="s">
        <v>37</v>
      </c>
      <c r="L82" s="218" t="s">
        <v>72</v>
      </c>
      <c r="M82" s="218" t="s">
        <v>73</v>
      </c>
      <c r="N82" s="218">
        <v>157553</v>
      </c>
      <c r="O82" s="219"/>
      <c r="P82" s="219"/>
      <c r="Q82" s="219"/>
      <c r="R82" s="219"/>
      <c r="S82" s="220"/>
      <c r="T82" s="220">
        <v>46069</v>
      </c>
      <c r="U82" s="220">
        <v>46078</v>
      </c>
      <c r="V82" s="219" t="s">
        <v>46</v>
      </c>
      <c r="W82" s="221">
        <v>268.52999999999997</v>
      </c>
      <c r="X82" s="221">
        <f>Table2[[#This Row],[QUANTIDADE]]*Table2[[#This Row],[PREÇO UNITARIO]]</f>
        <v>268.52999999999997</v>
      </c>
      <c r="Y82" s="219"/>
      <c r="Z82" s="219">
        <f t="shared" si="2"/>
        <v>1</v>
      </c>
      <c r="AA82" s="219" t="s">
        <v>42</v>
      </c>
      <c r="AB82" s="220">
        <f t="shared" ca="1" si="3"/>
        <v>46235</v>
      </c>
      <c r="AC82" s="219">
        <f ca="1">_xlfn.DAYS(Table2[[#This Row],[HOJE]],Table2[[#This Row],[DATA PEDIDO HP]])</f>
        <v>190</v>
      </c>
      <c r="AD82" s="219" t="str">
        <f>IF(Table2[[#This Row],[STATUS2]]="ENTREGUE","ENTREGUE","")</f>
        <v>ENTREGUE</v>
      </c>
      <c r="AE82" s="219" t="s">
        <v>43</v>
      </c>
    </row>
    <row r="83" spans="1:31" ht="14.45">
      <c r="A83" s="233" t="s">
        <v>356</v>
      </c>
      <c r="B83" s="217">
        <v>46045</v>
      </c>
      <c r="C83" s="217">
        <v>46045</v>
      </c>
      <c r="D83" s="218" t="s">
        <v>357</v>
      </c>
      <c r="E83" s="218" t="s">
        <v>125</v>
      </c>
      <c r="F83" s="218" t="s">
        <v>34</v>
      </c>
      <c r="G83" s="218">
        <v>50110193</v>
      </c>
      <c r="H83" s="218" t="s">
        <v>360</v>
      </c>
      <c r="I83" s="218" t="s">
        <v>361</v>
      </c>
      <c r="J83" s="218">
        <v>2</v>
      </c>
      <c r="K83" s="218" t="s">
        <v>37</v>
      </c>
      <c r="L83" s="218" t="s">
        <v>72</v>
      </c>
      <c r="M83" s="218" t="s">
        <v>39</v>
      </c>
      <c r="N83" s="218">
        <v>157553</v>
      </c>
      <c r="O83" s="219"/>
      <c r="P83" s="219"/>
      <c r="Q83" s="219"/>
      <c r="R83" s="219" t="s">
        <v>362</v>
      </c>
      <c r="S83" s="220">
        <v>46094</v>
      </c>
      <c r="T83" s="220">
        <v>46069</v>
      </c>
      <c r="U83" s="220">
        <v>46078</v>
      </c>
      <c r="V83" s="219" t="s">
        <v>46</v>
      </c>
      <c r="W83" s="221">
        <v>255.99</v>
      </c>
      <c r="X83" s="221">
        <f>Table2[[#This Row],[QUANTIDADE]]*Table2[[#This Row],[PREÇO UNITARIO]]</f>
        <v>511.98</v>
      </c>
      <c r="Y83" s="219"/>
      <c r="Z83" s="219">
        <f t="shared" si="2"/>
        <v>1</v>
      </c>
      <c r="AA83" s="219" t="s">
        <v>42</v>
      </c>
      <c r="AB83" s="220">
        <f t="shared" ca="1" si="3"/>
        <v>46235</v>
      </c>
      <c r="AC83" s="219">
        <f ca="1">_xlfn.DAYS(Table2[[#This Row],[HOJE]],Table2[[#This Row],[DATA PEDIDO HP]])</f>
        <v>190</v>
      </c>
      <c r="AD83" s="219" t="str">
        <f>IF(Table2[[#This Row],[STATUS2]]="ENTREGUE","ENTREGUE","")</f>
        <v>ENTREGUE</v>
      </c>
      <c r="AE83" s="219" t="s">
        <v>43</v>
      </c>
    </row>
    <row r="84" spans="1:31" ht="14.45">
      <c r="A84" s="233" t="s">
        <v>363</v>
      </c>
      <c r="B84" s="217">
        <v>46048</v>
      </c>
      <c r="C84" s="217">
        <v>46045</v>
      </c>
      <c r="D84" s="218" t="s">
        <v>364</v>
      </c>
      <c r="E84" s="218" t="s">
        <v>365</v>
      </c>
      <c r="F84" s="218" t="s">
        <v>328</v>
      </c>
      <c r="G84" s="218">
        <v>50000530</v>
      </c>
      <c r="H84" s="218" t="s">
        <v>70</v>
      </c>
      <c r="I84" s="218" t="s">
        <v>352</v>
      </c>
      <c r="J84" s="218">
        <v>1</v>
      </c>
      <c r="K84" s="218" t="s">
        <v>37</v>
      </c>
      <c r="L84" s="218" t="s">
        <v>122</v>
      </c>
      <c r="M84" s="218" t="s">
        <v>73</v>
      </c>
      <c r="N84" s="218">
        <v>157685</v>
      </c>
      <c r="O84" s="219"/>
      <c r="P84" s="219"/>
      <c r="Q84" s="219"/>
      <c r="R84" s="219"/>
      <c r="S84" s="220"/>
      <c r="T84" s="220">
        <v>46069</v>
      </c>
      <c r="U84" s="220">
        <v>46078</v>
      </c>
      <c r="V84" s="219" t="s">
        <v>46</v>
      </c>
      <c r="W84" s="221">
        <v>35.19</v>
      </c>
      <c r="X84" s="221">
        <f>Table2[[#This Row],[QUANTIDADE]]*Table2[[#This Row],[PREÇO UNITARIO]]</f>
        <v>35.19</v>
      </c>
      <c r="Y84" s="219"/>
      <c r="Z84" s="219">
        <f t="shared" si="2"/>
        <v>1</v>
      </c>
      <c r="AA84" s="219" t="s">
        <v>74</v>
      </c>
      <c r="AB84" s="220">
        <f t="shared" ca="1" si="3"/>
        <v>46235</v>
      </c>
      <c r="AC84" s="219">
        <f ca="1">_xlfn.DAYS(Table2[[#This Row],[HOJE]],Table2[[#This Row],[DATA PEDIDO HP]])</f>
        <v>187</v>
      </c>
      <c r="AD84" s="219" t="str">
        <f>IF(Table2[[#This Row],[STATUS2]]="ENTREGUE","ENTREGUE","")</f>
        <v>ENTREGUE</v>
      </c>
      <c r="AE84" s="219" t="s">
        <v>43</v>
      </c>
    </row>
    <row r="85" spans="1:31" ht="14.45">
      <c r="A85" s="233" t="s">
        <v>366</v>
      </c>
      <c r="B85" s="220">
        <v>46063</v>
      </c>
      <c r="C85" s="217">
        <v>46045</v>
      </c>
      <c r="D85" s="218" t="s">
        <v>367</v>
      </c>
      <c r="E85" s="218" t="s">
        <v>327</v>
      </c>
      <c r="F85" s="218" t="s">
        <v>328</v>
      </c>
      <c r="G85" s="218">
        <v>50000260</v>
      </c>
      <c r="H85" s="218" t="s">
        <v>368</v>
      </c>
      <c r="I85" s="218" t="s">
        <v>369</v>
      </c>
      <c r="J85" s="218">
        <v>1</v>
      </c>
      <c r="K85" s="218" t="s">
        <v>37</v>
      </c>
      <c r="L85" s="218" t="s">
        <v>72</v>
      </c>
      <c r="M85" s="218" t="s">
        <v>73</v>
      </c>
      <c r="N85" s="218">
        <v>156827</v>
      </c>
      <c r="O85" s="219"/>
      <c r="P85" s="219"/>
      <c r="Q85" s="219"/>
      <c r="R85" s="219"/>
      <c r="S85" s="220"/>
      <c r="T85" s="220">
        <v>46104</v>
      </c>
      <c r="U85" s="220">
        <v>46120</v>
      </c>
      <c r="V85" s="219" t="s">
        <v>56</v>
      </c>
      <c r="W85" s="221">
        <v>808.38</v>
      </c>
      <c r="X85" s="223">
        <f>Table2[[#This Row],[QUANTIDADE]]*Table2[[#This Row],[PREÇO UNITARIO]]</f>
        <v>808.38</v>
      </c>
      <c r="Y85" s="219"/>
      <c r="Z85" s="219">
        <f t="shared" si="2"/>
        <v>2</v>
      </c>
      <c r="AA85" s="219" t="s">
        <v>42</v>
      </c>
      <c r="AB85" s="220">
        <f t="shared" ca="1" si="3"/>
        <v>46235</v>
      </c>
      <c r="AC85" s="219">
        <f ca="1">_xlfn.DAYS(Table2[[#This Row],[HOJE]],Table2[[#This Row],[DATA PEDIDO HP]])</f>
        <v>172</v>
      </c>
      <c r="AD85" s="219" t="str">
        <f>IF(Table2[[#This Row],[STATUS2]]="ENTREGUE","ENTREGUE","")</f>
        <v>ENTREGUE</v>
      </c>
      <c r="AE85" s="219" t="s">
        <v>43</v>
      </c>
    </row>
    <row r="86" spans="1:31" ht="14.45">
      <c r="A86" s="233" t="s">
        <v>366</v>
      </c>
      <c r="B86" s="220">
        <v>46063</v>
      </c>
      <c r="C86" s="217">
        <v>46045</v>
      </c>
      <c r="D86" s="218" t="s">
        <v>367</v>
      </c>
      <c r="E86" s="218" t="s">
        <v>327</v>
      </c>
      <c r="F86" s="218" t="s">
        <v>328</v>
      </c>
      <c r="G86" s="218">
        <v>50000260</v>
      </c>
      <c r="H86" s="218" t="s">
        <v>370</v>
      </c>
      <c r="I86" s="218" t="s">
        <v>371</v>
      </c>
      <c r="J86" s="218">
        <v>1</v>
      </c>
      <c r="K86" s="218" t="s">
        <v>37</v>
      </c>
      <c r="L86" s="218" t="s">
        <v>72</v>
      </c>
      <c r="M86" s="218" t="s">
        <v>73</v>
      </c>
      <c r="N86" s="218">
        <v>156827</v>
      </c>
      <c r="O86" s="219"/>
      <c r="P86" s="219"/>
      <c r="Q86" s="219"/>
      <c r="R86" s="219"/>
      <c r="S86" s="220"/>
      <c r="T86" s="220">
        <v>46104</v>
      </c>
      <c r="U86" s="220">
        <v>46120</v>
      </c>
      <c r="V86" s="219" t="s">
        <v>56</v>
      </c>
      <c r="W86" s="221">
        <v>254.87</v>
      </c>
      <c r="X86" s="223">
        <f>Table2[[#This Row],[QUANTIDADE]]*Table2[[#This Row],[PREÇO UNITARIO]]</f>
        <v>254.87</v>
      </c>
      <c r="Y86" s="219"/>
      <c r="Z86" s="219">
        <f t="shared" si="2"/>
        <v>2</v>
      </c>
      <c r="AA86" s="219" t="s">
        <v>42</v>
      </c>
      <c r="AB86" s="220">
        <f t="shared" ca="1" si="3"/>
        <v>46235</v>
      </c>
      <c r="AC86" s="219">
        <f ca="1">_xlfn.DAYS(Table2[[#This Row],[HOJE]],Table2[[#This Row],[DATA PEDIDO HP]])</f>
        <v>172</v>
      </c>
      <c r="AD86" s="219" t="str">
        <f>IF(Table2[[#This Row],[STATUS2]]="ENTREGUE","ENTREGUE","")</f>
        <v>ENTREGUE</v>
      </c>
      <c r="AE86" s="219" t="s">
        <v>43</v>
      </c>
    </row>
    <row r="87" spans="1:31" ht="14.45">
      <c r="A87" s="233" t="s">
        <v>372</v>
      </c>
      <c r="B87" s="217">
        <v>46045</v>
      </c>
      <c r="C87" s="217">
        <v>46045</v>
      </c>
      <c r="D87" s="218" t="s">
        <v>373</v>
      </c>
      <c r="E87" s="218" t="s">
        <v>191</v>
      </c>
      <c r="F87" s="218" t="s">
        <v>95</v>
      </c>
      <c r="G87" s="218">
        <v>60001111</v>
      </c>
      <c r="H87" s="218" t="s">
        <v>192</v>
      </c>
      <c r="I87" s="218" t="s">
        <v>374</v>
      </c>
      <c r="J87" s="218">
        <v>1</v>
      </c>
      <c r="K87" s="218" t="s">
        <v>37</v>
      </c>
      <c r="L87" s="218" t="s">
        <v>122</v>
      </c>
      <c r="M87" s="218" t="s">
        <v>81</v>
      </c>
      <c r="N87" s="218">
        <v>157784</v>
      </c>
      <c r="O87" s="219"/>
      <c r="P87" s="219"/>
      <c r="Q87" s="219"/>
      <c r="R87" s="219"/>
      <c r="S87" s="220">
        <v>46086</v>
      </c>
      <c r="T87" s="220">
        <v>46069</v>
      </c>
      <c r="U87" s="220">
        <v>46078</v>
      </c>
      <c r="V87" s="219" t="s">
        <v>46</v>
      </c>
      <c r="W87" s="221">
        <v>93.09</v>
      </c>
      <c r="X87" s="221">
        <f>Table2[[#This Row],[QUANTIDADE]]*Table2[[#This Row],[PREÇO UNITARIO]]</f>
        <v>93.09</v>
      </c>
      <c r="Y87" s="219"/>
      <c r="Z87" s="219">
        <f t="shared" si="2"/>
        <v>1</v>
      </c>
      <c r="AA87" s="219" t="s">
        <v>42</v>
      </c>
      <c r="AB87" s="220">
        <f t="shared" ca="1" si="3"/>
        <v>46235</v>
      </c>
      <c r="AC87" s="219">
        <f ca="1">_xlfn.DAYS(Table2[[#This Row],[HOJE]],Table2[[#This Row],[DATA PEDIDO HP]])</f>
        <v>190</v>
      </c>
      <c r="AD87" s="219" t="str">
        <f>IF(Table2[[#This Row],[STATUS2]]="ENTREGUE","ENTREGUE","")</f>
        <v>ENTREGUE</v>
      </c>
      <c r="AE87" s="219" t="s">
        <v>43</v>
      </c>
    </row>
    <row r="88" spans="1:31" ht="14.45">
      <c r="A88" s="233" t="s">
        <v>375</v>
      </c>
      <c r="B88" s="217">
        <v>46048</v>
      </c>
      <c r="C88" s="217">
        <v>46048</v>
      </c>
      <c r="D88" s="218" t="s">
        <v>376</v>
      </c>
      <c r="E88" s="218" t="s">
        <v>33</v>
      </c>
      <c r="F88" s="218" t="s">
        <v>95</v>
      </c>
      <c r="G88" s="218">
        <v>60002095</v>
      </c>
      <c r="H88" s="218" t="s">
        <v>377</v>
      </c>
      <c r="I88" s="218" t="s">
        <v>378</v>
      </c>
      <c r="J88" s="218">
        <v>1</v>
      </c>
      <c r="K88" s="218" t="s">
        <v>269</v>
      </c>
      <c r="L88" s="218" t="s">
        <v>98</v>
      </c>
      <c r="M88" s="218" t="s">
        <v>39</v>
      </c>
      <c r="N88" s="218">
        <v>156959</v>
      </c>
      <c r="O88" s="219"/>
      <c r="P88" s="219"/>
      <c r="Q88" s="219"/>
      <c r="R88" s="219"/>
      <c r="S88" s="220">
        <v>46087</v>
      </c>
      <c r="T88" s="220">
        <v>46072</v>
      </c>
      <c r="U88" s="220">
        <v>46073</v>
      </c>
      <c r="V88" s="219" t="s">
        <v>61</v>
      </c>
      <c r="W88" s="221">
        <v>1175.83</v>
      </c>
      <c r="X88" s="223">
        <f>Table2[[#This Row],[QUANTIDADE]]*Table2[[#This Row],[PREÇO UNITARIO]]</f>
        <v>1175.83</v>
      </c>
      <c r="Y88" s="219"/>
      <c r="Z88" s="219">
        <f t="shared" si="2"/>
        <v>1</v>
      </c>
      <c r="AA88" s="219" t="s">
        <v>42</v>
      </c>
      <c r="AB88" s="220">
        <f t="shared" ca="1" si="3"/>
        <v>46235</v>
      </c>
      <c r="AC88" s="219">
        <f ca="1">_xlfn.DAYS(Table2[[#This Row],[HOJE]],Table2[[#This Row],[DATA PEDIDO HP]])</f>
        <v>187</v>
      </c>
      <c r="AD88" s="219" t="str">
        <f>IF(Table2[[#This Row],[STATUS2]]="ENTREGUE","ENTREGUE","")</f>
        <v>ENTREGUE</v>
      </c>
      <c r="AE88" s="219" t="s">
        <v>43</v>
      </c>
    </row>
    <row r="89" spans="1:31" ht="14.45">
      <c r="A89" s="233" t="s">
        <v>375</v>
      </c>
      <c r="B89" s="217">
        <v>46048</v>
      </c>
      <c r="C89" s="217">
        <v>46048</v>
      </c>
      <c r="D89" s="218" t="s">
        <v>376</v>
      </c>
      <c r="E89" s="218" t="s">
        <v>33</v>
      </c>
      <c r="F89" s="218" t="s">
        <v>95</v>
      </c>
      <c r="G89" s="218">
        <v>60002095</v>
      </c>
      <c r="H89" s="218" t="s">
        <v>379</v>
      </c>
      <c r="I89" s="218" t="s">
        <v>380</v>
      </c>
      <c r="J89" s="218">
        <v>1</v>
      </c>
      <c r="K89" s="218" t="s">
        <v>269</v>
      </c>
      <c r="L89" s="218" t="s">
        <v>98</v>
      </c>
      <c r="M89" s="218" t="s">
        <v>73</v>
      </c>
      <c r="N89" s="218">
        <v>156959</v>
      </c>
      <c r="O89" s="219"/>
      <c r="P89" s="219"/>
      <c r="Q89" s="219"/>
      <c r="R89" s="219"/>
      <c r="S89" s="220"/>
      <c r="T89" s="220">
        <v>46064</v>
      </c>
      <c r="U89" s="220">
        <v>46073</v>
      </c>
      <c r="V89" s="219" t="s">
        <v>61</v>
      </c>
      <c r="W89" s="221">
        <v>631.67999999999995</v>
      </c>
      <c r="X89" s="223">
        <f>Table2[[#This Row],[QUANTIDADE]]*Table2[[#This Row],[PREÇO UNITARIO]]</f>
        <v>631.67999999999995</v>
      </c>
      <c r="Y89" s="219"/>
      <c r="Z89" s="219">
        <f t="shared" si="2"/>
        <v>1</v>
      </c>
      <c r="AA89" s="219" t="s">
        <v>42</v>
      </c>
      <c r="AB89" s="220">
        <f t="shared" ca="1" si="3"/>
        <v>46235</v>
      </c>
      <c r="AC89" s="219">
        <f ca="1">_xlfn.DAYS(Table2[[#This Row],[HOJE]],Table2[[#This Row],[DATA PEDIDO HP]])</f>
        <v>187</v>
      </c>
      <c r="AD89" s="219" t="str">
        <f>IF(Table2[[#This Row],[STATUS2]]="ENTREGUE","ENTREGUE","")</f>
        <v>ENTREGUE</v>
      </c>
      <c r="AE89" s="219" t="s">
        <v>43</v>
      </c>
    </row>
    <row r="90" spans="1:31" ht="14.45">
      <c r="A90" s="233" t="s">
        <v>375</v>
      </c>
      <c r="B90" s="217">
        <v>46048</v>
      </c>
      <c r="C90" s="217">
        <v>46048</v>
      </c>
      <c r="D90" s="218" t="s">
        <v>376</v>
      </c>
      <c r="E90" s="218" t="s">
        <v>33</v>
      </c>
      <c r="F90" s="218" t="s">
        <v>95</v>
      </c>
      <c r="G90" s="218">
        <v>60002095</v>
      </c>
      <c r="H90" s="218" t="s">
        <v>381</v>
      </c>
      <c r="I90" s="218" t="s">
        <v>382</v>
      </c>
      <c r="J90" s="218">
        <v>1</v>
      </c>
      <c r="K90" s="218" t="s">
        <v>269</v>
      </c>
      <c r="L90" s="218" t="s">
        <v>98</v>
      </c>
      <c r="M90" s="218" t="s">
        <v>39</v>
      </c>
      <c r="N90" s="218">
        <v>156959</v>
      </c>
      <c r="O90" s="219"/>
      <c r="P90" s="219"/>
      <c r="Q90" s="219"/>
      <c r="R90" s="219"/>
      <c r="S90" s="220">
        <v>46087</v>
      </c>
      <c r="T90" s="220">
        <v>46067</v>
      </c>
      <c r="U90" s="220">
        <v>46073</v>
      </c>
      <c r="V90" s="219" t="s">
        <v>61</v>
      </c>
      <c r="W90" s="221">
        <v>258.35000000000002</v>
      </c>
      <c r="X90" s="223">
        <f>Table2[[#This Row],[QUANTIDADE]]*Table2[[#This Row],[PREÇO UNITARIO]]</f>
        <v>258.35000000000002</v>
      </c>
      <c r="Y90" s="219"/>
      <c r="Z90" s="219">
        <f t="shared" si="2"/>
        <v>1</v>
      </c>
      <c r="AA90" s="219" t="s">
        <v>42</v>
      </c>
      <c r="AB90" s="220">
        <f t="shared" ca="1" si="3"/>
        <v>46235</v>
      </c>
      <c r="AC90" s="219">
        <f ca="1">_xlfn.DAYS(Table2[[#This Row],[HOJE]],Table2[[#This Row],[DATA PEDIDO HP]])</f>
        <v>187</v>
      </c>
      <c r="AD90" s="219" t="str">
        <f>IF(Table2[[#This Row],[STATUS2]]="ENTREGUE","ENTREGUE","")</f>
        <v>ENTREGUE</v>
      </c>
      <c r="AE90" s="219" t="s">
        <v>43</v>
      </c>
    </row>
    <row r="91" spans="1:31" ht="14.45">
      <c r="A91" s="233" t="s">
        <v>375</v>
      </c>
      <c r="B91" s="217">
        <v>46048</v>
      </c>
      <c r="C91" s="217">
        <v>46048</v>
      </c>
      <c r="D91" s="218" t="s">
        <v>376</v>
      </c>
      <c r="E91" s="218" t="s">
        <v>33</v>
      </c>
      <c r="F91" s="218" t="s">
        <v>95</v>
      </c>
      <c r="G91" s="218">
        <v>60002095</v>
      </c>
      <c r="H91" s="218" t="s">
        <v>383</v>
      </c>
      <c r="I91" s="218" t="s">
        <v>384</v>
      </c>
      <c r="J91" s="218">
        <v>1</v>
      </c>
      <c r="K91" s="218" t="s">
        <v>269</v>
      </c>
      <c r="L91" s="218" t="s">
        <v>98</v>
      </c>
      <c r="M91" s="218" t="s">
        <v>39</v>
      </c>
      <c r="N91" s="218">
        <v>156959</v>
      </c>
      <c r="O91" s="219"/>
      <c r="P91" s="219"/>
      <c r="Q91" s="219"/>
      <c r="R91" s="219"/>
      <c r="S91" s="220">
        <v>46087</v>
      </c>
      <c r="T91" s="220">
        <v>46066</v>
      </c>
      <c r="U91" s="220">
        <v>46073</v>
      </c>
      <c r="V91" s="219" t="s">
        <v>61</v>
      </c>
      <c r="W91" s="221">
        <v>141.9</v>
      </c>
      <c r="X91" s="223">
        <f>Table2[[#This Row],[QUANTIDADE]]*Table2[[#This Row],[PREÇO UNITARIO]]</f>
        <v>141.9</v>
      </c>
      <c r="Y91" s="219"/>
      <c r="Z91" s="219">
        <f t="shared" si="2"/>
        <v>1</v>
      </c>
      <c r="AA91" s="219" t="s">
        <v>42</v>
      </c>
      <c r="AB91" s="220">
        <f t="shared" ca="1" si="3"/>
        <v>46235</v>
      </c>
      <c r="AC91" s="219">
        <f ca="1">_xlfn.DAYS(Table2[[#This Row],[HOJE]],Table2[[#This Row],[DATA PEDIDO HP]])</f>
        <v>187</v>
      </c>
      <c r="AD91" s="219" t="str">
        <f>IF(Table2[[#This Row],[STATUS2]]="ENTREGUE","ENTREGUE","")</f>
        <v>ENTREGUE</v>
      </c>
      <c r="AE91" s="219" t="s">
        <v>43</v>
      </c>
    </row>
    <row r="92" spans="1:31" ht="14.45">
      <c r="A92" s="233" t="s">
        <v>375</v>
      </c>
      <c r="B92" s="217">
        <v>46048</v>
      </c>
      <c r="C92" s="217">
        <v>46048</v>
      </c>
      <c r="D92" s="218" t="s">
        <v>376</v>
      </c>
      <c r="E92" s="218" t="s">
        <v>33</v>
      </c>
      <c r="F92" s="218" t="s">
        <v>95</v>
      </c>
      <c r="G92" s="218">
        <v>60002095</v>
      </c>
      <c r="H92" s="218" t="s">
        <v>385</v>
      </c>
      <c r="I92" s="218" t="s">
        <v>386</v>
      </c>
      <c r="J92" s="218">
        <v>1</v>
      </c>
      <c r="K92" s="218" t="s">
        <v>269</v>
      </c>
      <c r="L92" s="218" t="s">
        <v>98</v>
      </c>
      <c r="M92" s="218" t="s">
        <v>73</v>
      </c>
      <c r="N92" s="218">
        <v>156959</v>
      </c>
      <c r="O92" s="219"/>
      <c r="P92" s="219"/>
      <c r="Q92" s="219"/>
      <c r="R92" s="219"/>
      <c r="S92" s="220"/>
      <c r="T92" s="220">
        <v>46065</v>
      </c>
      <c r="U92" s="220">
        <v>46073</v>
      </c>
      <c r="V92" s="219" t="s">
        <v>61</v>
      </c>
      <c r="W92" s="221">
        <v>139.13999999999999</v>
      </c>
      <c r="X92" s="223">
        <f>Table2[[#This Row],[QUANTIDADE]]*Table2[[#This Row],[PREÇO UNITARIO]]</f>
        <v>139.13999999999999</v>
      </c>
      <c r="Y92" s="219"/>
      <c r="Z92" s="219">
        <f t="shared" si="2"/>
        <v>1</v>
      </c>
      <c r="AA92" s="219" t="s">
        <v>42</v>
      </c>
      <c r="AB92" s="220">
        <f t="shared" ca="1" si="3"/>
        <v>46235</v>
      </c>
      <c r="AC92" s="219">
        <f ca="1">_xlfn.DAYS(Table2[[#This Row],[HOJE]],Table2[[#This Row],[DATA PEDIDO HP]])</f>
        <v>187</v>
      </c>
      <c r="AD92" s="219" t="str">
        <f>IF(Table2[[#This Row],[STATUS2]]="ENTREGUE","ENTREGUE","")</f>
        <v>ENTREGUE</v>
      </c>
      <c r="AE92" s="219" t="s">
        <v>43</v>
      </c>
    </row>
    <row r="93" spans="1:31" ht="14.45">
      <c r="A93" s="233" t="s">
        <v>375</v>
      </c>
      <c r="B93" s="217">
        <v>46048</v>
      </c>
      <c r="C93" s="217">
        <v>46048</v>
      </c>
      <c r="D93" s="218" t="s">
        <v>376</v>
      </c>
      <c r="E93" s="218" t="s">
        <v>33</v>
      </c>
      <c r="F93" s="218" t="s">
        <v>95</v>
      </c>
      <c r="G93" s="218">
        <v>60002095</v>
      </c>
      <c r="H93" s="218" t="s">
        <v>387</v>
      </c>
      <c r="I93" s="218" t="s">
        <v>388</v>
      </c>
      <c r="J93" s="218">
        <v>1</v>
      </c>
      <c r="K93" s="218" t="s">
        <v>269</v>
      </c>
      <c r="L93" s="218" t="s">
        <v>98</v>
      </c>
      <c r="M93" s="218" t="s">
        <v>39</v>
      </c>
      <c r="N93" s="218">
        <v>156959</v>
      </c>
      <c r="O93" s="219"/>
      <c r="P93" s="219"/>
      <c r="Q93" s="219"/>
      <c r="R93" s="219"/>
      <c r="S93" s="220">
        <v>46087</v>
      </c>
      <c r="T93" s="220">
        <v>46071</v>
      </c>
      <c r="U93" s="220">
        <v>46073</v>
      </c>
      <c r="V93" s="219" t="s">
        <v>61</v>
      </c>
      <c r="W93" s="221">
        <v>120.8</v>
      </c>
      <c r="X93" s="223">
        <f>Table2[[#This Row],[QUANTIDADE]]*Table2[[#This Row],[PREÇO UNITARIO]]</f>
        <v>120.8</v>
      </c>
      <c r="Y93" s="219"/>
      <c r="Z93" s="219">
        <f t="shared" si="2"/>
        <v>1</v>
      </c>
      <c r="AA93" s="219" t="s">
        <v>42</v>
      </c>
      <c r="AB93" s="220">
        <f t="shared" ca="1" si="3"/>
        <v>46235</v>
      </c>
      <c r="AC93" s="219">
        <f ca="1">_xlfn.DAYS(Table2[[#This Row],[HOJE]],Table2[[#This Row],[DATA PEDIDO HP]])</f>
        <v>187</v>
      </c>
      <c r="AD93" s="219" t="str">
        <f>IF(Table2[[#This Row],[STATUS2]]="ENTREGUE","ENTREGUE","")</f>
        <v>ENTREGUE</v>
      </c>
      <c r="AE93" s="219" t="s">
        <v>43</v>
      </c>
    </row>
    <row r="94" spans="1:31" ht="14.45">
      <c r="A94" s="233" t="s">
        <v>375</v>
      </c>
      <c r="B94" s="217">
        <v>46048</v>
      </c>
      <c r="C94" s="217">
        <v>46048</v>
      </c>
      <c r="D94" s="218" t="s">
        <v>376</v>
      </c>
      <c r="E94" s="218" t="s">
        <v>33</v>
      </c>
      <c r="F94" s="218" t="s">
        <v>95</v>
      </c>
      <c r="G94" s="218">
        <v>60002095</v>
      </c>
      <c r="H94" s="218" t="s">
        <v>389</v>
      </c>
      <c r="I94" s="218" t="s">
        <v>390</v>
      </c>
      <c r="J94" s="218">
        <v>1</v>
      </c>
      <c r="K94" s="218" t="s">
        <v>269</v>
      </c>
      <c r="L94" s="218" t="s">
        <v>98</v>
      </c>
      <c r="M94" s="218" t="s">
        <v>39</v>
      </c>
      <c r="N94" s="218">
        <v>156959</v>
      </c>
      <c r="O94" s="219"/>
      <c r="P94" s="219"/>
      <c r="Q94" s="219"/>
      <c r="R94" s="219"/>
      <c r="S94" s="220">
        <v>46087</v>
      </c>
      <c r="T94" s="220">
        <v>46068</v>
      </c>
      <c r="U94" s="220">
        <v>46073</v>
      </c>
      <c r="V94" s="219" t="s">
        <v>61</v>
      </c>
      <c r="W94" s="221">
        <v>11.15</v>
      </c>
      <c r="X94" s="223">
        <f>Table2[[#This Row],[QUANTIDADE]]*Table2[[#This Row],[PREÇO UNITARIO]]</f>
        <v>11.15</v>
      </c>
      <c r="Y94" s="219"/>
      <c r="Z94" s="219">
        <f t="shared" si="2"/>
        <v>1</v>
      </c>
      <c r="AA94" s="219" t="s">
        <v>42</v>
      </c>
      <c r="AB94" s="220">
        <f t="shared" ca="1" si="3"/>
        <v>46235</v>
      </c>
      <c r="AC94" s="219">
        <f ca="1">_xlfn.DAYS(Table2[[#This Row],[HOJE]],Table2[[#This Row],[DATA PEDIDO HP]])</f>
        <v>187</v>
      </c>
      <c r="AD94" s="219" t="str">
        <f>IF(Table2[[#This Row],[STATUS2]]="ENTREGUE","ENTREGUE","")</f>
        <v>ENTREGUE</v>
      </c>
      <c r="AE94" s="219" t="s">
        <v>43</v>
      </c>
    </row>
    <row r="95" spans="1:31" ht="14.45">
      <c r="A95" s="233" t="s">
        <v>375</v>
      </c>
      <c r="B95" s="217">
        <v>46048</v>
      </c>
      <c r="C95" s="217">
        <v>46048</v>
      </c>
      <c r="D95" s="218" t="s">
        <v>376</v>
      </c>
      <c r="E95" s="218" t="s">
        <v>33</v>
      </c>
      <c r="F95" s="218" t="s">
        <v>95</v>
      </c>
      <c r="G95" s="218">
        <v>60002095</v>
      </c>
      <c r="H95" s="218" t="s">
        <v>391</v>
      </c>
      <c r="I95" s="218" t="s">
        <v>392</v>
      </c>
      <c r="J95" s="218">
        <v>3</v>
      </c>
      <c r="K95" s="218" t="s">
        <v>269</v>
      </c>
      <c r="L95" s="218" t="s">
        <v>98</v>
      </c>
      <c r="M95" s="218" t="s">
        <v>39</v>
      </c>
      <c r="N95" s="218">
        <v>156959</v>
      </c>
      <c r="O95" s="219"/>
      <c r="P95" s="219"/>
      <c r="Q95" s="219"/>
      <c r="R95" s="219"/>
      <c r="S95" s="220">
        <v>46087</v>
      </c>
      <c r="T95" s="220">
        <v>46070</v>
      </c>
      <c r="U95" s="220">
        <v>46073</v>
      </c>
      <c r="V95" s="219" t="s">
        <v>61</v>
      </c>
      <c r="W95" s="221">
        <v>4.57</v>
      </c>
      <c r="X95" s="223">
        <f>Table2[[#This Row],[QUANTIDADE]]*Table2[[#This Row],[PREÇO UNITARIO]]</f>
        <v>13.71</v>
      </c>
      <c r="Y95" s="219"/>
      <c r="Z95" s="219">
        <f t="shared" si="2"/>
        <v>1</v>
      </c>
      <c r="AA95" s="219" t="s">
        <v>42</v>
      </c>
      <c r="AB95" s="220">
        <f t="shared" ca="1" si="3"/>
        <v>46235</v>
      </c>
      <c r="AC95" s="219">
        <f ca="1">_xlfn.DAYS(Table2[[#This Row],[HOJE]],Table2[[#This Row],[DATA PEDIDO HP]])</f>
        <v>187</v>
      </c>
      <c r="AD95" s="219" t="str">
        <f>IF(Table2[[#This Row],[STATUS2]]="ENTREGUE","ENTREGUE","")</f>
        <v>ENTREGUE</v>
      </c>
      <c r="AE95" s="219" t="s">
        <v>43</v>
      </c>
    </row>
    <row r="96" spans="1:31" ht="14.45">
      <c r="A96" s="233" t="s">
        <v>375</v>
      </c>
      <c r="B96" s="217">
        <v>46048</v>
      </c>
      <c r="C96" s="217">
        <v>46048</v>
      </c>
      <c r="D96" s="218" t="s">
        <v>376</v>
      </c>
      <c r="E96" s="218" t="s">
        <v>33</v>
      </c>
      <c r="F96" s="218" t="s">
        <v>95</v>
      </c>
      <c r="G96" s="218">
        <v>60002095</v>
      </c>
      <c r="H96" s="218" t="s">
        <v>393</v>
      </c>
      <c r="I96" s="218" t="s">
        <v>394</v>
      </c>
      <c r="J96" s="218">
        <v>1</v>
      </c>
      <c r="K96" s="218" t="s">
        <v>269</v>
      </c>
      <c r="L96" s="218" t="s">
        <v>98</v>
      </c>
      <c r="M96" s="218" t="s">
        <v>39</v>
      </c>
      <c r="N96" s="218">
        <v>156959</v>
      </c>
      <c r="O96" s="219"/>
      <c r="P96" s="219"/>
      <c r="Q96" s="219"/>
      <c r="R96" s="219"/>
      <c r="S96" s="220">
        <v>46087</v>
      </c>
      <c r="T96" s="220">
        <v>46069</v>
      </c>
      <c r="U96" s="220">
        <v>46073</v>
      </c>
      <c r="V96" s="219" t="s">
        <v>61</v>
      </c>
      <c r="W96" s="221">
        <v>2.08</v>
      </c>
      <c r="X96" s="223">
        <f>Table2[[#This Row],[QUANTIDADE]]*Table2[[#This Row],[PREÇO UNITARIO]]</f>
        <v>2.08</v>
      </c>
      <c r="Y96" s="219"/>
      <c r="Z96" s="219">
        <f t="shared" si="2"/>
        <v>1</v>
      </c>
      <c r="AA96" s="219" t="s">
        <v>42</v>
      </c>
      <c r="AB96" s="220">
        <f t="shared" ca="1" si="3"/>
        <v>46235</v>
      </c>
      <c r="AC96" s="219">
        <f ca="1">_xlfn.DAYS(Table2[[#This Row],[HOJE]],Table2[[#This Row],[DATA PEDIDO HP]])</f>
        <v>187</v>
      </c>
      <c r="AD96" s="219" t="str">
        <f>IF(Table2[[#This Row],[STATUS2]]="ENTREGUE","ENTREGUE","")</f>
        <v>ENTREGUE</v>
      </c>
      <c r="AE96" s="219" t="s">
        <v>43</v>
      </c>
    </row>
    <row r="97" spans="1:31" ht="14.45">
      <c r="A97" s="233" t="s">
        <v>395</v>
      </c>
      <c r="B97" s="217">
        <v>46049</v>
      </c>
      <c r="C97" s="217">
        <v>46048</v>
      </c>
      <c r="D97" s="218" t="s">
        <v>396</v>
      </c>
      <c r="E97" s="218" t="s">
        <v>101</v>
      </c>
      <c r="F97" s="218" t="s">
        <v>102</v>
      </c>
      <c r="G97" s="218">
        <v>51000136</v>
      </c>
      <c r="H97" s="218" t="s">
        <v>397</v>
      </c>
      <c r="I97" s="218" t="s">
        <v>398</v>
      </c>
      <c r="J97" s="218">
        <v>1</v>
      </c>
      <c r="K97" s="218" t="s">
        <v>269</v>
      </c>
      <c r="L97" s="218" t="s">
        <v>106</v>
      </c>
      <c r="M97" s="218" t="s">
        <v>39</v>
      </c>
      <c r="N97" s="217"/>
      <c r="O97" s="219"/>
      <c r="P97" s="219"/>
      <c r="Q97" s="219"/>
      <c r="R97" s="219"/>
      <c r="S97" s="217">
        <v>46091</v>
      </c>
      <c r="T97" s="220">
        <v>46069</v>
      </c>
      <c r="U97" s="220">
        <v>46078</v>
      </c>
      <c r="V97" s="219" t="s">
        <v>46</v>
      </c>
      <c r="W97" s="221">
        <v>254.76</v>
      </c>
      <c r="X97" s="221">
        <f>Table2[[#This Row],[QUANTIDADE]]*Table2[[#This Row],[PREÇO UNITARIO]]</f>
        <v>254.76</v>
      </c>
      <c r="Y97" s="219"/>
      <c r="Z97" s="219">
        <f t="shared" si="2"/>
        <v>1</v>
      </c>
      <c r="AA97" s="219" t="s">
        <v>42</v>
      </c>
      <c r="AB97" s="220">
        <f t="shared" ca="1" si="3"/>
        <v>46235</v>
      </c>
      <c r="AC97" s="219">
        <f ca="1">_xlfn.DAYS(Table2[[#This Row],[HOJE]],Table2[[#This Row],[DATA PEDIDO HP]])</f>
        <v>186</v>
      </c>
      <c r="AD97" s="219" t="str">
        <f>IF(Table2[[#This Row],[STATUS2]]="ENTREGUE","ENTREGUE","")</f>
        <v>ENTREGUE</v>
      </c>
      <c r="AE97" s="219" t="s">
        <v>43</v>
      </c>
    </row>
    <row r="98" spans="1:31" ht="14.45">
      <c r="A98" s="233" t="s">
        <v>395</v>
      </c>
      <c r="B98" s="217">
        <v>46049</v>
      </c>
      <c r="C98" s="217">
        <v>46048</v>
      </c>
      <c r="D98" s="218" t="s">
        <v>396</v>
      </c>
      <c r="E98" s="218" t="s">
        <v>101</v>
      </c>
      <c r="F98" s="218" t="s">
        <v>102</v>
      </c>
      <c r="G98" s="218">
        <v>51000136</v>
      </c>
      <c r="H98" s="218" t="s">
        <v>399</v>
      </c>
      <c r="I98" s="218" t="s">
        <v>400</v>
      </c>
      <c r="J98" s="218">
        <v>2</v>
      </c>
      <c r="K98" s="218" t="s">
        <v>269</v>
      </c>
      <c r="L98" s="218" t="s">
        <v>106</v>
      </c>
      <c r="M98" s="218" t="s">
        <v>39</v>
      </c>
      <c r="N98" s="217"/>
      <c r="O98" s="219"/>
      <c r="P98" s="219"/>
      <c r="Q98" s="219"/>
      <c r="R98" s="219"/>
      <c r="S98" s="217">
        <v>46091</v>
      </c>
      <c r="T98" s="220">
        <v>46069</v>
      </c>
      <c r="U98" s="220">
        <v>46078</v>
      </c>
      <c r="V98" s="219" t="s">
        <v>46</v>
      </c>
      <c r="W98" s="221">
        <v>78.39</v>
      </c>
      <c r="X98" s="221">
        <f>Table2[[#This Row],[QUANTIDADE]]*Table2[[#This Row],[PREÇO UNITARIO]]</f>
        <v>156.78</v>
      </c>
      <c r="Y98" s="219"/>
      <c r="Z98" s="219">
        <f t="shared" si="2"/>
        <v>1</v>
      </c>
      <c r="AA98" s="219" t="s">
        <v>42</v>
      </c>
      <c r="AB98" s="220">
        <f t="shared" ca="1" si="3"/>
        <v>46235</v>
      </c>
      <c r="AC98" s="219">
        <f ca="1">_xlfn.DAYS(Table2[[#This Row],[HOJE]],Table2[[#This Row],[DATA PEDIDO HP]])</f>
        <v>186</v>
      </c>
      <c r="AD98" s="219" t="str">
        <f>IF(Table2[[#This Row],[STATUS2]]="ENTREGUE","ENTREGUE","")</f>
        <v>ENTREGUE</v>
      </c>
      <c r="AE98" s="219" t="s">
        <v>43</v>
      </c>
    </row>
    <row r="99" spans="1:31" ht="14.45">
      <c r="A99" s="233" t="s">
        <v>401</v>
      </c>
      <c r="B99" s="217">
        <v>46048</v>
      </c>
      <c r="C99" s="217">
        <v>46048</v>
      </c>
      <c r="D99" s="218" t="s">
        <v>402</v>
      </c>
      <c r="E99" s="218" t="s">
        <v>191</v>
      </c>
      <c r="F99" s="218" t="s">
        <v>95</v>
      </c>
      <c r="G99" s="218">
        <v>60001111</v>
      </c>
      <c r="H99" s="218" t="s">
        <v>403</v>
      </c>
      <c r="I99" s="218" t="s">
        <v>404</v>
      </c>
      <c r="J99" s="218">
        <v>2</v>
      </c>
      <c r="K99" s="218" t="s">
        <v>37</v>
      </c>
      <c r="L99" s="218" t="s">
        <v>122</v>
      </c>
      <c r="M99" s="218" t="s">
        <v>73</v>
      </c>
      <c r="N99" s="218">
        <v>158048</v>
      </c>
      <c r="O99" s="219"/>
      <c r="P99" s="219"/>
      <c r="Q99" s="219"/>
      <c r="R99" s="219"/>
      <c r="S99" s="220"/>
      <c r="T99" s="220">
        <v>46070</v>
      </c>
      <c r="U99" s="220">
        <v>46084</v>
      </c>
      <c r="V99" s="219" t="s">
        <v>49</v>
      </c>
      <c r="W99" s="221">
        <v>317.92</v>
      </c>
      <c r="X99" s="221">
        <f>Table2[[#This Row],[QUANTIDADE]]*Table2[[#This Row],[PREÇO UNITARIO]]</f>
        <v>635.84</v>
      </c>
      <c r="Y99" s="219"/>
      <c r="Z99" s="219">
        <f t="shared" si="2"/>
        <v>1</v>
      </c>
      <c r="AA99" s="219" t="s">
        <v>42</v>
      </c>
      <c r="AB99" s="220">
        <f t="shared" ca="1" si="3"/>
        <v>46235</v>
      </c>
      <c r="AC99" s="219">
        <f ca="1">_xlfn.DAYS(Table2[[#This Row],[HOJE]],Table2[[#This Row],[DATA PEDIDO HP]])</f>
        <v>187</v>
      </c>
      <c r="AD99" s="219" t="str">
        <f>IF(Table2[[#This Row],[STATUS2]]="ENTREGUE","ENTREGUE","")</f>
        <v>ENTREGUE</v>
      </c>
      <c r="AE99" s="219" t="s">
        <v>43</v>
      </c>
    </row>
    <row r="100" spans="1:31" ht="14.45">
      <c r="A100" s="233" t="s">
        <v>401</v>
      </c>
      <c r="B100" s="217">
        <v>46048</v>
      </c>
      <c r="C100" s="217">
        <v>46048</v>
      </c>
      <c r="D100" s="218" t="s">
        <v>402</v>
      </c>
      <c r="E100" s="218" t="s">
        <v>191</v>
      </c>
      <c r="F100" s="218" t="s">
        <v>95</v>
      </c>
      <c r="G100" s="218">
        <v>60001111</v>
      </c>
      <c r="H100" s="218" t="s">
        <v>405</v>
      </c>
      <c r="I100" s="218" t="s">
        <v>406</v>
      </c>
      <c r="J100" s="218">
        <v>4</v>
      </c>
      <c r="K100" s="218" t="s">
        <v>37</v>
      </c>
      <c r="L100" s="218" t="s">
        <v>122</v>
      </c>
      <c r="M100" s="218" t="s">
        <v>39</v>
      </c>
      <c r="N100" s="218">
        <v>158048</v>
      </c>
      <c r="O100" s="219"/>
      <c r="P100" s="219"/>
      <c r="Q100" s="219"/>
      <c r="R100" s="219"/>
      <c r="S100" s="220">
        <v>46086</v>
      </c>
      <c r="T100" s="220">
        <v>46070</v>
      </c>
      <c r="U100" s="220">
        <v>46084</v>
      </c>
      <c r="V100" s="219" t="s">
        <v>49</v>
      </c>
      <c r="W100" s="221">
        <v>305.67</v>
      </c>
      <c r="X100" s="221">
        <f>Table2[[#This Row],[QUANTIDADE]]*Table2[[#This Row],[PREÇO UNITARIO]]</f>
        <v>1222.68</v>
      </c>
      <c r="Y100" s="219"/>
      <c r="Z100" s="219">
        <f t="shared" si="2"/>
        <v>1</v>
      </c>
      <c r="AA100" s="219" t="s">
        <v>42</v>
      </c>
      <c r="AB100" s="220">
        <f t="shared" ca="1" si="3"/>
        <v>46235</v>
      </c>
      <c r="AC100" s="219">
        <f ca="1">_xlfn.DAYS(Table2[[#This Row],[HOJE]],Table2[[#This Row],[DATA PEDIDO HP]])</f>
        <v>187</v>
      </c>
      <c r="AD100" s="219" t="str">
        <f>IF(Table2[[#This Row],[STATUS2]]="ENTREGUE","ENTREGUE","")</f>
        <v>ENTREGUE</v>
      </c>
      <c r="AE100" s="219" t="s">
        <v>43</v>
      </c>
    </row>
    <row r="101" spans="1:31" ht="14.45">
      <c r="A101" s="233" t="s">
        <v>407</v>
      </c>
      <c r="B101" s="217">
        <v>46048</v>
      </c>
      <c r="C101" s="217">
        <v>46048</v>
      </c>
      <c r="D101" s="218" t="s">
        <v>408</v>
      </c>
      <c r="E101" s="218" t="s">
        <v>191</v>
      </c>
      <c r="F101" s="218" t="s">
        <v>95</v>
      </c>
      <c r="G101" s="218">
        <v>60001111</v>
      </c>
      <c r="H101" s="218" t="s">
        <v>205</v>
      </c>
      <c r="I101" s="218" t="s">
        <v>206</v>
      </c>
      <c r="J101" s="218">
        <v>1</v>
      </c>
      <c r="K101" s="218" t="s">
        <v>37</v>
      </c>
      <c r="L101" s="218" t="s">
        <v>122</v>
      </c>
      <c r="M101" s="218" t="s">
        <v>81</v>
      </c>
      <c r="N101" s="218">
        <v>157916</v>
      </c>
      <c r="O101" s="219"/>
      <c r="P101" s="219"/>
      <c r="Q101" s="219"/>
      <c r="R101" s="219"/>
      <c r="S101" s="220">
        <v>46086</v>
      </c>
      <c r="T101" s="220">
        <v>46069</v>
      </c>
      <c r="U101" s="220">
        <v>46078</v>
      </c>
      <c r="V101" s="219" t="s">
        <v>46</v>
      </c>
      <c r="W101" s="221">
        <v>238.43</v>
      </c>
      <c r="X101" s="221">
        <f>Table2[[#This Row],[QUANTIDADE]]*Table2[[#This Row],[PREÇO UNITARIO]]</f>
        <v>238.43</v>
      </c>
      <c r="Y101" s="219"/>
      <c r="Z101" s="219">
        <f t="shared" si="2"/>
        <v>1</v>
      </c>
      <c r="AA101" s="219" t="s">
        <v>42</v>
      </c>
      <c r="AB101" s="220">
        <f t="shared" ca="1" si="3"/>
        <v>46235</v>
      </c>
      <c r="AC101" s="219">
        <f ca="1">_xlfn.DAYS(Table2[[#This Row],[HOJE]],Table2[[#This Row],[DATA PEDIDO HP]])</f>
        <v>187</v>
      </c>
      <c r="AD101" s="219" t="str">
        <f>IF(Table2[[#This Row],[STATUS2]]="ENTREGUE","ENTREGUE","")</f>
        <v>ENTREGUE</v>
      </c>
      <c r="AE101" s="219" t="s">
        <v>43</v>
      </c>
    </row>
    <row r="102" spans="1:31" ht="14.45">
      <c r="A102" s="233" t="s">
        <v>409</v>
      </c>
      <c r="B102" s="217">
        <v>46048</v>
      </c>
      <c r="C102" s="217">
        <v>46049</v>
      </c>
      <c r="D102" s="218" t="s">
        <v>410</v>
      </c>
      <c r="E102" s="218" t="s">
        <v>101</v>
      </c>
      <c r="F102" s="218" t="s">
        <v>102</v>
      </c>
      <c r="G102" s="218">
        <v>51000136</v>
      </c>
      <c r="H102" s="218" t="s">
        <v>411</v>
      </c>
      <c r="I102" s="218" t="s">
        <v>412</v>
      </c>
      <c r="J102" s="218">
        <v>1</v>
      </c>
      <c r="K102" s="218" t="s">
        <v>269</v>
      </c>
      <c r="L102" s="218" t="s">
        <v>106</v>
      </c>
      <c r="M102" s="218" t="s">
        <v>39</v>
      </c>
      <c r="N102" s="218"/>
      <c r="O102" s="219"/>
      <c r="P102" s="219"/>
      <c r="Q102" s="219"/>
      <c r="R102" s="219"/>
      <c r="S102" s="217">
        <v>46091</v>
      </c>
      <c r="T102" s="220">
        <v>46070</v>
      </c>
      <c r="U102" s="220">
        <v>46084</v>
      </c>
      <c r="V102" s="219" t="s">
        <v>49</v>
      </c>
      <c r="W102" s="221">
        <v>91.45</v>
      </c>
      <c r="X102" s="221">
        <f>Table2[[#This Row],[QUANTIDADE]]*Table2[[#This Row],[PREÇO UNITARIO]]</f>
        <v>91.45</v>
      </c>
      <c r="Y102" s="219"/>
      <c r="Z102" s="219">
        <f t="shared" si="2"/>
        <v>1</v>
      </c>
      <c r="AA102" s="219" t="s">
        <v>42</v>
      </c>
      <c r="AB102" s="220">
        <f t="shared" ca="1" si="3"/>
        <v>46235</v>
      </c>
      <c r="AC102" s="219">
        <f ca="1">_xlfn.DAYS(Table2[[#This Row],[HOJE]],Table2[[#This Row],[DATA PEDIDO HP]])</f>
        <v>187</v>
      </c>
      <c r="AD102" s="219" t="str">
        <f>IF(Table2[[#This Row],[STATUS2]]="ENTREGUE","ENTREGUE","")</f>
        <v>ENTREGUE</v>
      </c>
      <c r="AE102" s="219" t="s">
        <v>43</v>
      </c>
    </row>
    <row r="103" spans="1:31" ht="14.45">
      <c r="A103" s="233" t="s">
        <v>413</v>
      </c>
      <c r="B103" s="217">
        <v>46050</v>
      </c>
      <c r="C103" s="217">
        <v>46050</v>
      </c>
      <c r="D103" s="218" t="s">
        <v>414</v>
      </c>
      <c r="E103" s="218" t="s">
        <v>101</v>
      </c>
      <c r="F103" s="218" t="s">
        <v>102</v>
      </c>
      <c r="G103" s="218">
        <v>51000136</v>
      </c>
      <c r="H103" s="218" t="s">
        <v>415</v>
      </c>
      <c r="I103" s="218" t="s">
        <v>416</v>
      </c>
      <c r="J103" s="218">
        <v>2</v>
      </c>
      <c r="K103" s="218" t="s">
        <v>37</v>
      </c>
      <c r="L103" s="218" t="s">
        <v>106</v>
      </c>
      <c r="M103" s="218" t="s">
        <v>39</v>
      </c>
      <c r="N103" s="218"/>
      <c r="O103" s="219"/>
      <c r="P103" s="219"/>
      <c r="Q103" s="219"/>
      <c r="R103" s="219" t="s">
        <v>243</v>
      </c>
      <c r="S103" s="217">
        <v>46091</v>
      </c>
      <c r="T103" s="220">
        <v>46069</v>
      </c>
      <c r="U103" s="220">
        <v>46078</v>
      </c>
      <c r="V103" s="219" t="s">
        <v>46</v>
      </c>
      <c r="W103" s="221">
        <v>354.38</v>
      </c>
      <c r="X103" s="221">
        <f>Table2[[#This Row],[QUANTIDADE]]*Table2[[#This Row],[PREÇO UNITARIO]]</f>
        <v>708.76</v>
      </c>
      <c r="Y103" s="219"/>
      <c r="Z103" s="219">
        <f t="shared" si="2"/>
        <v>1</v>
      </c>
      <c r="AA103" s="219" t="s">
        <v>42</v>
      </c>
      <c r="AB103" s="220">
        <f t="shared" ca="1" si="3"/>
        <v>46235</v>
      </c>
      <c r="AC103" s="219">
        <f ca="1">_xlfn.DAYS(Table2[[#This Row],[HOJE]],Table2[[#This Row],[DATA PEDIDO HP]])</f>
        <v>185</v>
      </c>
      <c r="AD103" s="219" t="str">
        <f>IF(Table2[[#This Row],[STATUS2]]="ENTREGUE","ENTREGUE","")</f>
        <v>ENTREGUE</v>
      </c>
      <c r="AE103" s="219" t="s">
        <v>43</v>
      </c>
    </row>
    <row r="104" spans="1:31" ht="14.45">
      <c r="A104" s="233" t="s">
        <v>413</v>
      </c>
      <c r="B104" s="217">
        <v>46050</v>
      </c>
      <c r="C104" s="217">
        <v>46050</v>
      </c>
      <c r="D104" s="218" t="s">
        <v>414</v>
      </c>
      <c r="E104" s="218" t="s">
        <v>101</v>
      </c>
      <c r="F104" s="218" t="s">
        <v>102</v>
      </c>
      <c r="G104" s="218">
        <v>51000136</v>
      </c>
      <c r="H104" s="218" t="s">
        <v>417</v>
      </c>
      <c r="I104" s="218" t="s">
        <v>418</v>
      </c>
      <c r="J104" s="218">
        <v>2</v>
      </c>
      <c r="K104" s="218" t="s">
        <v>37</v>
      </c>
      <c r="L104" s="218" t="s">
        <v>106</v>
      </c>
      <c r="M104" s="218" t="s">
        <v>39</v>
      </c>
      <c r="N104" s="218"/>
      <c r="O104" s="219"/>
      <c r="P104" s="219"/>
      <c r="Q104" s="219"/>
      <c r="R104" s="219"/>
      <c r="S104" s="217">
        <v>46091</v>
      </c>
      <c r="T104" s="220">
        <v>46069</v>
      </c>
      <c r="U104" s="220">
        <v>46078</v>
      </c>
      <c r="V104" s="219" t="s">
        <v>46</v>
      </c>
      <c r="W104" s="221">
        <v>260.14999999999998</v>
      </c>
      <c r="X104" s="221">
        <f>Table2[[#This Row],[QUANTIDADE]]*Table2[[#This Row],[PREÇO UNITARIO]]</f>
        <v>520.29999999999995</v>
      </c>
      <c r="Y104" s="219"/>
      <c r="Z104" s="219">
        <f t="shared" si="2"/>
        <v>1</v>
      </c>
      <c r="AA104" s="219" t="s">
        <v>42</v>
      </c>
      <c r="AB104" s="220">
        <f t="shared" ca="1" si="3"/>
        <v>46235</v>
      </c>
      <c r="AC104" s="219">
        <f ca="1">_xlfn.DAYS(Table2[[#This Row],[HOJE]],Table2[[#This Row],[DATA PEDIDO HP]])</f>
        <v>185</v>
      </c>
      <c r="AD104" s="219" t="str">
        <f>IF(Table2[[#This Row],[STATUS2]]="ENTREGUE","ENTREGUE","")</f>
        <v>ENTREGUE</v>
      </c>
      <c r="AE104" s="219" t="s">
        <v>43</v>
      </c>
    </row>
    <row r="105" spans="1:31" ht="14.45">
      <c r="A105" s="233" t="s">
        <v>419</v>
      </c>
      <c r="B105" s="217">
        <v>46055</v>
      </c>
      <c r="C105" s="217">
        <v>46055</v>
      </c>
      <c r="D105" s="218" t="s">
        <v>420</v>
      </c>
      <c r="E105" s="218" t="s">
        <v>327</v>
      </c>
      <c r="F105" s="218" t="s">
        <v>328</v>
      </c>
      <c r="G105" s="218">
        <v>50000260</v>
      </c>
      <c r="H105" s="218" t="s">
        <v>421</v>
      </c>
      <c r="I105" s="218" t="s">
        <v>422</v>
      </c>
      <c r="J105" s="218">
        <v>1</v>
      </c>
      <c r="K105" s="218" t="s">
        <v>269</v>
      </c>
      <c r="L105" s="218" t="s">
        <v>72</v>
      </c>
      <c r="M105" s="218" t="s">
        <v>39</v>
      </c>
      <c r="N105" s="218">
        <v>159566</v>
      </c>
      <c r="O105" s="219"/>
      <c r="P105" s="219"/>
      <c r="Q105" s="219"/>
      <c r="R105" s="219" t="s">
        <v>423</v>
      </c>
      <c r="S105" s="220"/>
      <c r="T105" s="220">
        <v>46056</v>
      </c>
      <c r="U105" s="220">
        <v>46062</v>
      </c>
      <c r="V105" s="219" t="s">
        <v>61</v>
      </c>
      <c r="W105" s="221">
        <v>57.57</v>
      </c>
      <c r="X105" s="221">
        <f>Table2[[#This Row],[QUANTIDADE]]*Table2[[#This Row],[PREÇO UNITARIO]]</f>
        <v>57.57</v>
      </c>
      <c r="Y105" s="219"/>
      <c r="Z105" s="219">
        <f t="shared" si="2"/>
        <v>2</v>
      </c>
      <c r="AA105" s="219" t="s">
        <v>42</v>
      </c>
      <c r="AB105" s="220">
        <f t="shared" ca="1" si="3"/>
        <v>46235</v>
      </c>
      <c r="AC105" s="219">
        <f ca="1">_xlfn.DAYS(Table2[[#This Row],[HOJE]],Table2[[#This Row],[DATA PEDIDO HP]])</f>
        <v>180</v>
      </c>
      <c r="AD105" s="219" t="str">
        <f>IF(Table2[[#This Row],[STATUS2]]="ENTREGUE","ENTREGUE","")</f>
        <v>ENTREGUE</v>
      </c>
      <c r="AE105" s="219" t="s">
        <v>43</v>
      </c>
    </row>
    <row r="106" spans="1:31" ht="14.45">
      <c r="A106" s="233" t="s">
        <v>424</v>
      </c>
      <c r="B106" s="217">
        <v>46055</v>
      </c>
      <c r="C106" s="217">
        <v>46055</v>
      </c>
      <c r="D106" s="218" t="s">
        <v>425</v>
      </c>
      <c r="E106" s="218" t="s">
        <v>125</v>
      </c>
      <c r="F106" s="218" t="s">
        <v>34</v>
      </c>
      <c r="G106" s="218">
        <v>50110193</v>
      </c>
      <c r="H106" s="218" t="s">
        <v>426</v>
      </c>
      <c r="I106" s="218" t="s">
        <v>427</v>
      </c>
      <c r="J106" s="218">
        <v>1</v>
      </c>
      <c r="K106" s="218" t="s">
        <v>37</v>
      </c>
      <c r="L106" s="218" t="s">
        <v>72</v>
      </c>
      <c r="M106" s="218" t="s">
        <v>81</v>
      </c>
      <c r="N106" s="218">
        <v>159467</v>
      </c>
      <c r="O106" s="219"/>
      <c r="P106" s="219"/>
      <c r="Q106" s="219"/>
      <c r="R106" s="219"/>
      <c r="S106" s="220">
        <v>46094</v>
      </c>
      <c r="T106" s="220">
        <v>46069</v>
      </c>
      <c r="U106" s="220">
        <v>46078</v>
      </c>
      <c r="V106" s="219" t="s">
        <v>46</v>
      </c>
      <c r="W106" s="221">
        <v>16.329999999999998</v>
      </c>
      <c r="X106" s="221">
        <f>Table2[[#This Row],[QUANTIDADE]]*Table2[[#This Row],[PREÇO UNITARIO]]</f>
        <v>16.329999999999998</v>
      </c>
      <c r="Y106" s="219"/>
      <c r="Z106" s="219">
        <f t="shared" si="2"/>
        <v>2</v>
      </c>
      <c r="AA106" s="219" t="s">
        <v>42</v>
      </c>
      <c r="AB106" s="220">
        <f t="shared" ca="1" si="3"/>
        <v>46235</v>
      </c>
      <c r="AC106" s="219">
        <f ca="1">_xlfn.DAYS(Table2[[#This Row],[HOJE]],Table2[[#This Row],[DATA PEDIDO HP]])</f>
        <v>180</v>
      </c>
      <c r="AD106" s="219" t="str">
        <f>IF(Table2[[#This Row],[STATUS2]]="ENTREGUE","ENTREGUE","")</f>
        <v>ENTREGUE</v>
      </c>
      <c r="AE106" s="219" t="s">
        <v>43</v>
      </c>
    </row>
    <row r="107" spans="1:31" ht="14.45">
      <c r="A107" s="233" t="s">
        <v>428</v>
      </c>
      <c r="B107" s="217">
        <v>46055</v>
      </c>
      <c r="C107" s="217">
        <v>46052</v>
      </c>
      <c r="D107" s="218" t="s">
        <v>429</v>
      </c>
      <c r="E107" s="218" t="s">
        <v>191</v>
      </c>
      <c r="F107" s="218" t="s">
        <v>95</v>
      </c>
      <c r="G107" s="218">
        <v>60001111</v>
      </c>
      <c r="H107" s="218" t="s">
        <v>430</v>
      </c>
      <c r="I107" s="218" t="s">
        <v>431</v>
      </c>
      <c r="J107" s="218">
        <v>1</v>
      </c>
      <c r="K107" s="218" t="s">
        <v>37</v>
      </c>
      <c r="L107" s="218" t="s">
        <v>122</v>
      </c>
      <c r="M107" s="218" t="s">
        <v>73</v>
      </c>
      <c r="N107" s="218">
        <v>159203</v>
      </c>
      <c r="O107" s="219"/>
      <c r="P107" s="219"/>
      <c r="Q107" s="219"/>
      <c r="R107" s="219"/>
      <c r="S107" s="220"/>
      <c r="T107" s="220">
        <v>46069</v>
      </c>
      <c r="U107" s="220">
        <v>46078</v>
      </c>
      <c r="V107" s="219" t="s">
        <v>46</v>
      </c>
      <c r="W107" s="221">
        <v>125.99</v>
      </c>
      <c r="X107" s="221">
        <f>Table2[[#This Row],[QUANTIDADE]]*Table2[[#This Row],[PREÇO UNITARIO]]</f>
        <v>125.99</v>
      </c>
      <c r="Y107" s="219"/>
      <c r="Z107" s="219">
        <f t="shared" si="2"/>
        <v>2</v>
      </c>
      <c r="AA107" s="219" t="s">
        <v>42</v>
      </c>
      <c r="AB107" s="220">
        <f t="shared" ca="1" si="3"/>
        <v>46235</v>
      </c>
      <c r="AC107" s="219">
        <f ca="1">_xlfn.DAYS(Table2[[#This Row],[HOJE]],Table2[[#This Row],[DATA PEDIDO HP]])</f>
        <v>180</v>
      </c>
      <c r="AD107" s="219" t="str">
        <f>IF(Table2[[#This Row],[STATUS2]]="ENTREGUE","ENTREGUE","")</f>
        <v>ENTREGUE</v>
      </c>
      <c r="AE107" s="219" t="s">
        <v>43</v>
      </c>
    </row>
    <row r="108" spans="1:31" ht="14.45">
      <c r="A108" s="233" t="s">
        <v>432</v>
      </c>
      <c r="B108" s="217">
        <v>46055</v>
      </c>
      <c r="C108" s="217">
        <v>46055</v>
      </c>
      <c r="D108" s="218" t="s">
        <v>433</v>
      </c>
      <c r="E108" s="218" t="s">
        <v>434</v>
      </c>
      <c r="F108" s="218" t="s">
        <v>334</v>
      </c>
      <c r="G108" s="218">
        <v>50300141</v>
      </c>
      <c r="H108" s="218" t="s">
        <v>435</v>
      </c>
      <c r="I108" s="218" t="s">
        <v>436</v>
      </c>
      <c r="J108" s="218">
        <v>1</v>
      </c>
      <c r="K108" s="218" t="s">
        <v>37</v>
      </c>
      <c r="L108" s="218" t="s">
        <v>122</v>
      </c>
      <c r="M108" s="218" t="s">
        <v>73</v>
      </c>
      <c r="N108" s="218">
        <v>158873</v>
      </c>
      <c r="O108" s="219"/>
      <c r="P108" s="219"/>
      <c r="Q108" s="219"/>
      <c r="R108" s="219"/>
      <c r="S108" s="220"/>
      <c r="T108" s="220">
        <v>46069</v>
      </c>
      <c r="U108" s="220">
        <v>46078</v>
      </c>
      <c r="V108" s="219" t="s">
        <v>46</v>
      </c>
      <c r="W108" s="221">
        <v>292.32</v>
      </c>
      <c r="X108" s="221">
        <f>Table2[[#This Row],[QUANTIDADE]]*Table2[[#This Row],[PREÇO UNITARIO]]</f>
        <v>292.32</v>
      </c>
      <c r="Y108" s="219"/>
      <c r="Z108" s="219">
        <f t="shared" si="2"/>
        <v>2</v>
      </c>
      <c r="AA108" s="219" t="s">
        <v>74</v>
      </c>
      <c r="AB108" s="220">
        <f t="shared" ca="1" si="3"/>
        <v>46235</v>
      </c>
      <c r="AC108" s="219">
        <f ca="1">_xlfn.DAYS(Table2[[#This Row],[HOJE]],Table2[[#This Row],[DATA PEDIDO HP]])</f>
        <v>180</v>
      </c>
      <c r="AD108" s="219" t="str">
        <f>IF(Table2[[#This Row],[STATUS2]]="ENTREGUE","ENTREGUE","")</f>
        <v>ENTREGUE</v>
      </c>
      <c r="AE108" s="219" t="s">
        <v>43</v>
      </c>
    </row>
    <row r="109" spans="1:31" ht="14.45">
      <c r="A109" s="233" t="s">
        <v>437</v>
      </c>
      <c r="B109" s="217">
        <v>46056</v>
      </c>
      <c r="C109" s="217">
        <v>46055</v>
      </c>
      <c r="D109" s="218" t="s">
        <v>438</v>
      </c>
      <c r="E109" s="218" t="s">
        <v>94</v>
      </c>
      <c r="F109" s="218" t="s">
        <v>95</v>
      </c>
      <c r="G109" s="218">
        <v>60002072</v>
      </c>
      <c r="H109" s="218" t="s">
        <v>439</v>
      </c>
      <c r="I109" s="218" t="s">
        <v>440</v>
      </c>
      <c r="J109" s="218">
        <v>1</v>
      </c>
      <c r="K109" s="218" t="s">
        <v>37</v>
      </c>
      <c r="L109" s="218" t="s">
        <v>441</v>
      </c>
      <c r="M109" s="218" t="s">
        <v>73</v>
      </c>
      <c r="N109" s="218">
        <v>159500</v>
      </c>
      <c r="O109" s="219"/>
      <c r="P109" s="219"/>
      <c r="Q109" s="219"/>
      <c r="R109" s="219" t="s">
        <v>442</v>
      </c>
      <c r="S109" s="220"/>
      <c r="T109" s="220">
        <v>46069</v>
      </c>
      <c r="U109" s="220">
        <v>46078</v>
      </c>
      <c r="V109" s="219" t="s">
        <v>46</v>
      </c>
      <c r="W109" s="221">
        <v>450.88</v>
      </c>
      <c r="X109" s="221">
        <f>Table2[[#This Row],[QUANTIDADE]]*Table2[[#This Row],[PREÇO UNITARIO]]</f>
        <v>450.88</v>
      </c>
      <c r="Y109" s="219"/>
      <c r="Z109" s="219">
        <f t="shared" si="2"/>
        <v>2</v>
      </c>
      <c r="AA109" s="219" t="s">
        <v>74</v>
      </c>
      <c r="AB109" s="220">
        <f t="shared" ca="1" si="3"/>
        <v>46235</v>
      </c>
      <c r="AC109" s="219">
        <f ca="1">_xlfn.DAYS(Table2[[#This Row],[HOJE]],Table2[[#This Row],[DATA PEDIDO HP]])</f>
        <v>179</v>
      </c>
      <c r="AD109" s="219" t="str">
        <f>IF(Table2[[#This Row],[STATUS2]]="ENTREGUE","ENTREGUE","")</f>
        <v>ENTREGUE</v>
      </c>
      <c r="AE109" s="219" t="s">
        <v>43</v>
      </c>
    </row>
    <row r="110" spans="1:31" ht="14.45">
      <c r="A110" s="233" t="s">
        <v>443</v>
      </c>
      <c r="B110" s="217">
        <v>46056</v>
      </c>
      <c r="C110" s="217">
        <v>46055</v>
      </c>
      <c r="D110" s="218" t="s">
        <v>444</v>
      </c>
      <c r="E110" s="218" t="s">
        <v>445</v>
      </c>
      <c r="F110" s="218" t="s">
        <v>304</v>
      </c>
      <c r="G110" s="218">
        <v>47200115</v>
      </c>
      <c r="H110" s="218" t="s">
        <v>446</v>
      </c>
      <c r="I110" s="218" t="s">
        <v>447</v>
      </c>
      <c r="J110" s="218">
        <v>1</v>
      </c>
      <c r="K110" s="218" t="s">
        <v>269</v>
      </c>
      <c r="L110" s="218" t="s">
        <v>251</v>
      </c>
      <c r="M110" s="218" t="s">
        <v>39</v>
      </c>
      <c r="N110" s="218">
        <v>158313</v>
      </c>
      <c r="O110" s="219"/>
      <c r="P110" s="219"/>
      <c r="Q110" s="219"/>
      <c r="R110" s="219"/>
      <c r="S110" s="220">
        <v>46153</v>
      </c>
      <c r="T110" s="220">
        <v>46104</v>
      </c>
      <c r="U110" s="220">
        <v>46120</v>
      </c>
      <c r="V110" s="219" t="s">
        <v>56</v>
      </c>
      <c r="W110" s="221">
        <v>431.82</v>
      </c>
      <c r="X110" s="223">
        <f>Table2[[#This Row],[QUANTIDADE]]*Table2[[#This Row],[PREÇO UNITARIO]]</f>
        <v>431.82</v>
      </c>
      <c r="Y110" s="219"/>
      <c r="Z110" s="219">
        <f t="shared" si="2"/>
        <v>2</v>
      </c>
      <c r="AA110" s="219" t="s">
        <v>74</v>
      </c>
      <c r="AB110" s="220">
        <f t="shared" ca="1" si="3"/>
        <v>46235</v>
      </c>
      <c r="AC110" s="219">
        <f ca="1">_xlfn.DAYS(Table2[[#This Row],[HOJE]],Table2[[#This Row],[DATA PEDIDO HP]])</f>
        <v>179</v>
      </c>
      <c r="AD110" s="219" t="str">
        <f>IF(Table2[[#This Row],[STATUS2]]="ENTREGUE","ENTREGUE","")</f>
        <v>ENTREGUE</v>
      </c>
      <c r="AE110" s="219" t="s">
        <v>43</v>
      </c>
    </row>
    <row r="111" spans="1:31" ht="14.45">
      <c r="A111" s="233" t="s">
        <v>443</v>
      </c>
      <c r="B111" s="217">
        <v>46056</v>
      </c>
      <c r="C111" s="217">
        <v>46055</v>
      </c>
      <c r="D111" s="218" t="s">
        <v>444</v>
      </c>
      <c r="E111" s="218" t="s">
        <v>445</v>
      </c>
      <c r="F111" s="218" t="s">
        <v>304</v>
      </c>
      <c r="G111" s="218">
        <v>47200115</v>
      </c>
      <c r="H111" s="218" t="s">
        <v>448</v>
      </c>
      <c r="I111" s="218" t="s">
        <v>449</v>
      </c>
      <c r="J111" s="218">
        <v>1</v>
      </c>
      <c r="K111" s="218" t="s">
        <v>269</v>
      </c>
      <c r="L111" s="218" t="s">
        <v>251</v>
      </c>
      <c r="M111" s="218" t="s">
        <v>39</v>
      </c>
      <c r="N111" s="218">
        <v>158313</v>
      </c>
      <c r="O111" s="219"/>
      <c r="P111" s="219"/>
      <c r="Q111" s="219"/>
      <c r="R111" s="219"/>
      <c r="S111" s="220"/>
      <c r="T111" s="220">
        <v>46069</v>
      </c>
      <c r="U111" s="220">
        <v>46078</v>
      </c>
      <c r="V111" s="219" t="s">
        <v>46</v>
      </c>
      <c r="W111" s="221">
        <v>227.98</v>
      </c>
      <c r="X111" s="223">
        <f>Table2[[#This Row],[QUANTIDADE]]*Table2[[#This Row],[PREÇO UNITARIO]]</f>
        <v>227.98</v>
      </c>
      <c r="Y111" s="219"/>
      <c r="Z111" s="219">
        <f t="shared" si="2"/>
        <v>2</v>
      </c>
      <c r="AA111" s="219" t="s">
        <v>74</v>
      </c>
      <c r="AB111" s="220">
        <f t="shared" ca="1" si="3"/>
        <v>46235</v>
      </c>
      <c r="AC111" s="219">
        <f ca="1">_xlfn.DAYS(Table2[[#This Row],[HOJE]],Table2[[#This Row],[DATA PEDIDO HP]])</f>
        <v>179</v>
      </c>
      <c r="AD111" s="219" t="str">
        <f>IF(Table2[[#This Row],[STATUS2]]="ENTREGUE","ENTREGUE","")</f>
        <v>ENTREGUE</v>
      </c>
      <c r="AE111" s="219" t="s">
        <v>43</v>
      </c>
    </row>
    <row r="112" spans="1:31" ht="14.45">
      <c r="A112" s="233" t="s">
        <v>443</v>
      </c>
      <c r="B112" s="217">
        <v>46056</v>
      </c>
      <c r="C112" s="217">
        <v>46055</v>
      </c>
      <c r="D112" s="218" t="s">
        <v>444</v>
      </c>
      <c r="E112" s="218" t="s">
        <v>445</v>
      </c>
      <c r="F112" s="218" t="s">
        <v>304</v>
      </c>
      <c r="G112" s="218">
        <v>47200115</v>
      </c>
      <c r="H112" s="218" t="s">
        <v>450</v>
      </c>
      <c r="I112" s="218" t="s">
        <v>451</v>
      </c>
      <c r="J112" s="218">
        <v>1</v>
      </c>
      <c r="K112" s="218" t="s">
        <v>269</v>
      </c>
      <c r="L112" s="218" t="s">
        <v>251</v>
      </c>
      <c r="M112" s="218" t="s">
        <v>39</v>
      </c>
      <c r="N112" s="218">
        <v>158313</v>
      </c>
      <c r="O112" s="219"/>
      <c r="P112" s="219"/>
      <c r="Q112" s="219"/>
      <c r="R112" s="219"/>
      <c r="S112" s="220"/>
      <c r="T112" s="220">
        <v>46069</v>
      </c>
      <c r="U112" s="220">
        <v>46078</v>
      </c>
      <c r="V112" s="219" t="s">
        <v>46</v>
      </c>
      <c r="W112" s="221">
        <v>641.55999999999995</v>
      </c>
      <c r="X112" s="223">
        <f>Table2[[#This Row],[QUANTIDADE]]*Table2[[#This Row],[PREÇO UNITARIO]]</f>
        <v>641.55999999999995</v>
      </c>
      <c r="Y112" s="219"/>
      <c r="Z112" s="219">
        <f t="shared" si="2"/>
        <v>2</v>
      </c>
      <c r="AA112" s="219" t="s">
        <v>74</v>
      </c>
      <c r="AB112" s="220">
        <f t="shared" ca="1" si="3"/>
        <v>46235</v>
      </c>
      <c r="AC112" s="219">
        <f ca="1">_xlfn.DAYS(Table2[[#This Row],[HOJE]],Table2[[#This Row],[DATA PEDIDO HP]])</f>
        <v>179</v>
      </c>
      <c r="AD112" s="219" t="str">
        <f>IF(Table2[[#This Row],[STATUS2]]="ENTREGUE","ENTREGUE","")</f>
        <v>ENTREGUE</v>
      </c>
      <c r="AE112" s="219" t="s">
        <v>43</v>
      </c>
    </row>
    <row r="113" spans="1:31" ht="14.45">
      <c r="A113" s="233" t="s">
        <v>443</v>
      </c>
      <c r="B113" s="217">
        <v>46056</v>
      </c>
      <c r="C113" s="217">
        <v>46055</v>
      </c>
      <c r="D113" s="218" t="s">
        <v>444</v>
      </c>
      <c r="E113" s="218" t="s">
        <v>445</v>
      </c>
      <c r="F113" s="218" t="s">
        <v>304</v>
      </c>
      <c r="G113" s="218">
        <v>47200115</v>
      </c>
      <c r="H113" s="218" t="s">
        <v>452</v>
      </c>
      <c r="I113" s="218" t="s">
        <v>453</v>
      </c>
      <c r="J113" s="218">
        <v>4</v>
      </c>
      <c r="K113" s="218" t="s">
        <v>269</v>
      </c>
      <c r="L113" s="218" t="s">
        <v>251</v>
      </c>
      <c r="M113" s="218" t="s">
        <v>39</v>
      </c>
      <c r="N113" s="218">
        <v>158313</v>
      </c>
      <c r="O113" s="219"/>
      <c r="P113" s="219"/>
      <c r="Q113" s="219"/>
      <c r="R113" s="219"/>
      <c r="S113" s="220"/>
      <c r="T113" s="220">
        <v>46069</v>
      </c>
      <c r="U113" s="220">
        <v>46078</v>
      </c>
      <c r="V113" s="219" t="s">
        <v>46</v>
      </c>
      <c r="W113" s="221">
        <v>17.96</v>
      </c>
      <c r="X113" s="223">
        <f>Table2[[#This Row],[QUANTIDADE]]*Table2[[#This Row],[PREÇO UNITARIO]]</f>
        <v>71.84</v>
      </c>
      <c r="Y113" s="219"/>
      <c r="Z113" s="219">
        <f t="shared" si="2"/>
        <v>2</v>
      </c>
      <c r="AA113" s="219" t="s">
        <v>74</v>
      </c>
      <c r="AB113" s="220">
        <f t="shared" ca="1" si="3"/>
        <v>46235</v>
      </c>
      <c r="AC113" s="219">
        <f ca="1">_xlfn.DAYS(Table2[[#This Row],[HOJE]],Table2[[#This Row],[DATA PEDIDO HP]])</f>
        <v>179</v>
      </c>
      <c r="AD113" s="219" t="str">
        <f>IF(Table2[[#This Row],[STATUS2]]="ENTREGUE","ENTREGUE","")</f>
        <v>ENTREGUE</v>
      </c>
      <c r="AE113" s="219" t="s">
        <v>43</v>
      </c>
    </row>
    <row r="114" spans="1:31" ht="14.45">
      <c r="A114" s="233" t="s">
        <v>454</v>
      </c>
      <c r="B114" s="217">
        <v>46057</v>
      </c>
      <c r="C114" s="217">
        <v>46057</v>
      </c>
      <c r="D114" s="218" t="s">
        <v>455</v>
      </c>
      <c r="E114" s="218" t="s">
        <v>125</v>
      </c>
      <c r="F114" s="218" t="s">
        <v>34</v>
      </c>
      <c r="G114" s="218">
        <v>50110193</v>
      </c>
      <c r="H114" s="218" t="s">
        <v>456</v>
      </c>
      <c r="I114" s="218" t="s">
        <v>457</v>
      </c>
      <c r="J114" s="218">
        <v>1</v>
      </c>
      <c r="K114" s="218" t="s">
        <v>269</v>
      </c>
      <c r="L114" s="218" t="s">
        <v>251</v>
      </c>
      <c r="M114" s="218" t="s">
        <v>39</v>
      </c>
      <c r="N114" s="218">
        <v>155969</v>
      </c>
      <c r="O114" s="219"/>
      <c r="P114" s="219"/>
      <c r="Q114" s="219"/>
      <c r="R114" s="219"/>
      <c r="S114" s="220">
        <v>46094</v>
      </c>
      <c r="T114" s="220">
        <v>46069</v>
      </c>
      <c r="U114" s="220">
        <v>46078</v>
      </c>
      <c r="V114" s="219" t="s">
        <v>46</v>
      </c>
      <c r="W114" s="221">
        <v>105.33</v>
      </c>
      <c r="X114" s="221">
        <f>Table2[[#This Row],[QUANTIDADE]]*Table2[[#This Row],[PREÇO UNITARIO]]</f>
        <v>105.33</v>
      </c>
      <c r="Y114" s="219"/>
      <c r="Z114" s="219">
        <f t="shared" si="2"/>
        <v>2</v>
      </c>
      <c r="AA114" s="219" t="s">
        <v>42</v>
      </c>
      <c r="AB114" s="220">
        <f t="shared" ca="1" si="3"/>
        <v>46235</v>
      </c>
      <c r="AC114" s="219">
        <f ca="1">_xlfn.DAYS(Table2[[#This Row],[HOJE]],Table2[[#This Row],[DATA PEDIDO HP]])</f>
        <v>178</v>
      </c>
      <c r="AD114" s="219" t="str">
        <f>IF(Table2[[#This Row],[STATUS2]]="ENTREGUE","ENTREGUE","")</f>
        <v>ENTREGUE</v>
      </c>
      <c r="AE114" s="219" t="s">
        <v>43</v>
      </c>
    </row>
    <row r="115" spans="1:31" ht="14.45">
      <c r="A115" s="233" t="s">
        <v>454</v>
      </c>
      <c r="B115" s="217">
        <v>46057</v>
      </c>
      <c r="C115" s="217">
        <v>46057</v>
      </c>
      <c r="D115" s="218" t="s">
        <v>455</v>
      </c>
      <c r="E115" s="218" t="s">
        <v>125</v>
      </c>
      <c r="F115" s="218" t="s">
        <v>34</v>
      </c>
      <c r="G115" s="218">
        <v>50110193</v>
      </c>
      <c r="H115" s="218" t="s">
        <v>458</v>
      </c>
      <c r="I115" s="218" t="s">
        <v>459</v>
      </c>
      <c r="J115" s="218">
        <v>1</v>
      </c>
      <c r="K115" s="218" t="s">
        <v>269</v>
      </c>
      <c r="L115" s="218" t="s">
        <v>251</v>
      </c>
      <c r="M115" s="218" t="s">
        <v>39</v>
      </c>
      <c r="N115" s="218">
        <v>155969</v>
      </c>
      <c r="O115" s="219"/>
      <c r="P115" s="219"/>
      <c r="Q115" s="219"/>
      <c r="R115" s="219" t="s">
        <v>460</v>
      </c>
      <c r="S115" s="220">
        <v>46094</v>
      </c>
      <c r="T115" s="220">
        <v>46069</v>
      </c>
      <c r="U115" s="220">
        <v>46078</v>
      </c>
      <c r="V115" s="219" t="s">
        <v>46</v>
      </c>
      <c r="W115" s="221">
        <v>37.409999999999997</v>
      </c>
      <c r="X115" s="221">
        <f>Table2[[#This Row],[QUANTIDADE]]*Table2[[#This Row],[PREÇO UNITARIO]]</f>
        <v>37.409999999999997</v>
      </c>
      <c r="Y115" s="219"/>
      <c r="Z115" s="219">
        <f t="shared" si="2"/>
        <v>2</v>
      </c>
      <c r="AA115" s="219" t="s">
        <v>42</v>
      </c>
      <c r="AB115" s="220">
        <f t="shared" ca="1" si="3"/>
        <v>46235</v>
      </c>
      <c r="AC115" s="219">
        <f ca="1">_xlfn.DAYS(Table2[[#This Row],[HOJE]],Table2[[#This Row],[DATA PEDIDO HP]])</f>
        <v>178</v>
      </c>
      <c r="AD115" s="219" t="str">
        <f>IF(Table2[[#This Row],[STATUS2]]="ENTREGUE","ENTREGUE","")</f>
        <v>ENTREGUE</v>
      </c>
      <c r="AE115" s="219" t="s">
        <v>43</v>
      </c>
    </row>
    <row r="116" spans="1:31" ht="14.45">
      <c r="A116" s="233" t="s">
        <v>454</v>
      </c>
      <c r="B116" s="217">
        <v>46057</v>
      </c>
      <c r="C116" s="217">
        <v>46057</v>
      </c>
      <c r="D116" s="218" t="s">
        <v>455</v>
      </c>
      <c r="E116" s="218" t="s">
        <v>125</v>
      </c>
      <c r="F116" s="218" t="s">
        <v>34</v>
      </c>
      <c r="G116" s="218">
        <v>50110193</v>
      </c>
      <c r="H116" s="218" t="s">
        <v>461</v>
      </c>
      <c r="I116" s="218" t="s">
        <v>462</v>
      </c>
      <c r="J116" s="218">
        <v>1</v>
      </c>
      <c r="K116" s="218" t="s">
        <v>37</v>
      </c>
      <c r="L116" s="218" t="s">
        <v>251</v>
      </c>
      <c r="M116" s="218" t="s">
        <v>39</v>
      </c>
      <c r="N116" s="218">
        <v>155969</v>
      </c>
      <c r="O116" s="219"/>
      <c r="P116" s="219"/>
      <c r="Q116" s="219"/>
      <c r="R116" s="219"/>
      <c r="S116" s="220">
        <v>46094</v>
      </c>
      <c r="T116" s="220">
        <v>46069</v>
      </c>
      <c r="U116" s="220">
        <v>46078</v>
      </c>
      <c r="V116" s="219" t="s">
        <v>46</v>
      </c>
      <c r="W116" s="221">
        <v>29.4</v>
      </c>
      <c r="X116" s="221">
        <f>Table2[[#This Row],[QUANTIDADE]]*Table2[[#This Row],[PREÇO UNITARIO]]</f>
        <v>29.4</v>
      </c>
      <c r="Y116" s="219"/>
      <c r="Z116" s="219">
        <f t="shared" si="2"/>
        <v>2</v>
      </c>
      <c r="AA116" s="219" t="s">
        <v>42</v>
      </c>
      <c r="AB116" s="220">
        <f t="shared" ca="1" si="3"/>
        <v>46235</v>
      </c>
      <c r="AC116" s="219">
        <f ca="1">_xlfn.DAYS(Table2[[#This Row],[HOJE]],Table2[[#This Row],[DATA PEDIDO HP]])</f>
        <v>178</v>
      </c>
      <c r="AD116" s="219" t="str">
        <f>IF(Table2[[#This Row],[STATUS2]]="ENTREGUE","ENTREGUE","")</f>
        <v>ENTREGUE</v>
      </c>
      <c r="AE116" s="219" t="s">
        <v>43</v>
      </c>
    </row>
    <row r="117" spans="1:31" ht="14.45">
      <c r="A117" s="233" t="s">
        <v>463</v>
      </c>
      <c r="B117" s="217">
        <v>46057</v>
      </c>
      <c r="C117" s="217">
        <v>46057</v>
      </c>
      <c r="D117" s="218" t="s">
        <v>464</v>
      </c>
      <c r="E117" s="218" t="s">
        <v>365</v>
      </c>
      <c r="F117" s="218" t="s">
        <v>328</v>
      </c>
      <c r="G117" s="218">
        <v>50000530</v>
      </c>
      <c r="H117" s="218" t="s">
        <v>465</v>
      </c>
      <c r="I117" s="218" t="s">
        <v>466</v>
      </c>
      <c r="J117" s="218">
        <v>1</v>
      </c>
      <c r="K117" s="218" t="s">
        <v>269</v>
      </c>
      <c r="L117" s="218" t="s">
        <v>72</v>
      </c>
      <c r="M117" s="218" t="s">
        <v>39</v>
      </c>
      <c r="N117" s="218">
        <v>159501</v>
      </c>
      <c r="O117" s="219"/>
      <c r="P117" s="219"/>
      <c r="Q117" s="219"/>
      <c r="R117" s="219"/>
      <c r="S117" s="220"/>
      <c r="T117" s="220">
        <v>46064</v>
      </c>
      <c r="U117" s="220">
        <v>46073</v>
      </c>
      <c r="V117" s="219" t="s">
        <v>61</v>
      </c>
      <c r="W117" s="221">
        <v>604.24</v>
      </c>
      <c r="X117" s="221">
        <f>Table2[[#This Row],[QUANTIDADE]]*Table2[[#This Row],[PREÇO UNITARIO]]</f>
        <v>604.24</v>
      </c>
      <c r="Y117" s="219"/>
      <c r="Z117" s="219">
        <f t="shared" si="2"/>
        <v>2</v>
      </c>
      <c r="AA117" s="219" t="s">
        <v>74</v>
      </c>
      <c r="AB117" s="220">
        <f t="shared" ca="1" si="3"/>
        <v>46235</v>
      </c>
      <c r="AC117" s="219">
        <f ca="1">_xlfn.DAYS(Table2[[#This Row],[HOJE]],Table2[[#This Row],[DATA PEDIDO HP]])</f>
        <v>178</v>
      </c>
      <c r="AD117" s="219" t="str">
        <f>IF(Table2[[#This Row],[STATUS2]]="ENTREGUE","ENTREGUE","")</f>
        <v>ENTREGUE</v>
      </c>
      <c r="AE117" s="219" t="s">
        <v>43</v>
      </c>
    </row>
    <row r="118" spans="1:31" ht="14.45">
      <c r="A118" s="233" t="s">
        <v>467</v>
      </c>
      <c r="B118" s="217">
        <v>46086</v>
      </c>
      <c r="C118" s="217">
        <v>46085</v>
      </c>
      <c r="D118" s="218" t="s">
        <v>468</v>
      </c>
      <c r="E118" s="218" t="s">
        <v>365</v>
      </c>
      <c r="F118" s="218" t="s">
        <v>328</v>
      </c>
      <c r="G118" s="218">
        <v>50000530</v>
      </c>
      <c r="H118" s="218" t="s">
        <v>465</v>
      </c>
      <c r="I118" s="218" t="s">
        <v>466</v>
      </c>
      <c r="J118" s="218">
        <v>1</v>
      </c>
      <c r="K118" s="218" t="s">
        <v>269</v>
      </c>
      <c r="L118" s="218" t="s">
        <v>72</v>
      </c>
      <c r="M118" s="218" t="s">
        <v>39</v>
      </c>
      <c r="N118" s="218"/>
      <c r="O118" s="219"/>
      <c r="P118" s="219">
        <v>0</v>
      </c>
      <c r="Q118" s="219"/>
      <c r="R118" s="219"/>
      <c r="S118" s="220"/>
      <c r="T118" s="220">
        <v>46090</v>
      </c>
      <c r="U118" s="220">
        <v>46097</v>
      </c>
      <c r="V118" s="219" t="s">
        <v>61</v>
      </c>
      <c r="W118" s="221">
        <v>604.24</v>
      </c>
      <c r="X118" s="223">
        <f>Table2[[#This Row],[QUANTIDADE]]*Table2[[#This Row],[PREÇO UNITARIO]]</f>
        <v>604.24</v>
      </c>
      <c r="Y118" s="219"/>
      <c r="Z118" s="219">
        <f t="shared" si="2"/>
        <v>3</v>
      </c>
      <c r="AA118" s="219" t="s">
        <v>74</v>
      </c>
      <c r="AB118" s="220">
        <f t="shared" ca="1" si="3"/>
        <v>46235</v>
      </c>
      <c r="AC118" s="219">
        <f ca="1">_xlfn.DAYS(Table2[[#This Row],[HOJE]],Table2[[#This Row],[DATA PEDIDO HP]])</f>
        <v>149</v>
      </c>
      <c r="AD118" s="219" t="str">
        <f>IF(Table2[[#This Row],[STATUS2]]="ENTREGUE","ENTREGUE","")</f>
        <v>ENTREGUE</v>
      </c>
      <c r="AE118" s="219" t="s">
        <v>43</v>
      </c>
    </row>
    <row r="119" spans="1:31" ht="14.45">
      <c r="A119" s="233" t="s">
        <v>469</v>
      </c>
      <c r="B119" s="217">
        <v>46086</v>
      </c>
      <c r="C119" s="217">
        <v>46085</v>
      </c>
      <c r="D119" s="218" t="s">
        <v>468</v>
      </c>
      <c r="E119" s="218" t="s">
        <v>365</v>
      </c>
      <c r="F119" s="218" t="s">
        <v>328</v>
      </c>
      <c r="G119" s="218">
        <v>50000530</v>
      </c>
      <c r="H119" s="218" t="s">
        <v>465</v>
      </c>
      <c r="I119" s="218" t="s">
        <v>466</v>
      </c>
      <c r="J119" s="218">
        <v>1</v>
      </c>
      <c r="K119" s="218" t="s">
        <v>269</v>
      </c>
      <c r="L119" s="218" t="s">
        <v>72</v>
      </c>
      <c r="M119" s="218" t="s">
        <v>73</v>
      </c>
      <c r="N119" s="218"/>
      <c r="O119" s="219"/>
      <c r="P119" s="219">
        <v>0</v>
      </c>
      <c r="Q119" s="219"/>
      <c r="R119" s="219"/>
      <c r="S119" s="220">
        <v>46153</v>
      </c>
      <c r="T119" s="220">
        <v>46104</v>
      </c>
      <c r="U119" s="220">
        <v>46120</v>
      </c>
      <c r="V119" s="219" t="s">
        <v>56</v>
      </c>
      <c r="W119" s="221">
        <v>604.24</v>
      </c>
      <c r="X119" s="223">
        <f>Table2[[#This Row],[QUANTIDADE]]*Table2[[#This Row],[PREÇO UNITARIO]]</f>
        <v>604.24</v>
      </c>
      <c r="Y119" s="219"/>
      <c r="Z119" s="219">
        <f t="shared" si="2"/>
        <v>3</v>
      </c>
      <c r="AA119" s="219" t="s">
        <v>74</v>
      </c>
      <c r="AB119" s="220">
        <f t="shared" ca="1" si="3"/>
        <v>46235</v>
      </c>
      <c r="AC119" s="219">
        <f ca="1">_xlfn.DAYS(Table2[[#This Row],[HOJE]],Table2[[#This Row],[DATA PEDIDO HP]])</f>
        <v>149</v>
      </c>
      <c r="AD119" s="219" t="str">
        <f>IF(Table2[[#This Row],[STATUS2]]="ENTREGUE","ENTREGUE","")</f>
        <v>ENTREGUE</v>
      </c>
      <c r="AE119" s="219" t="s">
        <v>43</v>
      </c>
    </row>
    <row r="120" spans="1:31" ht="14.45">
      <c r="A120" s="233" t="s">
        <v>470</v>
      </c>
      <c r="B120" s="217">
        <v>46057</v>
      </c>
      <c r="C120" s="217">
        <v>46057</v>
      </c>
      <c r="D120" s="218" t="s">
        <v>471</v>
      </c>
      <c r="E120" s="218" t="s">
        <v>33</v>
      </c>
      <c r="F120" s="218" t="s">
        <v>34</v>
      </c>
      <c r="G120" s="218">
        <v>50110372</v>
      </c>
      <c r="H120" s="218" t="s">
        <v>472</v>
      </c>
      <c r="I120" s="218" t="s">
        <v>473</v>
      </c>
      <c r="J120" s="218">
        <v>1</v>
      </c>
      <c r="K120" s="218" t="s">
        <v>37</v>
      </c>
      <c r="L120" s="218" t="s">
        <v>122</v>
      </c>
      <c r="M120" s="218" t="s">
        <v>81</v>
      </c>
      <c r="N120" s="218">
        <v>160261</v>
      </c>
      <c r="O120" s="219"/>
      <c r="P120" s="219"/>
      <c r="Q120" s="219"/>
      <c r="R120" s="219" t="s">
        <v>474</v>
      </c>
      <c r="S120" s="220">
        <v>46087</v>
      </c>
      <c r="T120" s="220">
        <v>46069</v>
      </c>
      <c r="U120" s="220">
        <v>46078</v>
      </c>
      <c r="V120" s="219" t="s">
        <v>46</v>
      </c>
      <c r="W120" s="221">
        <v>22.54</v>
      </c>
      <c r="X120" s="221">
        <f>Table2[[#This Row],[QUANTIDADE]]*Table2[[#This Row],[PREÇO UNITARIO]]</f>
        <v>22.54</v>
      </c>
      <c r="Y120" s="219"/>
      <c r="Z120" s="219">
        <f t="shared" si="2"/>
        <v>2</v>
      </c>
      <c r="AA120" s="219" t="s">
        <v>42</v>
      </c>
      <c r="AB120" s="220">
        <f t="shared" ca="1" si="3"/>
        <v>46235</v>
      </c>
      <c r="AC120" s="219">
        <f ca="1">_xlfn.DAYS(Table2[[#This Row],[HOJE]],Table2[[#This Row],[DATA PEDIDO HP]])</f>
        <v>178</v>
      </c>
      <c r="AD120" s="219" t="str">
        <f>IF(Table2[[#This Row],[STATUS2]]="ENTREGUE","ENTREGUE","")</f>
        <v>ENTREGUE</v>
      </c>
      <c r="AE120" s="219" t="s">
        <v>43</v>
      </c>
    </row>
    <row r="121" spans="1:31" ht="14.45">
      <c r="A121" s="233" t="s">
        <v>475</v>
      </c>
      <c r="B121" s="217">
        <v>46057</v>
      </c>
      <c r="C121" s="217">
        <v>46057</v>
      </c>
      <c r="D121" s="218" t="s">
        <v>476</v>
      </c>
      <c r="E121" s="218" t="s">
        <v>191</v>
      </c>
      <c r="F121" s="218" t="s">
        <v>95</v>
      </c>
      <c r="G121" s="218">
        <v>60001111</v>
      </c>
      <c r="H121" s="218" t="s">
        <v>477</v>
      </c>
      <c r="I121" s="218" t="s">
        <v>478</v>
      </c>
      <c r="J121" s="218">
        <v>3</v>
      </c>
      <c r="K121" s="218" t="s">
        <v>37</v>
      </c>
      <c r="L121" s="218" t="s">
        <v>122</v>
      </c>
      <c r="M121" s="218" t="s">
        <v>81</v>
      </c>
      <c r="N121" s="218">
        <v>160262</v>
      </c>
      <c r="O121" s="219"/>
      <c r="P121" s="219"/>
      <c r="Q121" s="219"/>
      <c r="R121" s="219"/>
      <c r="S121" s="220">
        <v>46086</v>
      </c>
      <c r="T121" s="220">
        <v>46069</v>
      </c>
      <c r="U121" s="220">
        <v>46078</v>
      </c>
      <c r="V121" s="219" t="s">
        <v>46</v>
      </c>
      <c r="W121" s="221">
        <v>26.13</v>
      </c>
      <c r="X121" s="221">
        <f>Table2[[#This Row],[QUANTIDADE]]*Table2[[#This Row],[PREÇO UNITARIO]]</f>
        <v>78.39</v>
      </c>
      <c r="Y121" s="219"/>
      <c r="Z121" s="219">
        <f t="shared" si="2"/>
        <v>2</v>
      </c>
      <c r="AA121" s="219" t="s">
        <v>42</v>
      </c>
      <c r="AB121" s="220">
        <f t="shared" ca="1" si="3"/>
        <v>46235</v>
      </c>
      <c r="AC121" s="219">
        <f ca="1">_xlfn.DAYS(Table2[[#This Row],[HOJE]],Table2[[#This Row],[DATA PEDIDO HP]])</f>
        <v>178</v>
      </c>
      <c r="AD121" s="219" t="str">
        <f>IF(Table2[[#This Row],[STATUS2]]="ENTREGUE","ENTREGUE","")</f>
        <v>ENTREGUE</v>
      </c>
      <c r="AE121" s="219" t="s">
        <v>43</v>
      </c>
    </row>
    <row r="122" spans="1:31" ht="14.45">
      <c r="A122" s="233" t="s">
        <v>479</v>
      </c>
      <c r="B122" s="217">
        <v>46057</v>
      </c>
      <c r="C122" s="217">
        <v>46057</v>
      </c>
      <c r="D122" s="218" t="s">
        <v>480</v>
      </c>
      <c r="E122" s="218" t="s">
        <v>191</v>
      </c>
      <c r="F122" s="218" t="s">
        <v>95</v>
      </c>
      <c r="G122" s="218">
        <v>60001111</v>
      </c>
      <c r="H122" s="218" t="s">
        <v>481</v>
      </c>
      <c r="I122" s="218" t="s">
        <v>482</v>
      </c>
      <c r="J122" s="218">
        <v>4</v>
      </c>
      <c r="K122" s="218" t="s">
        <v>37</v>
      </c>
      <c r="L122" s="218" t="s">
        <v>122</v>
      </c>
      <c r="M122" s="218" t="s">
        <v>81</v>
      </c>
      <c r="N122" s="218">
        <v>160262</v>
      </c>
      <c r="O122" s="219"/>
      <c r="P122" s="219"/>
      <c r="Q122" s="219"/>
      <c r="R122" s="219"/>
      <c r="S122" s="220">
        <v>46086</v>
      </c>
      <c r="T122" s="220">
        <v>46069</v>
      </c>
      <c r="U122" s="220">
        <v>46078</v>
      </c>
      <c r="V122" s="219" t="s">
        <v>46</v>
      </c>
      <c r="W122" s="221">
        <v>80.180000000000007</v>
      </c>
      <c r="X122" s="221">
        <f>Table2[[#This Row],[QUANTIDADE]]*Table2[[#This Row],[PREÇO UNITARIO]]</f>
        <v>320.72000000000003</v>
      </c>
      <c r="Y122" s="219"/>
      <c r="Z122" s="219">
        <f t="shared" si="2"/>
        <v>2</v>
      </c>
      <c r="AA122" s="219" t="s">
        <v>42</v>
      </c>
      <c r="AB122" s="220">
        <f t="shared" ca="1" si="3"/>
        <v>46235</v>
      </c>
      <c r="AC122" s="219">
        <f ca="1">_xlfn.DAYS(Table2[[#This Row],[HOJE]],Table2[[#This Row],[DATA PEDIDO HP]])</f>
        <v>178</v>
      </c>
      <c r="AD122" s="219" t="str">
        <f>IF(Table2[[#This Row],[STATUS2]]="ENTREGUE","ENTREGUE","")</f>
        <v>ENTREGUE</v>
      </c>
      <c r="AE122" s="219" t="s">
        <v>43</v>
      </c>
    </row>
    <row r="123" spans="1:31" ht="14.45">
      <c r="A123" s="233" t="s">
        <v>483</v>
      </c>
      <c r="B123" s="217">
        <v>46057</v>
      </c>
      <c r="C123" s="217">
        <v>46057</v>
      </c>
      <c r="D123" s="218" t="s">
        <v>484</v>
      </c>
      <c r="E123" s="218" t="s">
        <v>191</v>
      </c>
      <c r="F123" s="218" t="s">
        <v>95</v>
      </c>
      <c r="G123" s="218">
        <v>60001111</v>
      </c>
      <c r="H123" s="218" t="s">
        <v>485</v>
      </c>
      <c r="I123" s="218" t="s">
        <v>486</v>
      </c>
      <c r="J123" s="218">
        <v>1</v>
      </c>
      <c r="K123" s="218" t="s">
        <v>37</v>
      </c>
      <c r="L123" s="218" t="s">
        <v>122</v>
      </c>
      <c r="M123" s="218" t="s">
        <v>81</v>
      </c>
      <c r="N123" s="218">
        <v>160262</v>
      </c>
      <c r="O123" s="219"/>
      <c r="P123" s="219"/>
      <c r="Q123" s="219"/>
      <c r="R123" s="219"/>
      <c r="S123" s="220">
        <v>46086</v>
      </c>
      <c r="T123" s="220">
        <v>46069</v>
      </c>
      <c r="U123" s="220">
        <v>46078</v>
      </c>
      <c r="V123" s="219" t="s">
        <v>46</v>
      </c>
      <c r="W123" s="221">
        <v>306.20999999999998</v>
      </c>
      <c r="X123" s="221">
        <f>Table2[[#This Row],[QUANTIDADE]]*Table2[[#This Row],[PREÇO UNITARIO]]</f>
        <v>306.20999999999998</v>
      </c>
      <c r="Y123" s="219"/>
      <c r="Z123" s="219">
        <f t="shared" si="2"/>
        <v>2</v>
      </c>
      <c r="AA123" s="219" t="s">
        <v>42</v>
      </c>
      <c r="AB123" s="220">
        <f t="shared" ca="1" si="3"/>
        <v>46235</v>
      </c>
      <c r="AC123" s="219">
        <f ca="1">_xlfn.DAYS(Table2[[#This Row],[HOJE]],Table2[[#This Row],[DATA PEDIDO HP]])</f>
        <v>178</v>
      </c>
      <c r="AD123" s="219" t="str">
        <f>IF(Table2[[#This Row],[STATUS2]]="ENTREGUE","ENTREGUE","")</f>
        <v>ENTREGUE</v>
      </c>
      <c r="AE123" s="219" t="s">
        <v>43</v>
      </c>
    </row>
    <row r="124" spans="1:31" ht="14.45">
      <c r="A124" s="233" t="s">
        <v>487</v>
      </c>
      <c r="B124" s="217">
        <v>46058</v>
      </c>
      <c r="C124" s="217">
        <v>46058</v>
      </c>
      <c r="D124" s="218" t="s">
        <v>488</v>
      </c>
      <c r="E124" s="218" t="s">
        <v>33</v>
      </c>
      <c r="F124" s="218" t="s">
        <v>34</v>
      </c>
      <c r="G124" s="218">
        <v>50110372</v>
      </c>
      <c r="H124" s="218" t="s">
        <v>489</v>
      </c>
      <c r="I124" s="218" t="s">
        <v>490</v>
      </c>
      <c r="J124" s="218">
        <v>1</v>
      </c>
      <c r="K124" s="218" t="s">
        <v>37</v>
      </c>
      <c r="L124" s="218" t="s">
        <v>122</v>
      </c>
      <c r="M124" s="218" t="s">
        <v>73</v>
      </c>
      <c r="N124" s="218">
        <v>160523</v>
      </c>
      <c r="O124" s="219"/>
      <c r="P124" s="219"/>
      <c r="Q124" s="219"/>
      <c r="R124" s="219"/>
      <c r="S124" s="220"/>
      <c r="T124" s="220">
        <v>46069</v>
      </c>
      <c r="U124" s="220">
        <v>46078</v>
      </c>
      <c r="V124" s="219" t="s">
        <v>46</v>
      </c>
      <c r="W124" s="221">
        <v>24.5</v>
      </c>
      <c r="X124" s="221">
        <f>Table2[[#This Row],[QUANTIDADE]]*Table2[[#This Row],[PREÇO UNITARIO]]</f>
        <v>24.5</v>
      </c>
      <c r="Y124" s="219"/>
      <c r="Z124" s="219">
        <f t="shared" si="2"/>
        <v>2</v>
      </c>
      <c r="AA124" s="219" t="s">
        <v>42</v>
      </c>
      <c r="AB124" s="220">
        <f t="shared" ca="1" si="3"/>
        <v>46235</v>
      </c>
      <c r="AC124" s="219">
        <f ca="1">_xlfn.DAYS(Table2[[#This Row],[HOJE]],Table2[[#This Row],[DATA PEDIDO HP]])</f>
        <v>177</v>
      </c>
      <c r="AD124" s="219" t="str">
        <f>IF(Table2[[#This Row],[STATUS2]]="ENTREGUE","ENTREGUE","")</f>
        <v>ENTREGUE</v>
      </c>
      <c r="AE124" s="219" t="s">
        <v>43</v>
      </c>
    </row>
    <row r="125" spans="1:31" ht="14.45">
      <c r="A125" s="233" t="s">
        <v>491</v>
      </c>
      <c r="B125" s="217">
        <v>46058</v>
      </c>
      <c r="C125" s="217">
        <v>46058</v>
      </c>
      <c r="D125" s="218" t="s">
        <v>492</v>
      </c>
      <c r="E125" s="218" t="s">
        <v>345</v>
      </c>
      <c r="F125" s="218" t="s">
        <v>34</v>
      </c>
      <c r="G125" s="218">
        <v>50110229</v>
      </c>
      <c r="H125" s="218" t="s">
        <v>493</v>
      </c>
      <c r="I125" s="218" t="s">
        <v>494</v>
      </c>
      <c r="J125" s="218">
        <v>1</v>
      </c>
      <c r="K125" s="218" t="s">
        <v>37</v>
      </c>
      <c r="L125" s="218" t="s">
        <v>38</v>
      </c>
      <c r="M125" s="218" t="s">
        <v>39</v>
      </c>
      <c r="N125" s="218"/>
      <c r="O125" s="219"/>
      <c r="P125" s="219"/>
      <c r="Q125" s="219"/>
      <c r="R125" s="219" t="s">
        <v>495</v>
      </c>
      <c r="S125" s="220">
        <v>46140</v>
      </c>
      <c r="T125" s="220">
        <v>46069</v>
      </c>
      <c r="U125" s="220">
        <v>46078</v>
      </c>
      <c r="V125" s="219" t="s">
        <v>46</v>
      </c>
      <c r="W125" s="221">
        <v>106.15</v>
      </c>
      <c r="X125" s="221">
        <f>Table2[[#This Row],[QUANTIDADE]]*Table2[[#This Row],[PREÇO UNITARIO]]</f>
        <v>106.15</v>
      </c>
      <c r="Y125" s="219"/>
      <c r="Z125" s="219">
        <f t="shared" si="2"/>
        <v>2</v>
      </c>
      <c r="AA125" s="219" t="s">
        <v>42</v>
      </c>
      <c r="AB125" s="220">
        <f t="shared" ca="1" si="3"/>
        <v>46235</v>
      </c>
      <c r="AC125" s="219">
        <f ca="1">_xlfn.DAYS(Table2[[#This Row],[HOJE]],Table2[[#This Row],[DATA PEDIDO HP]])</f>
        <v>177</v>
      </c>
      <c r="AD125" s="219" t="str">
        <f>IF(Table2[[#This Row],[STATUS2]]="ENTREGUE","ENTREGUE","")</f>
        <v>ENTREGUE</v>
      </c>
      <c r="AE125" s="219" t="s">
        <v>43</v>
      </c>
    </row>
    <row r="126" spans="1:31" ht="14.45">
      <c r="A126" s="233" t="s">
        <v>496</v>
      </c>
      <c r="B126" s="217">
        <v>46059</v>
      </c>
      <c r="C126" s="217">
        <v>46058</v>
      </c>
      <c r="D126" s="218" t="s">
        <v>497</v>
      </c>
      <c r="E126" s="218" t="s">
        <v>33</v>
      </c>
      <c r="F126" s="218" t="s">
        <v>95</v>
      </c>
      <c r="G126" s="218">
        <v>60002095</v>
      </c>
      <c r="H126" s="218" t="s">
        <v>498</v>
      </c>
      <c r="I126" s="218" t="s">
        <v>499</v>
      </c>
      <c r="J126" s="218">
        <v>1</v>
      </c>
      <c r="K126" s="218" t="s">
        <v>269</v>
      </c>
      <c r="L126" s="218" t="s">
        <v>122</v>
      </c>
      <c r="M126" s="218" t="s">
        <v>39</v>
      </c>
      <c r="N126" s="218">
        <v>160622</v>
      </c>
      <c r="O126" s="219"/>
      <c r="P126" s="219"/>
      <c r="Q126" s="219"/>
      <c r="R126" s="219"/>
      <c r="S126" s="220">
        <v>46071</v>
      </c>
      <c r="T126" s="220"/>
      <c r="U126" s="220"/>
      <c r="V126" s="219"/>
      <c r="W126" s="221">
        <v>492.83</v>
      </c>
      <c r="X126" s="221">
        <f>Table2[[#This Row],[QUANTIDADE]]*Table2[[#This Row],[PREÇO UNITARIO]]</f>
        <v>492.83</v>
      </c>
      <c r="Y126" s="219"/>
      <c r="Z126" s="219">
        <f t="shared" si="2"/>
        <v>2</v>
      </c>
      <c r="AA126" s="219" t="s">
        <v>42</v>
      </c>
      <c r="AB126" s="220">
        <f t="shared" ca="1" si="3"/>
        <v>46235</v>
      </c>
      <c r="AC126" s="219">
        <f ca="1">_xlfn.DAYS(Table2[[#This Row],[HOJE]],Table2[[#This Row],[DATA PEDIDO HP]])</f>
        <v>176</v>
      </c>
      <c r="AD126" s="219" t="str">
        <f>IF(Table2[[#This Row],[STATUS2]]="ENTREGUE","ENTREGUE","")</f>
        <v>ENTREGUE</v>
      </c>
      <c r="AE126" s="219" t="s">
        <v>43</v>
      </c>
    </row>
    <row r="127" spans="1:31" ht="14.45">
      <c r="A127" s="233" t="s">
        <v>500</v>
      </c>
      <c r="B127" s="217">
        <v>46059</v>
      </c>
      <c r="C127" s="217">
        <v>46058</v>
      </c>
      <c r="D127" s="218" t="s">
        <v>501</v>
      </c>
      <c r="E127" s="218" t="s">
        <v>162</v>
      </c>
      <c r="F127" s="218" t="s">
        <v>140</v>
      </c>
      <c r="G127" s="218" t="s">
        <v>502</v>
      </c>
      <c r="H127" s="218" t="s">
        <v>503</v>
      </c>
      <c r="I127" s="218" t="s">
        <v>504</v>
      </c>
      <c r="J127" s="218">
        <v>1</v>
      </c>
      <c r="K127" s="218" t="s">
        <v>37</v>
      </c>
      <c r="L127" s="218" t="s">
        <v>72</v>
      </c>
      <c r="M127" s="218" t="s">
        <v>73</v>
      </c>
      <c r="N127" s="218">
        <v>160292</v>
      </c>
      <c r="O127" s="219"/>
      <c r="P127" s="219"/>
      <c r="Q127" s="219"/>
      <c r="R127" s="219"/>
      <c r="S127" s="220"/>
      <c r="T127" s="220">
        <v>46069</v>
      </c>
      <c r="U127" s="220">
        <v>46078</v>
      </c>
      <c r="V127" s="219" t="s">
        <v>46</v>
      </c>
      <c r="W127" s="221">
        <v>2720.65</v>
      </c>
      <c r="X127" s="221">
        <f>Table2[[#This Row],[QUANTIDADE]]*Table2[[#This Row],[PREÇO UNITARIO]]</f>
        <v>2720.65</v>
      </c>
      <c r="Y127" s="219"/>
      <c r="Z127" s="219">
        <f t="shared" si="2"/>
        <v>2</v>
      </c>
      <c r="AA127" s="219" t="s">
        <v>74</v>
      </c>
      <c r="AB127" s="220">
        <f t="shared" ca="1" si="3"/>
        <v>46235</v>
      </c>
      <c r="AC127" s="219">
        <f ca="1">_xlfn.DAYS(Table2[[#This Row],[HOJE]],Table2[[#This Row],[DATA PEDIDO HP]])</f>
        <v>176</v>
      </c>
      <c r="AD127" s="219" t="str">
        <f>IF(Table2[[#This Row],[STATUS2]]="ENTREGUE","ENTREGUE","")</f>
        <v>ENTREGUE</v>
      </c>
      <c r="AE127" s="219" t="s">
        <v>43</v>
      </c>
    </row>
    <row r="128" spans="1:31" ht="14.45">
      <c r="A128" s="233" t="s">
        <v>500</v>
      </c>
      <c r="B128" s="217">
        <v>46059</v>
      </c>
      <c r="C128" s="217">
        <v>46058</v>
      </c>
      <c r="D128" s="218" t="s">
        <v>501</v>
      </c>
      <c r="E128" s="218" t="s">
        <v>162</v>
      </c>
      <c r="F128" s="218" t="s">
        <v>140</v>
      </c>
      <c r="G128" s="218" t="s">
        <v>502</v>
      </c>
      <c r="H128" s="218" t="s">
        <v>505</v>
      </c>
      <c r="I128" s="218" t="s">
        <v>506</v>
      </c>
      <c r="J128" s="218">
        <v>1</v>
      </c>
      <c r="K128" s="218" t="s">
        <v>37</v>
      </c>
      <c r="L128" s="218" t="s">
        <v>72</v>
      </c>
      <c r="M128" s="218" t="s">
        <v>73</v>
      </c>
      <c r="N128" s="218">
        <v>160292</v>
      </c>
      <c r="O128" s="219"/>
      <c r="P128" s="219"/>
      <c r="Q128" s="219"/>
      <c r="R128" s="219"/>
      <c r="S128" s="220"/>
      <c r="T128" s="220">
        <v>46069</v>
      </c>
      <c r="U128" s="220">
        <v>46078</v>
      </c>
      <c r="V128" s="219" t="s">
        <v>46</v>
      </c>
      <c r="W128" s="221">
        <v>17.260000000000002</v>
      </c>
      <c r="X128" s="221">
        <f>Table2[[#This Row],[QUANTIDADE]]*Table2[[#This Row],[PREÇO UNITARIO]]</f>
        <v>17.260000000000002</v>
      </c>
      <c r="Y128" s="219"/>
      <c r="Z128" s="219">
        <f t="shared" si="2"/>
        <v>2</v>
      </c>
      <c r="AA128" s="219" t="s">
        <v>74</v>
      </c>
      <c r="AB128" s="220">
        <f t="shared" ca="1" si="3"/>
        <v>46235</v>
      </c>
      <c r="AC128" s="219">
        <f ca="1">_xlfn.DAYS(Table2[[#This Row],[HOJE]],Table2[[#This Row],[DATA PEDIDO HP]])</f>
        <v>176</v>
      </c>
      <c r="AD128" s="219" t="str">
        <f>IF(Table2[[#This Row],[STATUS2]]="ENTREGUE","ENTREGUE","")</f>
        <v>ENTREGUE</v>
      </c>
      <c r="AE128" s="219" t="s">
        <v>43</v>
      </c>
    </row>
    <row r="129" spans="1:31" ht="14.45">
      <c r="A129" s="233" t="s">
        <v>507</v>
      </c>
      <c r="B129" s="217">
        <v>46059</v>
      </c>
      <c r="C129" s="217">
        <v>46059</v>
      </c>
      <c r="D129" s="217" t="s">
        <v>508</v>
      </c>
      <c r="E129" s="218" t="s">
        <v>154</v>
      </c>
      <c r="F129" s="218" t="s">
        <v>145</v>
      </c>
      <c r="G129" s="218">
        <v>48000044</v>
      </c>
      <c r="H129" s="218" t="s">
        <v>446</v>
      </c>
      <c r="I129" s="218" t="s">
        <v>509</v>
      </c>
      <c r="J129" s="218">
        <v>1</v>
      </c>
      <c r="K129" s="218" t="s">
        <v>37</v>
      </c>
      <c r="L129" s="218" t="s">
        <v>72</v>
      </c>
      <c r="M129" s="218" t="s">
        <v>73</v>
      </c>
      <c r="N129" s="218">
        <v>160524</v>
      </c>
      <c r="O129" s="219"/>
      <c r="P129" s="219"/>
      <c r="Q129" s="219"/>
      <c r="R129" s="219"/>
      <c r="S129" s="220"/>
      <c r="T129" s="220">
        <v>46104</v>
      </c>
      <c r="U129" s="220">
        <v>46120</v>
      </c>
      <c r="V129" s="219" t="s">
        <v>56</v>
      </c>
      <c r="W129" s="221">
        <v>431.82</v>
      </c>
      <c r="X129" s="221">
        <f>Table2[[#This Row],[QUANTIDADE]]*Table2[[#This Row],[PREÇO UNITARIO]]</f>
        <v>431.82</v>
      </c>
      <c r="Y129" s="219"/>
      <c r="Z129" s="219">
        <f t="shared" si="2"/>
        <v>2</v>
      </c>
      <c r="AA129" s="219" t="s">
        <v>74</v>
      </c>
      <c r="AB129" s="220">
        <f t="shared" ca="1" si="3"/>
        <v>46235</v>
      </c>
      <c r="AC129" s="219">
        <f ca="1">_xlfn.DAYS(Table2[[#This Row],[HOJE]],Table2[[#This Row],[DATA PEDIDO HP]])</f>
        <v>176</v>
      </c>
      <c r="AD129" s="219" t="str">
        <f>IF(Table2[[#This Row],[STATUS2]]="ENTREGUE","ENTREGUE","")</f>
        <v>ENTREGUE</v>
      </c>
      <c r="AE129" s="219" t="s">
        <v>43</v>
      </c>
    </row>
    <row r="130" spans="1:31" ht="14.45">
      <c r="A130" s="233" t="s">
        <v>510</v>
      </c>
      <c r="B130" s="217">
        <v>46059</v>
      </c>
      <c r="C130" s="217">
        <v>46059</v>
      </c>
      <c r="D130" s="218" t="s">
        <v>511</v>
      </c>
      <c r="E130" s="218" t="s">
        <v>512</v>
      </c>
      <c r="F130" s="218" t="s">
        <v>145</v>
      </c>
      <c r="G130" s="218">
        <v>48000002</v>
      </c>
      <c r="H130" s="218" t="s">
        <v>513</v>
      </c>
      <c r="I130" s="218" t="s">
        <v>514</v>
      </c>
      <c r="J130" s="218">
        <v>1</v>
      </c>
      <c r="K130" s="218" t="s">
        <v>37</v>
      </c>
      <c r="L130" s="218" t="s">
        <v>72</v>
      </c>
      <c r="M130" s="218" t="s">
        <v>73</v>
      </c>
      <c r="N130" s="218">
        <v>159731</v>
      </c>
      <c r="O130" s="219"/>
      <c r="P130" s="219"/>
      <c r="Q130" s="219"/>
      <c r="R130" s="219"/>
      <c r="S130" s="220"/>
      <c r="T130" s="220">
        <v>46104</v>
      </c>
      <c r="U130" s="220">
        <v>46120</v>
      </c>
      <c r="V130" s="219" t="s">
        <v>56</v>
      </c>
      <c r="W130" s="221">
        <v>453.02</v>
      </c>
      <c r="X130" s="221">
        <f>Table2[[#This Row],[QUANTIDADE]]*Table2[[#This Row],[PREÇO UNITARIO]]</f>
        <v>453.02</v>
      </c>
      <c r="Y130" s="219"/>
      <c r="Z130" s="219">
        <f t="shared" ref="Z130:Z193" si="4">MONTH(B130)</f>
        <v>2</v>
      </c>
      <c r="AA130" s="219" t="s">
        <v>74</v>
      </c>
      <c r="AB130" s="220">
        <f t="shared" ref="AB130:AB193" ca="1" si="5">TODAY()</f>
        <v>46235</v>
      </c>
      <c r="AC130" s="219">
        <f ca="1">_xlfn.DAYS(Table2[[#This Row],[HOJE]],Table2[[#This Row],[DATA PEDIDO HP]])</f>
        <v>176</v>
      </c>
      <c r="AD130" s="219" t="str">
        <f>IF(Table2[[#This Row],[STATUS2]]="ENTREGUE","ENTREGUE","")</f>
        <v>ENTREGUE</v>
      </c>
      <c r="AE130" s="219" t="s">
        <v>43</v>
      </c>
    </row>
    <row r="131" spans="1:31" ht="14.45">
      <c r="A131" s="233" t="s">
        <v>515</v>
      </c>
      <c r="B131" s="217">
        <v>46059</v>
      </c>
      <c r="C131" s="217">
        <v>46059</v>
      </c>
      <c r="D131" s="218" t="s">
        <v>516</v>
      </c>
      <c r="E131" s="218" t="s">
        <v>327</v>
      </c>
      <c r="F131" s="218" t="s">
        <v>328</v>
      </c>
      <c r="G131" s="218">
        <v>50000260</v>
      </c>
      <c r="H131" s="218" t="s">
        <v>517</v>
      </c>
      <c r="I131" s="218" t="s">
        <v>518</v>
      </c>
      <c r="J131" s="218">
        <v>1</v>
      </c>
      <c r="K131" s="218" t="s">
        <v>37</v>
      </c>
      <c r="L131" s="218" t="s">
        <v>72</v>
      </c>
      <c r="M131" s="218" t="s">
        <v>73</v>
      </c>
      <c r="N131" s="218">
        <v>160259</v>
      </c>
      <c r="O131" s="219"/>
      <c r="P131" s="219"/>
      <c r="Q131" s="219"/>
      <c r="R131" s="219"/>
      <c r="S131" s="220"/>
      <c r="T131" s="220">
        <v>46104</v>
      </c>
      <c r="U131" s="220">
        <v>46120</v>
      </c>
      <c r="V131" s="219" t="s">
        <v>56</v>
      </c>
      <c r="W131" s="221">
        <v>77.98</v>
      </c>
      <c r="X131" s="221">
        <f>Table2[[#This Row],[QUANTIDADE]]*Table2[[#This Row],[PREÇO UNITARIO]]</f>
        <v>77.98</v>
      </c>
      <c r="Y131" s="219"/>
      <c r="Z131" s="219">
        <f t="shared" si="4"/>
        <v>2</v>
      </c>
      <c r="AA131" s="219" t="s">
        <v>42</v>
      </c>
      <c r="AB131" s="220">
        <f t="shared" ca="1" si="5"/>
        <v>46235</v>
      </c>
      <c r="AC131" s="219">
        <f ca="1">_xlfn.DAYS(Table2[[#This Row],[HOJE]],Table2[[#This Row],[DATA PEDIDO HP]])</f>
        <v>176</v>
      </c>
      <c r="AD131" s="219" t="str">
        <f>IF(Table2[[#This Row],[STATUS2]]="ENTREGUE","ENTREGUE","")</f>
        <v>ENTREGUE</v>
      </c>
      <c r="AE131" s="219" t="s">
        <v>43</v>
      </c>
    </row>
    <row r="132" spans="1:31" ht="14.45">
      <c r="A132" s="233" t="s">
        <v>519</v>
      </c>
      <c r="B132" s="217">
        <v>46059</v>
      </c>
      <c r="C132" s="217">
        <v>46059</v>
      </c>
      <c r="D132" s="218" t="s">
        <v>520</v>
      </c>
      <c r="E132" s="218" t="s">
        <v>33</v>
      </c>
      <c r="F132" s="218" t="s">
        <v>34</v>
      </c>
      <c r="G132" s="218">
        <v>50110372</v>
      </c>
      <c r="H132" s="218" t="s">
        <v>329</v>
      </c>
      <c r="I132" s="218" t="s">
        <v>346</v>
      </c>
      <c r="J132" s="218">
        <v>1</v>
      </c>
      <c r="K132" s="218" t="s">
        <v>37</v>
      </c>
      <c r="L132" s="218" t="s">
        <v>72</v>
      </c>
      <c r="M132" s="218" t="s">
        <v>73</v>
      </c>
      <c r="N132" s="218">
        <v>160955</v>
      </c>
      <c r="O132" s="219"/>
      <c r="P132" s="219"/>
      <c r="Q132" s="219"/>
      <c r="R132" s="219"/>
      <c r="S132" s="220"/>
      <c r="T132" s="220">
        <v>46069</v>
      </c>
      <c r="U132" s="220">
        <v>46078</v>
      </c>
      <c r="V132" s="219" t="s">
        <v>46</v>
      </c>
      <c r="W132" s="221">
        <v>49.81</v>
      </c>
      <c r="X132" s="221">
        <f>Table2[[#This Row],[QUANTIDADE]]*Table2[[#This Row],[PREÇO UNITARIO]]</f>
        <v>49.81</v>
      </c>
      <c r="Y132" s="219"/>
      <c r="Z132" s="219">
        <f t="shared" si="4"/>
        <v>2</v>
      </c>
      <c r="AA132" s="219" t="s">
        <v>42</v>
      </c>
      <c r="AB132" s="220">
        <f t="shared" ca="1" si="5"/>
        <v>46235</v>
      </c>
      <c r="AC132" s="219">
        <f ca="1">_xlfn.DAYS(Table2[[#This Row],[HOJE]],Table2[[#This Row],[DATA PEDIDO HP]])</f>
        <v>176</v>
      </c>
      <c r="AD132" s="219" t="str">
        <f>IF(Table2[[#This Row],[STATUS2]]="ENTREGUE","ENTREGUE","")</f>
        <v>ENTREGUE</v>
      </c>
      <c r="AE132" s="219" t="s">
        <v>43</v>
      </c>
    </row>
    <row r="133" spans="1:31" ht="14.45">
      <c r="A133" s="233" t="s">
        <v>521</v>
      </c>
      <c r="B133" s="217">
        <v>46059</v>
      </c>
      <c r="C133" s="217">
        <v>46059</v>
      </c>
      <c r="D133" s="218" t="s">
        <v>522</v>
      </c>
      <c r="E133" s="218" t="s">
        <v>191</v>
      </c>
      <c r="F133" s="218" t="s">
        <v>95</v>
      </c>
      <c r="G133" s="218">
        <v>60001111</v>
      </c>
      <c r="H133" s="218" t="s">
        <v>523</v>
      </c>
      <c r="I133" s="218" t="s">
        <v>524</v>
      </c>
      <c r="J133" s="218">
        <v>1</v>
      </c>
      <c r="K133" s="218" t="s">
        <v>37</v>
      </c>
      <c r="L133" s="218" t="s">
        <v>72</v>
      </c>
      <c r="M133" s="218" t="s">
        <v>81</v>
      </c>
      <c r="N133" s="218">
        <v>160888</v>
      </c>
      <c r="O133" s="219"/>
      <c r="P133" s="219"/>
      <c r="Q133" s="219"/>
      <c r="R133" s="219"/>
      <c r="S133" s="220">
        <v>46135</v>
      </c>
      <c r="T133" s="220">
        <v>46104</v>
      </c>
      <c r="U133" s="220">
        <v>46120</v>
      </c>
      <c r="V133" s="219" t="s">
        <v>56</v>
      </c>
      <c r="W133" s="221">
        <v>475.51</v>
      </c>
      <c r="X133" s="221">
        <f>Table2[[#This Row],[QUANTIDADE]]*Table2[[#This Row],[PREÇO UNITARIO]]</f>
        <v>475.51</v>
      </c>
      <c r="Y133" s="219"/>
      <c r="Z133" s="219">
        <f t="shared" si="4"/>
        <v>2</v>
      </c>
      <c r="AA133" s="219" t="s">
        <v>42</v>
      </c>
      <c r="AB133" s="220">
        <f t="shared" ca="1" si="5"/>
        <v>46235</v>
      </c>
      <c r="AC133" s="219">
        <f ca="1">_xlfn.DAYS(Table2[[#This Row],[HOJE]],Table2[[#This Row],[DATA PEDIDO HP]])</f>
        <v>176</v>
      </c>
      <c r="AD133" s="219" t="str">
        <f>IF(Table2[[#This Row],[STATUS2]]="ENTREGUE","ENTREGUE","")</f>
        <v>ENTREGUE</v>
      </c>
      <c r="AE133" s="219" t="s">
        <v>43</v>
      </c>
    </row>
    <row r="134" spans="1:31" ht="14.45">
      <c r="A134" s="233" t="s">
        <v>525</v>
      </c>
      <c r="B134" s="217">
        <v>46059</v>
      </c>
      <c r="C134" s="217">
        <v>46059</v>
      </c>
      <c r="D134" s="218" t="s">
        <v>526</v>
      </c>
      <c r="E134" s="218" t="s">
        <v>298</v>
      </c>
      <c r="F134" s="218" t="s">
        <v>34</v>
      </c>
      <c r="G134" s="218">
        <v>50110261</v>
      </c>
      <c r="H134" s="218" t="s">
        <v>527</v>
      </c>
      <c r="I134" s="218" t="s">
        <v>528</v>
      </c>
      <c r="J134" s="218">
        <v>1</v>
      </c>
      <c r="K134" s="218" t="s">
        <v>37</v>
      </c>
      <c r="L134" s="218" t="s">
        <v>72</v>
      </c>
      <c r="M134" s="218" t="s">
        <v>81</v>
      </c>
      <c r="N134" s="218">
        <v>158477</v>
      </c>
      <c r="O134" s="219"/>
      <c r="P134" s="219"/>
      <c r="Q134" s="219"/>
      <c r="R134" s="219"/>
      <c r="S134" s="220">
        <v>46094</v>
      </c>
      <c r="T134" s="220">
        <v>46069</v>
      </c>
      <c r="U134" s="220">
        <v>46078</v>
      </c>
      <c r="V134" s="219" t="s">
        <v>46</v>
      </c>
      <c r="W134" s="221">
        <v>47.36</v>
      </c>
      <c r="X134" s="221">
        <f>Table2[[#This Row],[QUANTIDADE]]*Table2[[#This Row],[PREÇO UNITARIO]]</f>
        <v>47.36</v>
      </c>
      <c r="Y134" s="219"/>
      <c r="Z134" s="219">
        <f t="shared" si="4"/>
        <v>2</v>
      </c>
      <c r="AA134" s="219" t="s">
        <v>74</v>
      </c>
      <c r="AB134" s="220">
        <f t="shared" ca="1" si="5"/>
        <v>46235</v>
      </c>
      <c r="AC134" s="219">
        <f ca="1">_xlfn.DAYS(Table2[[#This Row],[HOJE]],Table2[[#This Row],[DATA PEDIDO HP]])</f>
        <v>176</v>
      </c>
      <c r="AD134" s="219" t="str">
        <f>IF(Table2[[#This Row],[STATUS2]]="ENTREGUE","ENTREGUE","")</f>
        <v>ENTREGUE</v>
      </c>
      <c r="AE134" s="219" t="s">
        <v>43</v>
      </c>
    </row>
    <row r="135" spans="1:31" ht="14.45">
      <c r="A135" s="233" t="s">
        <v>529</v>
      </c>
      <c r="B135" s="217">
        <v>46059</v>
      </c>
      <c r="C135" s="217">
        <v>46059</v>
      </c>
      <c r="D135" s="218" t="s">
        <v>530</v>
      </c>
      <c r="E135" s="218" t="s">
        <v>298</v>
      </c>
      <c r="F135" s="218" t="s">
        <v>34</v>
      </c>
      <c r="G135" s="218">
        <v>50110261</v>
      </c>
      <c r="H135" s="218" t="s">
        <v>79</v>
      </c>
      <c r="I135" s="218" t="s">
        <v>531</v>
      </c>
      <c r="J135" s="218">
        <v>1</v>
      </c>
      <c r="K135" s="218" t="s">
        <v>37</v>
      </c>
      <c r="L135" s="218" t="s">
        <v>72</v>
      </c>
      <c r="M135" s="218" t="s">
        <v>81</v>
      </c>
      <c r="N135" s="218">
        <v>158875</v>
      </c>
      <c r="O135" s="219"/>
      <c r="P135" s="219"/>
      <c r="Q135" s="219"/>
      <c r="R135" s="219"/>
      <c r="S135" s="220">
        <v>46129</v>
      </c>
      <c r="T135" s="220">
        <v>46104</v>
      </c>
      <c r="U135" s="220">
        <v>46120</v>
      </c>
      <c r="V135" s="219" t="s">
        <v>56</v>
      </c>
      <c r="W135" s="221">
        <v>42.46</v>
      </c>
      <c r="X135" s="221">
        <f>Table2[[#This Row],[QUANTIDADE]]*Table2[[#This Row],[PREÇO UNITARIO]]</f>
        <v>42.46</v>
      </c>
      <c r="Y135" s="219"/>
      <c r="Z135" s="219">
        <f t="shared" si="4"/>
        <v>2</v>
      </c>
      <c r="AA135" s="219" t="s">
        <v>74</v>
      </c>
      <c r="AB135" s="220">
        <f t="shared" ca="1" si="5"/>
        <v>46235</v>
      </c>
      <c r="AC135" s="219">
        <f ca="1">_xlfn.DAYS(Table2[[#This Row],[HOJE]],Table2[[#This Row],[DATA PEDIDO HP]])</f>
        <v>176</v>
      </c>
      <c r="AD135" s="219" t="str">
        <f>IF(Table2[[#This Row],[STATUS2]]="ENTREGUE","ENTREGUE","")</f>
        <v>ENTREGUE</v>
      </c>
      <c r="AE135" s="219" t="s">
        <v>43</v>
      </c>
    </row>
    <row r="136" spans="1:31" ht="14.45">
      <c r="A136" s="233" t="s">
        <v>529</v>
      </c>
      <c r="B136" s="217">
        <v>46059</v>
      </c>
      <c r="C136" s="217">
        <v>46059</v>
      </c>
      <c r="D136" s="218" t="s">
        <v>530</v>
      </c>
      <c r="E136" s="218" t="s">
        <v>298</v>
      </c>
      <c r="F136" s="218" t="s">
        <v>34</v>
      </c>
      <c r="G136" s="218">
        <v>50110261</v>
      </c>
      <c r="H136" s="218" t="s">
        <v>126</v>
      </c>
      <c r="I136" s="218" t="s">
        <v>532</v>
      </c>
      <c r="J136" s="218">
        <v>1</v>
      </c>
      <c r="K136" s="218" t="s">
        <v>37</v>
      </c>
      <c r="L136" s="218" t="s">
        <v>72</v>
      </c>
      <c r="M136" s="218" t="s">
        <v>81</v>
      </c>
      <c r="N136" s="218">
        <v>158875</v>
      </c>
      <c r="O136" s="219"/>
      <c r="P136" s="219"/>
      <c r="Q136" s="219"/>
      <c r="R136" s="219"/>
      <c r="S136" s="220">
        <v>46129</v>
      </c>
      <c r="T136" s="220">
        <v>46104</v>
      </c>
      <c r="U136" s="220">
        <v>46120</v>
      </c>
      <c r="V136" s="219" t="s">
        <v>56</v>
      </c>
      <c r="W136" s="221">
        <v>790.42</v>
      </c>
      <c r="X136" s="221">
        <f>Table2[[#This Row],[QUANTIDADE]]*Table2[[#This Row],[PREÇO UNITARIO]]</f>
        <v>790.42</v>
      </c>
      <c r="Y136" s="219"/>
      <c r="Z136" s="219">
        <f t="shared" si="4"/>
        <v>2</v>
      </c>
      <c r="AA136" s="219" t="s">
        <v>74</v>
      </c>
      <c r="AB136" s="220">
        <f t="shared" ca="1" si="5"/>
        <v>46235</v>
      </c>
      <c r="AC136" s="219">
        <f ca="1">_xlfn.DAYS(Table2[[#This Row],[HOJE]],Table2[[#This Row],[DATA PEDIDO HP]])</f>
        <v>176</v>
      </c>
      <c r="AD136" s="219" t="str">
        <f>IF(Table2[[#This Row],[STATUS2]]="ENTREGUE","ENTREGUE","")</f>
        <v>ENTREGUE</v>
      </c>
      <c r="AE136" s="219" t="s">
        <v>43</v>
      </c>
    </row>
    <row r="137" spans="1:31" ht="14.45">
      <c r="A137" s="233" t="s">
        <v>533</v>
      </c>
      <c r="B137" s="217">
        <v>46059</v>
      </c>
      <c r="C137" s="217">
        <v>46059</v>
      </c>
      <c r="D137" s="218" t="s">
        <v>534</v>
      </c>
      <c r="E137" s="218" t="s">
        <v>241</v>
      </c>
      <c r="F137" s="218" t="s">
        <v>242</v>
      </c>
      <c r="G137" s="218">
        <v>51100064</v>
      </c>
      <c r="H137" s="218" t="s">
        <v>535</v>
      </c>
      <c r="I137" s="218" t="s">
        <v>536</v>
      </c>
      <c r="J137" s="218">
        <v>1</v>
      </c>
      <c r="K137" s="218" t="s">
        <v>269</v>
      </c>
      <c r="L137" s="218" t="s">
        <v>72</v>
      </c>
      <c r="M137" s="218" t="s">
        <v>39</v>
      </c>
      <c r="N137" s="218">
        <v>160953</v>
      </c>
      <c r="O137" s="219"/>
      <c r="P137" s="219"/>
      <c r="Q137" s="219"/>
      <c r="R137" s="219"/>
      <c r="S137" s="220">
        <v>46153</v>
      </c>
      <c r="T137" s="220">
        <v>46104</v>
      </c>
      <c r="U137" s="220">
        <v>46120</v>
      </c>
      <c r="V137" s="219" t="s">
        <v>56</v>
      </c>
      <c r="W137" s="221">
        <v>0.1</v>
      </c>
      <c r="X137" s="221">
        <f>Table2[[#This Row],[QUANTIDADE]]*Table2[[#This Row],[PREÇO UNITARIO]]</f>
        <v>0.1</v>
      </c>
      <c r="Y137" s="219"/>
      <c r="Z137" s="219">
        <f t="shared" si="4"/>
        <v>2</v>
      </c>
      <c r="AA137" s="219" t="s">
        <v>74</v>
      </c>
      <c r="AB137" s="220">
        <f t="shared" ca="1" si="5"/>
        <v>46235</v>
      </c>
      <c r="AC137" s="219">
        <f ca="1">_xlfn.DAYS(Table2[[#This Row],[HOJE]],Table2[[#This Row],[DATA PEDIDO HP]])</f>
        <v>176</v>
      </c>
      <c r="AD137" s="219" t="str">
        <f>IF(Table2[[#This Row],[STATUS2]]="ENTREGUE","ENTREGUE","")</f>
        <v>ENTREGUE</v>
      </c>
      <c r="AE137" s="219" t="s">
        <v>43</v>
      </c>
    </row>
    <row r="138" spans="1:31" ht="14.45">
      <c r="A138" s="233" t="s">
        <v>533</v>
      </c>
      <c r="B138" s="217">
        <v>46059</v>
      </c>
      <c r="C138" s="217">
        <v>46059</v>
      </c>
      <c r="D138" s="218" t="s">
        <v>534</v>
      </c>
      <c r="E138" s="218" t="s">
        <v>241</v>
      </c>
      <c r="F138" s="218" t="s">
        <v>242</v>
      </c>
      <c r="G138" s="218">
        <v>51100064</v>
      </c>
      <c r="H138" s="218" t="s">
        <v>537</v>
      </c>
      <c r="I138" s="218" t="s">
        <v>538</v>
      </c>
      <c r="J138" s="218">
        <v>1</v>
      </c>
      <c r="K138" s="218" t="s">
        <v>269</v>
      </c>
      <c r="L138" s="218" t="s">
        <v>72</v>
      </c>
      <c r="M138" s="218" t="s">
        <v>39</v>
      </c>
      <c r="N138" s="218">
        <v>160953</v>
      </c>
      <c r="O138" s="219"/>
      <c r="P138" s="219"/>
      <c r="Q138" s="219"/>
      <c r="R138" s="219"/>
      <c r="S138" s="220">
        <v>46153</v>
      </c>
      <c r="T138" s="220">
        <v>46104</v>
      </c>
      <c r="U138" s="220">
        <v>46120</v>
      </c>
      <c r="V138" s="219" t="s">
        <v>56</v>
      </c>
      <c r="W138" s="221">
        <v>204.14</v>
      </c>
      <c r="X138" s="221">
        <f>Table2[[#This Row],[QUANTIDADE]]*Table2[[#This Row],[PREÇO UNITARIO]]</f>
        <v>204.14</v>
      </c>
      <c r="Y138" s="219"/>
      <c r="Z138" s="219">
        <f t="shared" si="4"/>
        <v>2</v>
      </c>
      <c r="AA138" s="219" t="s">
        <v>74</v>
      </c>
      <c r="AB138" s="220">
        <f t="shared" ca="1" si="5"/>
        <v>46235</v>
      </c>
      <c r="AC138" s="219">
        <f ca="1">_xlfn.DAYS(Table2[[#This Row],[HOJE]],Table2[[#This Row],[DATA PEDIDO HP]])</f>
        <v>176</v>
      </c>
      <c r="AD138" s="219" t="str">
        <f>IF(Table2[[#This Row],[STATUS2]]="ENTREGUE","ENTREGUE","")</f>
        <v>ENTREGUE</v>
      </c>
      <c r="AE138" s="219" t="s">
        <v>43</v>
      </c>
    </row>
    <row r="139" spans="1:31" ht="14.45">
      <c r="A139" s="233" t="s">
        <v>539</v>
      </c>
      <c r="B139" s="217">
        <v>46062</v>
      </c>
      <c r="C139" s="217">
        <v>46062</v>
      </c>
      <c r="D139" s="218" t="s">
        <v>540</v>
      </c>
      <c r="E139" s="218" t="s">
        <v>541</v>
      </c>
      <c r="F139" s="218" t="s">
        <v>542</v>
      </c>
      <c r="G139" s="218">
        <v>61000037</v>
      </c>
      <c r="H139" s="218" t="s">
        <v>543</v>
      </c>
      <c r="I139" s="218" t="s">
        <v>544</v>
      </c>
      <c r="J139" s="218">
        <v>1</v>
      </c>
      <c r="K139" s="218" t="s">
        <v>269</v>
      </c>
      <c r="L139" s="218" t="s">
        <v>106</v>
      </c>
      <c r="M139" s="218" t="s">
        <v>39</v>
      </c>
      <c r="N139" s="218"/>
      <c r="O139" s="219"/>
      <c r="P139" s="219"/>
      <c r="Q139" s="219"/>
      <c r="R139" s="219"/>
      <c r="S139" s="220"/>
      <c r="T139" s="220">
        <v>46161</v>
      </c>
      <c r="U139" s="220">
        <v>46167</v>
      </c>
      <c r="V139" s="219" t="s">
        <v>545</v>
      </c>
      <c r="W139" s="221">
        <v>596.08000000000004</v>
      </c>
      <c r="X139" s="221">
        <f>Table2[[#This Row],[QUANTIDADE]]*Table2[[#This Row],[PREÇO UNITARIO]]</f>
        <v>596.08000000000004</v>
      </c>
      <c r="Y139" s="219"/>
      <c r="Z139" s="219">
        <f t="shared" si="4"/>
        <v>2</v>
      </c>
      <c r="AA139" s="219" t="s">
        <v>74</v>
      </c>
      <c r="AB139" s="220">
        <f t="shared" ca="1" si="5"/>
        <v>46235</v>
      </c>
      <c r="AC139" s="219">
        <f ca="1">_xlfn.DAYS(Table2[[#This Row],[HOJE]],Table2[[#This Row],[DATA PEDIDO HP]])</f>
        <v>173</v>
      </c>
      <c r="AD139" s="219" t="str">
        <f ca="1">IF(Table2[[#This Row],[STATUS2]]="ENTREGUE","ENTREGUE","")</f>
        <v/>
      </c>
      <c r="AE139" s="219" t="str">
        <f ca="1">IF(Table2[[#This Row],[HOLD]]&gt;30,"ATRASADO","NO PRAZO")</f>
        <v>ATRASADO</v>
      </c>
    </row>
    <row r="140" spans="1:31" ht="14.45">
      <c r="A140" s="233" t="s">
        <v>546</v>
      </c>
      <c r="B140" s="217">
        <v>46064</v>
      </c>
      <c r="C140" s="217">
        <v>46063</v>
      </c>
      <c r="D140" s="218" t="s">
        <v>547</v>
      </c>
      <c r="E140" s="218" t="s">
        <v>33</v>
      </c>
      <c r="F140" s="218" t="s">
        <v>34</v>
      </c>
      <c r="G140" s="218">
        <v>50110372</v>
      </c>
      <c r="H140" s="218" t="s">
        <v>548</v>
      </c>
      <c r="I140" s="218" t="s">
        <v>549</v>
      </c>
      <c r="J140" s="218">
        <v>1</v>
      </c>
      <c r="K140" s="218" t="s">
        <v>37</v>
      </c>
      <c r="L140" s="218" t="s">
        <v>72</v>
      </c>
      <c r="M140" s="218" t="s">
        <v>73</v>
      </c>
      <c r="N140" s="218">
        <v>161678</v>
      </c>
      <c r="O140" s="219"/>
      <c r="P140" s="219"/>
      <c r="Q140" s="219"/>
      <c r="R140" s="219"/>
      <c r="S140" s="220"/>
      <c r="T140" s="220">
        <v>46104</v>
      </c>
      <c r="U140" s="220">
        <v>46120</v>
      </c>
      <c r="V140" s="219" t="s">
        <v>56</v>
      </c>
      <c r="W140" s="221">
        <v>140.62</v>
      </c>
      <c r="X140" s="221">
        <f>Table2[[#This Row],[QUANTIDADE]]*Table2[[#This Row],[PREÇO UNITARIO]]</f>
        <v>140.62</v>
      </c>
      <c r="Y140" s="219"/>
      <c r="Z140" s="219">
        <f t="shared" si="4"/>
        <v>2</v>
      </c>
      <c r="AA140" s="219" t="s">
        <v>42</v>
      </c>
      <c r="AB140" s="220">
        <f t="shared" ca="1" si="5"/>
        <v>46235</v>
      </c>
      <c r="AC140" s="219">
        <f ca="1">_xlfn.DAYS(Table2[[#This Row],[HOJE]],Table2[[#This Row],[DATA PEDIDO HP]])</f>
        <v>171</v>
      </c>
      <c r="AD140" s="219" t="str">
        <f>IF(Table2[[#This Row],[STATUS2]]="ENTREGUE","ENTREGUE","")</f>
        <v>ENTREGUE</v>
      </c>
      <c r="AE140" s="219" t="s">
        <v>43</v>
      </c>
    </row>
    <row r="141" spans="1:31" ht="14.45">
      <c r="A141" s="233" t="s">
        <v>550</v>
      </c>
      <c r="B141" s="217">
        <v>46064</v>
      </c>
      <c r="C141" s="217">
        <v>46063</v>
      </c>
      <c r="D141" s="218" t="s">
        <v>551</v>
      </c>
      <c r="E141" s="218" t="s">
        <v>298</v>
      </c>
      <c r="F141" s="218" t="s">
        <v>34</v>
      </c>
      <c r="G141" s="218">
        <v>50110261</v>
      </c>
      <c r="H141" s="218" t="s">
        <v>552</v>
      </c>
      <c r="I141" s="218" t="s">
        <v>553</v>
      </c>
      <c r="J141" s="218">
        <v>15</v>
      </c>
      <c r="K141" s="218" t="s">
        <v>37</v>
      </c>
      <c r="L141" s="218" t="s">
        <v>72</v>
      </c>
      <c r="M141" s="218" t="s">
        <v>39</v>
      </c>
      <c r="N141" s="218">
        <v>162009</v>
      </c>
      <c r="O141" s="219"/>
      <c r="P141" s="219"/>
      <c r="Q141" s="219"/>
      <c r="R141" s="219" t="s">
        <v>173</v>
      </c>
      <c r="S141" s="220"/>
      <c r="T141" s="220">
        <v>46133</v>
      </c>
      <c r="U141" s="220">
        <v>46168</v>
      </c>
      <c r="V141" s="219" t="s">
        <v>554</v>
      </c>
      <c r="W141" s="221">
        <v>32.79</v>
      </c>
      <c r="X141" s="221">
        <f>Table2[[#This Row],[QUANTIDADE]]*Table2[[#This Row],[PREÇO UNITARIO]]</f>
        <v>491.84999999999997</v>
      </c>
      <c r="Y141" s="219"/>
      <c r="Z141" s="219">
        <f t="shared" si="4"/>
        <v>2</v>
      </c>
      <c r="AA141" s="219" t="s">
        <v>74</v>
      </c>
      <c r="AB141" s="220">
        <f t="shared" ca="1" si="5"/>
        <v>46235</v>
      </c>
      <c r="AC141" s="219">
        <f ca="1">_xlfn.DAYS(Table2[[#This Row],[HOJE]],Table2[[#This Row],[DATA PEDIDO HP]])</f>
        <v>171</v>
      </c>
      <c r="AD141" s="219" t="str">
        <f ca="1">IF(Table2[[#This Row],[STATUS2]]="ENTREGUE","ENTREGUE","")</f>
        <v/>
      </c>
      <c r="AE141" s="219" t="str">
        <f ca="1">IF(Table2[[#This Row],[HOLD]]&gt;30,"ATRASADO","NO PRAZO")</f>
        <v>ATRASADO</v>
      </c>
    </row>
    <row r="142" spans="1:31" ht="14.45">
      <c r="A142" s="233" t="s">
        <v>555</v>
      </c>
      <c r="B142" s="217">
        <v>46064</v>
      </c>
      <c r="C142" s="217">
        <v>46064</v>
      </c>
      <c r="D142" s="218" t="s">
        <v>556</v>
      </c>
      <c r="E142" s="218" t="s">
        <v>69</v>
      </c>
      <c r="F142" s="218" t="s">
        <v>34</v>
      </c>
      <c r="G142" s="218">
        <v>50200095</v>
      </c>
      <c r="H142" s="218" t="s">
        <v>557</v>
      </c>
      <c r="I142" s="218" t="s">
        <v>558</v>
      </c>
      <c r="J142" s="218">
        <v>1</v>
      </c>
      <c r="K142" s="218" t="s">
        <v>37</v>
      </c>
      <c r="L142" s="218" t="s">
        <v>72</v>
      </c>
      <c r="M142" s="218" t="s">
        <v>81</v>
      </c>
      <c r="N142" s="218">
        <v>161283</v>
      </c>
      <c r="O142" s="219"/>
      <c r="P142" s="219"/>
      <c r="Q142" s="219"/>
      <c r="R142" s="219"/>
      <c r="S142" s="220">
        <v>46153</v>
      </c>
      <c r="T142" s="220">
        <v>46104</v>
      </c>
      <c r="U142" s="220">
        <v>46120</v>
      </c>
      <c r="V142" s="219" t="s">
        <v>56</v>
      </c>
      <c r="W142" s="221">
        <v>407.36</v>
      </c>
      <c r="X142" s="221">
        <f>Table2[[#This Row],[QUANTIDADE]]*Table2[[#This Row],[PREÇO UNITARIO]]</f>
        <v>407.36</v>
      </c>
      <c r="Y142" s="219"/>
      <c r="Z142" s="219">
        <f t="shared" si="4"/>
        <v>2</v>
      </c>
      <c r="AA142" s="219" t="s">
        <v>74</v>
      </c>
      <c r="AB142" s="220">
        <f t="shared" ca="1" si="5"/>
        <v>46235</v>
      </c>
      <c r="AC142" s="219">
        <f ca="1">_xlfn.DAYS(Table2[[#This Row],[HOJE]],Table2[[#This Row],[DATA PEDIDO HP]])</f>
        <v>171</v>
      </c>
      <c r="AD142" s="219" t="str">
        <f>IF(Table2[[#This Row],[STATUS2]]="ENTREGUE","ENTREGUE","")</f>
        <v>ENTREGUE</v>
      </c>
      <c r="AE142" s="219" t="s">
        <v>43</v>
      </c>
    </row>
    <row r="143" spans="1:31" ht="14.45">
      <c r="A143" s="233" t="s">
        <v>559</v>
      </c>
      <c r="B143" s="217">
        <v>46064</v>
      </c>
      <c r="C143" s="217">
        <v>46064</v>
      </c>
      <c r="D143" s="218" t="s">
        <v>560</v>
      </c>
      <c r="E143" s="218" t="s">
        <v>101</v>
      </c>
      <c r="F143" s="218" t="s">
        <v>102</v>
      </c>
      <c r="G143" s="218">
        <v>51000323</v>
      </c>
      <c r="H143" s="218" t="s">
        <v>315</v>
      </c>
      <c r="I143" s="218" t="s">
        <v>316</v>
      </c>
      <c r="J143" s="218">
        <v>1</v>
      </c>
      <c r="K143" s="218" t="s">
        <v>37</v>
      </c>
      <c r="L143" s="218" t="s">
        <v>106</v>
      </c>
      <c r="M143" s="218" t="s">
        <v>39</v>
      </c>
      <c r="N143" s="218"/>
      <c r="O143" s="219"/>
      <c r="P143" s="219"/>
      <c r="Q143" s="219"/>
      <c r="R143" s="219" t="s">
        <v>561</v>
      </c>
      <c r="S143" s="220">
        <v>46135</v>
      </c>
      <c r="T143" s="220">
        <v>46104</v>
      </c>
      <c r="U143" s="220">
        <v>46120</v>
      </c>
      <c r="V143" s="219" t="s">
        <v>56</v>
      </c>
      <c r="W143" s="221">
        <v>360.91</v>
      </c>
      <c r="X143" s="221">
        <f>Table2[[#This Row],[QUANTIDADE]]*Table2[[#This Row],[PREÇO UNITARIO]]</f>
        <v>360.91</v>
      </c>
      <c r="Y143" s="219"/>
      <c r="Z143" s="219">
        <f t="shared" si="4"/>
        <v>2</v>
      </c>
      <c r="AA143" s="219" t="s">
        <v>42</v>
      </c>
      <c r="AB143" s="220">
        <f t="shared" ca="1" si="5"/>
        <v>46235</v>
      </c>
      <c r="AC143" s="219">
        <f ca="1">_xlfn.DAYS(Table2[[#This Row],[HOJE]],Table2[[#This Row],[DATA PEDIDO HP]])</f>
        <v>171</v>
      </c>
      <c r="AD143" s="219" t="str">
        <f>IF(Table2[[#This Row],[STATUS2]]="ENTREGUE","ENTREGUE","")</f>
        <v>ENTREGUE</v>
      </c>
      <c r="AE143" s="219" t="s">
        <v>43</v>
      </c>
    </row>
    <row r="144" spans="1:31" ht="14.45">
      <c r="A144" s="233" t="s">
        <v>562</v>
      </c>
      <c r="B144" s="217">
        <v>46065</v>
      </c>
      <c r="C144" s="217">
        <v>46064</v>
      </c>
      <c r="D144" s="218" t="s">
        <v>563</v>
      </c>
      <c r="E144" s="218" t="s">
        <v>125</v>
      </c>
      <c r="F144" s="218" t="s">
        <v>34</v>
      </c>
      <c r="G144" s="218">
        <v>50110193</v>
      </c>
      <c r="H144" s="218" t="s">
        <v>220</v>
      </c>
      <c r="I144" s="218" t="s">
        <v>564</v>
      </c>
      <c r="J144" s="218">
        <v>1</v>
      </c>
      <c r="K144" s="218" t="s">
        <v>37</v>
      </c>
      <c r="L144" s="218" t="s">
        <v>72</v>
      </c>
      <c r="M144" s="218" t="s">
        <v>81</v>
      </c>
      <c r="N144" s="218">
        <v>161051</v>
      </c>
      <c r="O144" s="219"/>
      <c r="P144" s="219"/>
      <c r="Q144" s="219"/>
      <c r="R144" s="219"/>
      <c r="S144" s="220">
        <v>46153</v>
      </c>
      <c r="T144" s="220">
        <v>46104</v>
      </c>
      <c r="U144" s="220">
        <v>46120</v>
      </c>
      <c r="V144" s="219" t="s">
        <v>56</v>
      </c>
      <c r="W144" s="221">
        <v>274.36</v>
      </c>
      <c r="X144" s="221">
        <f>Table2[[#This Row],[QUANTIDADE]]*Table2[[#This Row],[PREÇO UNITARIO]]</f>
        <v>274.36</v>
      </c>
      <c r="Y144" s="219"/>
      <c r="Z144" s="219">
        <f t="shared" si="4"/>
        <v>2</v>
      </c>
      <c r="AA144" s="219" t="s">
        <v>42</v>
      </c>
      <c r="AB144" s="220">
        <f t="shared" ca="1" si="5"/>
        <v>46235</v>
      </c>
      <c r="AC144" s="219">
        <f ca="1">_xlfn.DAYS(Table2[[#This Row],[HOJE]],Table2[[#This Row],[DATA PEDIDO HP]])</f>
        <v>170</v>
      </c>
      <c r="AD144" s="219" t="str">
        <f>IF(Table2[[#This Row],[STATUS2]]="ENTREGUE","ENTREGUE","")</f>
        <v>ENTREGUE</v>
      </c>
      <c r="AE144" s="219" t="s">
        <v>43</v>
      </c>
    </row>
    <row r="145" spans="1:31" ht="14.45">
      <c r="A145" s="233" t="s">
        <v>565</v>
      </c>
      <c r="B145" s="217">
        <v>46065</v>
      </c>
      <c r="C145" s="217">
        <v>46065</v>
      </c>
      <c r="D145" s="218" t="s">
        <v>566</v>
      </c>
      <c r="E145" s="218" t="s">
        <v>327</v>
      </c>
      <c r="F145" s="218" t="s">
        <v>328</v>
      </c>
      <c r="G145" s="218">
        <v>50000260</v>
      </c>
      <c r="H145" s="218" t="s">
        <v>417</v>
      </c>
      <c r="I145" s="218" t="s">
        <v>567</v>
      </c>
      <c r="J145" s="218">
        <v>1</v>
      </c>
      <c r="K145" s="218" t="s">
        <v>269</v>
      </c>
      <c r="L145" s="218" t="s">
        <v>72</v>
      </c>
      <c r="M145" s="218" t="s">
        <v>73</v>
      </c>
      <c r="N145" s="218">
        <v>162406</v>
      </c>
      <c r="O145" s="219"/>
      <c r="P145" s="219"/>
      <c r="Q145" s="219"/>
      <c r="R145" s="219"/>
      <c r="S145" s="220"/>
      <c r="T145" s="220">
        <v>46072</v>
      </c>
      <c r="U145" s="220">
        <v>46077</v>
      </c>
      <c r="V145" s="219" t="s">
        <v>61</v>
      </c>
      <c r="W145" s="221">
        <v>260.14999999999998</v>
      </c>
      <c r="X145" s="221">
        <f>Table2[[#This Row],[QUANTIDADE]]*Table2[[#This Row],[PREÇO UNITARIO]]</f>
        <v>260.14999999999998</v>
      </c>
      <c r="Y145" s="219"/>
      <c r="Z145" s="219">
        <f t="shared" si="4"/>
        <v>2</v>
      </c>
      <c r="AA145" s="219" t="s">
        <v>42</v>
      </c>
      <c r="AB145" s="220">
        <f t="shared" ca="1" si="5"/>
        <v>46235</v>
      </c>
      <c r="AC145" s="219">
        <f ca="1">_xlfn.DAYS(Table2[[#This Row],[HOJE]],Table2[[#This Row],[DATA PEDIDO HP]])</f>
        <v>170</v>
      </c>
      <c r="AD145" s="219" t="str">
        <f>IF(Table2[[#This Row],[STATUS2]]="ENTREGUE","ENTREGUE","")</f>
        <v>ENTREGUE</v>
      </c>
      <c r="AE145" s="219" t="s">
        <v>43</v>
      </c>
    </row>
    <row r="146" spans="1:31" ht="14.45">
      <c r="A146" s="233" t="s">
        <v>568</v>
      </c>
      <c r="B146" s="217">
        <v>46071</v>
      </c>
      <c r="C146" s="217">
        <v>46071</v>
      </c>
      <c r="D146" s="218" t="s">
        <v>569</v>
      </c>
      <c r="E146" s="218" t="s">
        <v>570</v>
      </c>
      <c r="F146" s="218" t="s">
        <v>571</v>
      </c>
      <c r="G146" s="218">
        <v>50510045</v>
      </c>
      <c r="H146" s="218" t="s">
        <v>40</v>
      </c>
      <c r="I146" s="218" t="s">
        <v>572</v>
      </c>
      <c r="J146" s="218">
        <v>1</v>
      </c>
      <c r="K146" s="218" t="s">
        <v>269</v>
      </c>
      <c r="L146" s="218" t="s">
        <v>122</v>
      </c>
      <c r="M146" s="218" t="s">
        <v>39</v>
      </c>
      <c r="N146" s="218">
        <v>162833</v>
      </c>
      <c r="O146" s="219"/>
      <c r="P146" s="219"/>
      <c r="Q146" s="219"/>
      <c r="R146" s="219"/>
      <c r="S146" s="220"/>
      <c r="T146" s="220">
        <v>46072</v>
      </c>
      <c r="U146" s="220">
        <v>46077</v>
      </c>
      <c r="V146" s="219" t="s">
        <v>61</v>
      </c>
      <c r="W146" s="221">
        <v>691.66</v>
      </c>
      <c r="X146" s="221">
        <f>Table2[[#This Row],[QUANTIDADE]]*Table2[[#This Row],[PREÇO UNITARIO]]</f>
        <v>691.66</v>
      </c>
      <c r="Y146" s="219" t="s">
        <v>42</v>
      </c>
      <c r="Z146" s="219">
        <f t="shared" si="4"/>
        <v>2</v>
      </c>
      <c r="AA146" s="219" t="s">
        <v>573</v>
      </c>
      <c r="AB146" s="220">
        <f t="shared" ca="1" si="5"/>
        <v>46235</v>
      </c>
      <c r="AC146" s="219">
        <f ca="1">_xlfn.DAYS(Table2[[#This Row],[HOJE]],Table2[[#This Row],[DATA PEDIDO HP]])</f>
        <v>164</v>
      </c>
      <c r="AD146" s="219" t="str">
        <f>IF(Table2[[#This Row],[STATUS2]]="ENTREGUE","ENTREGUE","")</f>
        <v>ENTREGUE</v>
      </c>
      <c r="AE146" s="219" t="s">
        <v>43</v>
      </c>
    </row>
    <row r="147" spans="1:31" ht="14.45">
      <c r="A147" s="233" t="s">
        <v>574</v>
      </c>
      <c r="B147" s="217">
        <v>46071</v>
      </c>
      <c r="C147" s="217">
        <v>46069</v>
      </c>
      <c r="D147" s="218" t="s">
        <v>575</v>
      </c>
      <c r="E147" s="218" t="s">
        <v>191</v>
      </c>
      <c r="F147" s="218" t="s">
        <v>95</v>
      </c>
      <c r="G147" s="218">
        <v>60001111</v>
      </c>
      <c r="H147" s="218" t="s">
        <v>576</v>
      </c>
      <c r="I147" s="218" t="s">
        <v>577</v>
      </c>
      <c r="J147" s="218">
        <v>1</v>
      </c>
      <c r="K147" s="218" t="s">
        <v>37</v>
      </c>
      <c r="L147" s="218" t="s">
        <v>122</v>
      </c>
      <c r="M147" s="218" t="s">
        <v>73</v>
      </c>
      <c r="N147" s="218">
        <v>162768</v>
      </c>
      <c r="O147" s="219"/>
      <c r="P147" s="219"/>
      <c r="Q147" s="219"/>
      <c r="R147" s="219"/>
      <c r="S147" s="220">
        <v>46071</v>
      </c>
      <c r="T147" s="220">
        <v>46104</v>
      </c>
      <c r="U147" s="220">
        <v>46120</v>
      </c>
      <c r="V147" s="219" t="s">
        <v>56</v>
      </c>
      <c r="W147" s="221">
        <v>629.66</v>
      </c>
      <c r="X147" s="221">
        <f>Table2[[#This Row],[QUANTIDADE]]*Table2[[#This Row],[PREÇO UNITARIO]]</f>
        <v>629.66</v>
      </c>
      <c r="Y147" s="219" t="s">
        <v>578</v>
      </c>
      <c r="Z147" s="219">
        <f t="shared" si="4"/>
        <v>2</v>
      </c>
      <c r="AA147" s="219" t="s">
        <v>42</v>
      </c>
      <c r="AB147" s="220">
        <f t="shared" ca="1" si="5"/>
        <v>46235</v>
      </c>
      <c r="AC147" s="219">
        <f ca="1">_xlfn.DAYS(Table2[[#This Row],[HOJE]],Table2[[#This Row],[DATA PEDIDO HP]])</f>
        <v>164</v>
      </c>
      <c r="AD147" s="219" t="str">
        <f>IF(Table2[[#This Row],[STATUS2]]="ENTREGUE","ENTREGUE","")</f>
        <v>ENTREGUE</v>
      </c>
      <c r="AE147" s="219" t="s">
        <v>43</v>
      </c>
    </row>
    <row r="148" spans="1:31" ht="14.45">
      <c r="A148" s="233" t="s">
        <v>579</v>
      </c>
      <c r="B148" s="217">
        <v>46071</v>
      </c>
      <c r="C148" s="217">
        <v>46069</v>
      </c>
      <c r="D148" s="218" t="s">
        <v>580</v>
      </c>
      <c r="E148" s="218" t="s">
        <v>191</v>
      </c>
      <c r="F148" s="218" t="s">
        <v>95</v>
      </c>
      <c r="G148" s="218">
        <v>60001111</v>
      </c>
      <c r="H148" s="218" t="s">
        <v>581</v>
      </c>
      <c r="I148" s="218" t="s">
        <v>582</v>
      </c>
      <c r="J148" s="218">
        <v>1</v>
      </c>
      <c r="K148" s="218" t="s">
        <v>37</v>
      </c>
      <c r="L148" s="218" t="s">
        <v>122</v>
      </c>
      <c r="M148" s="218" t="s">
        <v>73</v>
      </c>
      <c r="N148" s="218">
        <v>162734</v>
      </c>
      <c r="O148" s="219"/>
      <c r="P148" s="219"/>
      <c r="Q148" s="219"/>
      <c r="R148" s="219"/>
      <c r="S148" s="220">
        <v>46071</v>
      </c>
      <c r="T148" s="220">
        <v>46104</v>
      </c>
      <c r="U148" s="220">
        <v>46120</v>
      </c>
      <c r="V148" s="219" t="s">
        <v>56</v>
      </c>
      <c r="W148" s="221">
        <v>131.79</v>
      </c>
      <c r="X148" s="221">
        <f>Table2[[#This Row],[QUANTIDADE]]*Table2[[#This Row],[PREÇO UNITARIO]]</f>
        <v>131.79</v>
      </c>
      <c r="Y148" s="219" t="s">
        <v>578</v>
      </c>
      <c r="Z148" s="219">
        <f t="shared" si="4"/>
        <v>2</v>
      </c>
      <c r="AA148" s="219" t="s">
        <v>42</v>
      </c>
      <c r="AB148" s="220">
        <f t="shared" ca="1" si="5"/>
        <v>46235</v>
      </c>
      <c r="AC148" s="219">
        <f ca="1">_xlfn.DAYS(Table2[[#This Row],[HOJE]],Table2[[#This Row],[DATA PEDIDO HP]])</f>
        <v>164</v>
      </c>
      <c r="AD148" s="219" t="str">
        <f>IF(Table2[[#This Row],[STATUS2]]="ENTREGUE","ENTREGUE","")</f>
        <v>ENTREGUE</v>
      </c>
      <c r="AE148" s="219" t="s">
        <v>43</v>
      </c>
    </row>
    <row r="149" spans="1:31" ht="14.45">
      <c r="A149" s="233" t="s">
        <v>583</v>
      </c>
      <c r="B149" s="217">
        <v>46071</v>
      </c>
      <c r="C149" s="217">
        <v>46071</v>
      </c>
      <c r="D149" s="218" t="s">
        <v>584</v>
      </c>
      <c r="E149" s="218" t="s">
        <v>162</v>
      </c>
      <c r="F149" s="218" t="s">
        <v>186</v>
      </c>
      <c r="G149" s="218">
        <v>44000216</v>
      </c>
      <c r="H149" s="218" t="s">
        <v>585</v>
      </c>
      <c r="I149" s="218" t="s">
        <v>586</v>
      </c>
      <c r="J149" s="218">
        <v>1</v>
      </c>
      <c r="K149" s="218" t="s">
        <v>37</v>
      </c>
      <c r="L149" s="218" t="s">
        <v>72</v>
      </c>
      <c r="M149" s="218" t="s">
        <v>73</v>
      </c>
      <c r="N149" s="218">
        <v>163097</v>
      </c>
      <c r="O149" s="219"/>
      <c r="P149" s="219"/>
      <c r="Q149" s="219"/>
      <c r="R149" s="219"/>
      <c r="S149" s="220"/>
      <c r="T149" s="220">
        <v>46104</v>
      </c>
      <c r="U149" s="220">
        <v>46120</v>
      </c>
      <c r="V149" s="219" t="s">
        <v>56</v>
      </c>
      <c r="W149" s="221">
        <v>15.68</v>
      </c>
      <c r="X149" s="221">
        <f>Table2[[#This Row],[QUANTIDADE]]*Table2[[#This Row],[PREÇO UNITARIO]]</f>
        <v>15.68</v>
      </c>
      <c r="Y149" s="219"/>
      <c r="Z149" s="219">
        <f t="shared" si="4"/>
        <v>2</v>
      </c>
      <c r="AA149" s="219" t="s">
        <v>74</v>
      </c>
      <c r="AB149" s="220">
        <f t="shared" ca="1" si="5"/>
        <v>46235</v>
      </c>
      <c r="AC149" s="219">
        <f ca="1">_xlfn.DAYS(Table2[[#This Row],[HOJE]],Table2[[#This Row],[DATA PEDIDO HP]])</f>
        <v>164</v>
      </c>
      <c r="AD149" s="219" t="str">
        <f>IF(Table2[[#This Row],[STATUS2]]="ENTREGUE","ENTREGUE","")</f>
        <v>ENTREGUE</v>
      </c>
      <c r="AE149" s="219" t="s">
        <v>43</v>
      </c>
    </row>
    <row r="150" spans="1:31" ht="14.45">
      <c r="A150" s="233" t="s">
        <v>583</v>
      </c>
      <c r="B150" s="217">
        <v>46071</v>
      </c>
      <c r="C150" s="217">
        <v>46071</v>
      </c>
      <c r="D150" s="218" t="s">
        <v>584</v>
      </c>
      <c r="E150" s="218" t="s">
        <v>162</v>
      </c>
      <c r="F150" s="218" t="s">
        <v>186</v>
      </c>
      <c r="G150" s="218">
        <v>44000216</v>
      </c>
      <c r="H150" s="218" t="s">
        <v>587</v>
      </c>
      <c r="I150" s="218" t="s">
        <v>588</v>
      </c>
      <c r="J150" s="218">
        <v>1</v>
      </c>
      <c r="K150" s="218" t="s">
        <v>37</v>
      </c>
      <c r="L150" s="218" t="s">
        <v>72</v>
      </c>
      <c r="M150" s="218" t="s">
        <v>73</v>
      </c>
      <c r="N150" s="218">
        <v>163097</v>
      </c>
      <c r="O150" s="219"/>
      <c r="P150" s="219"/>
      <c r="Q150" s="219"/>
      <c r="R150" s="219"/>
      <c r="S150" s="220"/>
      <c r="T150" s="220">
        <v>46104</v>
      </c>
      <c r="U150" s="220">
        <v>46120</v>
      </c>
      <c r="V150" s="219" t="s">
        <v>56</v>
      </c>
      <c r="W150" s="221">
        <v>79.989999999999995</v>
      </c>
      <c r="X150" s="221">
        <f>Table2[[#This Row],[QUANTIDADE]]*Table2[[#This Row],[PREÇO UNITARIO]]</f>
        <v>79.989999999999995</v>
      </c>
      <c r="Y150" s="219"/>
      <c r="Z150" s="219">
        <f t="shared" si="4"/>
        <v>2</v>
      </c>
      <c r="AA150" s="219" t="s">
        <v>74</v>
      </c>
      <c r="AB150" s="220">
        <f t="shared" ca="1" si="5"/>
        <v>46235</v>
      </c>
      <c r="AC150" s="219">
        <f ca="1">_xlfn.DAYS(Table2[[#This Row],[HOJE]],Table2[[#This Row],[DATA PEDIDO HP]])</f>
        <v>164</v>
      </c>
      <c r="AD150" s="219" t="str">
        <f>IF(Table2[[#This Row],[STATUS2]]="ENTREGUE","ENTREGUE","")</f>
        <v>ENTREGUE</v>
      </c>
      <c r="AE150" s="219" t="s">
        <v>43</v>
      </c>
    </row>
    <row r="151" spans="1:31" ht="14.45">
      <c r="A151" s="233" t="s">
        <v>589</v>
      </c>
      <c r="B151" s="217">
        <v>46071</v>
      </c>
      <c r="C151" s="217">
        <v>46071</v>
      </c>
      <c r="D151" s="218" t="s">
        <v>590</v>
      </c>
      <c r="E151" s="218" t="s">
        <v>162</v>
      </c>
      <c r="F151" s="218" t="s">
        <v>140</v>
      </c>
      <c r="G151" s="218">
        <v>48300315</v>
      </c>
      <c r="H151" s="218" t="s">
        <v>335</v>
      </c>
      <c r="I151" s="218" t="s">
        <v>591</v>
      </c>
      <c r="J151" s="218">
        <v>1</v>
      </c>
      <c r="K151" s="218" t="s">
        <v>37</v>
      </c>
      <c r="L151" s="218" t="s">
        <v>72</v>
      </c>
      <c r="M151" s="218" t="s">
        <v>73</v>
      </c>
      <c r="N151" s="218">
        <v>163097</v>
      </c>
      <c r="O151" s="219"/>
      <c r="P151" s="219"/>
      <c r="Q151" s="219"/>
      <c r="R151" s="219"/>
      <c r="S151" s="220"/>
      <c r="T151" s="220">
        <v>46104</v>
      </c>
      <c r="U151" s="220">
        <v>46120</v>
      </c>
      <c r="V151" s="219" t="s">
        <v>56</v>
      </c>
      <c r="W151" s="221">
        <v>17.28</v>
      </c>
      <c r="X151" s="221">
        <f>Table2[[#This Row],[QUANTIDADE]]*Table2[[#This Row],[PREÇO UNITARIO]]</f>
        <v>17.28</v>
      </c>
      <c r="Y151" s="219"/>
      <c r="Z151" s="219">
        <f t="shared" si="4"/>
        <v>2</v>
      </c>
      <c r="AA151" s="219" t="s">
        <v>74</v>
      </c>
      <c r="AB151" s="220">
        <f t="shared" ca="1" si="5"/>
        <v>46235</v>
      </c>
      <c r="AC151" s="219">
        <f ca="1">_xlfn.DAYS(Table2[[#This Row],[HOJE]],Table2[[#This Row],[DATA PEDIDO HP]])</f>
        <v>164</v>
      </c>
      <c r="AD151" s="219" t="str">
        <f>IF(Table2[[#This Row],[STATUS2]]="ENTREGUE","ENTREGUE","")</f>
        <v>ENTREGUE</v>
      </c>
      <c r="AE151" s="219" t="s">
        <v>43</v>
      </c>
    </row>
    <row r="152" spans="1:31" ht="14.45">
      <c r="A152" s="233" t="s">
        <v>592</v>
      </c>
      <c r="B152" s="217">
        <v>46071</v>
      </c>
      <c r="C152" s="217">
        <v>46071</v>
      </c>
      <c r="D152" s="218" t="s">
        <v>593</v>
      </c>
      <c r="E152" s="218" t="s">
        <v>247</v>
      </c>
      <c r="F152" s="218" t="s">
        <v>594</v>
      </c>
      <c r="G152" s="218">
        <v>46000053</v>
      </c>
      <c r="H152" s="218" t="s">
        <v>595</v>
      </c>
      <c r="I152" s="218" t="s">
        <v>596</v>
      </c>
      <c r="J152" s="218">
        <v>1</v>
      </c>
      <c r="K152" s="218" t="s">
        <v>37</v>
      </c>
      <c r="L152" s="218" t="s">
        <v>72</v>
      </c>
      <c r="M152" s="218" t="s">
        <v>73</v>
      </c>
      <c r="N152" s="218">
        <v>159368</v>
      </c>
      <c r="O152" s="219"/>
      <c r="P152" s="219"/>
      <c r="Q152" s="219"/>
      <c r="R152" s="219"/>
      <c r="S152" s="220">
        <v>46093</v>
      </c>
      <c r="T152" s="220">
        <v>46104</v>
      </c>
      <c r="U152" s="220">
        <v>46120</v>
      </c>
      <c r="V152" s="219" t="s">
        <v>56</v>
      </c>
      <c r="W152" s="221">
        <v>129.01</v>
      </c>
      <c r="X152" s="221">
        <f>Table2[[#This Row],[QUANTIDADE]]*Table2[[#This Row],[PREÇO UNITARIO]]</f>
        <v>129.01</v>
      </c>
      <c r="Y152" s="219"/>
      <c r="Z152" s="219">
        <f t="shared" si="4"/>
        <v>2</v>
      </c>
      <c r="AA152" s="219" t="s">
        <v>74</v>
      </c>
      <c r="AB152" s="220">
        <f t="shared" ca="1" si="5"/>
        <v>46235</v>
      </c>
      <c r="AC152" s="219">
        <f ca="1">_xlfn.DAYS(Table2[[#This Row],[HOJE]],Table2[[#This Row],[DATA PEDIDO HP]])</f>
        <v>164</v>
      </c>
      <c r="AD152" s="219" t="str">
        <f>IF(Table2[[#This Row],[STATUS2]]="ENTREGUE","ENTREGUE","")</f>
        <v>ENTREGUE</v>
      </c>
      <c r="AE152" s="219" t="s">
        <v>43</v>
      </c>
    </row>
    <row r="153" spans="1:31" ht="14.45">
      <c r="A153" s="233" t="s">
        <v>597</v>
      </c>
      <c r="B153" s="217">
        <v>46071</v>
      </c>
      <c r="C153" s="217">
        <v>46071</v>
      </c>
      <c r="D153" s="218" t="s">
        <v>598</v>
      </c>
      <c r="E153" s="218" t="s">
        <v>69</v>
      </c>
      <c r="F153" s="218" t="s">
        <v>34</v>
      </c>
      <c r="G153" s="218">
        <v>50200095</v>
      </c>
      <c r="H153" s="218" t="s">
        <v>599</v>
      </c>
      <c r="I153" s="218" t="s">
        <v>600</v>
      </c>
      <c r="J153" s="218">
        <v>1</v>
      </c>
      <c r="K153" s="218" t="s">
        <v>37</v>
      </c>
      <c r="L153" s="218" t="s">
        <v>72</v>
      </c>
      <c r="M153" s="218" t="s">
        <v>73</v>
      </c>
      <c r="N153" s="218">
        <v>162470</v>
      </c>
      <c r="O153" s="219"/>
      <c r="P153" s="219"/>
      <c r="Q153" s="219"/>
      <c r="R153" s="219"/>
      <c r="S153" s="220"/>
      <c r="T153" s="220">
        <v>46104</v>
      </c>
      <c r="U153" s="220">
        <v>46120</v>
      </c>
      <c r="V153" s="219" t="s">
        <v>56</v>
      </c>
      <c r="W153" s="221">
        <v>49.81</v>
      </c>
      <c r="X153" s="221">
        <f>Table2[[#This Row],[QUANTIDADE]]*Table2[[#This Row],[PREÇO UNITARIO]]</f>
        <v>49.81</v>
      </c>
      <c r="Y153" s="219"/>
      <c r="Z153" s="219">
        <f t="shared" si="4"/>
        <v>2</v>
      </c>
      <c r="AA153" s="219" t="s">
        <v>74</v>
      </c>
      <c r="AB153" s="220">
        <f t="shared" ca="1" si="5"/>
        <v>46235</v>
      </c>
      <c r="AC153" s="219">
        <f ca="1">_xlfn.DAYS(Table2[[#This Row],[HOJE]],Table2[[#This Row],[DATA PEDIDO HP]])</f>
        <v>164</v>
      </c>
      <c r="AD153" s="219" t="str">
        <f>IF(Table2[[#This Row],[STATUS2]]="ENTREGUE","ENTREGUE","")</f>
        <v>ENTREGUE</v>
      </c>
      <c r="AE153" s="219" t="s">
        <v>43</v>
      </c>
    </row>
    <row r="154" spans="1:31" ht="14.45">
      <c r="A154" s="233" t="s">
        <v>601</v>
      </c>
      <c r="B154" s="217">
        <v>46071</v>
      </c>
      <c r="C154" s="217">
        <v>46071</v>
      </c>
      <c r="D154" s="218" t="s">
        <v>602</v>
      </c>
      <c r="E154" s="218" t="s">
        <v>345</v>
      </c>
      <c r="F154" s="218" t="s">
        <v>34</v>
      </c>
      <c r="G154" s="218">
        <v>50110229</v>
      </c>
      <c r="H154" s="218" t="s">
        <v>368</v>
      </c>
      <c r="I154" s="218" t="s">
        <v>603</v>
      </c>
      <c r="J154" s="218">
        <v>1</v>
      </c>
      <c r="K154" s="218" t="s">
        <v>37</v>
      </c>
      <c r="L154" s="218" t="s">
        <v>72</v>
      </c>
      <c r="M154" s="218" t="s">
        <v>73</v>
      </c>
      <c r="N154" s="218">
        <v>161745</v>
      </c>
      <c r="O154" s="219"/>
      <c r="P154" s="219"/>
      <c r="Q154" s="219"/>
      <c r="R154" s="219"/>
      <c r="S154" s="220"/>
      <c r="T154" s="220">
        <v>46104</v>
      </c>
      <c r="U154" s="220">
        <v>46120</v>
      </c>
      <c r="V154" s="219" t="s">
        <v>56</v>
      </c>
      <c r="W154" s="221">
        <v>808.38</v>
      </c>
      <c r="X154" s="221">
        <f>Table2[[#This Row],[QUANTIDADE]]*Table2[[#This Row],[PREÇO UNITARIO]]</f>
        <v>808.38</v>
      </c>
      <c r="Y154" s="219"/>
      <c r="Z154" s="219">
        <f t="shared" si="4"/>
        <v>2</v>
      </c>
      <c r="AA154" s="219" t="s">
        <v>42</v>
      </c>
      <c r="AB154" s="220">
        <f t="shared" ca="1" si="5"/>
        <v>46235</v>
      </c>
      <c r="AC154" s="219">
        <f ca="1">_xlfn.DAYS(Table2[[#This Row],[HOJE]],Table2[[#This Row],[DATA PEDIDO HP]])</f>
        <v>164</v>
      </c>
      <c r="AD154" s="219" t="str">
        <f>IF(Table2[[#This Row],[STATUS2]]="ENTREGUE","ENTREGUE","")</f>
        <v>ENTREGUE</v>
      </c>
      <c r="AE154" s="219" t="s">
        <v>43</v>
      </c>
    </row>
    <row r="155" spans="1:31" ht="14.45">
      <c r="A155" s="233" t="s">
        <v>604</v>
      </c>
      <c r="B155" s="217">
        <v>46071</v>
      </c>
      <c r="C155" s="217">
        <v>46071</v>
      </c>
      <c r="D155" s="218" t="s">
        <v>605</v>
      </c>
      <c r="E155" s="218" t="s">
        <v>154</v>
      </c>
      <c r="F155" s="218" t="s">
        <v>102</v>
      </c>
      <c r="G155" s="218">
        <v>51000174</v>
      </c>
      <c r="H155" s="218" t="s">
        <v>110</v>
      </c>
      <c r="I155" s="218" t="s">
        <v>606</v>
      </c>
      <c r="J155" s="218">
        <v>1</v>
      </c>
      <c r="K155" s="218" t="s">
        <v>37</v>
      </c>
      <c r="L155" s="218" t="s">
        <v>72</v>
      </c>
      <c r="M155" s="218" t="s">
        <v>73</v>
      </c>
      <c r="N155" s="218">
        <v>162538</v>
      </c>
      <c r="O155" s="219"/>
      <c r="P155" s="219"/>
      <c r="Q155" s="219"/>
      <c r="R155" s="219"/>
      <c r="S155" s="220"/>
      <c r="T155" s="220">
        <v>46104</v>
      </c>
      <c r="U155" s="220">
        <v>46120</v>
      </c>
      <c r="V155" s="219" t="s">
        <v>56</v>
      </c>
      <c r="W155" s="221">
        <v>898.2</v>
      </c>
      <c r="X155" s="221">
        <f>Table2[[#This Row],[QUANTIDADE]]*Table2[[#This Row],[PREÇO UNITARIO]]</f>
        <v>898.2</v>
      </c>
      <c r="Y155" s="219"/>
      <c r="Z155" s="219">
        <f t="shared" si="4"/>
        <v>2</v>
      </c>
      <c r="AA155" s="219" t="s">
        <v>74</v>
      </c>
      <c r="AB155" s="220">
        <f t="shared" ca="1" si="5"/>
        <v>46235</v>
      </c>
      <c r="AC155" s="219">
        <f ca="1">_xlfn.DAYS(Table2[[#This Row],[HOJE]],Table2[[#This Row],[DATA PEDIDO HP]])</f>
        <v>164</v>
      </c>
      <c r="AD155" s="219" t="str">
        <f>IF(Table2[[#This Row],[STATUS2]]="ENTREGUE","ENTREGUE","")</f>
        <v>ENTREGUE</v>
      </c>
      <c r="AE155" s="219" t="s">
        <v>43</v>
      </c>
    </row>
    <row r="156" spans="1:31" ht="14.45">
      <c r="A156" s="233" t="s">
        <v>607</v>
      </c>
      <c r="B156" s="217">
        <v>46071</v>
      </c>
      <c r="C156" s="217">
        <v>46071</v>
      </c>
      <c r="D156" s="218" t="s">
        <v>608</v>
      </c>
      <c r="E156" s="218" t="s">
        <v>134</v>
      </c>
      <c r="F156" s="218" t="s">
        <v>140</v>
      </c>
      <c r="G156" s="218">
        <v>48300301</v>
      </c>
      <c r="H156" s="218" t="s">
        <v>609</v>
      </c>
      <c r="I156" s="218" t="s">
        <v>610</v>
      </c>
      <c r="J156" s="218">
        <v>1</v>
      </c>
      <c r="K156" s="218" t="s">
        <v>37</v>
      </c>
      <c r="L156" s="218" t="s">
        <v>72</v>
      </c>
      <c r="M156" s="218" t="s">
        <v>73</v>
      </c>
      <c r="N156" s="218">
        <v>156728</v>
      </c>
      <c r="O156" s="219"/>
      <c r="P156" s="219"/>
      <c r="Q156" s="219"/>
      <c r="R156" s="219"/>
      <c r="S156" s="220"/>
      <c r="T156" s="220">
        <v>46104</v>
      </c>
      <c r="U156" s="220">
        <v>46120</v>
      </c>
      <c r="V156" s="219" t="s">
        <v>56</v>
      </c>
      <c r="W156" s="221">
        <v>455.63</v>
      </c>
      <c r="X156" s="221">
        <f>Table2[[#This Row],[QUANTIDADE]]*Table2[[#This Row],[PREÇO UNITARIO]]</f>
        <v>455.63</v>
      </c>
      <c r="Y156" s="219"/>
      <c r="Z156" s="219">
        <f t="shared" si="4"/>
        <v>2</v>
      </c>
      <c r="AA156" s="219" t="s">
        <v>74</v>
      </c>
      <c r="AB156" s="220">
        <f t="shared" ca="1" si="5"/>
        <v>46235</v>
      </c>
      <c r="AC156" s="219">
        <f ca="1">_xlfn.DAYS(Table2[[#This Row],[HOJE]],Table2[[#This Row],[DATA PEDIDO HP]])</f>
        <v>164</v>
      </c>
      <c r="AD156" s="219" t="str">
        <f>IF(Table2[[#This Row],[STATUS2]]="ENTREGUE","ENTREGUE","")</f>
        <v>ENTREGUE</v>
      </c>
      <c r="AE156" s="219" t="s">
        <v>43</v>
      </c>
    </row>
    <row r="157" spans="1:31" ht="14.45">
      <c r="A157" s="233" t="s">
        <v>611</v>
      </c>
      <c r="B157" s="217">
        <v>46072</v>
      </c>
      <c r="C157" s="217">
        <v>46072</v>
      </c>
      <c r="D157" s="218" t="s">
        <v>612</v>
      </c>
      <c r="E157" s="218" t="s">
        <v>613</v>
      </c>
      <c r="F157" s="218" t="s">
        <v>135</v>
      </c>
      <c r="G157" s="218">
        <v>48500271</v>
      </c>
      <c r="H157" s="218" t="s">
        <v>614</v>
      </c>
      <c r="I157" s="218" t="s">
        <v>615</v>
      </c>
      <c r="J157" s="218">
        <v>1</v>
      </c>
      <c r="K157" s="218" t="s">
        <v>37</v>
      </c>
      <c r="L157" s="218" t="s">
        <v>122</v>
      </c>
      <c r="M157" s="218" t="s">
        <v>39</v>
      </c>
      <c r="N157" s="218">
        <v>163295</v>
      </c>
      <c r="O157" s="219"/>
      <c r="P157" s="219"/>
      <c r="Q157" s="219"/>
      <c r="R157" s="219"/>
      <c r="S157" s="220">
        <v>46153</v>
      </c>
      <c r="T157" s="220">
        <v>46104</v>
      </c>
      <c r="U157" s="220">
        <v>46120</v>
      </c>
      <c r="V157" s="219" t="s">
        <v>56</v>
      </c>
      <c r="W157" s="221">
        <v>114.54</v>
      </c>
      <c r="X157" s="221">
        <f>Table2[[#This Row],[QUANTIDADE]]*Table2[[#This Row],[PREÇO UNITARIO]]</f>
        <v>114.54</v>
      </c>
      <c r="Y157" s="219"/>
      <c r="Z157" s="219">
        <f t="shared" si="4"/>
        <v>2</v>
      </c>
      <c r="AA157" s="219" t="s">
        <v>74</v>
      </c>
      <c r="AB157" s="220">
        <f t="shared" ca="1" si="5"/>
        <v>46235</v>
      </c>
      <c r="AC157" s="219">
        <f ca="1">_xlfn.DAYS(Table2[[#This Row],[HOJE]],Table2[[#This Row],[DATA PEDIDO HP]])</f>
        <v>163</v>
      </c>
      <c r="AD157" s="219" t="str">
        <f>IF(Table2[[#This Row],[STATUS2]]="ENTREGUE","ENTREGUE","")</f>
        <v>ENTREGUE</v>
      </c>
      <c r="AE157" s="219" t="s">
        <v>43</v>
      </c>
    </row>
    <row r="158" spans="1:31" ht="14.45">
      <c r="A158" s="233" t="s">
        <v>616</v>
      </c>
      <c r="B158" s="217">
        <v>46072</v>
      </c>
      <c r="C158" s="217">
        <v>46072</v>
      </c>
      <c r="D158" s="218" t="s">
        <v>617</v>
      </c>
      <c r="E158" s="218" t="s">
        <v>94</v>
      </c>
      <c r="F158" s="218" t="s">
        <v>95</v>
      </c>
      <c r="G158" s="218">
        <v>60002072</v>
      </c>
      <c r="H158" s="218" t="s">
        <v>618</v>
      </c>
      <c r="I158" s="218" t="s">
        <v>619</v>
      </c>
      <c r="J158" s="218">
        <v>1</v>
      </c>
      <c r="K158" s="218" t="s">
        <v>37</v>
      </c>
      <c r="L158" s="218" t="s">
        <v>441</v>
      </c>
      <c r="M158" s="218" t="s">
        <v>73</v>
      </c>
      <c r="N158" s="218"/>
      <c r="O158" s="219"/>
      <c r="P158" s="219"/>
      <c r="Q158" s="219"/>
      <c r="R158" s="219"/>
      <c r="S158" s="220"/>
      <c r="T158" s="220">
        <v>46104</v>
      </c>
      <c r="U158" s="220">
        <v>46120</v>
      </c>
      <c r="V158" s="219" t="s">
        <v>56</v>
      </c>
      <c r="W158" s="221">
        <v>3084.91</v>
      </c>
      <c r="X158" s="221">
        <f>Table2[[#This Row],[QUANTIDADE]]*Table2[[#This Row],[PREÇO UNITARIO]]</f>
        <v>3084.91</v>
      </c>
      <c r="Y158" s="219"/>
      <c r="Z158" s="219">
        <f t="shared" si="4"/>
        <v>2</v>
      </c>
      <c r="AA158" s="219" t="s">
        <v>74</v>
      </c>
      <c r="AB158" s="220">
        <f t="shared" ca="1" si="5"/>
        <v>46235</v>
      </c>
      <c r="AC158" s="219">
        <f ca="1">_xlfn.DAYS(Table2[[#This Row],[HOJE]],Table2[[#This Row],[DATA PEDIDO HP]])</f>
        <v>163</v>
      </c>
      <c r="AD158" s="219" t="str">
        <f>IF(Table2[[#This Row],[STATUS2]]="ENTREGUE","ENTREGUE","")</f>
        <v>ENTREGUE</v>
      </c>
      <c r="AE158" s="219" t="s">
        <v>43</v>
      </c>
    </row>
    <row r="159" spans="1:31" ht="14.45">
      <c r="A159" s="233" t="s">
        <v>620</v>
      </c>
      <c r="B159" s="217">
        <v>46072</v>
      </c>
      <c r="C159" s="217">
        <v>46072</v>
      </c>
      <c r="D159" s="218" t="s">
        <v>621</v>
      </c>
      <c r="E159" s="218" t="s">
        <v>247</v>
      </c>
      <c r="F159" s="218" t="s">
        <v>594</v>
      </c>
      <c r="G159" s="218">
        <v>46000018</v>
      </c>
      <c r="H159" s="218" t="s">
        <v>622</v>
      </c>
      <c r="I159" s="218" t="s">
        <v>623</v>
      </c>
      <c r="J159" s="218">
        <v>1</v>
      </c>
      <c r="K159" s="218" t="s">
        <v>37</v>
      </c>
      <c r="L159" s="218" t="s">
        <v>122</v>
      </c>
      <c r="M159" s="218" t="s">
        <v>81</v>
      </c>
      <c r="N159" s="218">
        <v>162965</v>
      </c>
      <c r="O159" s="219"/>
      <c r="P159" s="219"/>
      <c r="Q159" s="219"/>
      <c r="R159" s="219"/>
      <c r="S159" s="220">
        <v>46153</v>
      </c>
      <c r="T159" s="220">
        <v>46104</v>
      </c>
      <c r="U159" s="220">
        <v>46120</v>
      </c>
      <c r="V159" s="219" t="s">
        <v>56</v>
      </c>
      <c r="W159" s="221">
        <v>453.02</v>
      </c>
      <c r="X159" s="221">
        <f>Table2[[#This Row],[QUANTIDADE]]*Table2[[#This Row],[PREÇO UNITARIO]]</f>
        <v>453.02</v>
      </c>
      <c r="Y159" s="219"/>
      <c r="Z159" s="219">
        <f t="shared" si="4"/>
        <v>2</v>
      </c>
      <c r="AA159" s="219" t="s">
        <v>74</v>
      </c>
      <c r="AB159" s="220">
        <f t="shared" ca="1" si="5"/>
        <v>46235</v>
      </c>
      <c r="AC159" s="219">
        <f ca="1">_xlfn.DAYS(Table2[[#This Row],[HOJE]],Table2[[#This Row],[DATA PEDIDO HP]])</f>
        <v>163</v>
      </c>
      <c r="AD159" s="219" t="str">
        <f>IF(Table2[[#This Row],[STATUS2]]="ENTREGUE","ENTREGUE","")</f>
        <v>ENTREGUE</v>
      </c>
      <c r="AE159" s="219" t="s">
        <v>43</v>
      </c>
    </row>
    <row r="160" spans="1:31" ht="14.45">
      <c r="A160" s="233" t="s">
        <v>624</v>
      </c>
      <c r="B160" s="217">
        <v>46072</v>
      </c>
      <c r="C160" s="217">
        <v>46072</v>
      </c>
      <c r="D160" s="218" t="s">
        <v>625</v>
      </c>
      <c r="E160" s="218" t="s">
        <v>125</v>
      </c>
      <c r="F160" s="218" t="s">
        <v>34</v>
      </c>
      <c r="G160" s="218">
        <v>50110193</v>
      </c>
      <c r="H160" s="218" t="s">
        <v>626</v>
      </c>
      <c r="I160" s="218" t="s">
        <v>627</v>
      </c>
      <c r="J160" s="218">
        <v>1</v>
      </c>
      <c r="K160" s="218" t="s">
        <v>37</v>
      </c>
      <c r="L160" s="218" t="s">
        <v>72</v>
      </c>
      <c r="M160" s="218" t="s">
        <v>81</v>
      </c>
      <c r="N160" s="218">
        <v>163394</v>
      </c>
      <c r="O160" s="219"/>
      <c r="P160" s="219"/>
      <c r="Q160" s="219"/>
      <c r="R160" s="219"/>
      <c r="S160" s="220">
        <v>46153</v>
      </c>
      <c r="T160" s="220">
        <v>46104</v>
      </c>
      <c r="U160" s="220">
        <v>46120</v>
      </c>
      <c r="V160" s="219" t="s">
        <v>56</v>
      </c>
      <c r="W160" s="221">
        <v>365.81</v>
      </c>
      <c r="X160" s="221">
        <f>Table2[[#This Row],[QUANTIDADE]]*Table2[[#This Row],[PREÇO UNITARIO]]</f>
        <v>365.81</v>
      </c>
      <c r="Y160" s="219"/>
      <c r="Z160" s="219">
        <f t="shared" si="4"/>
        <v>2</v>
      </c>
      <c r="AA160" s="219" t="s">
        <v>42</v>
      </c>
      <c r="AB160" s="220">
        <f t="shared" ca="1" si="5"/>
        <v>46235</v>
      </c>
      <c r="AC160" s="219">
        <f ca="1">_xlfn.DAYS(Table2[[#This Row],[HOJE]],Table2[[#This Row],[DATA PEDIDO HP]])</f>
        <v>163</v>
      </c>
      <c r="AD160" s="219" t="str">
        <f>IF(Table2[[#This Row],[STATUS2]]="ENTREGUE","ENTREGUE","")</f>
        <v>ENTREGUE</v>
      </c>
      <c r="AE160" s="219" t="s">
        <v>43</v>
      </c>
    </row>
    <row r="161" spans="1:31" ht="14.45">
      <c r="A161" s="233" t="s">
        <v>624</v>
      </c>
      <c r="B161" s="217">
        <v>46072</v>
      </c>
      <c r="C161" s="217">
        <v>46072</v>
      </c>
      <c r="D161" s="218" t="s">
        <v>625</v>
      </c>
      <c r="E161" s="218" t="s">
        <v>125</v>
      </c>
      <c r="F161" s="218" t="s">
        <v>34</v>
      </c>
      <c r="G161" s="218">
        <v>50110193</v>
      </c>
      <c r="H161" s="218" t="s">
        <v>47</v>
      </c>
      <c r="I161" s="218" t="s">
        <v>628</v>
      </c>
      <c r="J161" s="218">
        <v>1</v>
      </c>
      <c r="K161" s="218" t="s">
        <v>37</v>
      </c>
      <c r="L161" s="218" t="s">
        <v>72</v>
      </c>
      <c r="M161" s="218" t="s">
        <v>81</v>
      </c>
      <c r="N161" s="218">
        <v>163394</v>
      </c>
      <c r="O161" s="219"/>
      <c r="P161" s="219"/>
      <c r="Q161" s="219"/>
      <c r="R161" s="219"/>
      <c r="S161" s="220">
        <v>46153</v>
      </c>
      <c r="T161" s="220">
        <v>46104</v>
      </c>
      <c r="U161" s="220">
        <v>46120</v>
      </c>
      <c r="V161" s="219" t="s">
        <v>56</v>
      </c>
      <c r="W161" s="221">
        <v>244.96</v>
      </c>
      <c r="X161" s="221">
        <f>Table2[[#This Row],[QUANTIDADE]]*Table2[[#This Row],[PREÇO UNITARIO]]</f>
        <v>244.96</v>
      </c>
      <c r="Y161" s="219"/>
      <c r="Z161" s="219">
        <f t="shared" si="4"/>
        <v>2</v>
      </c>
      <c r="AA161" s="219" t="s">
        <v>42</v>
      </c>
      <c r="AB161" s="220">
        <f t="shared" ca="1" si="5"/>
        <v>46235</v>
      </c>
      <c r="AC161" s="219">
        <f ca="1">_xlfn.DAYS(Table2[[#This Row],[HOJE]],Table2[[#This Row],[DATA PEDIDO HP]])</f>
        <v>163</v>
      </c>
      <c r="AD161" s="219" t="str">
        <f>IF(Table2[[#This Row],[STATUS2]]="ENTREGUE","ENTREGUE","")</f>
        <v>ENTREGUE</v>
      </c>
      <c r="AE161" s="219" t="s">
        <v>43</v>
      </c>
    </row>
    <row r="162" spans="1:31" ht="14.45">
      <c r="A162" s="233" t="s">
        <v>624</v>
      </c>
      <c r="B162" s="217">
        <v>46072</v>
      </c>
      <c r="C162" s="217">
        <v>46072</v>
      </c>
      <c r="D162" s="218" t="s">
        <v>625</v>
      </c>
      <c r="E162" s="218" t="s">
        <v>125</v>
      </c>
      <c r="F162" s="218" t="s">
        <v>34</v>
      </c>
      <c r="G162" s="218">
        <v>50110193</v>
      </c>
      <c r="H162" s="218" t="s">
        <v>629</v>
      </c>
      <c r="I162" s="218" t="s">
        <v>630</v>
      </c>
      <c r="J162" s="218">
        <v>1</v>
      </c>
      <c r="K162" s="218" t="s">
        <v>37</v>
      </c>
      <c r="L162" s="218" t="s">
        <v>72</v>
      </c>
      <c r="M162" s="218" t="s">
        <v>81</v>
      </c>
      <c r="N162" s="218">
        <v>163394</v>
      </c>
      <c r="O162" s="219"/>
      <c r="P162" s="219"/>
      <c r="Q162" s="219"/>
      <c r="R162" s="219"/>
      <c r="S162" s="220">
        <v>46153</v>
      </c>
      <c r="T162" s="220">
        <v>46104</v>
      </c>
      <c r="U162" s="220">
        <v>46120</v>
      </c>
      <c r="V162" s="219" t="s">
        <v>56</v>
      </c>
      <c r="W162" s="221">
        <v>19.600000000000001</v>
      </c>
      <c r="X162" s="221">
        <f>Table2[[#This Row],[QUANTIDADE]]*Table2[[#This Row],[PREÇO UNITARIO]]</f>
        <v>19.600000000000001</v>
      </c>
      <c r="Y162" s="219"/>
      <c r="Z162" s="219">
        <f t="shared" si="4"/>
        <v>2</v>
      </c>
      <c r="AA162" s="219" t="s">
        <v>42</v>
      </c>
      <c r="AB162" s="220">
        <f t="shared" ca="1" si="5"/>
        <v>46235</v>
      </c>
      <c r="AC162" s="219">
        <f ca="1">_xlfn.DAYS(Table2[[#This Row],[HOJE]],Table2[[#This Row],[DATA PEDIDO HP]])</f>
        <v>163</v>
      </c>
      <c r="AD162" s="219" t="str">
        <f>IF(Table2[[#This Row],[STATUS2]]="ENTREGUE","ENTREGUE","")</f>
        <v>ENTREGUE</v>
      </c>
      <c r="AE162" s="219" t="s">
        <v>43</v>
      </c>
    </row>
    <row r="163" spans="1:31" ht="14.45">
      <c r="A163" s="233" t="s">
        <v>631</v>
      </c>
      <c r="B163" s="217">
        <v>46072</v>
      </c>
      <c r="C163" s="217">
        <v>46072</v>
      </c>
      <c r="D163" s="218" t="s">
        <v>632</v>
      </c>
      <c r="E163" s="218" t="s">
        <v>247</v>
      </c>
      <c r="F163" s="218" t="s">
        <v>594</v>
      </c>
      <c r="G163" s="218">
        <v>46000053</v>
      </c>
      <c r="H163" s="218" t="s">
        <v>633</v>
      </c>
      <c r="I163" s="218" t="s">
        <v>634</v>
      </c>
      <c r="J163" s="218">
        <v>1</v>
      </c>
      <c r="K163" s="218" t="s">
        <v>37</v>
      </c>
      <c r="L163" s="218" t="s">
        <v>72</v>
      </c>
      <c r="M163" s="218" t="s">
        <v>39</v>
      </c>
      <c r="N163" s="218">
        <v>162668</v>
      </c>
      <c r="O163" s="219"/>
      <c r="P163" s="219"/>
      <c r="Q163" s="219"/>
      <c r="R163" s="219" t="s">
        <v>635</v>
      </c>
      <c r="S163" s="220">
        <v>46153</v>
      </c>
      <c r="T163" s="220">
        <v>46104</v>
      </c>
      <c r="U163" s="220">
        <v>46120</v>
      </c>
      <c r="V163" s="219" t="s">
        <v>56</v>
      </c>
      <c r="W163" s="221">
        <v>687.21</v>
      </c>
      <c r="X163" s="221">
        <f>Table2[[#This Row],[QUANTIDADE]]*Table2[[#This Row],[PREÇO UNITARIO]]</f>
        <v>687.21</v>
      </c>
      <c r="Y163" s="219"/>
      <c r="Z163" s="219">
        <f t="shared" si="4"/>
        <v>2</v>
      </c>
      <c r="AA163" s="219" t="s">
        <v>74</v>
      </c>
      <c r="AB163" s="220">
        <f t="shared" ca="1" si="5"/>
        <v>46235</v>
      </c>
      <c r="AC163" s="219">
        <f ca="1">_xlfn.DAYS(Table2[[#This Row],[HOJE]],Table2[[#This Row],[DATA PEDIDO HP]])</f>
        <v>163</v>
      </c>
      <c r="AD163" s="219" t="str">
        <f>IF(Table2[[#This Row],[STATUS2]]="ENTREGUE","ENTREGUE","")</f>
        <v>ENTREGUE</v>
      </c>
      <c r="AE163" s="219" t="s">
        <v>43</v>
      </c>
    </row>
    <row r="164" spans="1:31" ht="14.45">
      <c r="A164" s="233" t="s">
        <v>636</v>
      </c>
      <c r="B164" s="217">
        <v>46072</v>
      </c>
      <c r="C164" s="217">
        <v>46072</v>
      </c>
      <c r="D164" s="218" t="s">
        <v>637</v>
      </c>
      <c r="E164" s="218" t="s">
        <v>101</v>
      </c>
      <c r="F164" s="218" t="s">
        <v>102</v>
      </c>
      <c r="G164" s="218" t="s">
        <v>638</v>
      </c>
      <c r="H164" s="218" t="s">
        <v>639</v>
      </c>
      <c r="I164" s="218" t="s">
        <v>640</v>
      </c>
      <c r="J164" s="218">
        <v>1</v>
      </c>
      <c r="K164" s="218" t="s">
        <v>269</v>
      </c>
      <c r="L164" s="218" t="s">
        <v>106</v>
      </c>
      <c r="M164" s="218" t="s">
        <v>39</v>
      </c>
      <c r="N164" s="218"/>
      <c r="O164" s="219"/>
      <c r="P164" s="219"/>
      <c r="Q164" s="219"/>
      <c r="R164" s="219"/>
      <c r="S164" s="220"/>
      <c r="T164" s="220">
        <v>46079</v>
      </c>
      <c r="U164" s="220">
        <v>46094</v>
      </c>
      <c r="V164" s="219" t="s">
        <v>61</v>
      </c>
      <c r="W164" s="221">
        <v>1281.03</v>
      </c>
      <c r="X164" s="221">
        <f>Table2[[#This Row],[QUANTIDADE]]*Table2[[#This Row],[PREÇO UNITARIO]]</f>
        <v>1281.03</v>
      </c>
      <c r="Y164" s="219"/>
      <c r="Z164" s="219">
        <f t="shared" si="4"/>
        <v>2</v>
      </c>
      <c r="AA164" s="219" t="s">
        <v>42</v>
      </c>
      <c r="AB164" s="220">
        <f t="shared" ca="1" si="5"/>
        <v>46235</v>
      </c>
      <c r="AC164" s="219">
        <f ca="1">_xlfn.DAYS(Table2[[#This Row],[HOJE]],Table2[[#This Row],[DATA PEDIDO HP]])</f>
        <v>163</v>
      </c>
      <c r="AD164" s="219" t="str">
        <f>IF(Table2[[#This Row],[STATUS2]]="ENTREGUE","ENTREGUE","")</f>
        <v>ENTREGUE</v>
      </c>
      <c r="AE164" s="219" t="s">
        <v>43</v>
      </c>
    </row>
    <row r="165" spans="1:31" ht="14.45">
      <c r="A165" s="233" t="s">
        <v>641</v>
      </c>
      <c r="B165" s="217">
        <v>46072</v>
      </c>
      <c r="C165" s="217">
        <v>46072</v>
      </c>
      <c r="D165" s="218" t="s">
        <v>642</v>
      </c>
      <c r="E165" s="218" t="s">
        <v>162</v>
      </c>
      <c r="F165" s="218" t="s">
        <v>186</v>
      </c>
      <c r="G165" s="218">
        <v>44000216</v>
      </c>
      <c r="H165" s="218" t="s">
        <v>643</v>
      </c>
      <c r="I165" s="218" t="s">
        <v>644</v>
      </c>
      <c r="J165" s="218">
        <v>1</v>
      </c>
      <c r="K165" s="218" t="s">
        <v>37</v>
      </c>
      <c r="L165" s="218" t="s">
        <v>122</v>
      </c>
      <c r="M165" s="218" t="s">
        <v>39</v>
      </c>
      <c r="N165" s="218">
        <v>163526</v>
      </c>
      <c r="O165" s="219"/>
      <c r="P165" s="219"/>
      <c r="Q165" s="219"/>
      <c r="R165" s="219"/>
      <c r="S165" s="220">
        <v>46153</v>
      </c>
      <c r="T165" s="220">
        <v>46104</v>
      </c>
      <c r="U165" s="220">
        <v>46120</v>
      </c>
      <c r="V165" s="219" t="s">
        <v>56</v>
      </c>
      <c r="W165" s="221">
        <v>39</v>
      </c>
      <c r="X165" s="221">
        <f>Table2[[#This Row],[QUANTIDADE]]*Table2[[#This Row],[PREÇO UNITARIO]]</f>
        <v>39</v>
      </c>
      <c r="Y165" s="219"/>
      <c r="Z165" s="219">
        <f t="shared" si="4"/>
        <v>2</v>
      </c>
      <c r="AA165" s="219" t="s">
        <v>74</v>
      </c>
      <c r="AB165" s="220">
        <f t="shared" ca="1" si="5"/>
        <v>46235</v>
      </c>
      <c r="AC165" s="219">
        <f ca="1">_xlfn.DAYS(Table2[[#This Row],[HOJE]],Table2[[#This Row],[DATA PEDIDO HP]])</f>
        <v>163</v>
      </c>
      <c r="AD165" s="219" t="str">
        <f>IF(Table2[[#This Row],[STATUS2]]="ENTREGUE","ENTREGUE","")</f>
        <v>ENTREGUE</v>
      </c>
      <c r="AE165" s="219" t="s">
        <v>43</v>
      </c>
    </row>
    <row r="166" spans="1:31" ht="14.45">
      <c r="A166" s="233" t="s">
        <v>645</v>
      </c>
      <c r="B166" s="217">
        <v>46073</v>
      </c>
      <c r="C166" s="217">
        <v>46073</v>
      </c>
      <c r="D166" s="218" t="s">
        <v>646</v>
      </c>
      <c r="E166" s="218" t="s">
        <v>94</v>
      </c>
      <c r="F166" s="218" t="s">
        <v>95</v>
      </c>
      <c r="G166" s="218">
        <v>60002072</v>
      </c>
      <c r="H166" s="218" t="s">
        <v>495</v>
      </c>
      <c r="I166" s="218" t="s">
        <v>647</v>
      </c>
      <c r="J166" s="218">
        <v>1</v>
      </c>
      <c r="K166" s="218" t="s">
        <v>37</v>
      </c>
      <c r="L166" s="218" t="s">
        <v>72</v>
      </c>
      <c r="M166" s="218" t="s">
        <v>73</v>
      </c>
      <c r="N166" s="218">
        <v>162701</v>
      </c>
      <c r="O166" s="219"/>
      <c r="P166" s="219"/>
      <c r="Q166" s="219"/>
      <c r="R166" s="219" t="s">
        <v>648</v>
      </c>
      <c r="S166" s="220"/>
      <c r="T166" s="220">
        <v>46104</v>
      </c>
      <c r="U166" s="220">
        <v>46120</v>
      </c>
      <c r="V166" s="219" t="s">
        <v>56</v>
      </c>
      <c r="W166" s="221">
        <v>164.94</v>
      </c>
      <c r="X166" s="221">
        <f>Table2[[#This Row],[QUANTIDADE]]*Table2[[#This Row],[PREÇO UNITARIO]]</f>
        <v>164.94</v>
      </c>
      <c r="Y166" s="219"/>
      <c r="Z166" s="219">
        <f t="shared" si="4"/>
        <v>2</v>
      </c>
      <c r="AA166" s="219" t="s">
        <v>74</v>
      </c>
      <c r="AB166" s="220">
        <f t="shared" ca="1" si="5"/>
        <v>46235</v>
      </c>
      <c r="AC166" s="219">
        <f ca="1">_xlfn.DAYS(Table2[[#This Row],[HOJE]],Table2[[#This Row],[DATA PEDIDO HP]])</f>
        <v>162</v>
      </c>
      <c r="AD166" s="219" t="str">
        <f>IF(Table2[[#This Row],[STATUS2]]="ENTREGUE","ENTREGUE","")</f>
        <v>ENTREGUE</v>
      </c>
      <c r="AE166" s="219" t="s">
        <v>43</v>
      </c>
    </row>
    <row r="167" spans="1:31" ht="14.45">
      <c r="A167" s="233" t="s">
        <v>645</v>
      </c>
      <c r="B167" s="217">
        <v>46073</v>
      </c>
      <c r="C167" s="217">
        <v>46073</v>
      </c>
      <c r="D167" s="218" t="s">
        <v>646</v>
      </c>
      <c r="E167" s="218" t="s">
        <v>94</v>
      </c>
      <c r="F167" s="218" t="s">
        <v>95</v>
      </c>
      <c r="G167" s="218">
        <v>60002072</v>
      </c>
      <c r="H167" s="218" t="s">
        <v>649</v>
      </c>
      <c r="I167" s="218" t="s">
        <v>206</v>
      </c>
      <c r="J167" s="218">
        <v>1</v>
      </c>
      <c r="K167" s="218" t="s">
        <v>37</v>
      </c>
      <c r="L167" s="218" t="s">
        <v>72</v>
      </c>
      <c r="M167" s="218" t="s">
        <v>39</v>
      </c>
      <c r="N167" s="218">
        <v>162701</v>
      </c>
      <c r="O167" s="219"/>
      <c r="P167" s="219"/>
      <c r="Q167" s="219"/>
      <c r="R167" s="219" t="s">
        <v>205</v>
      </c>
      <c r="S167" s="220">
        <v>46091</v>
      </c>
      <c r="T167" s="220">
        <v>46104</v>
      </c>
      <c r="U167" s="220">
        <v>46120</v>
      </c>
      <c r="V167" s="219" t="s">
        <v>56</v>
      </c>
      <c r="W167" s="221">
        <v>238.43</v>
      </c>
      <c r="X167" s="221">
        <f>Table2[[#This Row],[QUANTIDADE]]*Table2[[#This Row],[PREÇO UNITARIO]]</f>
        <v>238.43</v>
      </c>
      <c r="Y167" s="219"/>
      <c r="Z167" s="219">
        <f t="shared" si="4"/>
        <v>2</v>
      </c>
      <c r="AA167" s="219" t="s">
        <v>74</v>
      </c>
      <c r="AB167" s="220">
        <f t="shared" ca="1" si="5"/>
        <v>46235</v>
      </c>
      <c r="AC167" s="219">
        <f ca="1">_xlfn.DAYS(Table2[[#This Row],[HOJE]],Table2[[#This Row],[DATA PEDIDO HP]])</f>
        <v>162</v>
      </c>
      <c r="AD167" s="219" t="str">
        <f>IF(Table2[[#This Row],[STATUS2]]="ENTREGUE","ENTREGUE","")</f>
        <v>ENTREGUE</v>
      </c>
      <c r="AE167" s="219" t="s">
        <v>43</v>
      </c>
    </row>
    <row r="168" spans="1:31" ht="14.45">
      <c r="A168" s="233" t="s">
        <v>645</v>
      </c>
      <c r="B168" s="217">
        <v>46073</v>
      </c>
      <c r="C168" s="217">
        <v>46073</v>
      </c>
      <c r="D168" s="218" t="s">
        <v>646</v>
      </c>
      <c r="E168" s="218" t="s">
        <v>94</v>
      </c>
      <c r="F168" s="218" t="s">
        <v>95</v>
      </c>
      <c r="G168" s="218">
        <v>60002072</v>
      </c>
      <c r="H168" s="218" t="s">
        <v>650</v>
      </c>
      <c r="I168" s="218" t="s">
        <v>651</v>
      </c>
      <c r="J168" s="218">
        <v>1</v>
      </c>
      <c r="K168" s="218" t="s">
        <v>37</v>
      </c>
      <c r="L168" s="218" t="s">
        <v>72</v>
      </c>
      <c r="M168" s="218" t="s">
        <v>73</v>
      </c>
      <c r="N168" s="218">
        <v>162701</v>
      </c>
      <c r="O168" s="219"/>
      <c r="P168" s="219"/>
      <c r="Q168" s="219"/>
      <c r="R168" s="219"/>
      <c r="S168" s="220"/>
      <c r="T168" s="220">
        <v>46104</v>
      </c>
      <c r="U168" s="220">
        <v>46120</v>
      </c>
      <c r="V168" s="219" t="s">
        <v>56</v>
      </c>
      <c r="W168" s="221">
        <v>16.329999999999998</v>
      </c>
      <c r="X168" s="221">
        <f>Table2[[#This Row],[QUANTIDADE]]*Table2[[#This Row],[PREÇO UNITARIO]]</f>
        <v>16.329999999999998</v>
      </c>
      <c r="Y168" s="219"/>
      <c r="Z168" s="219">
        <f t="shared" si="4"/>
        <v>2</v>
      </c>
      <c r="AA168" s="219" t="s">
        <v>74</v>
      </c>
      <c r="AB168" s="220">
        <f t="shared" ca="1" si="5"/>
        <v>46235</v>
      </c>
      <c r="AC168" s="219">
        <f ca="1">_xlfn.DAYS(Table2[[#This Row],[HOJE]],Table2[[#This Row],[DATA PEDIDO HP]])</f>
        <v>162</v>
      </c>
      <c r="AD168" s="219" t="str">
        <f>IF(Table2[[#This Row],[STATUS2]]="ENTREGUE","ENTREGUE","")</f>
        <v>ENTREGUE</v>
      </c>
      <c r="AE168" s="219" t="s">
        <v>43</v>
      </c>
    </row>
    <row r="169" spans="1:31" ht="14.45">
      <c r="A169" s="233" t="s">
        <v>652</v>
      </c>
      <c r="B169" s="217">
        <v>46073</v>
      </c>
      <c r="C169" s="217">
        <v>46073</v>
      </c>
      <c r="D169" s="218" t="s">
        <v>653</v>
      </c>
      <c r="E169" s="218" t="s">
        <v>101</v>
      </c>
      <c r="F169" s="218" t="s">
        <v>102</v>
      </c>
      <c r="G169" s="218">
        <v>51000136</v>
      </c>
      <c r="H169" s="218" t="s">
        <v>654</v>
      </c>
      <c r="I169" s="218" t="s">
        <v>655</v>
      </c>
      <c r="J169" s="218">
        <v>1</v>
      </c>
      <c r="K169" s="218" t="s">
        <v>37</v>
      </c>
      <c r="L169" s="218" t="s">
        <v>122</v>
      </c>
      <c r="M169" s="218" t="s">
        <v>39</v>
      </c>
      <c r="N169" s="218"/>
      <c r="O169" s="219"/>
      <c r="P169" s="219"/>
      <c r="Q169" s="219"/>
      <c r="R169" s="219"/>
      <c r="S169" s="220">
        <v>46135</v>
      </c>
      <c r="T169" s="220">
        <v>46104</v>
      </c>
      <c r="U169" s="220">
        <v>46120</v>
      </c>
      <c r="V169" s="219" t="s">
        <v>56</v>
      </c>
      <c r="W169" s="221">
        <v>179.64</v>
      </c>
      <c r="X169" s="221">
        <f>Table2[[#This Row],[QUANTIDADE]]*Table2[[#This Row],[PREÇO UNITARIO]]</f>
        <v>179.64</v>
      </c>
      <c r="Y169" s="219"/>
      <c r="Z169" s="219">
        <f t="shared" si="4"/>
        <v>2</v>
      </c>
      <c r="AA169" s="219" t="s">
        <v>42</v>
      </c>
      <c r="AB169" s="220">
        <f t="shared" ca="1" si="5"/>
        <v>46235</v>
      </c>
      <c r="AC169" s="219">
        <f ca="1">_xlfn.DAYS(Table2[[#This Row],[HOJE]],Table2[[#This Row],[DATA PEDIDO HP]])</f>
        <v>162</v>
      </c>
      <c r="AD169" s="219" t="str">
        <f>IF(Table2[[#This Row],[STATUS2]]="ENTREGUE","ENTREGUE","")</f>
        <v>ENTREGUE</v>
      </c>
      <c r="AE169" s="219" t="s">
        <v>43</v>
      </c>
    </row>
    <row r="170" spans="1:31" ht="14.45">
      <c r="A170" s="233" t="s">
        <v>656</v>
      </c>
      <c r="B170" s="217">
        <v>46073</v>
      </c>
      <c r="C170" s="217">
        <v>46072</v>
      </c>
      <c r="D170" s="218" t="s">
        <v>657</v>
      </c>
      <c r="E170" s="218" t="s">
        <v>541</v>
      </c>
      <c r="F170" s="218" t="s">
        <v>542</v>
      </c>
      <c r="G170" s="218">
        <v>61000037</v>
      </c>
      <c r="H170" s="218" t="s">
        <v>658</v>
      </c>
      <c r="I170" s="218" t="s">
        <v>659</v>
      </c>
      <c r="J170" s="218">
        <v>1</v>
      </c>
      <c r="K170" s="218" t="s">
        <v>269</v>
      </c>
      <c r="L170" s="218" t="s">
        <v>72</v>
      </c>
      <c r="M170" s="218" t="s">
        <v>39</v>
      </c>
      <c r="N170" s="218">
        <v>163196</v>
      </c>
      <c r="O170" s="219"/>
      <c r="P170" s="219"/>
      <c r="Q170" s="219"/>
      <c r="R170" s="219"/>
      <c r="S170" s="220"/>
      <c r="T170" s="220">
        <v>46133</v>
      </c>
      <c r="U170" s="220">
        <v>46168</v>
      </c>
      <c r="V170" s="219" t="s">
        <v>554</v>
      </c>
      <c r="W170" s="221">
        <v>543.82000000000005</v>
      </c>
      <c r="X170" s="221">
        <f>Table2[[#This Row],[QUANTIDADE]]*Table2[[#This Row],[PREÇO UNITARIO]]</f>
        <v>543.82000000000005</v>
      </c>
      <c r="Y170" s="219"/>
      <c r="Z170" s="219">
        <f t="shared" si="4"/>
        <v>2</v>
      </c>
      <c r="AA170" s="219" t="s">
        <v>74</v>
      </c>
      <c r="AB170" s="220">
        <f t="shared" ca="1" si="5"/>
        <v>46235</v>
      </c>
      <c r="AC170" s="219">
        <f ca="1">_xlfn.DAYS(Table2[[#This Row],[HOJE]],Table2[[#This Row],[DATA PEDIDO HP]])</f>
        <v>162</v>
      </c>
      <c r="AD170" s="219" t="str">
        <f ca="1">IF(Table2[[#This Row],[STATUS2]]="ENTREGUE","ENTREGUE","")</f>
        <v/>
      </c>
      <c r="AE170" s="219" t="str">
        <f ca="1">IF(Table2[[#This Row],[HOLD]]&gt;30,"ATRASADO","NO PRAZO")</f>
        <v>ATRASADO</v>
      </c>
    </row>
    <row r="171" spans="1:31" ht="14.45">
      <c r="A171" s="233" t="s">
        <v>660</v>
      </c>
      <c r="B171" s="217">
        <v>46075</v>
      </c>
      <c r="C171" s="217">
        <v>46075</v>
      </c>
      <c r="D171" s="218" t="s">
        <v>661</v>
      </c>
      <c r="E171" s="218" t="s">
        <v>345</v>
      </c>
      <c r="F171" s="218" t="s">
        <v>34</v>
      </c>
      <c r="G171" s="218">
        <v>50110229</v>
      </c>
      <c r="H171" s="218" t="s">
        <v>662</v>
      </c>
      <c r="I171" s="218" t="s">
        <v>663</v>
      </c>
      <c r="J171" s="218">
        <v>1</v>
      </c>
      <c r="K171" s="218"/>
      <c r="L171" s="218"/>
      <c r="M171" s="218" t="s">
        <v>289</v>
      </c>
      <c r="N171" s="218"/>
      <c r="O171" s="219"/>
      <c r="P171" s="219"/>
      <c r="Q171" s="219"/>
      <c r="R171" s="219"/>
      <c r="S171" s="220">
        <v>46227</v>
      </c>
      <c r="T171" s="220"/>
      <c r="U171" s="220"/>
      <c r="V171" s="219"/>
      <c r="W171" s="221">
        <v>449.1</v>
      </c>
      <c r="X171" s="221">
        <f>Table2[[#This Row],[QUANTIDADE]]*Table2[[#This Row],[PREÇO UNITARIO]]</f>
        <v>449.1</v>
      </c>
      <c r="Y171" s="219"/>
      <c r="Z171" s="219">
        <f t="shared" si="4"/>
        <v>2</v>
      </c>
      <c r="AA171" s="219" t="s">
        <v>42</v>
      </c>
      <c r="AB171" s="220">
        <f t="shared" ca="1" si="5"/>
        <v>46235</v>
      </c>
      <c r="AC171" s="219">
        <f ca="1">_xlfn.DAYS(Table2[[#This Row],[HOJE]],Table2[[#This Row],[DATA PEDIDO HP]])</f>
        <v>160</v>
      </c>
      <c r="AD171" s="219" t="str">
        <f>IF(Table2[[#This Row],[STATUS2]]="ENTREGUE","ENTREGUE","")</f>
        <v>ENTREGUE</v>
      </c>
      <c r="AE171" s="219" t="s">
        <v>43</v>
      </c>
    </row>
    <row r="172" spans="1:31" ht="14.45">
      <c r="A172" s="233" t="s">
        <v>660</v>
      </c>
      <c r="B172" s="217">
        <v>46075</v>
      </c>
      <c r="C172" s="217">
        <v>46075</v>
      </c>
      <c r="D172" s="218" t="s">
        <v>664</v>
      </c>
      <c r="E172" s="218" t="s">
        <v>125</v>
      </c>
      <c r="F172" s="218" t="s">
        <v>34</v>
      </c>
      <c r="G172" s="218">
        <v>50110193</v>
      </c>
      <c r="H172" s="218" t="s">
        <v>662</v>
      </c>
      <c r="I172" s="218" t="s">
        <v>663</v>
      </c>
      <c r="J172" s="218">
        <v>1</v>
      </c>
      <c r="K172" s="218"/>
      <c r="L172" s="218"/>
      <c r="M172" s="218" t="s">
        <v>289</v>
      </c>
      <c r="N172" s="218"/>
      <c r="O172" s="219"/>
      <c r="P172" s="219"/>
      <c r="Q172" s="219"/>
      <c r="R172" s="219"/>
      <c r="S172" s="220"/>
      <c r="T172" s="220"/>
      <c r="U172" s="220"/>
      <c r="V172" s="219"/>
      <c r="W172" s="221">
        <v>449.1</v>
      </c>
      <c r="X172" s="221">
        <f>Table2[[#This Row],[QUANTIDADE]]*Table2[[#This Row],[PREÇO UNITARIO]]</f>
        <v>449.1</v>
      </c>
      <c r="Y172" s="219"/>
      <c r="Z172" s="219">
        <f t="shared" si="4"/>
        <v>2</v>
      </c>
      <c r="AA172" s="219" t="s">
        <v>42</v>
      </c>
      <c r="AB172" s="220">
        <f t="shared" ca="1" si="5"/>
        <v>46235</v>
      </c>
      <c r="AC172" s="219">
        <f ca="1">_xlfn.DAYS(Table2[[#This Row],[HOJE]],Table2[[#This Row],[DATA PEDIDO HP]])</f>
        <v>160</v>
      </c>
      <c r="AD172" s="219" t="str">
        <f ca="1">IF(Table2[[#This Row],[STATUS2]]="ENTREGUE","ENTREGUE","")</f>
        <v/>
      </c>
      <c r="AE172" s="219" t="str">
        <f ca="1">IF(Table2[[#This Row],[HOLD]]&gt;30,"ATRASADO","NO PRAZO")</f>
        <v>ATRASADO</v>
      </c>
    </row>
    <row r="173" spans="1:31" ht="14.45">
      <c r="A173" s="233" t="s">
        <v>660</v>
      </c>
      <c r="B173" s="217">
        <v>46075</v>
      </c>
      <c r="C173" s="217">
        <v>46075</v>
      </c>
      <c r="D173" s="218" t="s">
        <v>665</v>
      </c>
      <c r="E173" s="218" t="s">
        <v>666</v>
      </c>
      <c r="F173" s="218" t="s">
        <v>34</v>
      </c>
      <c r="G173" s="218">
        <v>50110261</v>
      </c>
      <c r="H173" s="218" t="s">
        <v>662</v>
      </c>
      <c r="I173" s="218" t="s">
        <v>663</v>
      </c>
      <c r="J173" s="218">
        <v>1</v>
      </c>
      <c r="K173" s="218"/>
      <c r="L173" s="218"/>
      <c r="M173" s="218" t="s">
        <v>289</v>
      </c>
      <c r="N173" s="218"/>
      <c r="O173" s="219"/>
      <c r="P173" s="219"/>
      <c r="Q173" s="219"/>
      <c r="R173" s="219"/>
      <c r="S173" s="220"/>
      <c r="T173" s="220">
        <v>46133</v>
      </c>
      <c r="U173" s="220">
        <v>46168</v>
      </c>
      <c r="V173" s="219" t="s">
        <v>554</v>
      </c>
      <c r="W173" s="221">
        <v>449.1</v>
      </c>
      <c r="X173" s="221">
        <f>Table2[[#This Row],[QUANTIDADE]]*Table2[[#This Row],[PREÇO UNITARIO]]</f>
        <v>449.1</v>
      </c>
      <c r="Y173" s="219"/>
      <c r="Z173" s="219">
        <f t="shared" si="4"/>
        <v>2</v>
      </c>
      <c r="AA173" s="219" t="s">
        <v>74</v>
      </c>
      <c r="AB173" s="220">
        <f t="shared" ca="1" si="5"/>
        <v>46235</v>
      </c>
      <c r="AC173" s="219">
        <f ca="1">_xlfn.DAYS(Table2[[#This Row],[HOJE]],Table2[[#This Row],[DATA PEDIDO HP]])</f>
        <v>160</v>
      </c>
      <c r="AD173" s="219" t="str">
        <f ca="1">IF(Table2[[#This Row],[STATUS2]]="ENTREGUE","ENTREGUE","")</f>
        <v/>
      </c>
      <c r="AE173" s="219" t="str">
        <f ca="1">IF(Table2[[#This Row],[HOLD]]&gt;30,"ATRASADO","NO PRAZO")</f>
        <v>ATRASADO</v>
      </c>
    </row>
    <row r="174" spans="1:31" ht="14.45">
      <c r="A174" s="233" t="s">
        <v>667</v>
      </c>
      <c r="B174" s="217">
        <v>46077</v>
      </c>
      <c r="C174" s="217">
        <v>46076</v>
      </c>
      <c r="D174" s="218" t="s">
        <v>668</v>
      </c>
      <c r="E174" s="218" t="s">
        <v>345</v>
      </c>
      <c r="F174" s="218" t="s">
        <v>34</v>
      </c>
      <c r="G174" s="218">
        <v>50110229</v>
      </c>
      <c r="H174" s="218" t="s">
        <v>669</v>
      </c>
      <c r="I174" s="218" t="s">
        <v>670</v>
      </c>
      <c r="J174" s="218">
        <v>2</v>
      </c>
      <c r="K174" s="218" t="s">
        <v>37</v>
      </c>
      <c r="L174" s="218" t="s">
        <v>72</v>
      </c>
      <c r="M174" s="218" t="s">
        <v>39</v>
      </c>
      <c r="N174" s="218">
        <v>164189</v>
      </c>
      <c r="O174" s="219"/>
      <c r="P174" s="219"/>
      <c r="Q174" s="219"/>
      <c r="R174" s="219"/>
      <c r="S174" s="220">
        <v>46140</v>
      </c>
      <c r="T174" s="220">
        <v>46104</v>
      </c>
      <c r="U174" s="220">
        <v>46120</v>
      </c>
      <c r="V174" s="219" t="s">
        <v>56</v>
      </c>
      <c r="W174" s="221">
        <v>59.79</v>
      </c>
      <c r="X174" s="221">
        <f>Table2[[#This Row],[QUANTIDADE]]*Table2[[#This Row],[PREÇO UNITARIO]]</f>
        <v>119.58</v>
      </c>
      <c r="Y174" s="219"/>
      <c r="Z174" s="219">
        <f t="shared" si="4"/>
        <v>2</v>
      </c>
      <c r="AA174" s="219" t="s">
        <v>42</v>
      </c>
      <c r="AB174" s="220">
        <f t="shared" ca="1" si="5"/>
        <v>46235</v>
      </c>
      <c r="AC174" s="219">
        <f ca="1">_xlfn.DAYS(Table2[[#This Row],[HOJE]],Table2[[#This Row],[DATA PEDIDO HP]])</f>
        <v>158</v>
      </c>
      <c r="AD174" s="219" t="str">
        <f>IF(Table2[[#This Row],[STATUS2]]="ENTREGUE","ENTREGUE","")</f>
        <v>ENTREGUE</v>
      </c>
      <c r="AE174" s="219" t="s">
        <v>43</v>
      </c>
    </row>
    <row r="175" spans="1:31" ht="14.45">
      <c r="A175" s="233" t="s">
        <v>667</v>
      </c>
      <c r="B175" s="217">
        <v>46077</v>
      </c>
      <c r="C175" s="217">
        <v>46076</v>
      </c>
      <c r="D175" s="218" t="s">
        <v>668</v>
      </c>
      <c r="E175" s="218" t="s">
        <v>345</v>
      </c>
      <c r="F175" s="218" t="s">
        <v>34</v>
      </c>
      <c r="G175" s="218">
        <v>50110229</v>
      </c>
      <c r="H175" s="218" t="s">
        <v>671</v>
      </c>
      <c r="I175" s="218" t="s">
        <v>672</v>
      </c>
      <c r="J175" s="218">
        <v>1</v>
      </c>
      <c r="K175" s="218" t="s">
        <v>37</v>
      </c>
      <c r="L175" s="218" t="s">
        <v>72</v>
      </c>
      <c r="M175" s="218" t="s">
        <v>81</v>
      </c>
      <c r="N175" s="218">
        <v>164189</v>
      </c>
      <c r="O175" s="219"/>
      <c r="P175" s="219"/>
      <c r="Q175" s="219"/>
      <c r="R175" s="219"/>
      <c r="S175" s="220">
        <v>46140</v>
      </c>
      <c r="T175" s="220">
        <v>46104</v>
      </c>
      <c r="U175" s="220">
        <v>46120</v>
      </c>
      <c r="V175" s="219" t="s">
        <v>56</v>
      </c>
      <c r="W175" s="221">
        <v>44.09</v>
      </c>
      <c r="X175" s="221">
        <f>Table2[[#This Row],[QUANTIDADE]]*Table2[[#This Row],[PREÇO UNITARIO]]</f>
        <v>44.09</v>
      </c>
      <c r="Y175" s="219"/>
      <c r="Z175" s="219">
        <f t="shared" si="4"/>
        <v>2</v>
      </c>
      <c r="AA175" s="219" t="s">
        <v>42</v>
      </c>
      <c r="AB175" s="220">
        <f t="shared" ca="1" si="5"/>
        <v>46235</v>
      </c>
      <c r="AC175" s="219">
        <f ca="1">_xlfn.DAYS(Table2[[#This Row],[HOJE]],Table2[[#This Row],[DATA PEDIDO HP]])</f>
        <v>158</v>
      </c>
      <c r="AD175" s="219" t="str">
        <f>IF(Table2[[#This Row],[STATUS2]]="ENTREGUE","ENTREGUE","")</f>
        <v>ENTREGUE</v>
      </c>
      <c r="AE175" s="219" t="s">
        <v>43</v>
      </c>
    </row>
    <row r="176" spans="1:31" ht="14.45">
      <c r="A176" s="233" t="s">
        <v>673</v>
      </c>
      <c r="B176" s="217">
        <v>46077</v>
      </c>
      <c r="C176" s="217">
        <v>46076</v>
      </c>
      <c r="D176" s="218" t="s">
        <v>674</v>
      </c>
      <c r="E176" s="218" t="s">
        <v>345</v>
      </c>
      <c r="F176" s="218" t="s">
        <v>34</v>
      </c>
      <c r="G176" s="218">
        <v>50110229</v>
      </c>
      <c r="H176" s="218" t="s">
        <v>126</v>
      </c>
      <c r="I176" s="218" t="s">
        <v>675</v>
      </c>
      <c r="J176" s="218">
        <v>1</v>
      </c>
      <c r="K176" s="218" t="s">
        <v>37</v>
      </c>
      <c r="L176" s="218" t="s">
        <v>72</v>
      </c>
      <c r="M176" s="218" t="s">
        <v>81</v>
      </c>
      <c r="N176" s="218">
        <v>163691</v>
      </c>
      <c r="O176" s="219"/>
      <c r="P176" s="219"/>
      <c r="Q176" s="219"/>
      <c r="R176" s="219"/>
      <c r="S176" s="220">
        <v>46140</v>
      </c>
      <c r="T176" s="220">
        <v>46104</v>
      </c>
      <c r="U176" s="220">
        <v>46120</v>
      </c>
      <c r="V176" s="219" t="s">
        <v>56</v>
      </c>
      <c r="W176" s="221">
        <v>790.42</v>
      </c>
      <c r="X176" s="221">
        <f>Table2[[#This Row],[QUANTIDADE]]*Table2[[#This Row],[PREÇO UNITARIO]]</f>
        <v>790.42</v>
      </c>
      <c r="Y176" s="219"/>
      <c r="Z176" s="219">
        <f t="shared" si="4"/>
        <v>2</v>
      </c>
      <c r="AA176" s="219" t="s">
        <v>42</v>
      </c>
      <c r="AB176" s="220">
        <f t="shared" ca="1" si="5"/>
        <v>46235</v>
      </c>
      <c r="AC176" s="219">
        <f ca="1">_xlfn.DAYS(Table2[[#This Row],[HOJE]],Table2[[#This Row],[DATA PEDIDO HP]])</f>
        <v>158</v>
      </c>
      <c r="AD176" s="219" t="str">
        <f>IF(Table2[[#This Row],[STATUS2]]="ENTREGUE","ENTREGUE","")</f>
        <v>ENTREGUE</v>
      </c>
      <c r="AE176" s="219" t="s">
        <v>43</v>
      </c>
    </row>
    <row r="177" spans="1:31" ht="14.45">
      <c r="A177" s="233" t="s">
        <v>676</v>
      </c>
      <c r="B177" s="217">
        <v>46077</v>
      </c>
      <c r="C177" s="217">
        <v>46077</v>
      </c>
      <c r="D177" s="218" t="s">
        <v>677</v>
      </c>
      <c r="E177" s="218" t="s">
        <v>33</v>
      </c>
      <c r="F177" s="218" t="s">
        <v>34</v>
      </c>
      <c r="G177" s="218" t="s">
        <v>678</v>
      </c>
      <c r="H177" s="218" t="s">
        <v>679</v>
      </c>
      <c r="I177" s="218" t="s">
        <v>680</v>
      </c>
      <c r="J177" s="218">
        <v>1</v>
      </c>
      <c r="K177" s="218" t="s">
        <v>37</v>
      </c>
      <c r="L177" s="218" t="s">
        <v>441</v>
      </c>
      <c r="M177" s="218" t="s">
        <v>81</v>
      </c>
      <c r="N177" s="218"/>
      <c r="O177" s="219"/>
      <c r="P177" s="219"/>
      <c r="Q177" s="219"/>
      <c r="R177" s="219" t="s">
        <v>681</v>
      </c>
      <c r="S177" s="220">
        <v>46153</v>
      </c>
      <c r="T177" s="220">
        <v>46104</v>
      </c>
      <c r="U177" s="220">
        <v>46120</v>
      </c>
      <c r="V177" s="219" t="s">
        <v>56</v>
      </c>
      <c r="W177" s="221">
        <v>76.099999999999994</v>
      </c>
      <c r="X177" s="221">
        <f>Table2[[#This Row],[QUANTIDADE]]*Table2[[#This Row],[PREÇO UNITARIO]]</f>
        <v>76.099999999999994</v>
      </c>
      <c r="Y177" s="219"/>
      <c r="Z177" s="219">
        <f t="shared" si="4"/>
        <v>2</v>
      </c>
      <c r="AA177" s="219" t="s">
        <v>42</v>
      </c>
      <c r="AB177" s="220">
        <f t="shared" ca="1" si="5"/>
        <v>46235</v>
      </c>
      <c r="AC177" s="219">
        <f ca="1">_xlfn.DAYS(Table2[[#This Row],[HOJE]],Table2[[#This Row],[DATA PEDIDO HP]])</f>
        <v>158</v>
      </c>
      <c r="AD177" s="219" t="str">
        <f>IF(Table2[[#This Row],[STATUS2]]="ENTREGUE","ENTREGUE","")</f>
        <v>ENTREGUE</v>
      </c>
      <c r="AE177" s="219" t="s">
        <v>43</v>
      </c>
    </row>
    <row r="178" spans="1:31" ht="14.45">
      <c r="A178" s="233" t="s">
        <v>682</v>
      </c>
      <c r="B178" s="217">
        <v>46078</v>
      </c>
      <c r="C178" s="217">
        <v>46078</v>
      </c>
      <c r="D178" s="218" t="s">
        <v>683</v>
      </c>
      <c r="E178" s="218" t="s">
        <v>33</v>
      </c>
      <c r="F178" s="218" t="s">
        <v>95</v>
      </c>
      <c r="G178" s="218">
        <v>60002095</v>
      </c>
      <c r="H178" s="218" t="s">
        <v>684</v>
      </c>
      <c r="I178" s="218" t="s">
        <v>685</v>
      </c>
      <c r="J178" s="218">
        <v>1</v>
      </c>
      <c r="K178" s="218" t="s">
        <v>37</v>
      </c>
      <c r="L178" s="218" t="s">
        <v>441</v>
      </c>
      <c r="M178" s="218" t="s">
        <v>81</v>
      </c>
      <c r="N178" s="218">
        <v>164153</v>
      </c>
      <c r="O178" s="219"/>
      <c r="P178" s="219"/>
      <c r="Q178" s="219"/>
      <c r="R178" s="219"/>
      <c r="S178" s="220">
        <v>46132</v>
      </c>
      <c r="T178" s="220">
        <v>46104</v>
      </c>
      <c r="U178" s="220">
        <v>46120</v>
      </c>
      <c r="V178" s="219" t="s">
        <v>56</v>
      </c>
      <c r="W178" s="221">
        <v>989.65</v>
      </c>
      <c r="X178" s="221">
        <f>Table2[[#This Row],[QUANTIDADE]]*Table2[[#This Row],[PREÇO UNITARIO]]</f>
        <v>989.65</v>
      </c>
      <c r="Y178" s="219" t="s">
        <v>686</v>
      </c>
      <c r="Z178" s="219">
        <f t="shared" si="4"/>
        <v>2</v>
      </c>
      <c r="AA178" s="219" t="s">
        <v>42</v>
      </c>
      <c r="AB178" s="220">
        <f t="shared" ca="1" si="5"/>
        <v>46235</v>
      </c>
      <c r="AC178" s="219">
        <f ca="1">_xlfn.DAYS(Table2[[#This Row],[HOJE]],Table2[[#This Row],[DATA PEDIDO HP]])</f>
        <v>157</v>
      </c>
      <c r="AD178" s="219" t="str">
        <f>IF(Table2[[#This Row],[STATUS2]]="ENTREGUE","ENTREGUE","")</f>
        <v>ENTREGUE</v>
      </c>
      <c r="AE178" s="219" t="s">
        <v>43</v>
      </c>
    </row>
    <row r="179" spans="1:31" ht="14.45">
      <c r="A179" s="233" t="s">
        <v>687</v>
      </c>
      <c r="B179" s="217">
        <v>46078</v>
      </c>
      <c r="C179" s="217">
        <v>46076</v>
      </c>
      <c r="D179" s="218" t="s">
        <v>688</v>
      </c>
      <c r="E179" s="218" t="s">
        <v>247</v>
      </c>
      <c r="F179" s="218" t="s">
        <v>594</v>
      </c>
      <c r="G179" s="218">
        <v>46000018</v>
      </c>
      <c r="H179" s="218" t="s">
        <v>689</v>
      </c>
      <c r="I179" s="218" t="s">
        <v>690</v>
      </c>
      <c r="J179" s="218">
        <v>1</v>
      </c>
      <c r="K179" s="218" t="s">
        <v>37</v>
      </c>
      <c r="L179" s="218" t="s">
        <v>72</v>
      </c>
      <c r="M179" s="218" t="s">
        <v>39</v>
      </c>
      <c r="N179" s="218">
        <v>165013</v>
      </c>
      <c r="O179" s="219"/>
      <c r="P179" s="219"/>
      <c r="Q179" s="219"/>
      <c r="R179" s="219"/>
      <c r="S179" s="220"/>
      <c r="T179" s="220"/>
      <c r="U179" s="220"/>
      <c r="V179" s="219"/>
      <c r="W179" s="221">
        <v>158.49</v>
      </c>
      <c r="X179" s="221">
        <f>Table2[[#This Row],[QUANTIDADE]]*Table2[[#This Row],[PREÇO UNITARIO]]</f>
        <v>158.49</v>
      </c>
      <c r="Y179" s="219"/>
      <c r="Z179" s="219">
        <f t="shared" si="4"/>
        <v>2</v>
      </c>
      <c r="AA179" s="219" t="s">
        <v>74</v>
      </c>
      <c r="AB179" s="220">
        <f t="shared" ca="1" si="5"/>
        <v>46235</v>
      </c>
      <c r="AC179" s="219">
        <f ca="1">_xlfn.DAYS(Table2[[#This Row],[HOJE]],Table2[[#This Row],[DATA PEDIDO HP]])</f>
        <v>157</v>
      </c>
      <c r="AD179" s="219" t="str">
        <f ca="1">IF(Table2[[#This Row],[STATUS2]]="ENTREGUE","ENTREGUE","")</f>
        <v/>
      </c>
      <c r="AE179" s="219" t="str">
        <f ca="1">IF(Table2[[#This Row],[HOLD]]&gt;30,"ATRASADO","NO PRAZO")</f>
        <v>ATRASADO</v>
      </c>
    </row>
    <row r="180" spans="1:31" ht="14.45">
      <c r="A180" s="233" t="s">
        <v>691</v>
      </c>
      <c r="B180" s="217">
        <v>46079</v>
      </c>
      <c r="C180" s="217">
        <v>46078</v>
      </c>
      <c r="D180" s="218" t="s">
        <v>692</v>
      </c>
      <c r="E180" s="218" t="s">
        <v>94</v>
      </c>
      <c r="F180" s="218" t="s">
        <v>95</v>
      </c>
      <c r="G180" s="218">
        <v>60002072</v>
      </c>
      <c r="H180" s="218" t="s">
        <v>495</v>
      </c>
      <c r="I180" s="218" t="s">
        <v>647</v>
      </c>
      <c r="J180" s="218">
        <v>1</v>
      </c>
      <c r="K180" s="218" t="s">
        <v>37</v>
      </c>
      <c r="L180" s="218" t="s">
        <v>72</v>
      </c>
      <c r="M180" s="218" t="s">
        <v>81</v>
      </c>
      <c r="N180" s="218">
        <v>163559</v>
      </c>
      <c r="O180" s="219"/>
      <c r="P180" s="219"/>
      <c r="Q180" s="219"/>
      <c r="R180" s="219" t="s">
        <v>648</v>
      </c>
      <c r="S180" s="220">
        <v>46153</v>
      </c>
      <c r="T180" s="220">
        <v>46104</v>
      </c>
      <c r="U180" s="220">
        <v>46120</v>
      </c>
      <c r="V180" s="219" t="s">
        <v>56</v>
      </c>
      <c r="W180" s="221">
        <v>164.94</v>
      </c>
      <c r="X180" s="221">
        <f>Table2[[#This Row],[QUANTIDADE]]*Table2[[#This Row],[PREÇO UNITARIO]]</f>
        <v>164.94</v>
      </c>
      <c r="Y180" s="219"/>
      <c r="Z180" s="219">
        <f t="shared" si="4"/>
        <v>2</v>
      </c>
      <c r="AA180" s="219" t="s">
        <v>74</v>
      </c>
      <c r="AB180" s="220">
        <f t="shared" ca="1" si="5"/>
        <v>46235</v>
      </c>
      <c r="AC180" s="219">
        <f ca="1">_xlfn.DAYS(Table2[[#This Row],[HOJE]],Table2[[#This Row],[DATA PEDIDO HP]])</f>
        <v>156</v>
      </c>
      <c r="AD180" s="219" t="str">
        <f>IF(Table2[[#This Row],[STATUS2]]="ENTREGUE","ENTREGUE","")</f>
        <v>ENTREGUE</v>
      </c>
      <c r="AE180" s="219" t="s">
        <v>43</v>
      </c>
    </row>
    <row r="181" spans="1:31" ht="14.45">
      <c r="A181" s="233" t="s">
        <v>691</v>
      </c>
      <c r="B181" s="217">
        <v>46079</v>
      </c>
      <c r="C181" s="217">
        <v>46078</v>
      </c>
      <c r="D181" s="218" t="s">
        <v>692</v>
      </c>
      <c r="E181" s="218" t="s">
        <v>94</v>
      </c>
      <c r="F181" s="218" t="s">
        <v>95</v>
      </c>
      <c r="G181" s="218">
        <v>60002072</v>
      </c>
      <c r="H181" s="218" t="s">
        <v>110</v>
      </c>
      <c r="I181" s="218" t="s">
        <v>693</v>
      </c>
      <c r="J181" s="218">
        <v>1</v>
      </c>
      <c r="K181" s="218" t="s">
        <v>37</v>
      </c>
      <c r="L181" s="218" t="s">
        <v>72</v>
      </c>
      <c r="M181" s="218" t="s">
        <v>81</v>
      </c>
      <c r="N181" s="218">
        <v>163559</v>
      </c>
      <c r="O181" s="219"/>
      <c r="P181" s="219"/>
      <c r="Q181" s="219"/>
      <c r="R181" s="219"/>
      <c r="S181" s="220">
        <v>46153</v>
      </c>
      <c r="T181" s="220">
        <v>46104</v>
      </c>
      <c r="U181" s="220">
        <v>46120</v>
      </c>
      <c r="V181" s="219" t="s">
        <v>56</v>
      </c>
      <c r="W181" s="221">
        <v>898.2</v>
      </c>
      <c r="X181" s="221">
        <f>Table2[[#This Row],[QUANTIDADE]]*Table2[[#This Row],[PREÇO UNITARIO]]</f>
        <v>898.2</v>
      </c>
      <c r="Y181" s="219"/>
      <c r="Z181" s="219">
        <f t="shared" si="4"/>
        <v>2</v>
      </c>
      <c r="AA181" s="219" t="s">
        <v>74</v>
      </c>
      <c r="AB181" s="220">
        <f t="shared" ca="1" si="5"/>
        <v>46235</v>
      </c>
      <c r="AC181" s="219">
        <f ca="1">_xlfn.DAYS(Table2[[#This Row],[HOJE]],Table2[[#This Row],[DATA PEDIDO HP]])</f>
        <v>156</v>
      </c>
      <c r="AD181" s="219" t="str">
        <f>IF(Table2[[#This Row],[STATUS2]]="ENTREGUE","ENTREGUE","")</f>
        <v>ENTREGUE</v>
      </c>
      <c r="AE181" s="219" t="s">
        <v>43</v>
      </c>
    </row>
    <row r="182" spans="1:31" ht="14.45">
      <c r="A182" s="233" t="s">
        <v>691</v>
      </c>
      <c r="B182" s="217">
        <v>46079</v>
      </c>
      <c r="C182" s="217">
        <v>46078</v>
      </c>
      <c r="D182" s="218" t="s">
        <v>692</v>
      </c>
      <c r="E182" s="218" t="s">
        <v>94</v>
      </c>
      <c r="F182" s="218" t="s">
        <v>95</v>
      </c>
      <c r="G182" s="218">
        <v>60002072</v>
      </c>
      <c r="H182" s="218" t="s">
        <v>694</v>
      </c>
      <c r="I182" s="218" t="s">
        <v>695</v>
      </c>
      <c r="J182" s="218">
        <v>1</v>
      </c>
      <c r="K182" s="218" t="s">
        <v>37</v>
      </c>
      <c r="L182" s="218" t="s">
        <v>72</v>
      </c>
      <c r="M182" s="218" t="s">
        <v>81</v>
      </c>
      <c r="N182" s="218">
        <v>163559</v>
      </c>
      <c r="O182" s="219"/>
      <c r="P182" s="219"/>
      <c r="Q182" s="219"/>
      <c r="R182" s="219"/>
      <c r="S182" s="220">
        <v>46202</v>
      </c>
      <c r="T182" s="220">
        <v>46168</v>
      </c>
      <c r="U182" s="220">
        <v>46185</v>
      </c>
      <c r="V182" s="219" t="s">
        <v>41</v>
      </c>
      <c r="W182" s="221">
        <v>17.96</v>
      </c>
      <c r="X182" s="221">
        <f>Table2[[#This Row],[QUANTIDADE]]*Table2[[#This Row],[PREÇO UNITARIO]]</f>
        <v>17.96</v>
      </c>
      <c r="Y182" s="219"/>
      <c r="Z182" s="219">
        <f t="shared" si="4"/>
        <v>2</v>
      </c>
      <c r="AA182" s="219" t="s">
        <v>74</v>
      </c>
      <c r="AB182" s="220">
        <f t="shared" ca="1" si="5"/>
        <v>46235</v>
      </c>
      <c r="AC182" s="219">
        <f ca="1">_xlfn.DAYS(Table2[[#This Row],[HOJE]],Table2[[#This Row],[DATA PEDIDO HP]])</f>
        <v>156</v>
      </c>
      <c r="AD182" s="219" t="str">
        <f>IF(Table2[[#This Row],[STATUS2]]="ENTREGUE","ENTREGUE","")</f>
        <v>ENTREGUE</v>
      </c>
      <c r="AE182" s="219" t="s">
        <v>43</v>
      </c>
    </row>
    <row r="183" spans="1:31" ht="14.45">
      <c r="A183" s="233" t="s">
        <v>691</v>
      </c>
      <c r="B183" s="217">
        <v>46079</v>
      </c>
      <c r="C183" s="217">
        <v>46078</v>
      </c>
      <c r="D183" s="218" t="s">
        <v>692</v>
      </c>
      <c r="E183" s="218" t="s">
        <v>94</v>
      </c>
      <c r="F183" s="218" t="s">
        <v>95</v>
      </c>
      <c r="G183" s="218">
        <v>60002072</v>
      </c>
      <c r="H183" s="218" t="s">
        <v>581</v>
      </c>
      <c r="I183" s="218" t="s">
        <v>696</v>
      </c>
      <c r="J183" s="218">
        <v>1</v>
      </c>
      <c r="K183" s="218" t="s">
        <v>37</v>
      </c>
      <c r="L183" s="218" t="s">
        <v>72</v>
      </c>
      <c r="M183" s="218" t="s">
        <v>81</v>
      </c>
      <c r="N183" s="218">
        <v>163559</v>
      </c>
      <c r="O183" s="219"/>
      <c r="P183" s="219"/>
      <c r="Q183" s="219"/>
      <c r="R183" s="219"/>
      <c r="S183" s="220">
        <v>46153</v>
      </c>
      <c r="T183" s="220">
        <v>46104</v>
      </c>
      <c r="U183" s="220">
        <v>46120</v>
      </c>
      <c r="V183" s="219" t="s">
        <v>56</v>
      </c>
      <c r="W183" s="221">
        <v>131.79</v>
      </c>
      <c r="X183" s="221">
        <f>Table2[[#This Row],[QUANTIDADE]]*Table2[[#This Row],[PREÇO UNITARIO]]</f>
        <v>131.79</v>
      </c>
      <c r="Y183" s="219"/>
      <c r="Z183" s="219">
        <f t="shared" si="4"/>
        <v>2</v>
      </c>
      <c r="AA183" s="219" t="s">
        <v>74</v>
      </c>
      <c r="AB183" s="220">
        <f t="shared" ca="1" si="5"/>
        <v>46235</v>
      </c>
      <c r="AC183" s="219">
        <f ca="1">_xlfn.DAYS(Table2[[#This Row],[HOJE]],Table2[[#This Row],[DATA PEDIDO HP]])</f>
        <v>156</v>
      </c>
      <c r="AD183" s="219" t="str">
        <f>IF(Table2[[#This Row],[STATUS2]]="ENTREGUE","ENTREGUE","")</f>
        <v>ENTREGUE</v>
      </c>
      <c r="AE183" s="219" t="s">
        <v>43</v>
      </c>
    </row>
    <row r="184" spans="1:31" ht="14.45">
      <c r="A184" s="233" t="s">
        <v>697</v>
      </c>
      <c r="B184" s="217">
        <v>46079</v>
      </c>
      <c r="C184" s="217">
        <v>46078</v>
      </c>
      <c r="D184" s="218" t="s">
        <v>698</v>
      </c>
      <c r="E184" s="218" t="s">
        <v>247</v>
      </c>
      <c r="F184" s="218" t="s">
        <v>594</v>
      </c>
      <c r="G184" s="218">
        <v>46000053</v>
      </c>
      <c r="H184" s="218" t="s">
        <v>699</v>
      </c>
      <c r="I184" s="218" t="s">
        <v>700</v>
      </c>
      <c r="J184" s="218">
        <v>1</v>
      </c>
      <c r="K184" s="218" t="s">
        <v>37</v>
      </c>
      <c r="L184" s="218" t="s">
        <v>72</v>
      </c>
      <c r="M184" s="218" t="s">
        <v>73</v>
      </c>
      <c r="N184" s="218">
        <v>164186</v>
      </c>
      <c r="O184" s="219"/>
      <c r="P184" s="219"/>
      <c r="Q184" s="219"/>
      <c r="R184" s="219"/>
      <c r="S184" s="220">
        <v>46181</v>
      </c>
      <c r="T184" s="220">
        <v>46104</v>
      </c>
      <c r="U184" s="220">
        <v>46120</v>
      </c>
      <c r="V184" s="219" t="s">
        <v>56</v>
      </c>
      <c r="W184" s="221">
        <v>58.79</v>
      </c>
      <c r="X184" s="221">
        <f>Table2[[#This Row],[QUANTIDADE]]*Table2[[#This Row],[PREÇO UNITARIO]]</f>
        <v>58.79</v>
      </c>
      <c r="Y184" s="219"/>
      <c r="Z184" s="219">
        <f t="shared" si="4"/>
        <v>2</v>
      </c>
      <c r="AA184" s="219" t="s">
        <v>74</v>
      </c>
      <c r="AB184" s="220">
        <f t="shared" ca="1" si="5"/>
        <v>46235</v>
      </c>
      <c r="AC184" s="219">
        <f ca="1">_xlfn.DAYS(Table2[[#This Row],[HOJE]],Table2[[#This Row],[DATA PEDIDO HP]])</f>
        <v>156</v>
      </c>
      <c r="AD184" s="219" t="str">
        <f>IF(Table2[[#This Row],[STATUS2]]="ENTREGUE","ENTREGUE","")</f>
        <v>ENTREGUE</v>
      </c>
      <c r="AE184" s="219" t="s">
        <v>43</v>
      </c>
    </row>
    <row r="185" spans="1:31" ht="14.45">
      <c r="A185" s="233" t="s">
        <v>697</v>
      </c>
      <c r="B185" s="217">
        <v>46079</v>
      </c>
      <c r="C185" s="217">
        <v>46078</v>
      </c>
      <c r="D185" s="218" t="s">
        <v>698</v>
      </c>
      <c r="E185" s="218" t="s">
        <v>247</v>
      </c>
      <c r="F185" s="218" t="s">
        <v>594</v>
      </c>
      <c r="G185" s="218">
        <v>46000053</v>
      </c>
      <c r="H185" s="218" t="s">
        <v>513</v>
      </c>
      <c r="I185" s="218" t="s">
        <v>701</v>
      </c>
      <c r="J185" s="218">
        <v>1</v>
      </c>
      <c r="K185" s="218" t="s">
        <v>37</v>
      </c>
      <c r="L185" s="218" t="s">
        <v>72</v>
      </c>
      <c r="M185" s="218" t="s">
        <v>73</v>
      </c>
      <c r="N185" s="218">
        <v>164186</v>
      </c>
      <c r="O185" s="219"/>
      <c r="P185" s="219"/>
      <c r="Q185" s="219"/>
      <c r="R185" s="219"/>
      <c r="S185" s="220">
        <v>46181</v>
      </c>
      <c r="T185" s="220">
        <v>46104</v>
      </c>
      <c r="U185" s="220">
        <v>46120</v>
      </c>
      <c r="V185" s="219" t="s">
        <v>56</v>
      </c>
      <c r="W185" s="221">
        <v>453.02</v>
      </c>
      <c r="X185" s="221">
        <f>Table2[[#This Row],[QUANTIDADE]]*Table2[[#This Row],[PREÇO UNITARIO]]</f>
        <v>453.02</v>
      </c>
      <c r="Y185" s="219"/>
      <c r="Z185" s="219">
        <f t="shared" si="4"/>
        <v>2</v>
      </c>
      <c r="AA185" s="219" t="s">
        <v>74</v>
      </c>
      <c r="AB185" s="220">
        <f t="shared" ca="1" si="5"/>
        <v>46235</v>
      </c>
      <c r="AC185" s="219">
        <f ca="1">_xlfn.DAYS(Table2[[#This Row],[HOJE]],Table2[[#This Row],[DATA PEDIDO HP]])</f>
        <v>156</v>
      </c>
      <c r="AD185" s="219" t="str">
        <f>IF(Table2[[#This Row],[STATUS2]]="ENTREGUE","ENTREGUE","")</f>
        <v>ENTREGUE</v>
      </c>
      <c r="AE185" s="219" t="s">
        <v>43</v>
      </c>
    </row>
    <row r="186" spans="1:31" ht="14.45">
      <c r="A186" s="233" t="s">
        <v>702</v>
      </c>
      <c r="B186" s="217">
        <v>46079</v>
      </c>
      <c r="C186" s="217">
        <v>46078</v>
      </c>
      <c r="D186" s="218" t="s">
        <v>703</v>
      </c>
      <c r="E186" s="218" t="s">
        <v>704</v>
      </c>
      <c r="F186" s="218" t="s">
        <v>145</v>
      </c>
      <c r="G186" s="218">
        <v>48000482</v>
      </c>
      <c r="H186" s="218" t="s">
        <v>705</v>
      </c>
      <c r="I186" s="218" t="s">
        <v>706</v>
      </c>
      <c r="J186" s="218">
        <v>1</v>
      </c>
      <c r="K186" s="218" t="s">
        <v>37</v>
      </c>
      <c r="L186" s="218" t="s">
        <v>72</v>
      </c>
      <c r="M186" s="218" t="s">
        <v>73</v>
      </c>
      <c r="N186" s="218">
        <v>164681</v>
      </c>
      <c r="O186" s="219"/>
      <c r="P186" s="219"/>
      <c r="Q186" s="219"/>
      <c r="R186" s="219"/>
      <c r="S186" s="220"/>
      <c r="T186" s="220">
        <v>46104</v>
      </c>
      <c r="U186" s="220">
        <v>46120</v>
      </c>
      <c r="V186" s="219" t="s">
        <v>56</v>
      </c>
      <c r="W186" s="221">
        <v>167.85</v>
      </c>
      <c r="X186" s="221">
        <f>Table2[[#This Row],[QUANTIDADE]]*Table2[[#This Row],[PREÇO UNITARIO]]</f>
        <v>167.85</v>
      </c>
      <c r="Y186" s="219"/>
      <c r="Z186" s="219">
        <f t="shared" si="4"/>
        <v>2</v>
      </c>
      <c r="AA186" s="219" t="s">
        <v>74</v>
      </c>
      <c r="AB186" s="220">
        <f t="shared" ca="1" si="5"/>
        <v>46235</v>
      </c>
      <c r="AC186" s="219">
        <f ca="1">_xlfn.DAYS(Table2[[#This Row],[HOJE]],Table2[[#This Row],[DATA PEDIDO HP]])</f>
        <v>156</v>
      </c>
      <c r="AD186" s="219" t="str">
        <f>IF(Table2[[#This Row],[STATUS2]]="ENTREGUE","ENTREGUE","")</f>
        <v>ENTREGUE</v>
      </c>
      <c r="AE186" s="219" t="s">
        <v>43</v>
      </c>
    </row>
    <row r="187" spans="1:31" ht="14.45">
      <c r="A187" s="233" t="s">
        <v>707</v>
      </c>
      <c r="B187" s="217">
        <v>46079</v>
      </c>
      <c r="C187" s="217">
        <v>46079</v>
      </c>
      <c r="D187" s="218" t="s">
        <v>708</v>
      </c>
      <c r="E187" s="218" t="s">
        <v>191</v>
      </c>
      <c r="F187" s="218" t="s">
        <v>95</v>
      </c>
      <c r="G187" s="218">
        <v>60001111</v>
      </c>
      <c r="H187" s="218" t="s">
        <v>79</v>
      </c>
      <c r="I187" s="218" t="s">
        <v>709</v>
      </c>
      <c r="J187" s="218">
        <v>1</v>
      </c>
      <c r="K187" s="218" t="s">
        <v>37</v>
      </c>
      <c r="L187" s="218" t="s">
        <v>72</v>
      </c>
      <c r="M187" s="218" t="s">
        <v>73</v>
      </c>
      <c r="N187" s="218">
        <v>165044</v>
      </c>
      <c r="O187" s="219"/>
      <c r="P187" s="219"/>
      <c r="Q187" s="219"/>
      <c r="R187" s="219"/>
      <c r="S187" s="220"/>
      <c r="T187" s="220">
        <v>46104</v>
      </c>
      <c r="U187" s="220">
        <v>46120</v>
      </c>
      <c r="V187" s="219" t="s">
        <v>56</v>
      </c>
      <c r="W187" s="221">
        <v>42.46</v>
      </c>
      <c r="X187" s="221">
        <f>Table2[[#This Row],[QUANTIDADE]]*Table2[[#This Row],[PREÇO UNITARIO]]</f>
        <v>42.46</v>
      </c>
      <c r="Y187" s="219"/>
      <c r="Z187" s="219">
        <f t="shared" si="4"/>
        <v>2</v>
      </c>
      <c r="AA187" s="219" t="s">
        <v>42</v>
      </c>
      <c r="AB187" s="220">
        <f t="shared" ca="1" si="5"/>
        <v>46235</v>
      </c>
      <c r="AC187" s="219">
        <f ca="1">_xlfn.DAYS(Table2[[#This Row],[HOJE]],Table2[[#This Row],[DATA PEDIDO HP]])</f>
        <v>156</v>
      </c>
      <c r="AD187" s="219" t="str">
        <f>IF(Table2[[#This Row],[STATUS2]]="ENTREGUE","ENTREGUE","")</f>
        <v>ENTREGUE</v>
      </c>
      <c r="AE187" s="219" t="s">
        <v>43</v>
      </c>
    </row>
    <row r="188" spans="1:31" ht="14.45">
      <c r="A188" s="233" t="s">
        <v>707</v>
      </c>
      <c r="B188" s="217">
        <v>46079</v>
      </c>
      <c r="C188" s="217">
        <v>46079</v>
      </c>
      <c r="D188" s="218" t="s">
        <v>708</v>
      </c>
      <c r="E188" s="218" t="s">
        <v>191</v>
      </c>
      <c r="F188" s="218" t="s">
        <v>95</v>
      </c>
      <c r="G188" s="218">
        <v>60001111</v>
      </c>
      <c r="H188" s="218" t="s">
        <v>82</v>
      </c>
      <c r="I188" s="218" t="s">
        <v>83</v>
      </c>
      <c r="J188" s="218">
        <v>1</v>
      </c>
      <c r="K188" s="218" t="s">
        <v>37</v>
      </c>
      <c r="L188" s="218" t="s">
        <v>72</v>
      </c>
      <c r="M188" s="218" t="s">
        <v>73</v>
      </c>
      <c r="N188" s="218">
        <v>165044</v>
      </c>
      <c r="O188" s="219"/>
      <c r="P188" s="219"/>
      <c r="Q188" s="219"/>
      <c r="R188" s="219"/>
      <c r="S188" s="220"/>
      <c r="T188" s="220">
        <v>46104</v>
      </c>
      <c r="U188" s="220">
        <v>46120</v>
      </c>
      <c r="V188" s="219" t="s">
        <v>56</v>
      </c>
      <c r="W188" s="221">
        <v>19.600000000000001</v>
      </c>
      <c r="X188" s="221">
        <f>Table2[[#This Row],[QUANTIDADE]]*Table2[[#This Row],[PREÇO UNITARIO]]</f>
        <v>19.600000000000001</v>
      </c>
      <c r="Y188" s="219"/>
      <c r="Z188" s="219">
        <f t="shared" si="4"/>
        <v>2</v>
      </c>
      <c r="AA188" s="219" t="s">
        <v>42</v>
      </c>
      <c r="AB188" s="220">
        <f t="shared" ca="1" si="5"/>
        <v>46235</v>
      </c>
      <c r="AC188" s="219">
        <f ca="1">_xlfn.DAYS(Table2[[#This Row],[HOJE]],Table2[[#This Row],[DATA PEDIDO HP]])</f>
        <v>156</v>
      </c>
      <c r="AD188" s="219" t="str">
        <f>IF(Table2[[#This Row],[STATUS2]]="ENTREGUE","ENTREGUE","")</f>
        <v>ENTREGUE</v>
      </c>
      <c r="AE188" s="219" t="s">
        <v>43</v>
      </c>
    </row>
    <row r="189" spans="1:31" ht="14.45">
      <c r="A189" s="233" t="s">
        <v>707</v>
      </c>
      <c r="B189" s="217">
        <v>46079</v>
      </c>
      <c r="C189" s="217">
        <v>46079</v>
      </c>
      <c r="D189" s="218" t="s">
        <v>708</v>
      </c>
      <c r="E189" s="218" t="s">
        <v>191</v>
      </c>
      <c r="F189" s="218" t="s">
        <v>95</v>
      </c>
      <c r="G189" s="218">
        <v>60001111</v>
      </c>
      <c r="H189" s="218" t="s">
        <v>150</v>
      </c>
      <c r="I189" s="218" t="s">
        <v>196</v>
      </c>
      <c r="J189" s="218">
        <v>1</v>
      </c>
      <c r="K189" s="218" t="s">
        <v>37</v>
      </c>
      <c r="L189" s="218" t="s">
        <v>72</v>
      </c>
      <c r="M189" s="218" t="s">
        <v>73</v>
      </c>
      <c r="N189" s="218">
        <v>165077</v>
      </c>
      <c r="O189" s="219"/>
      <c r="P189" s="219"/>
      <c r="Q189" s="219"/>
      <c r="R189" s="219"/>
      <c r="S189" s="220"/>
      <c r="T189" s="220">
        <v>46104</v>
      </c>
      <c r="U189" s="220">
        <v>46120</v>
      </c>
      <c r="V189" s="219" t="s">
        <v>56</v>
      </c>
      <c r="W189" s="221">
        <v>9.92</v>
      </c>
      <c r="X189" s="221">
        <f>Table2[[#This Row],[QUANTIDADE]]*Table2[[#This Row],[PREÇO UNITARIO]]</f>
        <v>9.92</v>
      </c>
      <c r="Y189" s="219"/>
      <c r="Z189" s="219">
        <f t="shared" si="4"/>
        <v>2</v>
      </c>
      <c r="AA189" s="219" t="s">
        <v>42</v>
      </c>
      <c r="AB189" s="220">
        <f t="shared" ca="1" si="5"/>
        <v>46235</v>
      </c>
      <c r="AC189" s="219">
        <f ca="1">_xlfn.DAYS(Table2[[#This Row],[HOJE]],Table2[[#This Row],[DATA PEDIDO HP]])</f>
        <v>156</v>
      </c>
      <c r="AD189" s="219" t="str">
        <f>IF(Table2[[#This Row],[STATUS2]]="ENTREGUE","ENTREGUE","")</f>
        <v>ENTREGUE</v>
      </c>
      <c r="AE189" s="219" t="s">
        <v>43</v>
      </c>
    </row>
    <row r="190" spans="1:31" ht="14.45">
      <c r="A190" s="233" t="s">
        <v>710</v>
      </c>
      <c r="B190" s="217">
        <v>46079</v>
      </c>
      <c r="C190" s="217">
        <v>46079</v>
      </c>
      <c r="D190" s="218" t="s">
        <v>711</v>
      </c>
      <c r="E190" s="218" t="s">
        <v>88</v>
      </c>
      <c r="F190" s="218" t="s">
        <v>34</v>
      </c>
      <c r="G190" s="218">
        <v>50110057</v>
      </c>
      <c r="H190" s="218" t="s">
        <v>712</v>
      </c>
      <c r="I190" s="218" t="s">
        <v>713</v>
      </c>
      <c r="J190" s="218">
        <v>1</v>
      </c>
      <c r="K190" s="218" t="s">
        <v>269</v>
      </c>
      <c r="L190" s="218" t="s">
        <v>714</v>
      </c>
      <c r="M190" s="218" t="s">
        <v>73</v>
      </c>
      <c r="N190" s="218">
        <v>164252</v>
      </c>
      <c r="O190" s="219"/>
      <c r="P190" s="219"/>
      <c r="Q190" s="219"/>
      <c r="R190" s="219"/>
      <c r="S190" s="220"/>
      <c r="T190" s="220">
        <v>46104</v>
      </c>
      <c r="U190" s="220">
        <v>46120</v>
      </c>
      <c r="V190" s="219" t="s">
        <v>56</v>
      </c>
      <c r="W190" s="221">
        <v>152.97</v>
      </c>
      <c r="X190" s="221">
        <f>Table2[[#This Row],[QUANTIDADE]]*Table2[[#This Row],[PREÇO UNITARIO]]</f>
        <v>152.97</v>
      </c>
      <c r="Y190" s="219"/>
      <c r="Z190" s="219">
        <f t="shared" si="4"/>
        <v>2</v>
      </c>
      <c r="AA190" s="219" t="s">
        <v>42</v>
      </c>
      <c r="AB190" s="220">
        <f t="shared" ca="1" si="5"/>
        <v>46235</v>
      </c>
      <c r="AC190" s="219">
        <f ca="1">_xlfn.DAYS(Table2[[#This Row],[HOJE]],Table2[[#This Row],[DATA PEDIDO HP]])</f>
        <v>156</v>
      </c>
      <c r="AD190" s="219" t="str">
        <f>IF(Table2[[#This Row],[STATUS2]]="ENTREGUE","ENTREGUE","")</f>
        <v>ENTREGUE</v>
      </c>
      <c r="AE190" s="219" t="s">
        <v>43</v>
      </c>
    </row>
    <row r="191" spans="1:31" ht="14.45">
      <c r="A191" s="233" t="s">
        <v>715</v>
      </c>
      <c r="B191" s="217">
        <v>46079</v>
      </c>
      <c r="C191" s="217">
        <v>46079</v>
      </c>
      <c r="D191" s="218" t="s">
        <v>716</v>
      </c>
      <c r="E191" s="218" t="s">
        <v>33</v>
      </c>
      <c r="F191" s="218" t="s">
        <v>34</v>
      </c>
      <c r="G191" s="218">
        <v>50110372</v>
      </c>
      <c r="H191" s="218" t="s">
        <v>717</v>
      </c>
      <c r="I191" s="218" t="s">
        <v>718</v>
      </c>
      <c r="J191" s="218">
        <v>1</v>
      </c>
      <c r="K191" s="218" t="s">
        <v>37</v>
      </c>
      <c r="L191" s="218" t="s">
        <v>72</v>
      </c>
      <c r="M191" s="218" t="s">
        <v>73</v>
      </c>
      <c r="N191" s="218">
        <v>165242</v>
      </c>
      <c r="O191" s="219"/>
      <c r="P191" s="219"/>
      <c r="Q191" s="219"/>
      <c r="R191" s="219" t="s">
        <v>719</v>
      </c>
      <c r="S191" s="220"/>
      <c r="T191" s="220">
        <v>46104</v>
      </c>
      <c r="U191" s="220">
        <v>46120</v>
      </c>
      <c r="V191" s="219" t="s">
        <v>56</v>
      </c>
      <c r="W191" s="221">
        <v>11.74</v>
      </c>
      <c r="X191" s="221">
        <f>Table2[[#This Row],[QUANTIDADE]]*Table2[[#This Row],[PREÇO UNITARIO]]</f>
        <v>11.74</v>
      </c>
      <c r="Y191" s="219"/>
      <c r="Z191" s="219">
        <f t="shared" si="4"/>
        <v>2</v>
      </c>
      <c r="AA191" s="219" t="s">
        <v>42</v>
      </c>
      <c r="AB191" s="220">
        <f t="shared" ca="1" si="5"/>
        <v>46235</v>
      </c>
      <c r="AC191" s="219">
        <f ca="1">_xlfn.DAYS(Table2[[#This Row],[HOJE]],Table2[[#This Row],[DATA PEDIDO HP]])</f>
        <v>156</v>
      </c>
      <c r="AD191" s="219" t="str">
        <f>IF(Table2[[#This Row],[STATUS2]]="ENTREGUE","ENTREGUE","")</f>
        <v>ENTREGUE</v>
      </c>
      <c r="AE191" s="219" t="s">
        <v>43</v>
      </c>
    </row>
    <row r="192" spans="1:31" ht="14.45">
      <c r="A192" s="233" t="s">
        <v>720</v>
      </c>
      <c r="B192" s="217">
        <v>46079</v>
      </c>
      <c r="C192" s="217">
        <v>46079</v>
      </c>
      <c r="D192" s="218" t="s">
        <v>721</v>
      </c>
      <c r="E192" s="218" t="s">
        <v>94</v>
      </c>
      <c r="F192" s="218" t="s">
        <v>95</v>
      </c>
      <c r="G192" s="218">
        <v>60002072</v>
      </c>
      <c r="H192" s="218" t="s">
        <v>201</v>
      </c>
      <c r="I192" s="218" t="s">
        <v>722</v>
      </c>
      <c r="J192" s="218">
        <v>1</v>
      </c>
      <c r="K192" s="218" t="s">
        <v>37</v>
      </c>
      <c r="L192" s="218" t="s">
        <v>72</v>
      </c>
      <c r="M192" s="218" t="s">
        <v>73</v>
      </c>
      <c r="N192" s="218">
        <v>165012</v>
      </c>
      <c r="O192" s="219"/>
      <c r="P192" s="219"/>
      <c r="Q192" s="219"/>
      <c r="R192" s="219" t="s">
        <v>723</v>
      </c>
      <c r="S192" s="220">
        <v>46087</v>
      </c>
      <c r="T192" s="220">
        <v>46133</v>
      </c>
      <c r="U192" s="220">
        <v>46168</v>
      </c>
      <c r="V192" s="219" t="s">
        <v>554</v>
      </c>
      <c r="W192" s="221">
        <v>1665.75</v>
      </c>
      <c r="X192" s="221">
        <f>Table2[[#This Row],[QUANTIDADE]]*Table2[[#This Row],[PREÇO UNITARIO]]</f>
        <v>1665.75</v>
      </c>
      <c r="Y192" s="219"/>
      <c r="Z192" s="219">
        <f t="shared" si="4"/>
        <v>2</v>
      </c>
      <c r="AA192" s="219" t="s">
        <v>74</v>
      </c>
      <c r="AB192" s="220">
        <f t="shared" ca="1" si="5"/>
        <v>46235</v>
      </c>
      <c r="AC192" s="219">
        <f ca="1">_xlfn.DAYS(Table2[[#This Row],[HOJE]],Table2[[#This Row],[DATA PEDIDO HP]])</f>
        <v>156</v>
      </c>
      <c r="AD192" s="219" t="str">
        <f>IF(Table2[[#This Row],[STATUS2]]="ENTREGUE","ENTREGUE","")</f>
        <v>ENTREGUE</v>
      </c>
      <c r="AE192" s="219" t="s">
        <v>43</v>
      </c>
    </row>
    <row r="193" spans="1:31" ht="14.45">
      <c r="A193" s="233" t="s">
        <v>724</v>
      </c>
      <c r="B193" s="217">
        <v>46079</v>
      </c>
      <c r="C193" s="217">
        <v>46079</v>
      </c>
      <c r="D193" s="218" t="s">
        <v>725</v>
      </c>
      <c r="E193" s="218" t="s">
        <v>101</v>
      </c>
      <c r="F193" s="218" t="s">
        <v>102</v>
      </c>
      <c r="G193" s="218">
        <v>51000136</v>
      </c>
      <c r="H193" s="218" t="s">
        <v>417</v>
      </c>
      <c r="I193" s="218" t="s">
        <v>567</v>
      </c>
      <c r="J193" s="218">
        <v>1</v>
      </c>
      <c r="K193" s="218" t="s">
        <v>37</v>
      </c>
      <c r="L193" s="218" t="s">
        <v>72</v>
      </c>
      <c r="M193" s="218" t="s">
        <v>73</v>
      </c>
      <c r="N193" s="218">
        <v>164912</v>
      </c>
      <c r="O193" s="219"/>
      <c r="P193" s="219"/>
      <c r="Q193" s="219"/>
      <c r="R193" s="219"/>
      <c r="S193" s="220"/>
      <c r="T193" s="220">
        <v>46104</v>
      </c>
      <c r="U193" s="220">
        <v>46120</v>
      </c>
      <c r="V193" s="219" t="s">
        <v>56</v>
      </c>
      <c r="W193" s="221">
        <v>260.14999999999998</v>
      </c>
      <c r="X193" s="221">
        <f>Table2[[#This Row],[QUANTIDADE]]*Table2[[#This Row],[PREÇO UNITARIO]]</f>
        <v>260.14999999999998</v>
      </c>
      <c r="Y193" s="219"/>
      <c r="Z193" s="219">
        <f t="shared" si="4"/>
        <v>2</v>
      </c>
      <c r="AA193" s="219" t="s">
        <v>42</v>
      </c>
      <c r="AB193" s="220">
        <f t="shared" ca="1" si="5"/>
        <v>46235</v>
      </c>
      <c r="AC193" s="219">
        <f ca="1">_xlfn.DAYS(Table2[[#This Row],[HOJE]],Table2[[#This Row],[DATA PEDIDO HP]])</f>
        <v>156</v>
      </c>
      <c r="AD193" s="219" t="str">
        <f>IF(Table2[[#This Row],[STATUS2]]="ENTREGUE","ENTREGUE","")</f>
        <v>ENTREGUE</v>
      </c>
      <c r="AE193" s="219" t="s">
        <v>43</v>
      </c>
    </row>
    <row r="194" spans="1:31" ht="14.45">
      <c r="A194" s="233" t="s">
        <v>726</v>
      </c>
      <c r="B194" s="217">
        <v>46079</v>
      </c>
      <c r="C194" s="217">
        <v>46079</v>
      </c>
      <c r="D194" s="218" t="s">
        <v>727</v>
      </c>
      <c r="E194" s="218" t="s">
        <v>613</v>
      </c>
      <c r="F194" s="218" t="s">
        <v>135</v>
      </c>
      <c r="G194" s="218">
        <v>48500271</v>
      </c>
      <c r="H194" s="218" t="s">
        <v>446</v>
      </c>
      <c r="I194" s="218" t="s">
        <v>509</v>
      </c>
      <c r="J194" s="218">
        <v>1</v>
      </c>
      <c r="K194" s="218" t="s">
        <v>37</v>
      </c>
      <c r="L194" s="218" t="s">
        <v>72</v>
      </c>
      <c r="M194" s="218" t="s">
        <v>73</v>
      </c>
      <c r="N194" s="218">
        <v>165011</v>
      </c>
      <c r="O194" s="219"/>
      <c r="P194" s="219"/>
      <c r="Q194" s="219"/>
      <c r="R194" s="219"/>
      <c r="S194" s="220"/>
      <c r="T194" s="220">
        <v>46104</v>
      </c>
      <c r="U194" s="220">
        <v>46120</v>
      </c>
      <c r="V194" s="219" t="s">
        <v>56</v>
      </c>
      <c r="W194" s="221">
        <v>431.82</v>
      </c>
      <c r="X194" s="221">
        <f>Table2[[#This Row],[QUANTIDADE]]*Table2[[#This Row],[PREÇO UNITARIO]]</f>
        <v>431.82</v>
      </c>
      <c r="Y194" s="219"/>
      <c r="Z194" s="219">
        <f t="shared" ref="Z194:Z257" si="6">MONTH(B194)</f>
        <v>2</v>
      </c>
      <c r="AA194" s="219" t="s">
        <v>74</v>
      </c>
      <c r="AB194" s="220">
        <f t="shared" ref="AB194:AB257" ca="1" si="7">TODAY()</f>
        <v>46235</v>
      </c>
      <c r="AC194" s="219">
        <f ca="1">_xlfn.DAYS(Table2[[#This Row],[HOJE]],Table2[[#This Row],[DATA PEDIDO HP]])</f>
        <v>156</v>
      </c>
      <c r="AD194" s="219" t="str">
        <f>IF(Table2[[#This Row],[STATUS2]]="ENTREGUE","ENTREGUE","")</f>
        <v>ENTREGUE</v>
      </c>
      <c r="AE194" s="219" t="s">
        <v>43</v>
      </c>
    </row>
    <row r="195" spans="1:31" ht="14.45">
      <c r="A195" s="233" t="s">
        <v>726</v>
      </c>
      <c r="B195" s="217">
        <v>46079</v>
      </c>
      <c r="C195" s="217">
        <v>46079</v>
      </c>
      <c r="D195" s="218" t="s">
        <v>727</v>
      </c>
      <c r="E195" s="218" t="s">
        <v>613</v>
      </c>
      <c r="F195" s="218" t="s">
        <v>135</v>
      </c>
      <c r="G195" s="218">
        <v>48500271</v>
      </c>
      <c r="H195" s="218" t="s">
        <v>335</v>
      </c>
      <c r="I195" s="218" t="s">
        <v>728</v>
      </c>
      <c r="J195" s="218">
        <v>1</v>
      </c>
      <c r="K195" s="218" t="s">
        <v>37</v>
      </c>
      <c r="L195" s="218" t="s">
        <v>72</v>
      </c>
      <c r="M195" s="218" t="s">
        <v>73</v>
      </c>
      <c r="N195" s="218">
        <v>165011</v>
      </c>
      <c r="O195" s="219"/>
      <c r="P195" s="219"/>
      <c r="Q195" s="219"/>
      <c r="R195" s="219"/>
      <c r="S195" s="220"/>
      <c r="T195" s="220">
        <v>46104</v>
      </c>
      <c r="U195" s="220">
        <v>46120</v>
      </c>
      <c r="V195" s="219" t="s">
        <v>56</v>
      </c>
      <c r="W195" s="221">
        <v>17.28</v>
      </c>
      <c r="X195" s="221">
        <f>Table2[[#This Row],[QUANTIDADE]]*Table2[[#This Row],[PREÇO UNITARIO]]</f>
        <v>17.28</v>
      </c>
      <c r="Y195" s="219"/>
      <c r="Z195" s="219">
        <f t="shared" si="6"/>
        <v>2</v>
      </c>
      <c r="AA195" s="219" t="s">
        <v>74</v>
      </c>
      <c r="AB195" s="220">
        <f t="shared" ca="1" si="7"/>
        <v>46235</v>
      </c>
      <c r="AC195" s="219">
        <f ca="1">_xlfn.DAYS(Table2[[#This Row],[HOJE]],Table2[[#This Row],[DATA PEDIDO HP]])</f>
        <v>156</v>
      </c>
      <c r="AD195" s="219" t="str">
        <f>IF(Table2[[#This Row],[STATUS2]]="ENTREGUE","ENTREGUE","")</f>
        <v>ENTREGUE</v>
      </c>
      <c r="AE195" s="219" t="s">
        <v>43</v>
      </c>
    </row>
    <row r="196" spans="1:31" ht="14.45">
      <c r="A196" s="233" t="s">
        <v>729</v>
      </c>
      <c r="B196" s="217">
        <v>46080</v>
      </c>
      <c r="C196" s="217">
        <v>46080</v>
      </c>
      <c r="D196" s="218" t="s">
        <v>730</v>
      </c>
      <c r="E196" s="218" t="s">
        <v>125</v>
      </c>
      <c r="F196" s="218" t="s">
        <v>34</v>
      </c>
      <c r="G196" s="218">
        <v>50110193</v>
      </c>
      <c r="H196" s="218" t="s">
        <v>731</v>
      </c>
      <c r="I196" s="218" t="s">
        <v>732</v>
      </c>
      <c r="J196" s="218">
        <v>1</v>
      </c>
      <c r="K196" s="218" t="s">
        <v>37</v>
      </c>
      <c r="L196" s="218" t="s">
        <v>72</v>
      </c>
      <c r="M196" s="218" t="s">
        <v>81</v>
      </c>
      <c r="N196" s="218">
        <v>165341</v>
      </c>
      <c r="O196" s="219"/>
      <c r="P196" s="219"/>
      <c r="Q196" s="219"/>
      <c r="R196" s="219"/>
      <c r="S196" s="220">
        <v>46153</v>
      </c>
      <c r="T196" s="220">
        <v>46104</v>
      </c>
      <c r="U196" s="220">
        <v>46120</v>
      </c>
      <c r="V196" s="219" t="s">
        <v>56</v>
      </c>
      <c r="W196" s="221">
        <v>418.07</v>
      </c>
      <c r="X196" s="221">
        <f>Table2[[#This Row],[QUANTIDADE]]*Table2[[#This Row],[PREÇO UNITARIO]]</f>
        <v>418.07</v>
      </c>
      <c r="Y196" s="219"/>
      <c r="Z196" s="219">
        <f t="shared" si="6"/>
        <v>2</v>
      </c>
      <c r="AA196" s="219" t="s">
        <v>42</v>
      </c>
      <c r="AB196" s="220">
        <f t="shared" ca="1" si="7"/>
        <v>46235</v>
      </c>
      <c r="AC196" s="219">
        <f ca="1">_xlfn.DAYS(Table2[[#This Row],[HOJE]],Table2[[#This Row],[DATA PEDIDO HP]])</f>
        <v>155</v>
      </c>
      <c r="AD196" s="219" t="str">
        <f>IF(Table2[[#This Row],[STATUS2]]="ENTREGUE","ENTREGUE","")</f>
        <v>ENTREGUE</v>
      </c>
      <c r="AE196" s="219" t="s">
        <v>43</v>
      </c>
    </row>
    <row r="197" spans="1:31" ht="14.45">
      <c r="A197" s="233" t="s">
        <v>733</v>
      </c>
      <c r="B197" s="217">
        <v>46080</v>
      </c>
      <c r="C197" s="217">
        <v>46080</v>
      </c>
      <c r="D197" s="218" t="s">
        <v>734</v>
      </c>
      <c r="E197" s="218" t="s">
        <v>33</v>
      </c>
      <c r="F197" s="218" t="s">
        <v>34</v>
      </c>
      <c r="G197" s="218">
        <v>50110372</v>
      </c>
      <c r="H197" s="218" t="s">
        <v>735</v>
      </c>
      <c r="I197" s="218" t="s">
        <v>736</v>
      </c>
      <c r="J197" s="218">
        <v>1</v>
      </c>
      <c r="K197" s="218" t="s">
        <v>37</v>
      </c>
      <c r="L197" s="218" t="s">
        <v>441</v>
      </c>
      <c r="M197" s="218" t="s">
        <v>39</v>
      </c>
      <c r="N197" s="218"/>
      <c r="O197" s="219"/>
      <c r="P197" s="219"/>
      <c r="Q197" s="219"/>
      <c r="R197" s="219"/>
      <c r="S197" s="220">
        <v>46153</v>
      </c>
      <c r="T197" s="220">
        <v>46104</v>
      </c>
      <c r="U197" s="220">
        <v>46120</v>
      </c>
      <c r="V197" s="219" t="s">
        <v>56</v>
      </c>
      <c r="W197" s="221">
        <v>362.55</v>
      </c>
      <c r="X197" s="221">
        <f>Table2[[#This Row],[QUANTIDADE]]*Table2[[#This Row],[PREÇO UNITARIO]]</f>
        <v>362.55</v>
      </c>
      <c r="Y197" s="219"/>
      <c r="Z197" s="219">
        <f t="shared" si="6"/>
        <v>2</v>
      </c>
      <c r="AA197" s="219" t="s">
        <v>42</v>
      </c>
      <c r="AB197" s="220">
        <f t="shared" ca="1" si="7"/>
        <v>46235</v>
      </c>
      <c r="AC197" s="219">
        <f ca="1">_xlfn.DAYS(Table2[[#This Row],[HOJE]],Table2[[#This Row],[DATA PEDIDO HP]])</f>
        <v>155</v>
      </c>
      <c r="AD197" s="219" t="str">
        <f>IF(Table2[[#This Row],[STATUS2]]="ENTREGUE","ENTREGUE","")</f>
        <v>ENTREGUE</v>
      </c>
      <c r="AE197" s="219" t="s">
        <v>43</v>
      </c>
    </row>
    <row r="198" spans="1:31" ht="14.45">
      <c r="A198" s="233" t="s">
        <v>733</v>
      </c>
      <c r="B198" s="217">
        <v>46080</v>
      </c>
      <c r="C198" s="217">
        <v>46080</v>
      </c>
      <c r="D198" s="218" t="s">
        <v>734</v>
      </c>
      <c r="E198" s="218" t="s">
        <v>33</v>
      </c>
      <c r="F198" s="218" t="s">
        <v>34</v>
      </c>
      <c r="G198" s="218">
        <v>50110372</v>
      </c>
      <c r="H198" s="218" t="s">
        <v>737</v>
      </c>
      <c r="I198" s="218" t="s">
        <v>738</v>
      </c>
      <c r="J198" s="218">
        <v>1</v>
      </c>
      <c r="K198" s="218" t="s">
        <v>37</v>
      </c>
      <c r="L198" s="218" t="s">
        <v>441</v>
      </c>
      <c r="M198" s="218" t="s">
        <v>39</v>
      </c>
      <c r="N198" s="218"/>
      <c r="O198" s="219"/>
      <c r="P198" s="219"/>
      <c r="Q198" s="219"/>
      <c r="R198" s="219"/>
      <c r="S198" s="220">
        <v>46153</v>
      </c>
      <c r="T198" s="220">
        <v>46104</v>
      </c>
      <c r="U198" s="220">
        <v>46120</v>
      </c>
      <c r="V198" s="219" t="s">
        <v>56</v>
      </c>
      <c r="W198" s="221">
        <v>11.43</v>
      </c>
      <c r="X198" s="221">
        <f>Table2[[#This Row],[QUANTIDADE]]*Table2[[#This Row],[PREÇO UNITARIO]]</f>
        <v>11.43</v>
      </c>
      <c r="Y198" s="219"/>
      <c r="Z198" s="219">
        <f t="shared" si="6"/>
        <v>2</v>
      </c>
      <c r="AA198" s="219" t="s">
        <v>42</v>
      </c>
      <c r="AB198" s="220">
        <f t="shared" ca="1" si="7"/>
        <v>46235</v>
      </c>
      <c r="AC198" s="219">
        <f ca="1">_xlfn.DAYS(Table2[[#This Row],[HOJE]],Table2[[#This Row],[DATA PEDIDO HP]])</f>
        <v>155</v>
      </c>
      <c r="AD198" s="219" t="str">
        <f>IF(Table2[[#This Row],[STATUS2]]="ENTREGUE","ENTREGUE","")</f>
        <v>ENTREGUE</v>
      </c>
      <c r="AE198" s="219" t="s">
        <v>43</v>
      </c>
    </row>
    <row r="199" spans="1:31" ht="14.45">
      <c r="A199" s="233" t="s">
        <v>739</v>
      </c>
      <c r="B199" s="217">
        <v>46085</v>
      </c>
      <c r="C199" s="217">
        <v>46084</v>
      </c>
      <c r="D199" s="218" t="s">
        <v>740</v>
      </c>
      <c r="E199" s="218" t="s">
        <v>191</v>
      </c>
      <c r="F199" s="218" t="s">
        <v>95</v>
      </c>
      <c r="G199" s="218">
        <v>60001111</v>
      </c>
      <c r="H199" s="218" t="s">
        <v>741</v>
      </c>
      <c r="I199" s="218" t="s">
        <v>742</v>
      </c>
      <c r="J199" s="218">
        <v>1</v>
      </c>
      <c r="K199" s="218" t="s">
        <v>37</v>
      </c>
      <c r="L199" s="218" t="s">
        <v>122</v>
      </c>
      <c r="M199" s="218" t="s">
        <v>73</v>
      </c>
      <c r="N199" s="218">
        <v>165671</v>
      </c>
      <c r="O199" s="219"/>
      <c r="P199" s="218">
        <v>1</v>
      </c>
      <c r="Q199" s="219"/>
      <c r="R199" s="219"/>
      <c r="S199" s="220"/>
      <c r="T199" s="220">
        <v>46104</v>
      </c>
      <c r="U199" s="220">
        <v>46120</v>
      </c>
      <c r="V199" s="219" t="s">
        <v>56</v>
      </c>
      <c r="W199" s="221">
        <v>886.36</v>
      </c>
      <c r="X199" s="221">
        <f>Table2[[#This Row],[QUANTIDADE]]*Table2[[#This Row],[PREÇO UNITARIO]]</f>
        <v>886.36</v>
      </c>
      <c r="Y199" s="219" t="s">
        <v>42</v>
      </c>
      <c r="Z199" s="219">
        <f t="shared" si="6"/>
        <v>3</v>
      </c>
      <c r="AA199" s="219" t="s">
        <v>42</v>
      </c>
      <c r="AB199" s="220">
        <f t="shared" ca="1" si="7"/>
        <v>46235</v>
      </c>
      <c r="AC199" s="219">
        <f ca="1">_xlfn.DAYS(Table2[[#This Row],[HOJE]],Table2[[#This Row],[DATA PEDIDO HP]])</f>
        <v>150</v>
      </c>
      <c r="AD199" s="219" t="str">
        <f>IF(Table2[[#This Row],[STATUS2]]="ENTREGUE","ENTREGUE","")</f>
        <v>ENTREGUE</v>
      </c>
      <c r="AE199" s="219" t="s">
        <v>43</v>
      </c>
    </row>
    <row r="200" spans="1:31" ht="14.45">
      <c r="A200" s="233" t="s">
        <v>743</v>
      </c>
      <c r="B200" s="217">
        <v>46085</v>
      </c>
      <c r="C200" s="217">
        <v>46085</v>
      </c>
      <c r="D200" s="218" t="s">
        <v>744</v>
      </c>
      <c r="E200" s="218" t="s">
        <v>745</v>
      </c>
      <c r="F200" s="218" t="s">
        <v>746</v>
      </c>
      <c r="G200" s="218">
        <v>52010031</v>
      </c>
      <c r="H200" s="218" t="s">
        <v>747</v>
      </c>
      <c r="I200" s="218" t="s">
        <v>748</v>
      </c>
      <c r="J200" s="218">
        <v>1</v>
      </c>
      <c r="K200" s="218" t="s">
        <v>269</v>
      </c>
      <c r="L200" s="218" t="s">
        <v>98</v>
      </c>
      <c r="M200" s="218" t="s">
        <v>39</v>
      </c>
      <c r="N200" s="218"/>
      <c r="O200" s="219"/>
      <c r="P200" s="218">
        <v>2</v>
      </c>
      <c r="Q200" s="219"/>
      <c r="R200" s="219"/>
      <c r="S200" s="220">
        <v>46202</v>
      </c>
      <c r="T200" s="220">
        <v>46168</v>
      </c>
      <c r="U200" s="220">
        <v>46185</v>
      </c>
      <c r="V200" s="219" t="s">
        <v>41</v>
      </c>
      <c r="W200" s="221">
        <v>2866.08</v>
      </c>
      <c r="X200" s="221">
        <f>Table2[[#This Row],[QUANTIDADE]]*Table2[[#This Row],[PREÇO UNITARIO]]</f>
        <v>2866.08</v>
      </c>
      <c r="Y200" s="219"/>
      <c r="Z200" s="219">
        <f t="shared" si="6"/>
        <v>3</v>
      </c>
      <c r="AA200" s="219" t="s">
        <v>42</v>
      </c>
      <c r="AB200" s="220">
        <f t="shared" ca="1" si="7"/>
        <v>46235</v>
      </c>
      <c r="AC200" s="219">
        <f ca="1">_xlfn.DAYS(Table2[[#This Row],[HOJE]],Table2[[#This Row],[DATA PEDIDO HP]])</f>
        <v>150</v>
      </c>
      <c r="AD200" s="219" t="str">
        <f>IF(Table2[[#This Row],[STATUS2]]="ENTREGUE","ENTREGUE","")</f>
        <v>ENTREGUE</v>
      </c>
      <c r="AE200" s="219" t="s">
        <v>43</v>
      </c>
    </row>
    <row r="201" spans="1:31" ht="14.45">
      <c r="A201" s="233" t="s">
        <v>743</v>
      </c>
      <c r="B201" s="217">
        <v>46085</v>
      </c>
      <c r="C201" s="217">
        <v>46085</v>
      </c>
      <c r="D201" s="218" t="s">
        <v>744</v>
      </c>
      <c r="E201" s="218" t="s">
        <v>749</v>
      </c>
      <c r="F201" s="218" t="s">
        <v>746</v>
      </c>
      <c r="G201" s="218">
        <v>52010031</v>
      </c>
      <c r="H201" s="218" t="s">
        <v>750</v>
      </c>
      <c r="I201" s="218" t="s">
        <v>751</v>
      </c>
      <c r="J201" s="218">
        <v>1</v>
      </c>
      <c r="K201" s="218" t="s">
        <v>269</v>
      </c>
      <c r="L201" s="218" t="s">
        <v>98</v>
      </c>
      <c r="M201" s="218" t="s">
        <v>73</v>
      </c>
      <c r="N201" s="218"/>
      <c r="O201" s="219"/>
      <c r="P201" s="218">
        <v>1</v>
      </c>
      <c r="Q201" s="219"/>
      <c r="R201" s="219"/>
      <c r="S201" s="220"/>
      <c r="T201" s="220">
        <v>46104</v>
      </c>
      <c r="U201" s="220">
        <v>46120</v>
      </c>
      <c r="V201" s="219" t="s">
        <v>56</v>
      </c>
      <c r="W201" s="221">
        <v>1407.73</v>
      </c>
      <c r="X201" s="221">
        <f>Table2[[#This Row],[QUANTIDADE]]*Table2[[#This Row],[PREÇO UNITARIO]]</f>
        <v>1407.73</v>
      </c>
      <c r="Y201" s="219"/>
      <c r="Z201" s="219">
        <f t="shared" si="6"/>
        <v>3</v>
      </c>
      <c r="AA201" s="219" t="s">
        <v>42</v>
      </c>
      <c r="AB201" s="220">
        <f t="shared" ca="1" si="7"/>
        <v>46235</v>
      </c>
      <c r="AC201" s="219">
        <f ca="1">_xlfn.DAYS(Table2[[#This Row],[HOJE]],Table2[[#This Row],[DATA PEDIDO HP]])</f>
        <v>150</v>
      </c>
      <c r="AD201" s="219" t="str">
        <f>IF(Table2[[#This Row],[STATUS2]]="ENTREGUE","ENTREGUE","")</f>
        <v>ENTREGUE</v>
      </c>
      <c r="AE201" s="219" t="s">
        <v>43</v>
      </c>
    </row>
    <row r="202" spans="1:31" ht="14.45">
      <c r="A202" s="233" t="s">
        <v>743</v>
      </c>
      <c r="B202" s="217">
        <v>46085</v>
      </c>
      <c r="C202" s="217">
        <v>46085</v>
      </c>
      <c r="D202" s="218" t="s">
        <v>744</v>
      </c>
      <c r="E202" s="218" t="s">
        <v>745</v>
      </c>
      <c r="F202" s="218" t="s">
        <v>746</v>
      </c>
      <c r="G202" s="218">
        <v>52010031</v>
      </c>
      <c r="H202" s="218" t="s">
        <v>752</v>
      </c>
      <c r="I202" s="218" t="s">
        <v>753</v>
      </c>
      <c r="J202" s="218">
        <v>1</v>
      </c>
      <c r="K202" s="218" t="s">
        <v>269</v>
      </c>
      <c r="L202" s="218" t="s">
        <v>98</v>
      </c>
      <c r="M202" s="218" t="s">
        <v>39</v>
      </c>
      <c r="N202" s="218"/>
      <c r="O202" s="219"/>
      <c r="P202" s="218">
        <v>1</v>
      </c>
      <c r="Q202" s="219"/>
      <c r="R202" s="219"/>
      <c r="S202" s="220">
        <v>46135</v>
      </c>
      <c r="T202" s="220">
        <v>46104</v>
      </c>
      <c r="U202" s="220">
        <v>46120</v>
      </c>
      <c r="V202" s="219" t="s">
        <v>56</v>
      </c>
      <c r="W202" s="221">
        <v>1169.5899999999999</v>
      </c>
      <c r="X202" s="221">
        <f>Table2[[#This Row],[QUANTIDADE]]*Table2[[#This Row],[PREÇO UNITARIO]]</f>
        <v>1169.5899999999999</v>
      </c>
      <c r="Y202" s="219"/>
      <c r="Z202" s="219">
        <f t="shared" si="6"/>
        <v>3</v>
      </c>
      <c r="AA202" s="219" t="s">
        <v>42</v>
      </c>
      <c r="AB202" s="220">
        <f t="shared" ca="1" si="7"/>
        <v>46235</v>
      </c>
      <c r="AC202" s="219">
        <f ca="1">_xlfn.DAYS(Table2[[#This Row],[HOJE]],Table2[[#This Row],[DATA PEDIDO HP]])</f>
        <v>150</v>
      </c>
      <c r="AD202" s="219" t="str">
        <f>IF(Table2[[#This Row],[STATUS2]]="ENTREGUE","ENTREGUE","")</f>
        <v>ENTREGUE</v>
      </c>
      <c r="AE202" s="219" t="s">
        <v>43</v>
      </c>
    </row>
    <row r="203" spans="1:31" ht="14.45">
      <c r="A203" s="233" t="s">
        <v>743</v>
      </c>
      <c r="B203" s="217">
        <v>46085</v>
      </c>
      <c r="C203" s="217">
        <v>46085</v>
      </c>
      <c r="D203" s="218" t="s">
        <v>744</v>
      </c>
      <c r="E203" s="218" t="s">
        <v>745</v>
      </c>
      <c r="F203" s="218" t="s">
        <v>746</v>
      </c>
      <c r="G203" s="218">
        <v>52010031</v>
      </c>
      <c r="H203" s="218" t="s">
        <v>754</v>
      </c>
      <c r="I203" s="218" t="s">
        <v>755</v>
      </c>
      <c r="J203" s="218">
        <v>1</v>
      </c>
      <c r="K203" s="218" t="s">
        <v>269</v>
      </c>
      <c r="L203" s="218" t="s">
        <v>98</v>
      </c>
      <c r="M203" s="218" t="s">
        <v>39</v>
      </c>
      <c r="N203" s="218"/>
      <c r="O203" s="219"/>
      <c r="P203" s="218">
        <v>1</v>
      </c>
      <c r="Q203" s="219"/>
      <c r="R203" s="219"/>
      <c r="S203" s="220">
        <v>46135</v>
      </c>
      <c r="T203" s="220">
        <v>46104</v>
      </c>
      <c r="U203" s="220">
        <v>46120</v>
      </c>
      <c r="V203" s="219" t="s">
        <v>56</v>
      </c>
      <c r="W203" s="221">
        <v>404.45</v>
      </c>
      <c r="X203" s="221">
        <f>Table2[[#This Row],[QUANTIDADE]]*Table2[[#This Row],[PREÇO UNITARIO]]</f>
        <v>404.45</v>
      </c>
      <c r="Y203" s="219"/>
      <c r="Z203" s="219">
        <f t="shared" si="6"/>
        <v>3</v>
      </c>
      <c r="AA203" s="219" t="s">
        <v>42</v>
      </c>
      <c r="AB203" s="220">
        <f t="shared" ca="1" si="7"/>
        <v>46235</v>
      </c>
      <c r="AC203" s="219">
        <f ca="1">_xlfn.DAYS(Table2[[#This Row],[HOJE]],Table2[[#This Row],[DATA PEDIDO HP]])</f>
        <v>150</v>
      </c>
      <c r="AD203" s="219" t="str">
        <f>IF(Table2[[#This Row],[STATUS2]]="ENTREGUE","ENTREGUE","")</f>
        <v>ENTREGUE</v>
      </c>
      <c r="AE203" s="219" t="s">
        <v>43</v>
      </c>
    </row>
    <row r="204" spans="1:31" ht="14.45">
      <c r="A204" s="233" t="s">
        <v>743</v>
      </c>
      <c r="B204" s="217">
        <v>46085</v>
      </c>
      <c r="C204" s="217">
        <v>46085</v>
      </c>
      <c r="D204" s="218" t="s">
        <v>744</v>
      </c>
      <c r="E204" s="218" t="s">
        <v>745</v>
      </c>
      <c r="F204" s="218" t="s">
        <v>746</v>
      </c>
      <c r="G204" s="218">
        <v>52010031</v>
      </c>
      <c r="H204" s="218" t="s">
        <v>756</v>
      </c>
      <c r="I204" s="218" t="s">
        <v>757</v>
      </c>
      <c r="J204" s="218">
        <v>1</v>
      </c>
      <c r="K204" s="218" t="s">
        <v>269</v>
      </c>
      <c r="L204" s="218" t="s">
        <v>98</v>
      </c>
      <c r="M204" s="218" t="s">
        <v>39</v>
      </c>
      <c r="N204" s="218"/>
      <c r="O204" s="219"/>
      <c r="P204" s="218">
        <v>1</v>
      </c>
      <c r="Q204" s="219"/>
      <c r="R204" s="219"/>
      <c r="S204" s="220">
        <v>46135</v>
      </c>
      <c r="T204" s="220">
        <v>46104</v>
      </c>
      <c r="U204" s="220">
        <v>46120</v>
      </c>
      <c r="V204" s="219" t="s">
        <v>56</v>
      </c>
      <c r="W204" s="221">
        <v>31.03</v>
      </c>
      <c r="X204" s="221">
        <f>Table2[[#This Row],[QUANTIDADE]]*Table2[[#This Row],[PREÇO UNITARIO]]</f>
        <v>31.03</v>
      </c>
      <c r="Y204" s="219"/>
      <c r="Z204" s="219">
        <f t="shared" si="6"/>
        <v>3</v>
      </c>
      <c r="AA204" s="219" t="s">
        <v>42</v>
      </c>
      <c r="AB204" s="220">
        <f t="shared" ca="1" si="7"/>
        <v>46235</v>
      </c>
      <c r="AC204" s="219">
        <f ca="1">_xlfn.DAYS(Table2[[#This Row],[HOJE]],Table2[[#This Row],[DATA PEDIDO HP]])</f>
        <v>150</v>
      </c>
      <c r="AD204" s="219" t="str">
        <f>IF(Table2[[#This Row],[STATUS2]]="ENTREGUE","ENTREGUE","")</f>
        <v>ENTREGUE</v>
      </c>
      <c r="AE204" s="219" t="s">
        <v>43</v>
      </c>
    </row>
    <row r="205" spans="1:31" ht="14.45">
      <c r="A205" s="233" t="s">
        <v>758</v>
      </c>
      <c r="B205" s="217">
        <v>46085</v>
      </c>
      <c r="C205" s="217">
        <v>46085</v>
      </c>
      <c r="D205" s="218" t="s">
        <v>759</v>
      </c>
      <c r="E205" s="218" t="s">
        <v>191</v>
      </c>
      <c r="F205" s="218" t="s">
        <v>95</v>
      </c>
      <c r="G205" s="218">
        <v>60001111</v>
      </c>
      <c r="H205" s="218" t="s">
        <v>760</v>
      </c>
      <c r="I205" s="218" t="s">
        <v>761</v>
      </c>
      <c r="J205" s="218">
        <v>2</v>
      </c>
      <c r="K205" s="218" t="s">
        <v>37</v>
      </c>
      <c r="L205" s="218" t="s">
        <v>72</v>
      </c>
      <c r="M205" s="218" t="s">
        <v>39</v>
      </c>
      <c r="N205" s="218">
        <v>166100</v>
      </c>
      <c r="O205" s="219"/>
      <c r="P205" s="218">
        <v>1</v>
      </c>
      <c r="Q205" s="219"/>
      <c r="R205" s="219"/>
      <c r="S205" s="220">
        <v>46197</v>
      </c>
      <c r="T205" s="220">
        <v>46133</v>
      </c>
      <c r="U205" s="220">
        <v>46168</v>
      </c>
      <c r="V205" s="219" t="s">
        <v>554</v>
      </c>
      <c r="W205" s="221">
        <v>48.19</v>
      </c>
      <c r="X205" s="221">
        <f>Table2[[#This Row],[QUANTIDADE]]*Table2[[#This Row],[PREÇO UNITARIO]]</f>
        <v>96.38</v>
      </c>
      <c r="Y205" s="219" t="s">
        <v>42</v>
      </c>
      <c r="Z205" s="219">
        <f t="shared" si="6"/>
        <v>3</v>
      </c>
      <c r="AA205" s="219" t="s">
        <v>42</v>
      </c>
      <c r="AB205" s="220">
        <f t="shared" ca="1" si="7"/>
        <v>46235</v>
      </c>
      <c r="AC205" s="219">
        <f ca="1">_xlfn.DAYS(Table2[[#This Row],[HOJE]],Table2[[#This Row],[DATA PEDIDO HP]])</f>
        <v>150</v>
      </c>
      <c r="AD205" s="219" t="str">
        <f>IF(Table2[[#This Row],[STATUS2]]="ENTREGUE","ENTREGUE","")</f>
        <v>ENTREGUE</v>
      </c>
      <c r="AE205" s="219" t="s">
        <v>43</v>
      </c>
    </row>
    <row r="206" spans="1:31" ht="14.45">
      <c r="A206" s="233" t="s">
        <v>762</v>
      </c>
      <c r="B206" s="217">
        <v>46085</v>
      </c>
      <c r="C206" s="217">
        <v>46085</v>
      </c>
      <c r="D206" s="218" t="s">
        <v>744</v>
      </c>
      <c r="E206" s="218" t="s">
        <v>745</v>
      </c>
      <c r="F206" s="218" t="s">
        <v>746</v>
      </c>
      <c r="G206" s="218">
        <v>52010031</v>
      </c>
      <c r="H206" s="218" t="s">
        <v>763</v>
      </c>
      <c r="I206" s="218" t="s">
        <v>764</v>
      </c>
      <c r="J206" s="218">
        <v>1</v>
      </c>
      <c r="K206" s="218" t="s">
        <v>269</v>
      </c>
      <c r="L206" s="218" t="s">
        <v>98</v>
      </c>
      <c r="M206" s="218" t="s">
        <v>73</v>
      </c>
      <c r="N206" s="218"/>
      <c r="O206" s="219"/>
      <c r="P206" s="218">
        <v>1</v>
      </c>
      <c r="Q206" s="219"/>
      <c r="R206" s="219"/>
      <c r="S206" s="220"/>
      <c r="T206" s="220">
        <v>46104</v>
      </c>
      <c r="U206" s="220">
        <v>46120</v>
      </c>
      <c r="V206" s="219" t="s">
        <v>56</v>
      </c>
      <c r="W206" s="221">
        <v>284.97000000000003</v>
      </c>
      <c r="X206" s="221">
        <f>Table2[[#This Row],[QUANTIDADE]]*Table2[[#This Row],[PREÇO UNITARIO]]</f>
        <v>284.97000000000003</v>
      </c>
      <c r="Y206" s="219"/>
      <c r="Z206" s="219">
        <f t="shared" si="6"/>
        <v>3</v>
      </c>
      <c r="AA206" s="219" t="s">
        <v>42</v>
      </c>
      <c r="AB206" s="220">
        <f t="shared" ca="1" si="7"/>
        <v>46235</v>
      </c>
      <c r="AC206" s="219">
        <f ca="1">_xlfn.DAYS(Table2[[#This Row],[HOJE]],Table2[[#This Row],[DATA PEDIDO HP]])</f>
        <v>150</v>
      </c>
      <c r="AD206" s="219" t="str">
        <f>IF(Table2[[#This Row],[STATUS2]]="ENTREGUE","ENTREGUE","")</f>
        <v>ENTREGUE</v>
      </c>
      <c r="AE206" s="219" t="s">
        <v>43</v>
      </c>
    </row>
    <row r="207" spans="1:31" ht="14.45">
      <c r="A207" s="233" t="s">
        <v>765</v>
      </c>
      <c r="B207" s="217">
        <v>46085</v>
      </c>
      <c r="C207" s="217">
        <v>46085</v>
      </c>
      <c r="D207" s="218" t="s">
        <v>766</v>
      </c>
      <c r="E207" s="218" t="s">
        <v>154</v>
      </c>
      <c r="F207" s="218" t="s">
        <v>145</v>
      </c>
      <c r="G207" s="218">
        <v>48000044</v>
      </c>
      <c r="H207" s="218" t="s">
        <v>767</v>
      </c>
      <c r="I207" s="218" t="s">
        <v>768</v>
      </c>
      <c r="J207" s="218">
        <v>1</v>
      </c>
      <c r="K207" s="218" t="s">
        <v>37</v>
      </c>
      <c r="L207" s="218" t="s">
        <v>72</v>
      </c>
      <c r="M207" s="218" t="s">
        <v>73</v>
      </c>
      <c r="N207" s="218">
        <v>165838</v>
      </c>
      <c r="O207" s="219"/>
      <c r="P207" s="218">
        <v>1</v>
      </c>
      <c r="Q207" s="219"/>
      <c r="R207" s="219"/>
      <c r="S207" s="220"/>
      <c r="T207" s="220">
        <v>46104</v>
      </c>
      <c r="U207" s="220">
        <v>46120</v>
      </c>
      <c r="V207" s="219" t="s">
        <v>56</v>
      </c>
      <c r="W207" s="221">
        <v>138.81</v>
      </c>
      <c r="X207" s="221">
        <f>Table2[[#This Row],[QUANTIDADE]]*Table2[[#This Row],[PREÇO UNITARIO]]</f>
        <v>138.81</v>
      </c>
      <c r="Y207" s="219"/>
      <c r="Z207" s="219">
        <f t="shared" si="6"/>
        <v>3</v>
      </c>
      <c r="AA207" s="219" t="s">
        <v>74</v>
      </c>
      <c r="AB207" s="220">
        <f t="shared" ca="1" si="7"/>
        <v>46235</v>
      </c>
      <c r="AC207" s="219">
        <f ca="1">_xlfn.DAYS(Table2[[#This Row],[HOJE]],Table2[[#This Row],[DATA PEDIDO HP]])</f>
        <v>150</v>
      </c>
      <c r="AD207" s="219" t="str">
        <f>IF(Table2[[#This Row],[STATUS2]]="ENTREGUE","ENTREGUE","")</f>
        <v>ENTREGUE</v>
      </c>
      <c r="AE207" s="219" t="s">
        <v>43</v>
      </c>
    </row>
    <row r="208" spans="1:31" s="269" customFormat="1" ht="14.45">
      <c r="A208" s="263" t="s">
        <v>769</v>
      </c>
      <c r="B208" s="264">
        <v>46085</v>
      </c>
      <c r="C208" s="264">
        <v>46085</v>
      </c>
      <c r="D208" s="265" t="s">
        <v>770</v>
      </c>
      <c r="E208" s="265" t="s">
        <v>327</v>
      </c>
      <c r="F208" s="265" t="s">
        <v>328</v>
      </c>
      <c r="G208" s="265">
        <v>50000260</v>
      </c>
      <c r="H208" s="265" t="s">
        <v>771</v>
      </c>
      <c r="I208" s="265" t="s">
        <v>772</v>
      </c>
      <c r="J208" s="265">
        <v>1</v>
      </c>
      <c r="K208" s="265"/>
      <c r="L208" s="265"/>
      <c r="M208" s="265" t="s">
        <v>39</v>
      </c>
      <c r="N208" s="265"/>
      <c r="O208" s="266"/>
      <c r="P208" s="265">
        <v>1</v>
      </c>
      <c r="Q208" s="266"/>
      <c r="R208" s="266"/>
      <c r="S208" s="267"/>
      <c r="T208" s="267"/>
      <c r="U208" s="267"/>
      <c r="V208" s="266"/>
      <c r="W208" s="268">
        <v>81.650000000000006</v>
      </c>
      <c r="X208" s="268">
        <f>Table2[[#This Row],[QUANTIDADE]]*Table2[[#This Row],[PREÇO UNITARIO]]</f>
        <v>81.650000000000006</v>
      </c>
      <c r="Y208" s="266"/>
      <c r="Z208" s="266">
        <f t="shared" si="6"/>
        <v>3</v>
      </c>
      <c r="AA208" s="266" t="s">
        <v>42</v>
      </c>
      <c r="AB208" s="267">
        <f t="shared" ca="1" si="7"/>
        <v>46235</v>
      </c>
      <c r="AC208" s="266">
        <f ca="1">_xlfn.DAYS(Table2[[#This Row],[HOJE]],Table2[[#This Row],[DATA PEDIDO HP]])</f>
        <v>150</v>
      </c>
      <c r="AD208" s="266" t="str">
        <f ca="1">IF(Table2[[#This Row],[STATUS2]]="ENTREGUE","ENTREGUE","")</f>
        <v/>
      </c>
      <c r="AE208" s="266" t="str">
        <f ca="1">IF(Table2[[#This Row],[HOLD]]&gt;30,"ATRASADO","NO PRAZO")</f>
        <v>ATRASADO</v>
      </c>
    </row>
    <row r="209" spans="1:40" ht="14.45">
      <c r="A209" s="233" t="s">
        <v>773</v>
      </c>
      <c r="B209" s="217">
        <v>46086</v>
      </c>
      <c r="C209" s="217">
        <v>46086</v>
      </c>
      <c r="D209" s="218" t="s">
        <v>774</v>
      </c>
      <c r="E209" s="218" t="s">
        <v>94</v>
      </c>
      <c r="F209" s="218" t="s">
        <v>95</v>
      </c>
      <c r="G209" s="218">
        <v>60002072</v>
      </c>
      <c r="H209" s="218" t="s">
        <v>731</v>
      </c>
      <c r="I209" s="218" t="s">
        <v>732</v>
      </c>
      <c r="J209" s="218">
        <v>1</v>
      </c>
      <c r="K209" s="218" t="s">
        <v>37</v>
      </c>
      <c r="L209" s="218" t="s">
        <v>72</v>
      </c>
      <c r="M209" s="218" t="s">
        <v>81</v>
      </c>
      <c r="N209" s="218">
        <v>165342</v>
      </c>
      <c r="O209" s="219"/>
      <c r="P209" s="218">
        <v>1</v>
      </c>
      <c r="Q209" s="219"/>
      <c r="R209" s="219"/>
      <c r="S209" s="220">
        <v>46153</v>
      </c>
      <c r="T209" s="220">
        <v>46104</v>
      </c>
      <c r="U209" s="220">
        <v>46120</v>
      </c>
      <c r="V209" s="219" t="s">
        <v>56</v>
      </c>
      <c r="W209" s="221">
        <v>418.07</v>
      </c>
      <c r="X209" s="221">
        <f>Table2[[#This Row],[QUANTIDADE]]*Table2[[#This Row],[PREÇO UNITARIO]]</f>
        <v>418.07</v>
      </c>
      <c r="Y209" s="219"/>
      <c r="Z209" s="219">
        <f t="shared" si="6"/>
        <v>3</v>
      </c>
      <c r="AA209" s="219" t="s">
        <v>74</v>
      </c>
      <c r="AB209" s="220">
        <f t="shared" ca="1" si="7"/>
        <v>46235</v>
      </c>
      <c r="AC209" s="219">
        <f ca="1">_xlfn.DAYS(Table2[[#This Row],[HOJE]],Table2[[#This Row],[DATA PEDIDO HP]])</f>
        <v>149</v>
      </c>
      <c r="AD209" s="219" t="str">
        <f>IF(Table2[[#This Row],[STATUS2]]="ENTREGUE","ENTREGUE","")</f>
        <v>ENTREGUE</v>
      </c>
      <c r="AE209" s="219" t="s">
        <v>43</v>
      </c>
    </row>
    <row r="210" spans="1:40" ht="14.45">
      <c r="A210" s="233" t="s">
        <v>775</v>
      </c>
      <c r="B210" s="217">
        <v>46087</v>
      </c>
      <c r="C210" s="217">
        <v>46087</v>
      </c>
      <c r="D210" s="218" t="s">
        <v>776</v>
      </c>
      <c r="E210" s="218" t="s">
        <v>777</v>
      </c>
      <c r="F210" s="218" t="s">
        <v>778</v>
      </c>
      <c r="G210" s="218">
        <v>41000142</v>
      </c>
      <c r="H210" s="218" t="s">
        <v>426</v>
      </c>
      <c r="I210" s="218" t="s">
        <v>427</v>
      </c>
      <c r="J210" s="218">
        <v>2</v>
      </c>
      <c r="K210" s="218" t="s">
        <v>37</v>
      </c>
      <c r="L210" s="218" t="s">
        <v>72</v>
      </c>
      <c r="M210" s="218" t="s">
        <v>73</v>
      </c>
      <c r="N210" s="218">
        <v>164450</v>
      </c>
      <c r="O210" s="219"/>
      <c r="P210" s="218">
        <v>2</v>
      </c>
      <c r="Q210" s="219"/>
      <c r="R210" s="219"/>
      <c r="S210" s="220"/>
      <c r="T210" s="220">
        <v>46104</v>
      </c>
      <c r="U210" s="220">
        <v>46120</v>
      </c>
      <c r="V210" s="219" t="s">
        <v>56</v>
      </c>
      <c r="W210" s="221">
        <v>16.329999999999998</v>
      </c>
      <c r="X210" s="221">
        <f>Table2[[#This Row],[QUANTIDADE]]*Table2[[#This Row],[PREÇO UNITARIO]]</f>
        <v>32.659999999999997</v>
      </c>
      <c r="Y210" s="219"/>
      <c r="Z210" s="219">
        <f t="shared" si="6"/>
        <v>3</v>
      </c>
      <c r="AA210" s="219" t="s">
        <v>74</v>
      </c>
      <c r="AB210" s="220">
        <f t="shared" ca="1" si="7"/>
        <v>46235</v>
      </c>
      <c r="AC210" s="219">
        <f ca="1">_xlfn.DAYS(Table2[[#This Row],[HOJE]],Table2[[#This Row],[DATA PEDIDO HP]])</f>
        <v>148</v>
      </c>
      <c r="AD210" s="219" t="str">
        <f>IF(Table2[[#This Row],[STATUS2]]="ENTREGUE","ENTREGUE","")</f>
        <v>ENTREGUE</v>
      </c>
      <c r="AE210" s="219" t="s">
        <v>43</v>
      </c>
    </row>
    <row r="211" spans="1:40" ht="14.45">
      <c r="A211" s="233" t="s">
        <v>779</v>
      </c>
      <c r="B211" s="217">
        <v>46087</v>
      </c>
      <c r="C211" s="217">
        <v>46087</v>
      </c>
      <c r="D211" s="218" t="s">
        <v>780</v>
      </c>
      <c r="E211" s="218" t="s">
        <v>777</v>
      </c>
      <c r="F211" s="218" t="s">
        <v>140</v>
      </c>
      <c r="G211" s="218">
        <v>48300253</v>
      </c>
      <c r="H211" s="218" t="s">
        <v>426</v>
      </c>
      <c r="I211" s="218" t="s">
        <v>427</v>
      </c>
      <c r="J211" s="218">
        <v>1</v>
      </c>
      <c r="K211" s="218" t="s">
        <v>37</v>
      </c>
      <c r="L211" s="218" t="s">
        <v>72</v>
      </c>
      <c r="M211" s="218" t="s">
        <v>73</v>
      </c>
      <c r="N211" s="218">
        <v>164450</v>
      </c>
      <c r="O211" s="219"/>
      <c r="P211" s="218">
        <v>1</v>
      </c>
      <c r="Q211" s="219"/>
      <c r="R211" s="219"/>
      <c r="S211" s="220"/>
      <c r="T211" s="220">
        <v>46104</v>
      </c>
      <c r="U211" s="220">
        <v>46120</v>
      </c>
      <c r="V211" s="219" t="s">
        <v>56</v>
      </c>
      <c r="W211" s="221">
        <v>16.329999999999998</v>
      </c>
      <c r="X211" s="221">
        <f>Table2[[#This Row],[QUANTIDADE]]*Table2[[#This Row],[PREÇO UNITARIO]]</f>
        <v>16.329999999999998</v>
      </c>
      <c r="Y211" s="219"/>
      <c r="Z211" s="219">
        <f t="shared" si="6"/>
        <v>3</v>
      </c>
      <c r="AA211" s="219" t="s">
        <v>74</v>
      </c>
      <c r="AB211" s="220">
        <f t="shared" ca="1" si="7"/>
        <v>46235</v>
      </c>
      <c r="AC211" s="219">
        <f ca="1">_xlfn.DAYS(Table2[[#This Row],[HOJE]],Table2[[#This Row],[DATA PEDIDO HP]])</f>
        <v>148</v>
      </c>
      <c r="AD211" s="219" t="str">
        <f>IF(Table2[[#This Row],[STATUS2]]="ENTREGUE","ENTREGUE","")</f>
        <v>ENTREGUE</v>
      </c>
      <c r="AE211" s="219" t="s">
        <v>43</v>
      </c>
    </row>
    <row r="212" spans="1:40" ht="14.45">
      <c r="A212" s="233" t="s">
        <v>781</v>
      </c>
      <c r="B212" s="217">
        <v>46087</v>
      </c>
      <c r="C212" s="217">
        <v>46087</v>
      </c>
      <c r="D212" s="218" t="s">
        <v>782</v>
      </c>
      <c r="E212" s="218" t="s">
        <v>777</v>
      </c>
      <c r="F212" s="218" t="s">
        <v>140</v>
      </c>
      <c r="G212" s="218">
        <v>48300253</v>
      </c>
      <c r="H212" s="218" t="s">
        <v>783</v>
      </c>
      <c r="I212" s="218" t="s">
        <v>784</v>
      </c>
      <c r="J212" s="218">
        <v>2</v>
      </c>
      <c r="K212" s="218" t="s">
        <v>269</v>
      </c>
      <c r="L212" s="218" t="s">
        <v>785</v>
      </c>
      <c r="M212" s="218" t="s">
        <v>39</v>
      </c>
      <c r="N212" s="218">
        <v>162900</v>
      </c>
      <c r="O212" s="219"/>
      <c r="P212" s="218">
        <v>0</v>
      </c>
      <c r="Q212" s="219"/>
      <c r="R212" s="219"/>
      <c r="S212" s="220">
        <v>46184</v>
      </c>
      <c r="T212" s="220">
        <v>46133</v>
      </c>
      <c r="U212" s="220">
        <v>46168</v>
      </c>
      <c r="V212" s="219" t="s">
        <v>554</v>
      </c>
      <c r="W212" s="221">
        <v>482.77</v>
      </c>
      <c r="X212" s="221">
        <f>Table2[[#This Row],[QUANTIDADE]]*Table2[[#This Row],[PREÇO UNITARIO]]</f>
        <v>965.54</v>
      </c>
      <c r="Y212" s="219"/>
      <c r="Z212" s="219">
        <f t="shared" si="6"/>
        <v>3</v>
      </c>
      <c r="AA212" s="219" t="s">
        <v>74</v>
      </c>
      <c r="AB212" s="220">
        <f t="shared" ca="1" si="7"/>
        <v>46235</v>
      </c>
      <c r="AC212" s="219">
        <f ca="1">_xlfn.DAYS(Table2[[#This Row],[HOJE]],Table2[[#This Row],[DATA PEDIDO HP]])</f>
        <v>148</v>
      </c>
      <c r="AD212" s="219" t="str">
        <f>IF(Table2[[#This Row],[STATUS2]]="ENTREGUE","ENTREGUE","")</f>
        <v>ENTREGUE</v>
      </c>
      <c r="AE212" s="219" t="s">
        <v>43</v>
      </c>
    </row>
    <row r="213" spans="1:40" ht="14.45">
      <c r="A213" s="233" t="s">
        <v>786</v>
      </c>
      <c r="B213" s="217">
        <v>46087</v>
      </c>
      <c r="C213" s="217">
        <v>46087</v>
      </c>
      <c r="D213" s="218" t="s">
        <v>787</v>
      </c>
      <c r="E213" s="218" t="s">
        <v>345</v>
      </c>
      <c r="F213" s="218" t="s">
        <v>34</v>
      </c>
      <c r="G213" s="218">
        <v>50110229</v>
      </c>
      <c r="H213" s="218" t="s">
        <v>788</v>
      </c>
      <c r="I213" s="218" t="s">
        <v>789</v>
      </c>
      <c r="J213" s="218">
        <v>1</v>
      </c>
      <c r="K213" s="218" t="s">
        <v>37</v>
      </c>
      <c r="L213" s="218" t="s">
        <v>72</v>
      </c>
      <c r="M213" s="218" t="s">
        <v>73</v>
      </c>
      <c r="N213" s="218">
        <v>165672</v>
      </c>
      <c r="O213" s="219"/>
      <c r="P213" s="218">
        <v>1</v>
      </c>
      <c r="Q213" s="219"/>
      <c r="R213" s="219"/>
      <c r="S213" s="220"/>
      <c r="T213" s="220">
        <v>46133</v>
      </c>
      <c r="U213" s="220">
        <v>46168</v>
      </c>
      <c r="V213" s="219" t="s">
        <v>554</v>
      </c>
      <c r="W213" s="221">
        <v>422.15</v>
      </c>
      <c r="X213" s="221">
        <f>Table2[[#This Row],[QUANTIDADE]]*Table2[[#This Row],[PREÇO UNITARIO]]</f>
        <v>422.15</v>
      </c>
      <c r="Y213" s="219"/>
      <c r="Z213" s="219">
        <f t="shared" si="6"/>
        <v>3</v>
      </c>
      <c r="AA213" s="219" t="s">
        <v>42</v>
      </c>
      <c r="AB213" s="220">
        <f t="shared" ca="1" si="7"/>
        <v>46235</v>
      </c>
      <c r="AC213" s="219">
        <f ca="1">_xlfn.DAYS(Table2[[#This Row],[HOJE]],Table2[[#This Row],[DATA PEDIDO HP]])</f>
        <v>148</v>
      </c>
      <c r="AD213" s="219" t="str">
        <f ca="1">IF(Table2[[#This Row],[STATUS2]]="ENTREGUE","ENTREGUE","")</f>
        <v/>
      </c>
      <c r="AE213" s="219" t="str">
        <f ca="1">IF(Table2[[#This Row],[HOLD]]&gt;30,"ATRASADO","NO PRAZO")</f>
        <v>ATRASADO</v>
      </c>
    </row>
    <row r="214" spans="1:40" ht="14.45">
      <c r="A214" s="233" t="s">
        <v>790</v>
      </c>
      <c r="B214" s="217">
        <v>46087</v>
      </c>
      <c r="C214" s="217">
        <v>46087</v>
      </c>
      <c r="D214" s="218"/>
      <c r="E214" s="218" t="s">
        <v>541</v>
      </c>
      <c r="F214" s="218" t="s">
        <v>542</v>
      </c>
      <c r="G214" s="218">
        <v>61000037</v>
      </c>
      <c r="H214" s="218" t="s">
        <v>791</v>
      </c>
      <c r="I214" s="218" t="s">
        <v>792</v>
      </c>
      <c r="J214" s="218">
        <v>1</v>
      </c>
      <c r="K214" s="218"/>
      <c r="L214" s="218"/>
      <c r="M214" s="218" t="s">
        <v>39</v>
      </c>
      <c r="N214" s="218"/>
      <c r="O214" s="219"/>
      <c r="P214" s="218">
        <v>1</v>
      </c>
      <c r="Q214" s="219"/>
      <c r="R214" s="219"/>
      <c r="S214" s="220"/>
      <c r="T214" s="220">
        <v>46091</v>
      </c>
      <c r="U214" s="220">
        <v>46098</v>
      </c>
      <c r="V214" s="219" t="s">
        <v>61</v>
      </c>
      <c r="W214" s="221">
        <v>1012.39</v>
      </c>
      <c r="X214" s="221">
        <f>Table2[[#This Row],[QUANTIDADE]]*Table2[[#This Row],[PREÇO UNITARIO]]</f>
        <v>1012.39</v>
      </c>
      <c r="Y214" s="219"/>
      <c r="Z214" s="219">
        <f t="shared" si="6"/>
        <v>3</v>
      </c>
      <c r="AA214" s="219" t="s">
        <v>74</v>
      </c>
      <c r="AB214" s="220">
        <f t="shared" ca="1" si="7"/>
        <v>46235</v>
      </c>
      <c r="AC214" s="219">
        <f ca="1">_xlfn.DAYS(Table2[[#This Row],[HOJE]],Table2[[#This Row],[DATA PEDIDO HP]])</f>
        <v>148</v>
      </c>
      <c r="AD214" s="219" t="str">
        <f>IF(Table2[[#This Row],[STATUS2]]="ENTREGUE","ENTREGUE","")</f>
        <v>ENTREGUE</v>
      </c>
      <c r="AE214" s="219" t="s">
        <v>43</v>
      </c>
    </row>
    <row r="215" spans="1:40" ht="14.45">
      <c r="A215" s="233" t="s">
        <v>793</v>
      </c>
      <c r="B215" s="217">
        <v>46090</v>
      </c>
      <c r="C215" s="217">
        <v>46090</v>
      </c>
      <c r="D215" s="218" t="s">
        <v>794</v>
      </c>
      <c r="E215" s="218" t="s">
        <v>541</v>
      </c>
      <c r="F215" s="218" t="s">
        <v>542</v>
      </c>
      <c r="G215" s="218" t="s">
        <v>795</v>
      </c>
      <c r="H215" s="218" t="s">
        <v>791</v>
      </c>
      <c r="I215" s="218" t="s">
        <v>792</v>
      </c>
      <c r="J215" s="218">
        <v>1</v>
      </c>
      <c r="K215" s="218" t="s">
        <v>37</v>
      </c>
      <c r="L215" s="218" t="s">
        <v>72</v>
      </c>
      <c r="M215" s="218" t="s">
        <v>73</v>
      </c>
      <c r="N215" s="218">
        <v>165902</v>
      </c>
      <c r="O215" s="219"/>
      <c r="P215" s="218">
        <v>1</v>
      </c>
      <c r="Q215" s="219"/>
      <c r="R215" s="219"/>
      <c r="S215" s="220"/>
      <c r="T215" s="220">
        <v>46093</v>
      </c>
      <c r="U215" s="220">
        <v>46098</v>
      </c>
      <c r="V215" s="219" t="s">
        <v>61</v>
      </c>
      <c r="W215" s="221">
        <v>1012.39</v>
      </c>
      <c r="X215" s="221">
        <f>Table2[[#This Row],[QUANTIDADE]]*Table2[[#This Row],[PREÇO UNITARIO]]</f>
        <v>1012.39</v>
      </c>
      <c r="Y215" s="219"/>
      <c r="Z215" s="219">
        <f t="shared" si="6"/>
        <v>3</v>
      </c>
      <c r="AA215" s="219" t="s">
        <v>74</v>
      </c>
      <c r="AB215" s="220">
        <f t="shared" ca="1" si="7"/>
        <v>46235</v>
      </c>
      <c r="AC215" s="219">
        <f ca="1">_xlfn.DAYS(Table2[[#This Row],[HOJE]],Table2[[#This Row],[DATA PEDIDO HP]])</f>
        <v>145</v>
      </c>
      <c r="AD215" s="219" t="str">
        <f>IF(Table2[[#This Row],[STATUS2]]="ENTREGUE","ENTREGUE","")</f>
        <v>ENTREGUE</v>
      </c>
      <c r="AE215" s="219" t="s">
        <v>43</v>
      </c>
    </row>
    <row r="216" spans="1:40" ht="14.45">
      <c r="A216" s="233" t="s">
        <v>796</v>
      </c>
      <c r="B216" s="217">
        <v>46090</v>
      </c>
      <c r="C216" s="217">
        <v>46090</v>
      </c>
      <c r="D216" s="218" t="s">
        <v>797</v>
      </c>
      <c r="E216" s="218" t="s">
        <v>798</v>
      </c>
      <c r="F216" s="218" t="s">
        <v>135</v>
      </c>
      <c r="G216" s="218">
        <v>48500811</v>
      </c>
      <c r="H216" s="218" t="s">
        <v>799</v>
      </c>
      <c r="I216" s="218" t="s">
        <v>800</v>
      </c>
      <c r="J216" s="218">
        <v>1</v>
      </c>
      <c r="K216" s="218" t="s">
        <v>269</v>
      </c>
      <c r="L216" s="218" t="s">
        <v>122</v>
      </c>
      <c r="M216" s="218" t="s">
        <v>39</v>
      </c>
      <c r="N216" s="218">
        <v>167486</v>
      </c>
      <c r="O216" s="219"/>
      <c r="P216" s="218">
        <v>1</v>
      </c>
      <c r="Q216" s="219"/>
      <c r="R216" s="219"/>
      <c r="S216" s="220">
        <v>46135</v>
      </c>
      <c r="T216" s="220">
        <v>46104</v>
      </c>
      <c r="U216" s="220">
        <v>46120</v>
      </c>
      <c r="V216" s="219" t="s">
        <v>56</v>
      </c>
      <c r="W216" s="221">
        <v>70.52</v>
      </c>
      <c r="X216" s="221">
        <f>Table2[[#This Row],[QUANTIDADE]]*Table2[[#This Row],[PREÇO UNITARIO]]</f>
        <v>70.52</v>
      </c>
      <c r="Y216" s="219"/>
      <c r="Z216" s="219">
        <f t="shared" si="6"/>
        <v>3</v>
      </c>
      <c r="AA216" s="219" t="s">
        <v>573</v>
      </c>
      <c r="AB216" s="220">
        <f t="shared" ca="1" si="7"/>
        <v>46235</v>
      </c>
      <c r="AC216" s="219">
        <f ca="1">_xlfn.DAYS(Table2[[#This Row],[HOJE]],Table2[[#This Row],[DATA PEDIDO HP]])</f>
        <v>145</v>
      </c>
      <c r="AD216" s="219" t="str">
        <f>IF(Table2[[#This Row],[STATUS2]]="ENTREGUE","ENTREGUE","")</f>
        <v>ENTREGUE</v>
      </c>
      <c r="AE216" s="219" t="s">
        <v>43</v>
      </c>
    </row>
    <row r="217" spans="1:40" ht="14.45">
      <c r="A217" s="233" t="s">
        <v>801</v>
      </c>
      <c r="B217" s="217">
        <v>46091</v>
      </c>
      <c r="C217" s="217">
        <v>46091</v>
      </c>
      <c r="D217" s="218" t="s">
        <v>802</v>
      </c>
      <c r="E217" s="218" t="s">
        <v>777</v>
      </c>
      <c r="F217" s="218" t="s">
        <v>140</v>
      </c>
      <c r="G217" s="218">
        <v>41000142</v>
      </c>
      <c r="H217" s="218" t="s">
        <v>803</v>
      </c>
      <c r="I217" s="218" t="s">
        <v>804</v>
      </c>
      <c r="J217" s="218">
        <v>1</v>
      </c>
      <c r="K217" s="218" t="s">
        <v>37</v>
      </c>
      <c r="L217" s="218" t="s">
        <v>72</v>
      </c>
      <c r="M217" s="218" t="s">
        <v>73</v>
      </c>
      <c r="N217" s="218">
        <v>166991</v>
      </c>
      <c r="O217" s="219"/>
      <c r="P217" s="218">
        <v>1</v>
      </c>
      <c r="Q217" s="219"/>
      <c r="R217" s="219"/>
      <c r="S217" s="220"/>
      <c r="T217" s="220">
        <v>46133</v>
      </c>
      <c r="U217" s="220">
        <v>46168</v>
      </c>
      <c r="V217" s="219" t="s">
        <v>554</v>
      </c>
      <c r="W217" s="221">
        <v>882.69</v>
      </c>
      <c r="X217" s="221">
        <f>Table2[[#This Row],[QUANTIDADE]]*Table2[[#This Row],[PREÇO UNITARIO]]</f>
        <v>882.69</v>
      </c>
      <c r="Y217" s="219"/>
      <c r="Z217" s="219">
        <f t="shared" si="6"/>
        <v>3</v>
      </c>
      <c r="AA217" s="219" t="s">
        <v>74</v>
      </c>
      <c r="AB217" s="220">
        <f t="shared" ca="1" si="7"/>
        <v>46235</v>
      </c>
      <c r="AC217" s="219">
        <f ca="1">_xlfn.DAYS(Table2[[#This Row],[HOJE]],Table2[[#This Row],[DATA PEDIDO HP]])</f>
        <v>144</v>
      </c>
      <c r="AD217" s="219" t="str">
        <f ca="1">IF(Table2[[#This Row],[STATUS2]]="ENTREGUE","ENTREGUE","")</f>
        <v/>
      </c>
      <c r="AE217" s="219" t="str">
        <f ca="1">IF(Table2[[#This Row],[HOLD]]&gt;30,"ATRASADO","NO PRAZO")</f>
        <v>ATRASADO</v>
      </c>
    </row>
    <row r="218" spans="1:40" ht="14.45">
      <c r="A218" s="233" t="s">
        <v>805</v>
      </c>
      <c r="B218" s="217">
        <v>46091</v>
      </c>
      <c r="C218" s="217">
        <v>46091</v>
      </c>
      <c r="D218" s="218" t="s">
        <v>806</v>
      </c>
      <c r="E218" s="218" t="s">
        <v>125</v>
      </c>
      <c r="F218" s="218" t="s">
        <v>34</v>
      </c>
      <c r="G218" s="218">
        <v>50110193</v>
      </c>
      <c r="H218" s="218" t="s">
        <v>192</v>
      </c>
      <c r="I218" s="218" t="s">
        <v>374</v>
      </c>
      <c r="J218" s="218">
        <v>1</v>
      </c>
      <c r="K218" s="218" t="s">
        <v>37</v>
      </c>
      <c r="L218" s="218" t="s">
        <v>72</v>
      </c>
      <c r="M218" s="218" t="s">
        <v>81</v>
      </c>
      <c r="N218" s="218">
        <v>167651</v>
      </c>
      <c r="O218" s="219"/>
      <c r="P218" s="218">
        <v>1</v>
      </c>
      <c r="Q218" s="219"/>
      <c r="R218" s="219"/>
      <c r="S218" s="220">
        <v>46202</v>
      </c>
      <c r="T218" s="220">
        <v>46133</v>
      </c>
      <c r="U218" s="220">
        <v>46168</v>
      </c>
      <c r="V218" s="219" t="s">
        <v>554</v>
      </c>
      <c r="W218" s="221">
        <v>93.09</v>
      </c>
      <c r="X218" s="221">
        <f>Table2[[#This Row],[QUANTIDADE]]*Table2[[#This Row],[PREÇO UNITARIO]]</f>
        <v>93.09</v>
      </c>
      <c r="Y218" s="219"/>
      <c r="Z218" s="219">
        <f t="shared" si="6"/>
        <v>3</v>
      </c>
      <c r="AA218" s="219" t="s">
        <v>42</v>
      </c>
      <c r="AB218" s="220">
        <f t="shared" ca="1" si="7"/>
        <v>46235</v>
      </c>
      <c r="AC218" s="219">
        <f ca="1">_xlfn.DAYS(Table2[[#This Row],[HOJE]],Table2[[#This Row],[DATA PEDIDO HP]])</f>
        <v>144</v>
      </c>
      <c r="AD218" s="219" t="str">
        <f>IF(Table2[[#This Row],[STATUS2]]="ENTREGUE","ENTREGUE","")</f>
        <v>ENTREGUE</v>
      </c>
      <c r="AE218" s="219" t="s">
        <v>43</v>
      </c>
    </row>
    <row r="219" spans="1:40" s="224" customFormat="1" ht="14.45">
      <c r="A219" s="233" t="s">
        <v>805</v>
      </c>
      <c r="B219" s="217">
        <v>46091</v>
      </c>
      <c r="C219" s="217">
        <v>46091</v>
      </c>
      <c r="D219" s="218" t="s">
        <v>806</v>
      </c>
      <c r="E219" s="218" t="s">
        <v>125</v>
      </c>
      <c r="F219" s="218" t="s">
        <v>34</v>
      </c>
      <c r="G219" s="218">
        <v>50110193</v>
      </c>
      <c r="H219" s="218" t="s">
        <v>807</v>
      </c>
      <c r="I219" s="218" t="s">
        <v>808</v>
      </c>
      <c r="J219" s="218">
        <v>1</v>
      </c>
      <c r="K219" s="218" t="s">
        <v>37</v>
      </c>
      <c r="L219" s="218" t="s">
        <v>72</v>
      </c>
      <c r="M219" s="218" t="s">
        <v>81</v>
      </c>
      <c r="N219" s="218">
        <v>167651</v>
      </c>
      <c r="O219" s="219"/>
      <c r="P219" s="218">
        <v>1</v>
      </c>
      <c r="Q219" s="219"/>
      <c r="R219" s="219"/>
      <c r="S219" s="220">
        <v>46202</v>
      </c>
      <c r="T219" s="220">
        <v>46133</v>
      </c>
      <c r="U219" s="220">
        <v>46168</v>
      </c>
      <c r="V219" s="219" t="s">
        <v>554</v>
      </c>
      <c r="W219" s="221">
        <v>16.329999999999998</v>
      </c>
      <c r="X219" s="221">
        <f>Table2[[#This Row],[QUANTIDADE]]*Table2[[#This Row],[PREÇO UNITARIO]]</f>
        <v>16.329999999999998</v>
      </c>
      <c r="Y219" s="219"/>
      <c r="Z219" s="219">
        <f t="shared" si="6"/>
        <v>3</v>
      </c>
      <c r="AA219" s="219" t="s">
        <v>42</v>
      </c>
      <c r="AB219" s="220">
        <f t="shared" ca="1" si="7"/>
        <v>46235</v>
      </c>
      <c r="AC219" s="219">
        <f ca="1">_xlfn.DAYS(Table2[[#This Row],[HOJE]],Table2[[#This Row],[DATA PEDIDO HP]])</f>
        <v>144</v>
      </c>
      <c r="AD219" s="219" t="str">
        <f>IF(Table2[[#This Row],[STATUS2]]="ENTREGUE","ENTREGUE","")</f>
        <v>ENTREGUE</v>
      </c>
      <c r="AE219" s="219" t="s">
        <v>43</v>
      </c>
      <c r="AF219" s="222"/>
      <c r="AG219" s="222"/>
      <c r="AH219" s="222"/>
      <c r="AI219" s="222"/>
      <c r="AJ219" s="222"/>
      <c r="AK219" s="222"/>
      <c r="AL219" s="222"/>
      <c r="AM219" s="222"/>
      <c r="AN219" s="222"/>
    </row>
    <row r="220" spans="1:40" s="224" customFormat="1" ht="14.45">
      <c r="A220" s="233" t="s">
        <v>805</v>
      </c>
      <c r="B220" s="217">
        <v>46091</v>
      </c>
      <c r="C220" s="217">
        <v>46091</v>
      </c>
      <c r="D220" s="218" t="s">
        <v>806</v>
      </c>
      <c r="E220" s="218" t="s">
        <v>125</v>
      </c>
      <c r="F220" s="218" t="s">
        <v>34</v>
      </c>
      <c r="G220" s="218">
        <v>50110193</v>
      </c>
      <c r="H220" s="218" t="s">
        <v>809</v>
      </c>
      <c r="I220" s="218" t="s">
        <v>810</v>
      </c>
      <c r="J220" s="218">
        <v>1</v>
      </c>
      <c r="K220" s="218" t="s">
        <v>37</v>
      </c>
      <c r="L220" s="218" t="s">
        <v>72</v>
      </c>
      <c r="M220" s="218" t="s">
        <v>81</v>
      </c>
      <c r="N220" s="218">
        <v>167651</v>
      </c>
      <c r="O220" s="219"/>
      <c r="P220" s="218">
        <v>1</v>
      </c>
      <c r="Q220" s="219"/>
      <c r="R220" s="219"/>
      <c r="S220" s="220">
        <v>46202</v>
      </c>
      <c r="T220" s="220">
        <v>46133</v>
      </c>
      <c r="U220" s="220">
        <v>46168</v>
      </c>
      <c r="V220" s="219" t="s">
        <v>554</v>
      </c>
      <c r="W220" s="221">
        <v>12.09</v>
      </c>
      <c r="X220" s="221">
        <f>Table2[[#This Row],[QUANTIDADE]]*Table2[[#This Row],[PREÇO UNITARIO]]</f>
        <v>12.09</v>
      </c>
      <c r="Y220" s="219"/>
      <c r="Z220" s="219">
        <f t="shared" si="6"/>
        <v>3</v>
      </c>
      <c r="AA220" s="219" t="s">
        <v>42</v>
      </c>
      <c r="AB220" s="220">
        <f t="shared" ca="1" si="7"/>
        <v>46235</v>
      </c>
      <c r="AC220" s="219">
        <f ca="1">_xlfn.DAYS(Table2[[#This Row],[HOJE]],Table2[[#This Row],[DATA PEDIDO HP]])</f>
        <v>144</v>
      </c>
      <c r="AD220" s="219" t="str">
        <f>IF(Table2[[#This Row],[STATUS2]]="ENTREGUE","ENTREGUE","")</f>
        <v>ENTREGUE</v>
      </c>
      <c r="AE220" s="219" t="s">
        <v>43</v>
      </c>
      <c r="AF220" s="222"/>
      <c r="AG220" s="222"/>
      <c r="AH220" s="222"/>
      <c r="AI220" s="222"/>
      <c r="AJ220" s="222"/>
      <c r="AK220" s="222"/>
      <c r="AL220" s="222"/>
      <c r="AM220" s="222"/>
      <c r="AN220" s="222"/>
    </row>
    <row r="221" spans="1:40" s="224" customFormat="1" ht="14.45">
      <c r="A221" s="233" t="s">
        <v>811</v>
      </c>
      <c r="B221" s="217">
        <v>46091</v>
      </c>
      <c r="C221" s="217">
        <v>46091</v>
      </c>
      <c r="D221" s="218" t="s">
        <v>812</v>
      </c>
      <c r="E221" s="218" t="s">
        <v>88</v>
      </c>
      <c r="F221" s="218" t="s">
        <v>34</v>
      </c>
      <c r="G221" s="218">
        <v>50110057</v>
      </c>
      <c r="H221" s="218" t="s">
        <v>813</v>
      </c>
      <c r="I221" s="218" t="s">
        <v>814</v>
      </c>
      <c r="J221" s="218">
        <v>1</v>
      </c>
      <c r="K221" s="218" t="s">
        <v>37</v>
      </c>
      <c r="L221" s="218" t="s">
        <v>122</v>
      </c>
      <c r="M221" s="218" t="s">
        <v>81</v>
      </c>
      <c r="N221" s="218">
        <v>167750</v>
      </c>
      <c r="O221" s="219"/>
      <c r="P221" s="218">
        <v>1</v>
      </c>
      <c r="Q221" s="219"/>
      <c r="R221" s="219"/>
      <c r="S221" s="220">
        <v>46202</v>
      </c>
      <c r="T221" s="220">
        <v>46133</v>
      </c>
      <c r="U221" s="220">
        <v>46168</v>
      </c>
      <c r="V221" s="219" t="s">
        <v>554</v>
      </c>
      <c r="W221" s="221">
        <v>37.229999999999997</v>
      </c>
      <c r="X221" s="221">
        <f>Table2[[#This Row],[QUANTIDADE]]*Table2[[#This Row],[PREÇO UNITARIO]]</f>
        <v>37.229999999999997</v>
      </c>
      <c r="Y221" s="219"/>
      <c r="Z221" s="219">
        <f t="shared" si="6"/>
        <v>3</v>
      </c>
      <c r="AA221" s="219" t="s">
        <v>42</v>
      </c>
      <c r="AB221" s="220">
        <f t="shared" ca="1" si="7"/>
        <v>46235</v>
      </c>
      <c r="AC221" s="219">
        <f ca="1">_xlfn.DAYS(Table2[[#This Row],[HOJE]],Table2[[#This Row],[DATA PEDIDO HP]])</f>
        <v>144</v>
      </c>
      <c r="AD221" s="219" t="str">
        <f>IF(Table2[[#This Row],[STATUS2]]="ENTREGUE","ENTREGUE","")</f>
        <v>ENTREGUE</v>
      </c>
      <c r="AE221" s="219" t="s">
        <v>43</v>
      </c>
      <c r="AF221" s="222"/>
      <c r="AG221" s="222"/>
      <c r="AH221" s="222"/>
      <c r="AI221" s="222"/>
      <c r="AJ221" s="222"/>
      <c r="AK221" s="222"/>
      <c r="AL221" s="222"/>
      <c r="AM221" s="222"/>
      <c r="AN221" s="222"/>
    </row>
    <row r="222" spans="1:40" ht="14.45">
      <c r="A222" s="233" t="s">
        <v>815</v>
      </c>
      <c r="B222" s="217">
        <v>46091</v>
      </c>
      <c r="C222" s="217">
        <v>46091</v>
      </c>
      <c r="D222" s="218" t="s">
        <v>816</v>
      </c>
      <c r="E222" s="218" t="s">
        <v>134</v>
      </c>
      <c r="F222" s="218" t="s">
        <v>135</v>
      </c>
      <c r="G222" s="218">
        <v>48500783</v>
      </c>
      <c r="H222" s="218" t="s">
        <v>705</v>
      </c>
      <c r="I222" s="218" t="s">
        <v>817</v>
      </c>
      <c r="J222" s="218">
        <v>1</v>
      </c>
      <c r="K222" s="218" t="s">
        <v>37</v>
      </c>
      <c r="L222" s="218" t="s">
        <v>72</v>
      </c>
      <c r="M222" s="218" t="s">
        <v>73</v>
      </c>
      <c r="N222" s="218">
        <v>167915</v>
      </c>
      <c r="O222" s="219"/>
      <c r="P222" s="218">
        <v>1</v>
      </c>
      <c r="Q222" s="219"/>
      <c r="R222" s="219"/>
      <c r="S222" s="220"/>
      <c r="T222" s="220">
        <v>46133</v>
      </c>
      <c r="U222" s="220">
        <v>46168</v>
      </c>
      <c r="V222" s="219" t="s">
        <v>554</v>
      </c>
      <c r="W222" s="221">
        <v>167.85</v>
      </c>
      <c r="X222" s="221">
        <f>Table2[[#This Row],[QUANTIDADE]]*Table2[[#This Row],[PREÇO UNITARIO]]</f>
        <v>167.85</v>
      </c>
      <c r="Y222" s="219"/>
      <c r="Z222" s="219">
        <f t="shared" si="6"/>
        <v>3</v>
      </c>
      <c r="AA222" s="219" t="s">
        <v>74</v>
      </c>
      <c r="AB222" s="220">
        <f t="shared" ca="1" si="7"/>
        <v>46235</v>
      </c>
      <c r="AC222" s="219">
        <f ca="1">_xlfn.DAYS(Table2[[#This Row],[HOJE]],Table2[[#This Row],[DATA PEDIDO HP]])</f>
        <v>144</v>
      </c>
      <c r="AD222" s="219" t="str">
        <f ca="1">IF(Table2[[#This Row],[STATUS2]]="ENTREGUE","ENTREGUE","")</f>
        <v/>
      </c>
      <c r="AE222" s="219" t="str">
        <f ca="1">IF(Table2[[#This Row],[HOLD]]&gt;30,"ATRASADO","NO PRAZO")</f>
        <v>ATRASADO</v>
      </c>
    </row>
    <row r="223" spans="1:40" ht="14.45">
      <c r="A223" s="233" t="s">
        <v>818</v>
      </c>
      <c r="B223" s="217">
        <v>46091</v>
      </c>
      <c r="C223" s="217">
        <v>46091</v>
      </c>
      <c r="D223" s="218" t="s">
        <v>819</v>
      </c>
      <c r="E223" s="218" t="s">
        <v>191</v>
      </c>
      <c r="F223" s="218" t="s">
        <v>95</v>
      </c>
      <c r="G223" s="218">
        <v>60001111</v>
      </c>
      <c r="H223" s="218" t="s">
        <v>405</v>
      </c>
      <c r="I223" s="218" t="s">
        <v>820</v>
      </c>
      <c r="J223" s="218">
        <v>1</v>
      </c>
      <c r="K223" s="218" t="s">
        <v>37</v>
      </c>
      <c r="L223" s="218" t="s">
        <v>72</v>
      </c>
      <c r="M223" s="218" t="s">
        <v>39</v>
      </c>
      <c r="N223" s="218">
        <v>167354</v>
      </c>
      <c r="O223" s="219"/>
      <c r="P223" s="218">
        <v>2</v>
      </c>
      <c r="Q223" s="219"/>
      <c r="R223" s="219"/>
      <c r="S223" s="220">
        <v>46135</v>
      </c>
      <c r="T223" s="220">
        <v>46104</v>
      </c>
      <c r="U223" s="220">
        <v>46120</v>
      </c>
      <c r="V223" s="219" t="s">
        <v>56</v>
      </c>
      <c r="W223" s="221">
        <v>305.67</v>
      </c>
      <c r="X223" s="221">
        <f>Table2[[#This Row],[QUANTIDADE]]*Table2[[#This Row],[PREÇO UNITARIO]]</f>
        <v>305.67</v>
      </c>
      <c r="Y223" s="219" t="s">
        <v>42</v>
      </c>
      <c r="Z223" s="219">
        <f t="shared" si="6"/>
        <v>3</v>
      </c>
      <c r="AA223" s="219" t="s">
        <v>42</v>
      </c>
      <c r="AB223" s="220">
        <f t="shared" ca="1" si="7"/>
        <v>46235</v>
      </c>
      <c r="AC223" s="219">
        <f ca="1">_xlfn.DAYS(Table2[[#This Row],[HOJE]],Table2[[#This Row],[DATA PEDIDO HP]])</f>
        <v>144</v>
      </c>
      <c r="AD223" s="219" t="str">
        <f>IF(Table2[[#This Row],[STATUS2]]="ENTREGUE","ENTREGUE","")</f>
        <v>ENTREGUE</v>
      </c>
      <c r="AE223" s="219" t="s">
        <v>43</v>
      </c>
    </row>
    <row r="224" spans="1:40" ht="14.45">
      <c r="A224" s="233" t="s">
        <v>821</v>
      </c>
      <c r="B224" s="217">
        <v>46091</v>
      </c>
      <c r="C224" s="217">
        <v>46091</v>
      </c>
      <c r="D224" s="218" t="s">
        <v>822</v>
      </c>
      <c r="E224" s="218" t="s">
        <v>247</v>
      </c>
      <c r="F224" s="218" t="s">
        <v>594</v>
      </c>
      <c r="G224" s="218">
        <v>46000053</v>
      </c>
      <c r="H224" s="218" t="s">
        <v>249</v>
      </c>
      <c r="I224" s="218" t="s">
        <v>823</v>
      </c>
      <c r="J224" s="218">
        <v>1</v>
      </c>
      <c r="K224" s="218" t="s">
        <v>37</v>
      </c>
      <c r="L224" s="218" t="s">
        <v>72</v>
      </c>
      <c r="M224" s="218" t="s">
        <v>73</v>
      </c>
      <c r="N224" s="218">
        <v>165673</v>
      </c>
      <c r="O224" s="219"/>
      <c r="P224" s="218">
        <v>1</v>
      </c>
      <c r="Q224" s="219"/>
      <c r="R224" s="219" t="s">
        <v>236</v>
      </c>
      <c r="S224" s="220" t="s">
        <v>824</v>
      </c>
      <c r="T224" s="220">
        <v>46133</v>
      </c>
      <c r="U224" s="220">
        <v>46168</v>
      </c>
      <c r="V224" s="219" t="s">
        <v>554</v>
      </c>
      <c r="W224" s="221">
        <v>979.86</v>
      </c>
      <c r="X224" s="221">
        <f>Table2[[#This Row],[QUANTIDADE]]*Table2[[#This Row],[PREÇO UNITARIO]]</f>
        <v>979.86</v>
      </c>
      <c r="Y224" s="219"/>
      <c r="Z224" s="219">
        <f t="shared" si="6"/>
        <v>3</v>
      </c>
      <c r="AA224" s="219" t="s">
        <v>74</v>
      </c>
      <c r="AB224" s="220">
        <f t="shared" ca="1" si="7"/>
        <v>46235</v>
      </c>
      <c r="AC224" s="219">
        <f ca="1">_xlfn.DAYS(Table2[[#This Row],[HOJE]],Table2[[#This Row],[DATA PEDIDO HP]])</f>
        <v>144</v>
      </c>
      <c r="AD224" s="219" t="str">
        <f ca="1">IF(Table2[[#This Row],[STATUS2]]="ENTREGUE","ENTREGUE","")</f>
        <v/>
      </c>
      <c r="AE224" s="219" t="str">
        <f ca="1">IF(Table2[[#This Row],[HOLD]]&gt;30,"ATRASADO","NO PRAZO")</f>
        <v>ATRASADO</v>
      </c>
    </row>
    <row r="225" spans="1:31" ht="14.45">
      <c r="A225" s="233" t="s">
        <v>825</v>
      </c>
      <c r="B225" s="217">
        <v>46092</v>
      </c>
      <c r="C225" s="217">
        <v>46092</v>
      </c>
      <c r="D225" s="218" t="s">
        <v>826</v>
      </c>
      <c r="E225" s="218" t="s">
        <v>191</v>
      </c>
      <c r="F225" s="218" t="s">
        <v>827</v>
      </c>
      <c r="G225" s="218">
        <v>60003071</v>
      </c>
      <c r="H225" s="218" t="s">
        <v>828</v>
      </c>
      <c r="I225" s="218" t="s">
        <v>829</v>
      </c>
      <c r="J225" s="218">
        <v>2</v>
      </c>
      <c r="K225" s="218" t="s">
        <v>269</v>
      </c>
      <c r="L225" s="218" t="s">
        <v>441</v>
      </c>
      <c r="M225" s="218" t="s">
        <v>39</v>
      </c>
      <c r="N225" s="218">
        <v>167520</v>
      </c>
      <c r="O225" s="219"/>
      <c r="P225" s="218">
        <v>1</v>
      </c>
      <c r="Q225" s="219"/>
      <c r="R225" s="219"/>
      <c r="S225" s="220">
        <v>46105</v>
      </c>
      <c r="T225" s="220">
        <v>46198</v>
      </c>
      <c r="U225" s="220">
        <v>46210</v>
      </c>
      <c r="V225" s="219" t="s">
        <v>830</v>
      </c>
      <c r="W225" s="221">
        <v>1493.79</v>
      </c>
      <c r="X225" s="223">
        <f>Table2[[#This Row],[QUANTIDADE]]*Table2[[#This Row],[PREÇO UNITARIO]]</f>
        <v>2987.58</v>
      </c>
      <c r="Y225" s="219" t="s">
        <v>42</v>
      </c>
      <c r="Z225" s="219">
        <f t="shared" si="6"/>
        <v>3</v>
      </c>
      <c r="AA225" s="219" t="s">
        <v>42</v>
      </c>
      <c r="AB225" s="220">
        <f t="shared" ca="1" si="7"/>
        <v>46235</v>
      </c>
      <c r="AC225" s="219">
        <f ca="1">_xlfn.DAYS(Table2[[#This Row],[HOJE]],Table2[[#This Row],[DATA PEDIDO HP]])</f>
        <v>143</v>
      </c>
      <c r="AD225" s="219" t="str">
        <f>IF(Table2[[#This Row],[STATUS2]]="ENTREGUE","ENTREGUE","")</f>
        <v>ENTREGUE</v>
      </c>
      <c r="AE225" s="219" t="s">
        <v>43</v>
      </c>
    </row>
    <row r="226" spans="1:31" ht="14.45">
      <c r="A226" s="233" t="s">
        <v>831</v>
      </c>
      <c r="B226" s="217">
        <v>46093</v>
      </c>
      <c r="C226" s="217">
        <v>46092</v>
      </c>
      <c r="D226" s="218" t="s">
        <v>832</v>
      </c>
      <c r="E226" s="218" t="s">
        <v>88</v>
      </c>
      <c r="F226" s="218" t="s">
        <v>34</v>
      </c>
      <c r="G226" s="218">
        <v>50110057</v>
      </c>
      <c r="H226" s="218" t="s">
        <v>833</v>
      </c>
      <c r="I226" s="218" t="s">
        <v>834</v>
      </c>
      <c r="J226" s="218">
        <v>1</v>
      </c>
      <c r="K226" s="218" t="s">
        <v>37</v>
      </c>
      <c r="L226" s="218" t="s">
        <v>122</v>
      </c>
      <c r="M226" s="218" t="s">
        <v>81</v>
      </c>
      <c r="N226" s="218">
        <v>167750</v>
      </c>
      <c r="O226" s="219"/>
      <c r="P226" s="218">
        <v>1</v>
      </c>
      <c r="Q226" s="219"/>
      <c r="R226" s="219"/>
      <c r="S226" s="220">
        <v>46202</v>
      </c>
      <c r="T226" s="220">
        <v>46133</v>
      </c>
      <c r="U226" s="220">
        <v>46168</v>
      </c>
      <c r="V226" s="219" t="s">
        <v>554</v>
      </c>
      <c r="W226" s="221">
        <v>189.44</v>
      </c>
      <c r="X226" s="223">
        <f>Table2[[#This Row],[QUANTIDADE]]*Table2[[#This Row],[PREÇO UNITARIO]]</f>
        <v>189.44</v>
      </c>
      <c r="Y226" s="219"/>
      <c r="Z226" s="219">
        <f t="shared" si="6"/>
        <v>3</v>
      </c>
      <c r="AA226" s="219" t="s">
        <v>42</v>
      </c>
      <c r="AB226" s="220">
        <f t="shared" ca="1" si="7"/>
        <v>46235</v>
      </c>
      <c r="AC226" s="219">
        <f ca="1">_xlfn.DAYS(Table2[[#This Row],[HOJE]],Table2[[#This Row],[DATA PEDIDO HP]])</f>
        <v>142</v>
      </c>
      <c r="AD226" s="219" t="str">
        <f>IF(Table2[[#This Row],[STATUS2]]="ENTREGUE","ENTREGUE","")</f>
        <v>ENTREGUE</v>
      </c>
      <c r="AE226" s="219" t="s">
        <v>43</v>
      </c>
    </row>
    <row r="227" spans="1:31" ht="14.45">
      <c r="A227" s="233" t="s">
        <v>835</v>
      </c>
      <c r="B227" s="217">
        <v>46093</v>
      </c>
      <c r="C227" s="217">
        <v>46092</v>
      </c>
      <c r="D227" s="218" t="s">
        <v>836</v>
      </c>
      <c r="E227" s="218" t="s">
        <v>33</v>
      </c>
      <c r="F227" s="218" t="s">
        <v>95</v>
      </c>
      <c r="G227" s="218">
        <v>60002095</v>
      </c>
      <c r="H227" s="218" t="s">
        <v>197</v>
      </c>
      <c r="I227" s="218" t="s">
        <v>837</v>
      </c>
      <c r="J227" s="218">
        <v>1</v>
      </c>
      <c r="K227" s="218" t="s">
        <v>37</v>
      </c>
      <c r="L227" s="218" t="s">
        <v>122</v>
      </c>
      <c r="M227" s="218" t="s">
        <v>81</v>
      </c>
      <c r="N227" s="218">
        <v>168080</v>
      </c>
      <c r="O227" s="219"/>
      <c r="P227" s="218">
        <v>1</v>
      </c>
      <c r="Q227" s="219"/>
      <c r="R227" s="219"/>
      <c r="S227" s="220">
        <v>46197</v>
      </c>
      <c r="T227" s="220">
        <v>46133</v>
      </c>
      <c r="U227" s="220">
        <v>46168</v>
      </c>
      <c r="V227" s="219" t="s">
        <v>554</v>
      </c>
      <c r="W227" s="221">
        <v>5.29</v>
      </c>
      <c r="X227" s="223">
        <f>Table2[[#This Row],[QUANTIDADE]]*Table2[[#This Row],[PREÇO UNITARIO]]</f>
        <v>5.29</v>
      </c>
      <c r="Y227" s="219"/>
      <c r="Z227" s="219">
        <f t="shared" si="6"/>
        <v>3</v>
      </c>
      <c r="AA227" s="219" t="s">
        <v>42</v>
      </c>
      <c r="AB227" s="220">
        <f t="shared" ca="1" si="7"/>
        <v>46235</v>
      </c>
      <c r="AC227" s="219">
        <f ca="1">_xlfn.DAYS(Table2[[#This Row],[HOJE]],Table2[[#This Row],[DATA PEDIDO HP]])</f>
        <v>142</v>
      </c>
      <c r="AD227" s="219" t="str">
        <f>IF(Table2[[#This Row],[STATUS2]]="ENTREGUE","ENTREGUE","")</f>
        <v>ENTREGUE</v>
      </c>
      <c r="AE227" s="219" t="s">
        <v>43</v>
      </c>
    </row>
    <row r="228" spans="1:31" ht="14.45">
      <c r="A228" s="233" t="s">
        <v>838</v>
      </c>
      <c r="B228" s="217">
        <v>46093</v>
      </c>
      <c r="C228" s="217">
        <v>46092</v>
      </c>
      <c r="D228" s="218" t="s">
        <v>839</v>
      </c>
      <c r="E228" s="218" t="s">
        <v>298</v>
      </c>
      <c r="F228" s="218" t="s">
        <v>34</v>
      </c>
      <c r="G228" s="218">
        <v>50110261</v>
      </c>
      <c r="H228" s="218" t="s">
        <v>840</v>
      </c>
      <c r="I228" s="218" t="s">
        <v>841</v>
      </c>
      <c r="J228" s="218">
        <v>1</v>
      </c>
      <c r="K228" s="218" t="s">
        <v>37</v>
      </c>
      <c r="L228" s="218" t="s">
        <v>72</v>
      </c>
      <c r="M228" s="218" t="s">
        <v>73</v>
      </c>
      <c r="N228" s="218">
        <v>168212</v>
      </c>
      <c r="O228" s="219"/>
      <c r="P228" s="218">
        <v>1</v>
      </c>
      <c r="Q228" s="219"/>
      <c r="R228" s="219"/>
      <c r="S228" s="220"/>
      <c r="T228" s="220">
        <v>46168</v>
      </c>
      <c r="U228" s="220">
        <v>46185</v>
      </c>
      <c r="V228" s="219" t="s">
        <v>41</v>
      </c>
      <c r="W228" s="221">
        <v>27.5</v>
      </c>
      <c r="X228" s="223">
        <f>Table2[[#This Row],[QUANTIDADE]]*Table2[[#This Row],[PREÇO UNITARIO]]</f>
        <v>27.5</v>
      </c>
      <c r="Y228" s="219"/>
      <c r="Z228" s="219">
        <f t="shared" si="6"/>
        <v>3</v>
      </c>
      <c r="AA228" s="219" t="s">
        <v>74</v>
      </c>
      <c r="AB228" s="220">
        <f t="shared" ca="1" si="7"/>
        <v>46235</v>
      </c>
      <c r="AC228" s="219">
        <f ca="1">_xlfn.DAYS(Table2[[#This Row],[HOJE]],Table2[[#This Row],[DATA PEDIDO HP]])</f>
        <v>142</v>
      </c>
      <c r="AD228" s="219" t="str">
        <f ca="1">IF(Table2[[#This Row],[STATUS2]]="ENTREGUE","ENTREGUE","")</f>
        <v/>
      </c>
      <c r="AE228" s="219" t="str">
        <f ca="1">IF(Table2[[#This Row],[HOLD]]&gt;30,"ATRASADO","NO PRAZO")</f>
        <v>ATRASADO</v>
      </c>
    </row>
    <row r="229" spans="1:31" ht="14.45">
      <c r="A229" s="233" t="s">
        <v>842</v>
      </c>
      <c r="B229" s="217">
        <v>46093</v>
      </c>
      <c r="C229" s="217">
        <v>46093</v>
      </c>
      <c r="D229" s="218" t="s">
        <v>843</v>
      </c>
      <c r="E229" s="218" t="s">
        <v>33</v>
      </c>
      <c r="F229" s="218" t="s">
        <v>34</v>
      </c>
      <c r="G229" s="218">
        <v>50110372</v>
      </c>
      <c r="H229" s="218" t="s">
        <v>403</v>
      </c>
      <c r="I229" s="218" t="s">
        <v>404</v>
      </c>
      <c r="J229" s="218">
        <v>2</v>
      </c>
      <c r="K229" s="218" t="s">
        <v>37</v>
      </c>
      <c r="L229" s="218" t="s">
        <v>72</v>
      </c>
      <c r="M229" s="218" t="s">
        <v>73</v>
      </c>
      <c r="N229" s="218">
        <v>166430</v>
      </c>
      <c r="O229" s="219"/>
      <c r="P229" s="218">
        <v>2</v>
      </c>
      <c r="Q229" s="219"/>
      <c r="R229" s="219"/>
      <c r="S229" s="220"/>
      <c r="T229" s="220">
        <v>46133</v>
      </c>
      <c r="U229" s="220">
        <v>46168</v>
      </c>
      <c r="V229" s="219" t="s">
        <v>554</v>
      </c>
      <c r="W229" s="221">
        <v>317.92</v>
      </c>
      <c r="X229" s="223">
        <f>Table2[[#This Row],[QUANTIDADE]]*Table2[[#This Row],[PREÇO UNITARIO]]</f>
        <v>635.84</v>
      </c>
      <c r="Y229" s="219"/>
      <c r="Z229" s="219">
        <f t="shared" si="6"/>
        <v>3</v>
      </c>
      <c r="AA229" s="219" t="s">
        <v>42</v>
      </c>
      <c r="AB229" s="220">
        <f t="shared" ca="1" si="7"/>
        <v>46235</v>
      </c>
      <c r="AC229" s="219">
        <f ca="1">_xlfn.DAYS(Table2[[#This Row],[HOJE]],Table2[[#This Row],[DATA PEDIDO HP]])</f>
        <v>142</v>
      </c>
      <c r="AD229" s="219" t="str">
        <f ca="1">IF(Table2[[#This Row],[STATUS2]]="ENTREGUE","ENTREGUE","")</f>
        <v/>
      </c>
      <c r="AE229" s="219" t="str">
        <f ca="1">IF(Table2[[#This Row],[HOLD]]&gt;30,"ATRASADO","NO PRAZO")</f>
        <v>ATRASADO</v>
      </c>
    </row>
    <row r="230" spans="1:31" ht="14.45">
      <c r="A230" s="233" t="s">
        <v>844</v>
      </c>
      <c r="B230" s="217">
        <v>46094</v>
      </c>
      <c r="C230" s="217">
        <v>46094</v>
      </c>
      <c r="D230" s="218" t="s">
        <v>845</v>
      </c>
      <c r="E230" s="218" t="s">
        <v>154</v>
      </c>
      <c r="F230" s="218" t="s">
        <v>145</v>
      </c>
      <c r="G230" s="218">
        <v>48000044</v>
      </c>
      <c r="H230" s="218" t="s">
        <v>846</v>
      </c>
      <c r="I230" s="218" t="s">
        <v>847</v>
      </c>
      <c r="J230" s="218">
        <v>1</v>
      </c>
      <c r="K230" s="218" t="s">
        <v>37</v>
      </c>
      <c r="L230" s="218" t="s">
        <v>72</v>
      </c>
      <c r="M230" s="218" t="s">
        <v>73</v>
      </c>
      <c r="N230" s="218">
        <v>166958</v>
      </c>
      <c r="O230" s="219"/>
      <c r="P230" s="218">
        <v>1</v>
      </c>
      <c r="Q230" s="219"/>
      <c r="R230" s="219"/>
      <c r="S230" s="220"/>
      <c r="T230" s="220">
        <v>46198</v>
      </c>
      <c r="U230" s="220">
        <v>46210</v>
      </c>
      <c r="V230" s="219" t="s">
        <v>830</v>
      </c>
      <c r="W230" s="221">
        <v>98.36</v>
      </c>
      <c r="X230" s="223">
        <f>Table2[[#This Row],[QUANTIDADE]]*Table2[[#This Row],[PREÇO UNITARIO]]</f>
        <v>98.36</v>
      </c>
      <c r="Y230" s="219"/>
      <c r="Z230" s="219">
        <f t="shared" si="6"/>
        <v>3</v>
      </c>
      <c r="AA230" s="219" t="s">
        <v>74</v>
      </c>
      <c r="AB230" s="220">
        <f t="shared" ca="1" si="7"/>
        <v>46235</v>
      </c>
      <c r="AC230" s="219">
        <f ca="1">_xlfn.DAYS(Table2[[#This Row],[HOJE]],Table2[[#This Row],[DATA PEDIDO HP]])</f>
        <v>141</v>
      </c>
      <c r="AD230" s="219" t="str">
        <f ca="1">IF(Table2[[#This Row],[STATUS2]]="ENTREGUE","ENTREGUE","")</f>
        <v/>
      </c>
      <c r="AE230" s="219" t="str">
        <f ca="1">IF(Table2[[#This Row],[HOLD]]&gt;30,"ATRASADO","NO PRAZO")</f>
        <v>ATRASADO</v>
      </c>
    </row>
    <row r="231" spans="1:31" ht="14.45">
      <c r="A231" s="233" t="s">
        <v>848</v>
      </c>
      <c r="B231" s="217">
        <v>46094</v>
      </c>
      <c r="C231" s="217">
        <v>46094</v>
      </c>
      <c r="D231" s="218" t="s">
        <v>849</v>
      </c>
      <c r="E231" s="218" t="s">
        <v>33</v>
      </c>
      <c r="F231" s="218" t="s">
        <v>34</v>
      </c>
      <c r="G231" s="218">
        <v>50110372</v>
      </c>
      <c r="H231" s="218" t="s">
        <v>493</v>
      </c>
      <c r="I231" s="218" t="s">
        <v>850</v>
      </c>
      <c r="J231" s="218">
        <v>1</v>
      </c>
      <c r="K231" s="218" t="s">
        <v>37</v>
      </c>
      <c r="L231" s="218" t="s">
        <v>72</v>
      </c>
      <c r="M231" s="218" t="s">
        <v>73</v>
      </c>
      <c r="N231" s="218">
        <v>164156</v>
      </c>
      <c r="O231" s="219"/>
      <c r="P231" s="218">
        <v>1</v>
      </c>
      <c r="Q231" s="219"/>
      <c r="R231" s="219" t="s">
        <v>495</v>
      </c>
      <c r="S231" s="220"/>
      <c r="T231" s="220">
        <v>46133</v>
      </c>
      <c r="U231" s="220">
        <v>46168</v>
      </c>
      <c r="V231" s="219" t="s">
        <v>554</v>
      </c>
      <c r="W231" s="221">
        <v>106.15</v>
      </c>
      <c r="X231" s="223">
        <f>Table2[[#This Row],[QUANTIDADE]]*Table2[[#This Row],[PREÇO UNITARIO]]</f>
        <v>106.15</v>
      </c>
      <c r="Y231" s="219"/>
      <c r="Z231" s="219">
        <f t="shared" si="6"/>
        <v>3</v>
      </c>
      <c r="AA231" s="219" t="s">
        <v>42</v>
      </c>
      <c r="AB231" s="220">
        <f t="shared" ca="1" si="7"/>
        <v>46235</v>
      </c>
      <c r="AC231" s="219">
        <f ca="1">_xlfn.DAYS(Table2[[#This Row],[HOJE]],Table2[[#This Row],[DATA PEDIDO HP]])</f>
        <v>141</v>
      </c>
      <c r="AD231" s="219" t="str">
        <f ca="1">IF(Table2[[#This Row],[STATUS2]]="ENTREGUE","ENTREGUE","")</f>
        <v/>
      </c>
      <c r="AE231" s="219" t="str">
        <f ca="1">IF(Table2[[#This Row],[HOLD]]&gt;30,"ATRASADO","NO PRAZO")</f>
        <v>ATRASADO</v>
      </c>
    </row>
    <row r="232" spans="1:31" ht="14.45">
      <c r="A232" s="233" t="s">
        <v>848</v>
      </c>
      <c r="B232" s="217">
        <v>46094</v>
      </c>
      <c r="C232" s="217">
        <v>46094</v>
      </c>
      <c r="D232" s="218" t="s">
        <v>849</v>
      </c>
      <c r="E232" s="218" t="s">
        <v>33</v>
      </c>
      <c r="F232" s="218" t="s">
        <v>34</v>
      </c>
      <c r="G232" s="218">
        <v>50110372</v>
      </c>
      <c r="H232" s="218" t="s">
        <v>851</v>
      </c>
      <c r="I232" s="218" t="s">
        <v>852</v>
      </c>
      <c r="J232" s="218">
        <v>1</v>
      </c>
      <c r="K232" s="218" t="s">
        <v>37</v>
      </c>
      <c r="L232" s="218" t="s">
        <v>72</v>
      </c>
      <c r="M232" s="218" t="s">
        <v>73</v>
      </c>
      <c r="N232" s="218">
        <v>164156</v>
      </c>
      <c r="O232" s="219"/>
      <c r="P232" s="218">
        <v>1</v>
      </c>
      <c r="Q232" s="219"/>
      <c r="R232" s="219"/>
      <c r="S232" s="220"/>
      <c r="T232" s="220">
        <v>46168</v>
      </c>
      <c r="U232" s="220">
        <v>46185</v>
      </c>
      <c r="V232" s="219" t="s">
        <v>41</v>
      </c>
      <c r="W232" s="221">
        <v>34.08</v>
      </c>
      <c r="X232" s="223">
        <f>Table2[[#This Row],[QUANTIDADE]]*Table2[[#This Row],[PREÇO UNITARIO]]</f>
        <v>34.08</v>
      </c>
      <c r="Y232" s="219"/>
      <c r="Z232" s="219">
        <f t="shared" si="6"/>
        <v>3</v>
      </c>
      <c r="AA232" s="219" t="s">
        <v>42</v>
      </c>
      <c r="AB232" s="220">
        <f t="shared" ca="1" si="7"/>
        <v>46235</v>
      </c>
      <c r="AC232" s="219">
        <f ca="1">_xlfn.DAYS(Table2[[#This Row],[HOJE]],Table2[[#This Row],[DATA PEDIDO HP]])</f>
        <v>141</v>
      </c>
      <c r="AD232" s="219" t="str">
        <f ca="1">IF(Table2[[#This Row],[STATUS2]]="ENTREGUE","ENTREGUE","")</f>
        <v/>
      </c>
      <c r="AE232" s="219" t="str">
        <f ca="1">IF(Table2[[#This Row],[HOLD]]&gt;30,"ATRASADO","NO PRAZO")</f>
        <v>ATRASADO</v>
      </c>
    </row>
    <row r="233" spans="1:31" ht="14.45">
      <c r="A233" s="233" t="s">
        <v>853</v>
      </c>
      <c r="B233" s="217">
        <v>46094</v>
      </c>
      <c r="C233" s="217">
        <v>46094</v>
      </c>
      <c r="D233" s="218" t="s">
        <v>854</v>
      </c>
      <c r="E233" s="218" t="s">
        <v>69</v>
      </c>
      <c r="F233" s="218" t="s">
        <v>34</v>
      </c>
      <c r="G233" s="218">
        <v>50200095</v>
      </c>
      <c r="H233" s="218" t="s">
        <v>220</v>
      </c>
      <c r="I233" s="218" t="s">
        <v>855</v>
      </c>
      <c r="J233" s="218">
        <v>1</v>
      </c>
      <c r="K233" s="218" t="s">
        <v>37</v>
      </c>
      <c r="L233" s="218" t="s">
        <v>72</v>
      </c>
      <c r="M233" s="218" t="s">
        <v>73</v>
      </c>
      <c r="N233" s="218">
        <v>167519</v>
      </c>
      <c r="O233" s="219"/>
      <c r="P233" s="218">
        <v>1</v>
      </c>
      <c r="Q233" s="219"/>
      <c r="R233" s="219"/>
      <c r="S233" s="220"/>
      <c r="T233" s="220">
        <v>46133</v>
      </c>
      <c r="U233" s="220">
        <v>46168</v>
      </c>
      <c r="V233" s="219" t="s">
        <v>554</v>
      </c>
      <c r="W233" s="221">
        <v>274.36</v>
      </c>
      <c r="X233" s="223">
        <f>Table2[[#This Row],[QUANTIDADE]]*Table2[[#This Row],[PREÇO UNITARIO]]</f>
        <v>274.36</v>
      </c>
      <c r="Y233" s="219"/>
      <c r="Z233" s="219">
        <f t="shared" si="6"/>
        <v>3</v>
      </c>
      <c r="AA233" s="219" t="s">
        <v>74</v>
      </c>
      <c r="AB233" s="220">
        <f t="shared" ca="1" si="7"/>
        <v>46235</v>
      </c>
      <c r="AC233" s="219">
        <f ca="1">_xlfn.DAYS(Table2[[#This Row],[HOJE]],Table2[[#This Row],[DATA PEDIDO HP]])</f>
        <v>141</v>
      </c>
      <c r="AD233" s="219" t="str">
        <f ca="1">IF(Table2[[#This Row],[STATUS2]]="ENTREGUE","ENTREGUE","")</f>
        <v/>
      </c>
      <c r="AE233" s="219" t="str">
        <f ca="1">IF(Table2[[#This Row],[HOLD]]&gt;30,"ATRASADO","NO PRAZO")</f>
        <v>ATRASADO</v>
      </c>
    </row>
    <row r="234" spans="1:31" ht="14.45">
      <c r="A234" s="233" t="s">
        <v>856</v>
      </c>
      <c r="B234" s="217">
        <v>46097</v>
      </c>
      <c r="C234" s="217">
        <v>46097</v>
      </c>
      <c r="D234" s="218" t="s">
        <v>857</v>
      </c>
      <c r="E234" s="218" t="s">
        <v>191</v>
      </c>
      <c r="F234" s="218" t="s">
        <v>95</v>
      </c>
      <c r="G234" s="218">
        <v>60001111</v>
      </c>
      <c r="H234" s="218" t="s">
        <v>194</v>
      </c>
      <c r="I234" s="218" t="s">
        <v>195</v>
      </c>
      <c r="J234" s="218">
        <v>1</v>
      </c>
      <c r="K234" s="218" t="s">
        <v>37</v>
      </c>
      <c r="L234" s="218" t="s">
        <v>72</v>
      </c>
      <c r="M234" s="218" t="s">
        <v>81</v>
      </c>
      <c r="N234" s="218">
        <v>168906</v>
      </c>
      <c r="O234" s="219"/>
      <c r="P234" s="218">
        <v>1</v>
      </c>
      <c r="Q234" s="219"/>
      <c r="R234" s="219"/>
      <c r="S234" s="220">
        <v>46197</v>
      </c>
      <c r="T234" s="220">
        <v>46133</v>
      </c>
      <c r="U234" s="220">
        <v>46168</v>
      </c>
      <c r="V234" s="219" t="s">
        <v>554</v>
      </c>
      <c r="W234" s="221">
        <v>22.19</v>
      </c>
      <c r="X234" s="223">
        <f>Table2[[#This Row],[QUANTIDADE]]*Table2[[#This Row],[PREÇO UNITARIO]]</f>
        <v>22.19</v>
      </c>
      <c r="Y234" s="219" t="s">
        <v>42</v>
      </c>
      <c r="Z234" s="219">
        <f t="shared" si="6"/>
        <v>3</v>
      </c>
      <c r="AA234" s="219" t="s">
        <v>42</v>
      </c>
      <c r="AB234" s="220">
        <f t="shared" ca="1" si="7"/>
        <v>46235</v>
      </c>
      <c r="AC234" s="219">
        <f ca="1">_xlfn.DAYS(Table2[[#This Row],[HOJE]],Table2[[#This Row],[DATA PEDIDO HP]])</f>
        <v>138</v>
      </c>
      <c r="AD234" s="219" t="str">
        <f>IF(Table2[[#This Row],[STATUS2]]="ENTREGUE","ENTREGUE","")</f>
        <v>ENTREGUE</v>
      </c>
      <c r="AE234" s="219" t="s">
        <v>43</v>
      </c>
    </row>
    <row r="235" spans="1:31" ht="14.45">
      <c r="A235" s="233" t="s">
        <v>858</v>
      </c>
      <c r="B235" s="217">
        <v>46098</v>
      </c>
      <c r="C235" s="217">
        <v>46098</v>
      </c>
      <c r="D235" s="218" t="s">
        <v>859</v>
      </c>
      <c r="E235" s="218" t="s">
        <v>860</v>
      </c>
      <c r="F235" s="218" t="s">
        <v>861</v>
      </c>
      <c r="G235" s="218">
        <v>50000202</v>
      </c>
      <c r="H235" s="218" t="s">
        <v>82</v>
      </c>
      <c r="I235" s="218" t="s">
        <v>862</v>
      </c>
      <c r="J235" s="218">
        <v>2</v>
      </c>
      <c r="K235" s="218" t="s">
        <v>105</v>
      </c>
      <c r="L235" s="218" t="s">
        <v>863</v>
      </c>
      <c r="M235" s="218" t="s">
        <v>73</v>
      </c>
      <c r="N235" s="218"/>
      <c r="O235" s="219"/>
      <c r="P235" s="218">
        <v>2</v>
      </c>
      <c r="Q235" s="219"/>
      <c r="R235" s="219"/>
      <c r="S235" s="220"/>
      <c r="T235" s="220">
        <v>46133</v>
      </c>
      <c r="U235" s="220">
        <v>46168</v>
      </c>
      <c r="V235" s="219" t="s">
        <v>554</v>
      </c>
      <c r="W235" s="221">
        <v>19.600000000000001</v>
      </c>
      <c r="X235" s="223">
        <f>Table2[[#This Row],[QUANTIDADE]]*Table2[[#This Row],[PREÇO UNITARIO]]</f>
        <v>39.200000000000003</v>
      </c>
      <c r="Y235" s="219"/>
      <c r="Z235" s="219">
        <f t="shared" si="6"/>
        <v>3</v>
      </c>
      <c r="AA235" s="219" t="s">
        <v>74</v>
      </c>
      <c r="AB235" s="220">
        <f t="shared" ca="1" si="7"/>
        <v>46235</v>
      </c>
      <c r="AC235" s="219">
        <f ca="1">_xlfn.DAYS(Table2[[#This Row],[HOJE]],Table2[[#This Row],[DATA PEDIDO HP]])</f>
        <v>137</v>
      </c>
      <c r="AD235" s="219" t="str">
        <f ca="1">IF(Table2[[#This Row],[STATUS2]]="ENTREGUE","ENTREGUE","")</f>
        <v/>
      </c>
      <c r="AE235" s="219" t="str">
        <f ca="1">IF(Table2[[#This Row],[HOLD]]&gt;30,"ATRASADO","NO PRAZO")</f>
        <v>ATRASADO</v>
      </c>
    </row>
    <row r="236" spans="1:31" ht="14.45">
      <c r="A236" s="233" t="s">
        <v>864</v>
      </c>
      <c r="B236" s="217">
        <v>46098</v>
      </c>
      <c r="C236" s="217">
        <v>46098</v>
      </c>
      <c r="D236" s="218" t="s">
        <v>865</v>
      </c>
      <c r="E236" s="218" t="s">
        <v>101</v>
      </c>
      <c r="F236" s="218" t="s">
        <v>102</v>
      </c>
      <c r="G236" s="218">
        <v>51000136</v>
      </c>
      <c r="H236" s="218" t="s">
        <v>866</v>
      </c>
      <c r="I236" s="218" t="s">
        <v>867</v>
      </c>
      <c r="J236" s="218">
        <v>3</v>
      </c>
      <c r="K236" s="218" t="s">
        <v>37</v>
      </c>
      <c r="L236" s="218" t="s">
        <v>106</v>
      </c>
      <c r="M236" s="218" t="s">
        <v>39</v>
      </c>
      <c r="N236" s="218"/>
      <c r="O236" s="219"/>
      <c r="P236" s="218">
        <v>1</v>
      </c>
      <c r="Q236" s="219"/>
      <c r="R236" s="219"/>
      <c r="S236" s="220">
        <v>46202</v>
      </c>
      <c r="T236" s="220">
        <v>46133</v>
      </c>
      <c r="U236" s="220">
        <v>46168</v>
      </c>
      <c r="V236" s="219" t="s">
        <v>554</v>
      </c>
      <c r="W236" s="221">
        <v>248.73</v>
      </c>
      <c r="X236" s="223">
        <f>Table2[[#This Row],[QUANTIDADE]]*Table2[[#This Row],[PREÇO UNITARIO]]</f>
        <v>746.18999999999994</v>
      </c>
      <c r="Y236" s="219"/>
      <c r="Z236" s="219">
        <f t="shared" si="6"/>
        <v>3</v>
      </c>
      <c r="AA236" s="219" t="s">
        <v>42</v>
      </c>
      <c r="AB236" s="220">
        <f t="shared" ca="1" si="7"/>
        <v>46235</v>
      </c>
      <c r="AC236" s="219">
        <f ca="1">_xlfn.DAYS(Table2[[#This Row],[HOJE]],Table2[[#This Row],[DATA PEDIDO HP]])</f>
        <v>137</v>
      </c>
      <c r="AD236" s="219" t="str">
        <f>IF(Table2[[#This Row],[STATUS2]]="ENTREGUE","ENTREGUE","")</f>
        <v>ENTREGUE</v>
      </c>
      <c r="AE236" s="219" t="s">
        <v>43</v>
      </c>
    </row>
    <row r="237" spans="1:31" ht="14.45">
      <c r="A237" s="233" t="s">
        <v>868</v>
      </c>
      <c r="B237" s="217">
        <v>46098</v>
      </c>
      <c r="C237" s="217">
        <v>46098</v>
      </c>
      <c r="D237" s="218" t="s">
        <v>869</v>
      </c>
      <c r="E237" s="218" t="s">
        <v>101</v>
      </c>
      <c r="F237" s="218" t="s">
        <v>102</v>
      </c>
      <c r="G237" s="218">
        <v>51000323</v>
      </c>
      <c r="H237" s="218" t="s">
        <v>110</v>
      </c>
      <c r="I237" s="218" t="s">
        <v>870</v>
      </c>
      <c r="J237" s="218">
        <v>1</v>
      </c>
      <c r="K237" s="218" t="s">
        <v>105</v>
      </c>
      <c r="L237" s="218" t="s">
        <v>106</v>
      </c>
      <c r="M237" s="218" t="s">
        <v>73</v>
      </c>
      <c r="N237" s="218"/>
      <c r="O237" s="219"/>
      <c r="P237" s="218">
        <v>1</v>
      </c>
      <c r="Q237" s="219"/>
      <c r="R237" s="219"/>
      <c r="S237" s="220"/>
      <c r="T237" s="220">
        <v>46133</v>
      </c>
      <c r="U237" s="220">
        <v>46168</v>
      </c>
      <c r="V237" s="219" t="s">
        <v>554</v>
      </c>
      <c r="W237" s="221">
        <v>898.2</v>
      </c>
      <c r="X237" s="223">
        <f>Table2[[#This Row],[QUANTIDADE]]*Table2[[#This Row],[PREÇO UNITARIO]]</f>
        <v>898.2</v>
      </c>
      <c r="Y237" s="219"/>
      <c r="Z237" s="219">
        <f t="shared" si="6"/>
        <v>3</v>
      </c>
      <c r="AA237" s="219" t="s">
        <v>42</v>
      </c>
      <c r="AB237" s="220">
        <f t="shared" ca="1" si="7"/>
        <v>46235</v>
      </c>
      <c r="AC237" s="219">
        <f ca="1">_xlfn.DAYS(Table2[[#This Row],[HOJE]],Table2[[#This Row],[DATA PEDIDO HP]])</f>
        <v>137</v>
      </c>
      <c r="AD237" s="219" t="str">
        <f ca="1">IF(Table2[[#This Row],[STATUS2]]="ENTREGUE","ENTREGUE","")</f>
        <v/>
      </c>
      <c r="AE237" s="219" t="str">
        <f ca="1">IF(Table2[[#This Row],[HOLD]]&gt;30,"ATRASADO","NO PRAZO")</f>
        <v>ATRASADO</v>
      </c>
    </row>
    <row r="238" spans="1:31" ht="14.45">
      <c r="A238" s="233" t="s">
        <v>871</v>
      </c>
      <c r="B238" s="217">
        <v>46099</v>
      </c>
      <c r="C238" s="217">
        <v>46098</v>
      </c>
      <c r="D238" s="218" t="s">
        <v>826</v>
      </c>
      <c r="E238" s="218" t="s">
        <v>191</v>
      </c>
      <c r="F238" s="218" t="s">
        <v>827</v>
      </c>
      <c r="G238" s="218">
        <v>60003071</v>
      </c>
      <c r="H238" s="218" t="s">
        <v>791</v>
      </c>
      <c r="I238" s="218" t="s">
        <v>792</v>
      </c>
      <c r="J238" s="218">
        <v>1</v>
      </c>
      <c r="K238" s="218" t="s">
        <v>37</v>
      </c>
      <c r="L238" s="218" t="s">
        <v>441</v>
      </c>
      <c r="M238" s="218" t="s">
        <v>73</v>
      </c>
      <c r="N238" s="218">
        <v>167520</v>
      </c>
      <c r="O238" s="219"/>
      <c r="P238" s="218">
        <v>1</v>
      </c>
      <c r="Q238" s="219"/>
      <c r="R238" s="219"/>
      <c r="S238" s="220"/>
      <c r="T238" s="220">
        <v>46133</v>
      </c>
      <c r="U238" s="220">
        <v>46168</v>
      </c>
      <c r="V238" s="219" t="s">
        <v>554</v>
      </c>
      <c r="W238" s="221">
        <v>1012.39</v>
      </c>
      <c r="X238" s="223">
        <f>Table2[[#This Row],[QUANTIDADE]]*Table2[[#This Row],[PREÇO UNITARIO]]</f>
        <v>1012.39</v>
      </c>
      <c r="Y238" s="219" t="s">
        <v>42</v>
      </c>
      <c r="Z238" s="219">
        <f t="shared" si="6"/>
        <v>3</v>
      </c>
      <c r="AA238" s="219" t="s">
        <v>42</v>
      </c>
      <c r="AB238" s="220">
        <f t="shared" ca="1" si="7"/>
        <v>46235</v>
      </c>
      <c r="AC238" s="219">
        <f ca="1">_xlfn.DAYS(Table2[[#This Row],[HOJE]],Table2[[#This Row],[DATA PEDIDO HP]])</f>
        <v>136</v>
      </c>
      <c r="AD238" s="219" t="str">
        <f ca="1">IF(Table2[[#This Row],[STATUS2]]="ENTREGUE","ENTREGUE","")</f>
        <v/>
      </c>
      <c r="AE238" s="219" t="str">
        <f ca="1">IF(Table2[[#This Row],[HOLD]]&gt;30,"ATRASADO","NO PRAZO")</f>
        <v>ATRASADO</v>
      </c>
    </row>
    <row r="239" spans="1:31" ht="14.45">
      <c r="A239" s="233" t="s">
        <v>872</v>
      </c>
      <c r="B239" s="217">
        <v>46099</v>
      </c>
      <c r="C239" s="217">
        <v>46098</v>
      </c>
      <c r="D239" s="218" t="s">
        <v>873</v>
      </c>
      <c r="E239" s="218" t="s">
        <v>33</v>
      </c>
      <c r="F239" s="218" t="s">
        <v>95</v>
      </c>
      <c r="G239" s="218">
        <v>60002095</v>
      </c>
      <c r="H239" s="218" t="s">
        <v>874</v>
      </c>
      <c r="I239" s="218" t="s">
        <v>875</v>
      </c>
      <c r="J239" s="218">
        <v>1</v>
      </c>
      <c r="K239" s="218" t="s">
        <v>37</v>
      </c>
      <c r="L239" s="218" t="s">
        <v>441</v>
      </c>
      <c r="M239" s="218" t="s">
        <v>81</v>
      </c>
      <c r="N239" s="218">
        <v>168776</v>
      </c>
      <c r="O239" s="219"/>
      <c r="P239" s="219">
        <v>1</v>
      </c>
      <c r="Q239" s="219"/>
      <c r="R239" s="219" t="s">
        <v>876</v>
      </c>
      <c r="S239" s="220">
        <v>46197</v>
      </c>
      <c r="T239" s="220">
        <v>46133</v>
      </c>
      <c r="U239" s="220">
        <v>46168</v>
      </c>
      <c r="V239" s="219" t="s">
        <v>554</v>
      </c>
      <c r="W239" s="221">
        <v>408.27</v>
      </c>
      <c r="X239" s="223">
        <f>Table2[[#This Row],[QUANTIDADE]]*Table2[[#This Row],[PREÇO UNITARIO]]</f>
        <v>408.27</v>
      </c>
      <c r="Y239" s="219"/>
      <c r="Z239" s="219">
        <f t="shared" si="6"/>
        <v>3</v>
      </c>
      <c r="AA239" s="219" t="s">
        <v>42</v>
      </c>
      <c r="AB239" s="220">
        <f t="shared" ca="1" si="7"/>
        <v>46235</v>
      </c>
      <c r="AC239" s="219">
        <f ca="1">_xlfn.DAYS(Table2[[#This Row],[HOJE]],Table2[[#This Row],[DATA PEDIDO HP]])</f>
        <v>136</v>
      </c>
      <c r="AD239" s="219" t="str">
        <f>IF(Table2[[#This Row],[STATUS2]]="ENTREGUE","ENTREGUE","")</f>
        <v>ENTREGUE</v>
      </c>
      <c r="AE239" s="219" t="s">
        <v>43</v>
      </c>
    </row>
    <row r="240" spans="1:31" ht="14.45">
      <c r="A240" s="233" t="s">
        <v>877</v>
      </c>
      <c r="B240" s="217">
        <v>46100</v>
      </c>
      <c r="C240" s="217">
        <v>46100</v>
      </c>
      <c r="D240" s="218" t="s">
        <v>878</v>
      </c>
      <c r="E240" s="218" t="s">
        <v>101</v>
      </c>
      <c r="F240" s="218" t="s">
        <v>102</v>
      </c>
      <c r="G240" s="218">
        <v>51000323</v>
      </c>
      <c r="H240" s="218" t="s">
        <v>879</v>
      </c>
      <c r="I240" s="218" t="s">
        <v>880</v>
      </c>
      <c r="J240" s="218">
        <v>1</v>
      </c>
      <c r="K240" s="218" t="s">
        <v>37</v>
      </c>
      <c r="L240" s="218" t="s">
        <v>72</v>
      </c>
      <c r="M240" s="218" t="s">
        <v>73</v>
      </c>
      <c r="N240" s="218">
        <v>169796</v>
      </c>
      <c r="O240" s="219"/>
      <c r="P240" s="219">
        <v>1</v>
      </c>
      <c r="Q240" s="219"/>
      <c r="R240" s="219"/>
      <c r="S240" s="220"/>
      <c r="T240" s="220">
        <v>46133</v>
      </c>
      <c r="U240" s="220">
        <v>46168</v>
      </c>
      <c r="V240" s="219" t="s">
        <v>554</v>
      </c>
      <c r="W240" s="221">
        <v>57.13</v>
      </c>
      <c r="X240" s="223">
        <f>Table2[[#This Row],[QUANTIDADE]]*Table2[[#This Row],[PREÇO UNITARIO]]</f>
        <v>57.13</v>
      </c>
      <c r="Y240" s="219"/>
      <c r="Z240" s="219">
        <f t="shared" si="6"/>
        <v>3</v>
      </c>
      <c r="AA240" s="219" t="s">
        <v>42</v>
      </c>
      <c r="AB240" s="220">
        <f t="shared" ca="1" si="7"/>
        <v>46235</v>
      </c>
      <c r="AC240" s="219">
        <f ca="1">_xlfn.DAYS(Table2[[#This Row],[HOJE]],Table2[[#This Row],[DATA PEDIDO HP]])</f>
        <v>135</v>
      </c>
      <c r="AD240" s="219" t="str">
        <f ca="1">IF(Table2[[#This Row],[STATUS2]]="ENTREGUE","ENTREGUE","")</f>
        <v/>
      </c>
      <c r="AE240" s="219" t="str">
        <f ca="1">IF(Table2[[#This Row],[HOLD]]&gt;30,"ATRASADO","NO PRAZO")</f>
        <v>ATRASADO</v>
      </c>
    </row>
    <row r="241" spans="1:31" ht="14.45">
      <c r="A241" s="233" t="s">
        <v>881</v>
      </c>
      <c r="B241" s="217">
        <v>46100</v>
      </c>
      <c r="C241" s="217">
        <v>46100</v>
      </c>
      <c r="D241" s="218" t="s">
        <v>882</v>
      </c>
      <c r="E241" s="218" t="s">
        <v>883</v>
      </c>
      <c r="F241" s="218" t="s">
        <v>884</v>
      </c>
      <c r="G241" s="218">
        <v>50300097</v>
      </c>
      <c r="H241" s="218" t="s">
        <v>885</v>
      </c>
      <c r="I241" s="218" t="s">
        <v>886</v>
      </c>
      <c r="J241" s="218">
        <v>1</v>
      </c>
      <c r="K241" s="218" t="s">
        <v>105</v>
      </c>
      <c r="L241" s="218" t="s">
        <v>106</v>
      </c>
      <c r="M241" s="218" t="s">
        <v>73</v>
      </c>
      <c r="N241" s="218"/>
      <c r="O241" s="219"/>
      <c r="P241" s="219">
        <v>1</v>
      </c>
      <c r="Q241" s="219"/>
      <c r="R241" s="219"/>
      <c r="S241" s="220"/>
      <c r="T241" s="220">
        <v>46133</v>
      </c>
      <c r="U241" s="220">
        <v>46168</v>
      </c>
      <c r="V241" s="219" t="s">
        <v>554</v>
      </c>
      <c r="W241" s="221">
        <v>1207.54</v>
      </c>
      <c r="X241" s="223">
        <f>Table2[[#This Row],[QUANTIDADE]]*Table2[[#This Row],[PREÇO UNITARIO]]</f>
        <v>1207.54</v>
      </c>
      <c r="Y241" s="219"/>
      <c r="Z241" s="219">
        <f t="shared" si="6"/>
        <v>3</v>
      </c>
      <c r="AA241" s="219" t="s">
        <v>74</v>
      </c>
      <c r="AB241" s="220">
        <f t="shared" ca="1" si="7"/>
        <v>46235</v>
      </c>
      <c r="AC241" s="219">
        <f ca="1">_xlfn.DAYS(Table2[[#This Row],[HOJE]],Table2[[#This Row],[DATA PEDIDO HP]])</f>
        <v>135</v>
      </c>
      <c r="AD241" s="219" t="str">
        <f ca="1">IF(Table2[[#This Row],[STATUS2]]="ENTREGUE","ENTREGUE","")</f>
        <v/>
      </c>
      <c r="AE241" s="219" t="str">
        <f ca="1">IF(Table2[[#This Row],[HOLD]]&gt;30,"ATRASADO","NO PRAZO")</f>
        <v>ATRASADO</v>
      </c>
    </row>
    <row r="242" spans="1:31" ht="14.45">
      <c r="A242" s="233" t="s">
        <v>887</v>
      </c>
      <c r="B242" s="217">
        <v>46101</v>
      </c>
      <c r="C242" s="217">
        <v>46101</v>
      </c>
      <c r="D242" s="218" t="s">
        <v>888</v>
      </c>
      <c r="E242" s="218" t="s">
        <v>333</v>
      </c>
      <c r="F242" s="218" t="s">
        <v>334</v>
      </c>
      <c r="G242" s="218">
        <v>50300097</v>
      </c>
      <c r="H242" s="218" t="s">
        <v>889</v>
      </c>
      <c r="I242" s="218" t="s">
        <v>890</v>
      </c>
      <c r="J242" s="218">
        <v>1</v>
      </c>
      <c r="K242" s="218" t="s">
        <v>105</v>
      </c>
      <c r="L242" s="218" t="s">
        <v>106</v>
      </c>
      <c r="M242" s="218" t="s">
        <v>39</v>
      </c>
      <c r="N242" s="218"/>
      <c r="O242" s="219"/>
      <c r="P242" s="219">
        <v>0</v>
      </c>
      <c r="Q242" s="219"/>
      <c r="R242" s="219"/>
      <c r="S242" s="220"/>
      <c r="T242" s="220">
        <v>46133</v>
      </c>
      <c r="U242" s="220">
        <v>46168</v>
      </c>
      <c r="V242" s="219" t="s">
        <v>554</v>
      </c>
      <c r="W242" s="221">
        <v>49.81</v>
      </c>
      <c r="X242" s="223">
        <f>Table2[[#This Row],[QUANTIDADE]]*Table2[[#This Row],[PREÇO UNITARIO]]</f>
        <v>49.81</v>
      </c>
      <c r="Y242" s="219"/>
      <c r="Z242" s="219">
        <f t="shared" si="6"/>
        <v>3</v>
      </c>
      <c r="AA242" s="219" t="s">
        <v>74</v>
      </c>
      <c r="AB242" s="220">
        <f t="shared" ca="1" si="7"/>
        <v>46235</v>
      </c>
      <c r="AC242" s="219">
        <f ca="1">_xlfn.DAYS(Table2[[#This Row],[HOJE]],Table2[[#This Row],[DATA PEDIDO HP]])</f>
        <v>134</v>
      </c>
      <c r="AD242" s="219" t="str">
        <f ca="1">IF(Table2[[#This Row],[STATUS2]]="ENTREGUE","ENTREGUE","")</f>
        <v/>
      </c>
      <c r="AE242" s="219" t="str">
        <f ca="1">IF(Table2[[#This Row],[HOLD]]&gt;30,"ATRASADO","NO PRAZO")</f>
        <v>ATRASADO</v>
      </c>
    </row>
    <row r="243" spans="1:31" ht="14.45">
      <c r="A243" s="233" t="s">
        <v>887</v>
      </c>
      <c r="B243" s="217">
        <v>46101</v>
      </c>
      <c r="C243" s="217">
        <v>46101</v>
      </c>
      <c r="D243" s="218" t="s">
        <v>888</v>
      </c>
      <c r="E243" s="218" t="s">
        <v>333</v>
      </c>
      <c r="F243" s="218" t="s">
        <v>334</v>
      </c>
      <c r="G243" s="218">
        <v>50300097</v>
      </c>
      <c r="H243" s="218" t="s">
        <v>694</v>
      </c>
      <c r="I243" s="218" t="s">
        <v>891</v>
      </c>
      <c r="J243" s="218">
        <v>1</v>
      </c>
      <c r="K243" s="218" t="s">
        <v>105</v>
      </c>
      <c r="L243" s="218" t="s">
        <v>106</v>
      </c>
      <c r="M243" s="218" t="s">
        <v>39</v>
      </c>
      <c r="N243" s="218"/>
      <c r="O243" s="219"/>
      <c r="P243" s="219">
        <v>0</v>
      </c>
      <c r="Q243" s="219"/>
      <c r="R243" s="219"/>
      <c r="S243" s="220"/>
      <c r="T243" s="220">
        <v>46168</v>
      </c>
      <c r="U243" s="220">
        <v>46185</v>
      </c>
      <c r="V243" s="219" t="s">
        <v>41</v>
      </c>
      <c r="W243" s="221">
        <v>17.96</v>
      </c>
      <c r="X243" s="223">
        <f>Table2[[#This Row],[QUANTIDADE]]*Table2[[#This Row],[PREÇO UNITARIO]]</f>
        <v>17.96</v>
      </c>
      <c r="Y243" s="219"/>
      <c r="Z243" s="219">
        <f t="shared" si="6"/>
        <v>3</v>
      </c>
      <c r="AA243" s="219" t="s">
        <v>74</v>
      </c>
      <c r="AB243" s="220">
        <f t="shared" ca="1" si="7"/>
        <v>46235</v>
      </c>
      <c r="AC243" s="219">
        <f ca="1">_xlfn.DAYS(Table2[[#This Row],[HOJE]],Table2[[#This Row],[DATA PEDIDO HP]])</f>
        <v>134</v>
      </c>
      <c r="AD243" s="219" t="str">
        <f ca="1">IF(Table2[[#This Row],[STATUS2]]="ENTREGUE","ENTREGUE","")</f>
        <v/>
      </c>
      <c r="AE243" s="219" t="str">
        <f ca="1">IF(Table2[[#This Row],[HOLD]]&gt;30,"ATRASADO","NO PRAZO")</f>
        <v>ATRASADO</v>
      </c>
    </row>
    <row r="244" spans="1:31" ht="14.45">
      <c r="A244" s="233" t="s">
        <v>887</v>
      </c>
      <c r="B244" s="217">
        <v>46101</v>
      </c>
      <c r="C244" s="217">
        <v>46101</v>
      </c>
      <c r="D244" s="218" t="s">
        <v>888</v>
      </c>
      <c r="E244" s="218" t="s">
        <v>333</v>
      </c>
      <c r="F244" s="218" t="s">
        <v>334</v>
      </c>
      <c r="G244" s="218">
        <v>50300097</v>
      </c>
      <c r="H244" s="218" t="s">
        <v>650</v>
      </c>
      <c r="I244" s="218" t="s">
        <v>892</v>
      </c>
      <c r="J244" s="218">
        <v>1</v>
      </c>
      <c r="K244" s="218" t="s">
        <v>105</v>
      </c>
      <c r="L244" s="218" t="s">
        <v>106</v>
      </c>
      <c r="M244" s="218" t="s">
        <v>39</v>
      </c>
      <c r="N244" s="218"/>
      <c r="O244" s="219"/>
      <c r="P244" s="219">
        <v>0</v>
      </c>
      <c r="Q244" s="219"/>
      <c r="R244" s="219"/>
      <c r="S244" s="220"/>
      <c r="T244" s="220">
        <v>46133</v>
      </c>
      <c r="U244" s="220">
        <v>46168</v>
      </c>
      <c r="V244" s="219" t="s">
        <v>554</v>
      </c>
      <c r="W244" s="221">
        <v>16.329999999999998</v>
      </c>
      <c r="X244" s="223">
        <f>Table2[[#This Row],[QUANTIDADE]]*Table2[[#This Row],[PREÇO UNITARIO]]</f>
        <v>16.329999999999998</v>
      </c>
      <c r="Y244" s="219"/>
      <c r="Z244" s="219">
        <f t="shared" si="6"/>
        <v>3</v>
      </c>
      <c r="AA244" s="219" t="s">
        <v>74</v>
      </c>
      <c r="AB244" s="220">
        <f t="shared" ca="1" si="7"/>
        <v>46235</v>
      </c>
      <c r="AC244" s="219">
        <f ca="1">_xlfn.DAYS(Table2[[#This Row],[HOJE]],Table2[[#This Row],[DATA PEDIDO HP]])</f>
        <v>134</v>
      </c>
      <c r="AD244" s="219" t="str">
        <f ca="1">IF(Table2[[#This Row],[STATUS2]]="ENTREGUE","ENTREGUE","")</f>
        <v/>
      </c>
      <c r="AE244" s="219" t="str">
        <f ca="1">IF(Table2[[#This Row],[HOLD]]&gt;30,"ATRASADO","NO PRAZO")</f>
        <v>ATRASADO</v>
      </c>
    </row>
    <row r="245" spans="1:31" ht="14.45">
      <c r="A245" s="233" t="s">
        <v>893</v>
      </c>
      <c r="B245" s="217">
        <v>46101</v>
      </c>
      <c r="C245" s="217">
        <v>46101</v>
      </c>
      <c r="D245" s="218" t="s">
        <v>894</v>
      </c>
      <c r="E245" s="218" t="s">
        <v>365</v>
      </c>
      <c r="F245" s="218" t="s">
        <v>861</v>
      </c>
      <c r="G245" s="218">
        <v>50000530</v>
      </c>
      <c r="H245" s="218" t="s">
        <v>895</v>
      </c>
      <c r="I245" s="218" t="s">
        <v>896</v>
      </c>
      <c r="J245" s="218">
        <v>1</v>
      </c>
      <c r="K245" s="218" t="s">
        <v>105</v>
      </c>
      <c r="L245" s="218" t="s">
        <v>106</v>
      </c>
      <c r="M245" s="218" t="s">
        <v>73</v>
      </c>
      <c r="N245" s="218"/>
      <c r="O245" s="219"/>
      <c r="P245" s="219">
        <v>1</v>
      </c>
      <c r="Q245" s="219"/>
      <c r="R245" s="219"/>
      <c r="S245" s="220"/>
      <c r="T245" s="220">
        <v>46133</v>
      </c>
      <c r="U245" s="220">
        <v>46168</v>
      </c>
      <c r="V245" s="219" t="s">
        <v>554</v>
      </c>
      <c r="W245" s="221">
        <v>1308.1099999999999</v>
      </c>
      <c r="X245" s="223">
        <f>Table2[[#This Row],[QUANTIDADE]]*Table2[[#This Row],[PREÇO UNITARIO]]</f>
        <v>1308.1099999999999</v>
      </c>
      <c r="Y245" s="219"/>
      <c r="Z245" s="219">
        <f t="shared" si="6"/>
        <v>3</v>
      </c>
      <c r="AA245" s="219" t="s">
        <v>74</v>
      </c>
      <c r="AB245" s="220">
        <f t="shared" ca="1" si="7"/>
        <v>46235</v>
      </c>
      <c r="AC245" s="219">
        <f ca="1">_xlfn.DAYS(Table2[[#This Row],[HOJE]],Table2[[#This Row],[DATA PEDIDO HP]])</f>
        <v>134</v>
      </c>
      <c r="AD245" s="219" t="str">
        <f ca="1">IF(Table2[[#This Row],[STATUS2]]="ENTREGUE","ENTREGUE","")</f>
        <v/>
      </c>
      <c r="AE245" s="219" t="str">
        <f ca="1">IF(Table2[[#This Row],[HOLD]]&gt;30,"ATRASADO","NO PRAZO")</f>
        <v>ATRASADO</v>
      </c>
    </row>
    <row r="246" spans="1:31" ht="14.45">
      <c r="A246" s="233" t="s">
        <v>897</v>
      </c>
      <c r="B246" s="220">
        <v>46132</v>
      </c>
      <c r="C246" s="217">
        <v>45736</v>
      </c>
      <c r="D246" s="218" t="s">
        <v>898</v>
      </c>
      <c r="E246" s="218" t="s">
        <v>33</v>
      </c>
      <c r="F246" s="218" t="s">
        <v>34</v>
      </c>
      <c r="G246" s="218">
        <v>50110372</v>
      </c>
      <c r="H246" s="218" t="s">
        <v>65</v>
      </c>
      <c r="I246" s="218" t="s">
        <v>899</v>
      </c>
      <c r="J246" s="218">
        <v>1</v>
      </c>
      <c r="K246" s="218" t="s">
        <v>37</v>
      </c>
      <c r="L246" s="218" t="s">
        <v>38</v>
      </c>
      <c r="M246" s="218">
        <v>148974</v>
      </c>
      <c r="N246" s="218"/>
      <c r="O246" s="219"/>
      <c r="P246" s="219"/>
      <c r="Q246" s="219"/>
      <c r="R246" s="219"/>
      <c r="S246" s="220"/>
      <c r="T246" s="220">
        <v>46198</v>
      </c>
      <c r="U246" s="220">
        <v>46210</v>
      </c>
      <c r="V246" s="219" t="s">
        <v>830</v>
      </c>
      <c r="W246" s="221">
        <v>56.63</v>
      </c>
      <c r="X246" s="223">
        <f>Table2[[#This Row],[QUANTIDADE]]*Table2[[#This Row],[PREÇO UNITARIO]]</f>
        <v>56.63</v>
      </c>
      <c r="Y246" s="219"/>
      <c r="Z246" s="219">
        <f t="shared" si="6"/>
        <v>4</v>
      </c>
      <c r="AA246" s="219" t="s">
        <v>42</v>
      </c>
      <c r="AB246" s="220">
        <f t="shared" ca="1" si="7"/>
        <v>46235</v>
      </c>
      <c r="AC246" s="219">
        <f ca="1">_xlfn.DAYS(Table2[[#This Row],[HOJE]],Table2[[#This Row],[DATA PEDIDO HP]])</f>
        <v>103</v>
      </c>
      <c r="AD246" s="219" t="str">
        <f ca="1">IF(Table2[[#This Row],[STATUS2]]="ENTREGUE","ENTREGUE","")</f>
        <v/>
      </c>
      <c r="AE246" s="230" t="str">
        <f ca="1">IF(Table2[[#This Row],[HOLD]]&gt;30,"ATRASADO","NO PRAZO")</f>
        <v>ATRASADO</v>
      </c>
    </row>
    <row r="247" spans="1:31" ht="14.45">
      <c r="A247" s="233" t="s">
        <v>900</v>
      </c>
      <c r="B247" s="217">
        <v>46101</v>
      </c>
      <c r="C247" s="217">
        <v>46101</v>
      </c>
      <c r="D247" s="218" t="s">
        <v>901</v>
      </c>
      <c r="E247" s="218" t="s">
        <v>191</v>
      </c>
      <c r="F247" s="218" t="s">
        <v>95</v>
      </c>
      <c r="G247" s="218">
        <v>60001111</v>
      </c>
      <c r="H247" s="218" t="s">
        <v>902</v>
      </c>
      <c r="I247" s="218" t="s">
        <v>903</v>
      </c>
      <c r="J247" s="218">
        <v>5</v>
      </c>
      <c r="K247" s="218" t="s">
        <v>37</v>
      </c>
      <c r="L247" s="218" t="s">
        <v>72</v>
      </c>
      <c r="M247" s="218" t="s">
        <v>81</v>
      </c>
      <c r="N247" s="218">
        <v>169928</v>
      </c>
      <c r="O247" s="219"/>
      <c r="P247" s="219">
        <v>5</v>
      </c>
      <c r="Q247" s="219"/>
      <c r="R247" s="219"/>
      <c r="S247" s="220">
        <v>46197</v>
      </c>
      <c r="T247" s="220">
        <v>46133</v>
      </c>
      <c r="U247" s="220">
        <v>46168</v>
      </c>
      <c r="V247" s="219" t="s">
        <v>554</v>
      </c>
      <c r="W247" s="221">
        <v>61.26</v>
      </c>
      <c r="X247" s="223">
        <f>Table2[[#This Row],[QUANTIDADE]]*Table2[[#This Row],[PREÇO UNITARIO]]</f>
        <v>306.3</v>
      </c>
      <c r="Y247" s="219" t="s">
        <v>42</v>
      </c>
      <c r="Z247" s="219">
        <f t="shared" si="6"/>
        <v>3</v>
      </c>
      <c r="AA247" s="219" t="s">
        <v>42</v>
      </c>
      <c r="AB247" s="220">
        <f t="shared" ca="1" si="7"/>
        <v>46235</v>
      </c>
      <c r="AC247" s="219">
        <f ca="1">_xlfn.DAYS(Table2[[#This Row],[HOJE]],Table2[[#This Row],[DATA PEDIDO HP]])</f>
        <v>134</v>
      </c>
      <c r="AD247" s="219" t="str">
        <f>IF(Table2[[#This Row],[STATUS2]]="ENTREGUE","ENTREGUE","")</f>
        <v>ENTREGUE</v>
      </c>
      <c r="AE247" s="219" t="s">
        <v>43</v>
      </c>
    </row>
    <row r="248" spans="1:31" ht="14.45">
      <c r="A248" s="233" t="s">
        <v>904</v>
      </c>
      <c r="B248" s="217">
        <v>46101</v>
      </c>
      <c r="C248" s="217">
        <v>45736</v>
      </c>
      <c r="D248" s="218" t="s">
        <v>770</v>
      </c>
      <c r="E248" s="218" t="s">
        <v>327</v>
      </c>
      <c r="F248" s="218" t="s">
        <v>328</v>
      </c>
      <c r="G248" s="218">
        <v>50000260</v>
      </c>
      <c r="H248" s="218" t="s">
        <v>905</v>
      </c>
      <c r="I248" s="218" t="s">
        <v>906</v>
      </c>
      <c r="J248" s="218">
        <v>1</v>
      </c>
      <c r="K248" s="218" t="s">
        <v>37</v>
      </c>
      <c r="L248" s="218" t="s">
        <v>38</v>
      </c>
      <c r="M248" s="218" t="s">
        <v>73</v>
      </c>
      <c r="N248" s="218">
        <v>169862</v>
      </c>
      <c r="O248" s="219"/>
      <c r="P248" s="219">
        <v>1</v>
      </c>
      <c r="Q248" s="219"/>
      <c r="R248" s="219"/>
      <c r="S248" s="220"/>
      <c r="T248" s="220">
        <v>46133</v>
      </c>
      <c r="U248" s="220">
        <v>46168</v>
      </c>
      <c r="V248" s="219" t="s">
        <v>554</v>
      </c>
      <c r="W248" s="221">
        <v>473.6</v>
      </c>
      <c r="X248" s="223">
        <f>Table2[[#This Row],[QUANTIDADE]]*Table2[[#This Row],[PREÇO UNITARIO]]</f>
        <v>473.6</v>
      </c>
      <c r="Y248" s="219"/>
      <c r="Z248" s="219">
        <f t="shared" si="6"/>
        <v>3</v>
      </c>
      <c r="AA248" s="219" t="s">
        <v>42</v>
      </c>
      <c r="AB248" s="220">
        <f t="shared" ca="1" si="7"/>
        <v>46235</v>
      </c>
      <c r="AC248" s="219">
        <f ca="1">_xlfn.DAYS(Table2[[#This Row],[HOJE]],Table2[[#This Row],[DATA PEDIDO HP]])</f>
        <v>134</v>
      </c>
      <c r="AD248" s="219" t="str">
        <f ca="1">IF(Table2[[#This Row],[STATUS2]]="ENTREGUE","ENTREGUE","")</f>
        <v/>
      </c>
      <c r="AE248" s="219" t="str">
        <f ca="1">IF(Table2[[#This Row],[HOLD]]&gt;30,"ATRASADO","NO PRAZO")</f>
        <v>ATRASADO</v>
      </c>
    </row>
    <row r="249" spans="1:31" ht="14.45">
      <c r="A249" s="233" t="s">
        <v>904</v>
      </c>
      <c r="B249" s="217">
        <v>46101</v>
      </c>
      <c r="C249" s="217">
        <v>45736</v>
      </c>
      <c r="D249" s="218" t="s">
        <v>770</v>
      </c>
      <c r="E249" s="218" t="s">
        <v>327</v>
      </c>
      <c r="F249" s="218" t="s">
        <v>328</v>
      </c>
      <c r="G249" s="218">
        <v>50000260</v>
      </c>
      <c r="H249" s="218" t="s">
        <v>907</v>
      </c>
      <c r="I249" s="218" t="s">
        <v>908</v>
      </c>
      <c r="J249" s="218">
        <v>1</v>
      </c>
      <c r="K249" s="218" t="s">
        <v>37</v>
      </c>
      <c r="L249" s="218" t="s">
        <v>38</v>
      </c>
      <c r="M249" s="218" t="s">
        <v>73</v>
      </c>
      <c r="N249" s="218">
        <v>169862</v>
      </c>
      <c r="O249" s="219"/>
      <c r="P249" s="219">
        <v>1</v>
      </c>
      <c r="Q249" s="219"/>
      <c r="R249" s="219"/>
      <c r="S249" s="220"/>
      <c r="T249" s="220">
        <v>46133</v>
      </c>
      <c r="U249" s="220">
        <v>46168</v>
      </c>
      <c r="V249" s="219" t="s">
        <v>554</v>
      </c>
      <c r="W249" s="221">
        <v>471.97</v>
      </c>
      <c r="X249" s="223">
        <f>Table2[[#This Row],[QUANTIDADE]]*Table2[[#This Row],[PREÇO UNITARIO]]</f>
        <v>471.97</v>
      </c>
      <c r="Y249" s="219"/>
      <c r="Z249" s="219">
        <f t="shared" si="6"/>
        <v>3</v>
      </c>
      <c r="AA249" s="219" t="s">
        <v>42</v>
      </c>
      <c r="AB249" s="220">
        <f t="shared" ca="1" si="7"/>
        <v>46235</v>
      </c>
      <c r="AC249" s="219">
        <f ca="1">_xlfn.DAYS(Table2[[#This Row],[HOJE]],Table2[[#This Row],[DATA PEDIDO HP]])</f>
        <v>134</v>
      </c>
      <c r="AD249" s="219" t="str">
        <f ca="1">IF(Table2[[#This Row],[STATUS2]]="ENTREGUE","ENTREGUE","")</f>
        <v/>
      </c>
      <c r="AE249" s="219" t="str">
        <f ca="1">IF(Table2[[#This Row],[HOLD]]&gt;30,"ATRASADO","NO PRAZO")</f>
        <v>ATRASADO</v>
      </c>
    </row>
    <row r="250" spans="1:31" ht="14.45">
      <c r="A250" s="233" t="s">
        <v>904</v>
      </c>
      <c r="B250" s="217">
        <v>46101</v>
      </c>
      <c r="C250" s="217">
        <v>45736</v>
      </c>
      <c r="D250" s="218" t="s">
        <v>770</v>
      </c>
      <c r="E250" s="218" t="s">
        <v>327</v>
      </c>
      <c r="F250" s="218" t="s">
        <v>328</v>
      </c>
      <c r="G250" s="218">
        <v>50000260</v>
      </c>
      <c r="H250" s="218" t="s">
        <v>909</v>
      </c>
      <c r="I250" s="218" t="s">
        <v>910</v>
      </c>
      <c r="J250" s="218">
        <v>1</v>
      </c>
      <c r="K250" s="218" t="s">
        <v>37</v>
      </c>
      <c r="L250" s="218" t="s">
        <v>38</v>
      </c>
      <c r="M250" s="218" t="s">
        <v>73</v>
      </c>
      <c r="N250" s="218">
        <v>169862</v>
      </c>
      <c r="O250" s="219"/>
      <c r="P250" s="219">
        <v>1</v>
      </c>
      <c r="Q250" s="219"/>
      <c r="R250" s="219"/>
      <c r="S250" s="220"/>
      <c r="T250" s="220">
        <v>46133</v>
      </c>
      <c r="U250" s="220">
        <v>46168</v>
      </c>
      <c r="V250" s="219" t="s">
        <v>554</v>
      </c>
      <c r="W250" s="221">
        <v>370.71</v>
      </c>
      <c r="X250" s="223">
        <f>Table2[[#This Row],[QUANTIDADE]]*Table2[[#This Row],[PREÇO UNITARIO]]</f>
        <v>370.71</v>
      </c>
      <c r="Y250" s="219"/>
      <c r="Z250" s="219">
        <f t="shared" si="6"/>
        <v>3</v>
      </c>
      <c r="AA250" s="219" t="s">
        <v>42</v>
      </c>
      <c r="AB250" s="220">
        <f t="shared" ca="1" si="7"/>
        <v>46235</v>
      </c>
      <c r="AC250" s="219">
        <f ca="1">_xlfn.DAYS(Table2[[#This Row],[HOJE]],Table2[[#This Row],[DATA PEDIDO HP]])</f>
        <v>134</v>
      </c>
      <c r="AD250" s="219" t="str">
        <f ca="1">IF(Table2[[#This Row],[STATUS2]]="ENTREGUE","ENTREGUE","")</f>
        <v/>
      </c>
      <c r="AE250" s="219" t="str">
        <f ca="1">IF(Table2[[#This Row],[HOLD]]&gt;30,"ATRASADO","NO PRAZO")</f>
        <v>ATRASADO</v>
      </c>
    </row>
    <row r="251" spans="1:31" ht="14.45">
      <c r="A251" s="233" t="s">
        <v>904</v>
      </c>
      <c r="B251" s="217">
        <v>46101</v>
      </c>
      <c r="C251" s="217">
        <v>45736</v>
      </c>
      <c r="D251" s="218" t="s">
        <v>770</v>
      </c>
      <c r="E251" s="218" t="s">
        <v>327</v>
      </c>
      <c r="F251" s="218" t="s">
        <v>328</v>
      </c>
      <c r="G251" s="218">
        <v>50000260</v>
      </c>
      <c r="H251" s="218" t="s">
        <v>911</v>
      </c>
      <c r="I251" s="218" t="s">
        <v>912</v>
      </c>
      <c r="J251" s="218">
        <v>1</v>
      </c>
      <c r="K251" s="218" t="s">
        <v>37</v>
      </c>
      <c r="L251" s="218" t="s">
        <v>38</v>
      </c>
      <c r="M251" s="218" t="s">
        <v>39</v>
      </c>
      <c r="N251" s="218">
        <v>169862</v>
      </c>
      <c r="O251" s="219"/>
      <c r="P251" s="219">
        <v>1</v>
      </c>
      <c r="Q251" s="219"/>
      <c r="R251" s="219"/>
      <c r="S251" s="220">
        <v>46202</v>
      </c>
      <c r="T251" s="220">
        <v>46133</v>
      </c>
      <c r="U251" s="220">
        <v>46168</v>
      </c>
      <c r="V251" s="219" t="s">
        <v>554</v>
      </c>
      <c r="W251" s="221">
        <v>197.6</v>
      </c>
      <c r="X251" s="223">
        <f>Table2[[#This Row],[QUANTIDADE]]*Table2[[#This Row],[PREÇO UNITARIO]]</f>
        <v>197.6</v>
      </c>
      <c r="Y251" s="219"/>
      <c r="Z251" s="219">
        <f t="shared" si="6"/>
        <v>3</v>
      </c>
      <c r="AA251" s="219" t="s">
        <v>42</v>
      </c>
      <c r="AB251" s="220">
        <f t="shared" ca="1" si="7"/>
        <v>46235</v>
      </c>
      <c r="AC251" s="219">
        <f ca="1">_xlfn.DAYS(Table2[[#This Row],[HOJE]],Table2[[#This Row],[DATA PEDIDO HP]])</f>
        <v>134</v>
      </c>
      <c r="AD251" s="219" t="str">
        <f>IF(Table2[[#This Row],[STATUS2]]="ENTREGUE","ENTREGUE","")</f>
        <v>ENTREGUE</v>
      </c>
      <c r="AE251" s="219" t="s">
        <v>43</v>
      </c>
    </row>
    <row r="252" spans="1:31" ht="14.45">
      <c r="A252" s="233" t="s">
        <v>913</v>
      </c>
      <c r="B252" s="217">
        <v>46104</v>
      </c>
      <c r="C252" s="217">
        <v>46104</v>
      </c>
      <c r="D252" s="218" t="s">
        <v>914</v>
      </c>
      <c r="E252" s="218" t="s">
        <v>915</v>
      </c>
      <c r="F252" s="218" t="s">
        <v>242</v>
      </c>
      <c r="G252" s="218">
        <v>51100064</v>
      </c>
      <c r="H252" s="218" t="s">
        <v>335</v>
      </c>
      <c r="I252" s="218" t="s">
        <v>916</v>
      </c>
      <c r="J252" s="218">
        <v>2</v>
      </c>
      <c r="K252" s="218" t="s">
        <v>37</v>
      </c>
      <c r="L252" s="218" t="s">
        <v>72</v>
      </c>
      <c r="M252" s="218" t="s">
        <v>73</v>
      </c>
      <c r="N252" s="218">
        <v>168840</v>
      </c>
      <c r="O252" s="219"/>
      <c r="P252" s="219">
        <v>2</v>
      </c>
      <c r="Q252" s="219"/>
      <c r="R252" s="219"/>
      <c r="S252" s="220"/>
      <c r="T252" s="220">
        <v>46133</v>
      </c>
      <c r="U252" s="220">
        <v>46168</v>
      </c>
      <c r="V252" s="219" t="s">
        <v>554</v>
      </c>
      <c r="W252" s="221">
        <v>17.28</v>
      </c>
      <c r="X252" s="223">
        <f>Table2[[#This Row],[QUANTIDADE]]*Table2[[#This Row],[PREÇO UNITARIO]]</f>
        <v>34.56</v>
      </c>
      <c r="Y252" s="219"/>
      <c r="Z252" s="219">
        <f t="shared" si="6"/>
        <v>3</v>
      </c>
      <c r="AA252" s="219" t="s">
        <v>74</v>
      </c>
      <c r="AB252" s="220">
        <f t="shared" ca="1" si="7"/>
        <v>46235</v>
      </c>
      <c r="AC252" s="219">
        <f ca="1">_xlfn.DAYS(Table2[[#This Row],[HOJE]],Table2[[#This Row],[DATA PEDIDO HP]])</f>
        <v>131</v>
      </c>
      <c r="AD252" s="219" t="str">
        <f ca="1">IF(Table2[[#This Row],[STATUS2]]="ENTREGUE","ENTREGUE","")</f>
        <v/>
      </c>
      <c r="AE252" s="219" t="str">
        <f ca="1">IF(Table2[[#This Row],[HOLD]]&gt;30,"ATRASADO","NO PRAZO")</f>
        <v>ATRASADO</v>
      </c>
    </row>
    <row r="253" spans="1:31" ht="14.45">
      <c r="A253" s="233" t="s">
        <v>917</v>
      </c>
      <c r="B253" s="217">
        <v>46104</v>
      </c>
      <c r="C253" s="217">
        <v>46104</v>
      </c>
      <c r="D253" s="218" t="s">
        <v>918</v>
      </c>
      <c r="E253" s="218" t="s">
        <v>298</v>
      </c>
      <c r="F253" s="218" t="s">
        <v>34</v>
      </c>
      <c r="G253" s="218">
        <v>50110261</v>
      </c>
      <c r="H253" s="218" t="s">
        <v>126</v>
      </c>
      <c r="I253" s="218" t="s">
        <v>532</v>
      </c>
      <c r="J253" s="218">
        <v>1</v>
      </c>
      <c r="K253" s="218" t="s">
        <v>37</v>
      </c>
      <c r="L253" s="218" t="s">
        <v>72</v>
      </c>
      <c r="M253" s="218" t="s">
        <v>81</v>
      </c>
      <c r="N253" s="218">
        <v>169631</v>
      </c>
      <c r="O253" s="219"/>
      <c r="P253" s="219">
        <v>1</v>
      </c>
      <c r="Q253" s="219"/>
      <c r="R253" s="219"/>
      <c r="S253" s="220"/>
      <c r="T253" s="220">
        <v>46133</v>
      </c>
      <c r="U253" s="220">
        <v>46168</v>
      </c>
      <c r="V253" s="219" t="s">
        <v>554</v>
      </c>
      <c r="W253" s="221">
        <v>790.42</v>
      </c>
      <c r="X253" s="223">
        <f>Table2[[#This Row],[QUANTIDADE]]*Table2[[#This Row],[PREÇO UNITARIO]]</f>
        <v>790.42</v>
      </c>
      <c r="Y253" s="219"/>
      <c r="Z253" s="219">
        <f t="shared" si="6"/>
        <v>3</v>
      </c>
      <c r="AA253" s="219" t="s">
        <v>74</v>
      </c>
      <c r="AB253" s="220">
        <f t="shared" ca="1" si="7"/>
        <v>46235</v>
      </c>
      <c r="AC253" s="219">
        <f ca="1">_xlfn.DAYS(Table2[[#This Row],[HOJE]],Table2[[#This Row],[DATA PEDIDO HP]])</f>
        <v>131</v>
      </c>
      <c r="AD253" s="219" t="str">
        <f ca="1">IF(Table2[[#This Row],[STATUS2]]="ENTREGUE","ENTREGUE","")</f>
        <v/>
      </c>
      <c r="AE253" s="219" t="str">
        <f ca="1">IF(Table2[[#This Row],[HOLD]]&gt;30,"ATRASADO","NO PRAZO")</f>
        <v>ATRASADO</v>
      </c>
    </row>
    <row r="254" spans="1:31" ht="14.45">
      <c r="A254" s="233" t="s">
        <v>919</v>
      </c>
      <c r="B254" s="217">
        <v>46104</v>
      </c>
      <c r="C254" s="217">
        <v>46104</v>
      </c>
      <c r="D254" s="218" t="s">
        <v>920</v>
      </c>
      <c r="E254" s="218" t="s">
        <v>154</v>
      </c>
      <c r="F254" s="218" t="s">
        <v>102</v>
      </c>
      <c r="G254" s="218">
        <v>51000174</v>
      </c>
      <c r="H254" s="218" t="s">
        <v>921</v>
      </c>
      <c r="I254" s="218" t="s">
        <v>922</v>
      </c>
      <c r="J254" s="218">
        <v>1</v>
      </c>
      <c r="K254" s="218" t="s">
        <v>37</v>
      </c>
      <c r="L254" s="218" t="s">
        <v>72</v>
      </c>
      <c r="M254" s="218" t="s">
        <v>39</v>
      </c>
      <c r="N254" s="218">
        <v>169898</v>
      </c>
      <c r="O254" s="219"/>
      <c r="P254" s="219">
        <v>0</v>
      </c>
      <c r="Q254" s="219"/>
      <c r="R254" s="219"/>
      <c r="S254" s="220">
        <v>46202</v>
      </c>
      <c r="T254" s="220">
        <v>46168</v>
      </c>
      <c r="U254" s="220">
        <v>46185</v>
      </c>
      <c r="V254" s="219" t="s">
        <v>41</v>
      </c>
      <c r="W254" s="221">
        <v>19.940000000000001</v>
      </c>
      <c r="X254" s="223">
        <f>Table2[[#This Row],[QUANTIDADE]]*Table2[[#This Row],[PREÇO UNITARIO]]</f>
        <v>19.940000000000001</v>
      </c>
      <c r="Y254" s="219"/>
      <c r="Z254" s="219">
        <f t="shared" si="6"/>
        <v>3</v>
      </c>
      <c r="AA254" s="219" t="s">
        <v>74</v>
      </c>
      <c r="AB254" s="220">
        <f t="shared" ca="1" si="7"/>
        <v>46235</v>
      </c>
      <c r="AC254" s="219">
        <f ca="1">_xlfn.DAYS(Table2[[#This Row],[HOJE]],Table2[[#This Row],[DATA PEDIDO HP]])</f>
        <v>131</v>
      </c>
      <c r="AD254" s="219" t="str">
        <f>IF(Table2[[#This Row],[STATUS2]]="ENTREGUE","ENTREGUE","")</f>
        <v>ENTREGUE</v>
      </c>
      <c r="AE254" s="219" t="s">
        <v>43</v>
      </c>
    </row>
    <row r="255" spans="1:31" ht="14.45">
      <c r="A255" s="233" t="s">
        <v>923</v>
      </c>
      <c r="B255" s="217">
        <v>46105</v>
      </c>
      <c r="C255" s="217">
        <v>45740</v>
      </c>
      <c r="D255" s="218" t="s">
        <v>924</v>
      </c>
      <c r="E255" s="218" t="s">
        <v>570</v>
      </c>
      <c r="F255" s="218" t="s">
        <v>334</v>
      </c>
      <c r="G255" s="218">
        <v>50510045</v>
      </c>
      <c r="H255" s="218" t="s">
        <v>925</v>
      </c>
      <c r="I255" s="218" t="s">
        <v>926</v>
      </c>
      <c r="J255" s="218">
        <v>1</v>
      </c>
      <c r="K255" s="218" t="s">
        <v>269</v>
      </c>
      <c r="L255" s="218" t="s">
        <v>714</v>
      </c>
      <c r="M255" s="218" t="s">
        <v>39</v>
      </c>
      <c r="N255" s="218"/>
      <c r="O255" s="219"/>
      <c r="P255" s="219"/>
      <c r="Q255" s="219"/>
      <c r="R255" s="219" t="s">
        <v>927</v>
      </c>
      <c r="S255" s="220">
        <v>46150</v>
      </c>
      <c r="T255" s="220">
        <v>46141</v>
      </c>
      <c r="U255" s="220">
        <v>46147</v>
      </c>
      <c r="V255" s="219" t="s">
        <v>61</v>
      </c>
      <c r="W255" s="221">
        <v>1244.42</v>
      </c>
      <c r="X255" s="223">
        <f>Table2[[#This Row],[QUANTIDADE]]*Table2[[#This Row],[PREÇO UNITARIO]]</f>
        <v>1244.42</v>
      </c>
      <c r="Y255" s="219" t="s">
        <v>42</v>
      </c>
      <c r="Z255" s="219">
        <f t="shared" si="6"/>
        <v>3</v>
      </c>
      <c r="AA255" s="219" t="s">
        <v>42</v>
      </c>
      <c r="AB255" s="220">
        <f t="shared" ca="1" si="7"/>
        <v>46235</v>
      </c>
      <c r="AC255" s="219">
        <f ca="1">_xlfn.DAYS(Table2[[#This Row],[HOJE]],Table2[[#This Row],[DATA PEDIDO HP]])</f>
        <v>130</v>
      </c>
      <c r="AD255" s="219" t="str">
        <f>IF(Table2[[#This Row],[STATUS2]]="ENTREGUE","ENTREGUE","")</f>
        <v>ENTREGUE</v>
      </c>
      <c r="AE255" s="219" t="s">
        <v>43</v>
      </c>
    </row>
    <row r="256" spans="1:31" ht="14.45">
      <c r="A256" s="219" t="s">
        <v>928</v>
      </c>
      <c r="B256" s="217">
        <v>46104</v>
      </c>
      <c r="C256" s="217">
        <v>46106</v>
      </c>
      <c r="D256" s="218" t="s">
        <v>929</v>
      </c>
      <c r="E256" s="218" t="s">
        <v>345</v>
      </c>
      <c r="F256" s="218" t="s">
        <v>34</v>
      </c>
      <c r="G256" s="218">
        <v>50110229</v>
      </c>
      <c r="H256" s="218" t="s">
        <v>930</v>
      </c>
      <c r="I256" s="218" t="s">
        <v>931</v>
      </c>
      <c r="J256" s="218">
        <v>1</v>
      </c>
      <c r="K256" s="218" t="s">
        <v>37</v>
      </c>
      <c r="L256" s="218" t="s">
        <v>72</v>
      </c>
      <c r="M256" s="218" t="s">
        <v>73</v>
      </c>
      <c r="N256" s="218">
        <v>170522</v>
      </c>
      <c r="O256" s="219"/>
      <c r="P256" s="219">
        <v>1</v>
      </c>
      <c r="Q256" s="219"/>
      <c r="R256" s="219"/>
      <c r="S256" s="220"/>
      <c r="T256" s="220">
        <v>46133</v>
      </c>
      <c r="U256" s="220">
        <v>46168</v>
      </c>
      <c r="V256" s="219" t="s">
        <v>554</v>
      </c>
      <c r="W256" s="221">
        <v>530.16</v>
      </c>
      <c r="X256" s="223">
        <f>Table2[[#This Row],[QUANTIDADE]]*Table2[[#This Row],[PREÇO UNITARIO]]</f>
        <v>530.16</v>
      </c>
      <c r="Y256" s="219"/>
      <c r="Z256" s="219">
        <f t="shared" si="6"/>
        <v>3</v>
      </c>
      <c r="AA256" s="219" t="s">
        <v>42</v>
      </c>
      <c r="AB256" s="220">
        <f t="shared" ca="1" si="7"/>
        <v>46235</v>
      </c>
      <c r="AC256" s="219">
        <f ca="1">_xlfn.DAYS(Table2[[#This Row],[HOJE]],Table2[[#This Row],[DATA PEDIDO HP]])</f>
        <v>131</v>
      </c>
      <c r="AD256" s="219" t="str">
        <f ca="1">IF(Table2[[#This Row],[STATUS2]]="ENTREGUE","ENTREGUE","")</f>
        <v/>
      </c>
      <c r="AE256" s="219" t="str">
        <f ca="1">IF(Table2[[#This Row],[HOLD]]&gt;30,"ATRASADO","NO PRAZO")</f>
        <v>ATRASADO</v>
      </c>
    </row>
    <row r="257" spans="1:31" ht="14.45">
      <c r="A257" s="219" t="s">
        <v>928</v>
      </c>
      <c r="B257" s="217">
        <v>46104</v>
      </c>
      <c r="C257" s="217">
        <v>46106</v>
      </c>
      <c r="D257" s="218" t="s">
        <v>929</v>
      </c>
      <c r="E257" s="218" t="s">
        <v>345</v>
      </c>
      <c r="F257" s="218" t="s">
        <v>34</v>
      </c>
      <c r="G257" s="218">
        <v>50110229</v>
      </c>
      <c r="H257" s="218" t="s">
        <v>932</v>
      </c>
      <c r="I257" s="218" t="s">
        <v>71</v>
      </c>
      <c r="J257" s="218">
        <v>1</v>
      </c>
      <c r="K257" s="218" t="s">
        <v>37</v>
      </c>
      <c r="L257" s="218" t="s">
        <v>72</v>
      </c>
      <c r="M257" s="218" t="s">
        <v>73</v>
      </c>
      <c r="N257" s="218">
        <v>170522</v>
      </c>
      <c r="O257" s="219"/>
      <c r="P257" s="219">
        <v>1</v>
      </c>
      <c r="Q257" s="219"/>
      <c r="R257" s="219"/>
      <c r="S257" s="220"/>
      <c r="T257" s="220">
        <v>46133</v>
      </c>
      <c r="U257" s="220">
        <v>46168</v>
      </c>
      <c r="V257" s="219" t="s">
        <v>554</v>
      </c>
      <c r="W257" s="221">
        <v>35.159999999999997</v>
      </c>
      <c r="X257" s="223">
        <f>Table2[[#This Row],[QUANTIDADE]]*Table2[[#This Row],[PREÇO UNITARIO]]</f>
        <v>35.159999999999997</v>
      </c>
      <c r="Y257" s="219"/>
      <c r="Z257" s="219">
        <f t="shared" si="6"/>
        <v>3</v>
      </c>
      <c r="AA257" s="219" t="s">
        <v>42</v>
      </c>
      <c r="AB257" s="220">
        <f t="shared" ca="1" si="7"/>
        <v>46235</v>
      </c>
      <c r="AC257" s="219">
        <f ca="1">_xlfn.DAYS(Table2[[#This Row],[HOJE]],Table2[[#This Row],[DATA PEDIDO HP]])</f>
        <v>131</v>
      </c>
      <c r="AD257" s="219" t="str">
        <f ca="1">IF(Table2[[#This Row],[STATUS2]]="ENTREGUE","ENTREGUE","")</f>
        <v/>
      </c>
      <c r="AE257" s="219" t="str">
        <f ca="1">IF(Table2[[#This Row],[HOLD]]&gt;30,"ATRASADO","NO PRAZO")</f>
        <v>ATRASADO</v>
      </c>
    </row>
    <row r="258" spans="1:31" ht="14.45">
      <c r="A258" s="219" t="s">
        <v>928</v>
      </c>
      <c r="B258" s="217">
        <v>46104</v>
      </c>
      <c r="C258" s="217">
        <v>46106</v>
      </c>
      <c r="D258" s="218" t="s">
        <v>929</v>
      </c>
      <c r="E258" s="218" t="s">
        <v>345</v>
      </c>
      <c r="F258" s="218" t="s">
        <v>34</v>
      </c>
      <c r="G258" s="218">
        <v>50110229</v>
      </c>
      <c r="H258" s="218" t="s">
        <v>933</v>
      </c>
      <c r="I258" s="218" t="s">
        <v>934</v>
      </c>
      <c r="J258" s="218">
        <v>1</v>
      </c>
      <c r="K258" s="218" t="s">
        <v>37</v>
      </c>
      <c r="L258" s="218" t="s">
        <v>72</v>
      </c>
      <c r="M258" s="218" t="s">
        <v>73</v>
      </c>
      <c r="N258" s="218">
        <v>170522</v>
      </c>
      <c r="O258" s="219"/>
      <c r="P258" s="219">
        <v>1</v>
      </c>
      <c r="Q258" s="219"/>
      <c r="R258" s="219"/>
      <c r="S258" s="220"/>
      <c r="T258" s="220">
        <v>46133</v>
      </c>
      <c r="U258" s="220">
        <v>46168</v>
      </c>
      <c r="V258" s="219" t="s">
        <v>554</v>
      </c>
      <c r="W258" s="221">
        <v>23.58</v>
      </c>
      <c r="X258" s="223">
        <f>Table2[[#This Row],[QUANTIDADE]]*Table2[[#This Row],[PREÇO UNITARIO]]</f>
        <v>23.58</v>
      </c>
      <c r="Y258" s="219"/>
      <c r="Z258" s="219">
        <f t="shared" ref="Z258:Z321" si="8">MONTH(B258)</f>
        <v>3</v>
      </c>
      <c r="AA258" s="219" t="s">
        <v>42</v>
      </c>
      <c r="AB258" s="220">
        <f t="shared" ref="AB258:AB321" ca="1" si="9">TODAY()</f>
        <v>46235</v>
      </c>
      <c r="AC258" s="219">
        <f ca="1">_xlfn.DAYS(Table2[[#This Row],[HOJE]],Table2[[#This Row],[DATA PEDIDO HP]])</f>
        <v>131</v>
      </c>
      <c r="AD258" s="219" t="str">
        <f ca="1">IF(Table2[[#This Row],[STATUS2]]="ENTREGUE","ENTREGUE","")</f>
        <v/>
      </c>
      <c r="AE258" s="219" t="str">
        <f ca="1">IF(Table2[[#This Row],[HOLD]]&gt;30,"ATRASADO","NO PRAZO")</f>
        <v>ATRASADO</v>
      </c>
    </row>
    <row r="259" spans="1:31" ht="14.45">
      <c r="A259" s="219" t="s">
        <v>935</v>
      </c>
      <c r="B259" s="217">
        <v>46104</v>
      </c>
      <c r="C259" s="217">
        <v>46106</v>
      </c>
      <c r="D259" s="218" t="s">
        <v>936</v>
      </c>
      <c r="E259" s="218" t="s">
        <v>125</v>
      </c>
      <c r="F259" s="218" t="s">
        <v>34</v>
      </c>
      <c r="G259" s="218">
        <v>50110193</v>
      </c>
      <c r="H259" s="218" t="s">
        <v>937</v>
      </c>
      <c r="I259" s="218" t="s">
        <v>938</v>
      </c>
      <c r="J259" s="218">
        <v>1</v>
      </c>
      <c r="K259" s="218" t="s">
        <v>37</v>
      </c>
      <c r="L259" s="218" t="s">
        <v>72</v>
      </c>
      <c r="M259" s="218" t="s">
        <v>81</v>
      </c>
      <c r="N259" s="218">
        <v>170819</v>
      </c>
      <c r="O259" s="219"/>
      <c r="P259" s="219">
        <v>1</v>
      </c>
      <c r="Q259" s="219"/>
      <c r="R259" s="219"/>
      <c r="S259" s="220">
        <v>46202</v>
      </c>
      <c r="T259" s="220">
        <v>46133</v>
      </c>
      <c r="U259" s="220">
        <v>46168</v>
      </c>
      <c r="V259" s="219" t="s">
        <v>554</v>
      </c>
      <c r="W259" s="221">
        <v>16.329999999999998</v>
      </c>
      <c r="X259" s="223">
        <f>Table2[[#This Row],[QUANTIDADE]]*Table2[[#This Row],[PREÇO UNITARIO]]</f>
        <v>16.329999999999998</v>
      </c>
      <c r="Y259" s="219"/>
      <c r="Z259" s="219">
        <f t="shared" si="8"/>
        <v>3</v>
      </c>
      <c r="AA259" s="219" t="s">
        <v>42</v>
      </c>
      <c r="AB259" s="220">
        <f t="shared" ca="1" si="9"/>
        <v>46235</v>
      </c>
      <c r="AC259" s="219">
        <f ca="1">_xlfn.DAYS(Table2[[#This Row],[HOJE]],Table2[[#This Row],[DATA PEDIDO HP]])</f>
        <v>131</v>
      </c>
      <c r="AD259" s="219" t="str">
        <f>IF(Table2[[#This Row],[STATUS2]]="ENTREGUE","ENTREGUE","")</f>
        <v>ENTREGUE</v>
      </c>
      <c r="AE259" s="219" t="s">
        <v>43</v>
      </c>
    </row>
    <row r="260" spans="1:31" ht="14.45">
      <c r="A260" s="219" t="s">
        <v>939</v>
      </c>
      <c r="B260" s="217">
        <v>46106</v>
      </c>
      <c r="C260" s="217">
        <v>46106</v>
      </c>
      <c r="D260" s="218" t="s">
        <v>940</v>
      </c>
      <c r="E260" s="218" t="s">
        <v>88</v>
      </c>
      <c r="F260" s="218" t="s">
        <v>34</v>
      </c>
      <c r="G260" s="218">
        <v>50110057</v>
      </c>
      <c r="H260" s="218" t="s">
        <v>216</v>
      </c>
      <c r="I260" s="218" t="s">
        <v>941</v>
      </c>
      <c r="J260" s="218">
        <v>1</v>
      </c>
      <c r="K260" s="218" t="s">
        <v>37</v>
      </c>
      <c r="L260" s="218" t="s">
        <v>122</v>
      </c>
      <c r="M260" s="218" t="s">
        <v>73</v>
      </c>
      <c r="N260" s="218">
        <v>170885</v>
      </c>
      <c r="O260" s="219"/>
      <c r="P260" s="219">
        <v>1</v>
      </c>
      <c r="Q260" s="219"/>
      <c r="R260" s="219"/>
      <c r="S260" s="220"/>
      <c r="T260" s="220">
        <v>46133</v>
      </c>
      <c r="U260" s="220">
        <v>46168</v>
      </c>
      <c r="V260" s="219" t="s">
        <v>554</v>
      </c>
      <c r="W260" s="221">
        <v>1187.4100000000001</v>
      </c>
      <c r="X260" s="223">
        <f>Table2[[#This Row],[QUANTIDADE]]*Table2[[#This Row],[PREÇO UNITARIO]]</f>
        <v>1187.4100000000001</v>
      </c>
      <c r="Y260" s="219"/>
      <c r="Z260" s="219">
        <f t="shared" si="8"/>
        <v>3</v>
      </c>
      <c r="AA260" s="219" t="s">
        <v>42</v>
      </c>
      <c r="AB260" s="220">
        <f t="shared" ca="1" si="9"/>
        <v>46235</v>
      </c>
      <c r="AC260" s="219">
        <f ca="1">_xlfn.DAYS(Table2[[#This Row],[HOJE]],Table2[[#This Row],[DATA PEDIDO HP]])</f>
        <v>129</v>
      </c>
      <c r="AD260" s="219" t="str">
        <f ca="1">IF(Table2[[#This Row],[STATUS2]]="ENTREGUE","ENTREGUE","")</f>
        <v/>
      </c>
      <c r="AE260" s="219" t="str">
        <f ca="1">IF(Table2[[#This Row],[HOLD]]&gt;30,"ATRASADO","NO PRAZO")</f>
        <v>ATRASADO</v>
      </c>
    </row>
    <row r="261" spans="1:31" ht="14.45">
      <c r="A261" s="219" t="s">
        <v>942</v>
      </c>
      <c r="B261" s="217">
        <v>46106</v>
      </c>
      <c r="C261" s="217">
        <v>46106</v>
      </c>
      <c r="D261" s="218" t="s">
        <v>943</v>
      </c>
      <c r="E261" s="218" t="s">
        <v>134</v>
      </c>
      <c r="F261" s="218" t="s">
        <v>145</v>
      </c>
      <c r="G261" s="218">
        <v>48000432</v>
      </c>
      <c r="H261" s="218" t="s">
        <v>944</v>
      </c>
      <c r="I261" s="218" t="s">
        <v>588</v>
      </c>
      <c r="J261" s="218">
        <v>1</v>
      </c>
      <c r="K261" s="218" t="s">
        <v>37</v>
      </c>
      <c r="L261" s="218" t="s">
        <v>122</v>
      </c>
      <c r="M261" s="218" t="s">
        <v>73</v>
      </c>
      <c r="N261" s="218">
        <v>171017</v>
      </c>
      <c r="O261" s="219"/>
      <c r="P261" s="219">
        <v>1</v>
      </c>
      <c r="Q261" s="219"/>
      <c r="R261" s="219"/>
      <c r="S261" s="220"/>
      <c r="T261" s="220">
        <v>46133</v>
      </c>
      <c r="U261" s="220">
        <v>46168</v>
      </c>
      <c r="V261" s="219" t="s">
        <v>554</v>
      </c>
      <c r="W261" s="221">
        <v>79.989999999999995</v>
      </c>
      <c r="X261" s="223">
        <f>Table2[[#This Row],[QUANTIDADE]]*Table2[[#This Row],[PREÇO UNITARIO]]</f>
        <v>79.989999999999995</v>
      </c>
      <c r="Y261" s="219"/>
      <c r="Z261" s="219">
        <f t="shared" si="8"/>
        <v>3</v>
      </c>
      <c r="AA261" s="219" t="s">
        <v>74</v>
      </c>
      <c r="AB261" s="220">
        <f t="shared" ca="1" si="9"/>
        <v>46235</v>
      </c>
      <c r="AC261" s="219">
        <f ca="1">_xlfn.DAYS(Table2[[#This Row],[HOJE]],Table2[[#This Row],[DATA PEDIDO HP]])</f>
        <v>129</v>
      </c>
      <c r="AD261" s="219" t="str">
        <f ca="1">IF(Table2[[#This Row],[STATUS2]]="ENTREGUE","ENTREGUE","")</f>
        <v/>
      </c>
      <c r="AE261" s="219" t="str">
        <f ca="1">IF(Table2[[#This Row],[HOLD]]&gt;30,"ATRASADO","NO PRAZO")</f>
        <v>ATRASADO</v>
      </c>
    </row>
    <row r="262" spans="1:31" ht="14.45">
      <c r="A262" s="219" t="s">
        <v>945</v>
      </c>
      <c r="B262" s="217">
        <v>46107</v>
      </c>
      <c r="C262" s="217">
        <v>46106</v>
      </c>
      <c r="D262" s="218" t="s">
        <v>946</v>
      </c>
      <c r="E262" s="218" t="s">
        <v>101</v>
      </c>
      <c r="F262" s="231" t="s">
        <v>102</v>
      </c>
      <c r="G262" s="218">
        <v>51000323</v>
      </c>
      <c r="H262" s="218" t="s">
        <v>947</v>
      </c>
      <c r="I262" s="218" t="s">
        <v>948</v>
      </c>
      <c r="J262" s="218">
        <v>2</v>
      </c>
      <c r="K262" s="218" t="s">
        <v>269</v>
      </c>
      <c r="L262" s="218" t="s">
        <v>106</v>
      </c>
      <c r="M262" s="218" t="s">
        <v>39</v>
      </c>
      <c r="N262" s="218"/>
      <c r="O262" s="219"/>
      <c r="P262" s="219"/>
      <c r="Q262" s="219"/>
      <c r="R262" s="219"/>
      <c r="S262" s="220"/>
      <c r="T262" s="220">
        <v>46222</v>
      </c>
      <c r="U262" s="220">
        <v>46232</v>
      </c>
      <c r="V262" s="219" t="s">
        <v>290</v>
      </c>
      <c r="W262" s="221">
        <v>332.13</v>
      </c>
      <c r="X262" s="223">
        <f>Table2[[#This Row],[QUANTIDADE]]*Table2[[#This Row],[PREÇO UNITARIO]]</f>
        <v>664.26</v>
      </c>
      <c r="Y262" s="219"/>
      <c r="Z262" s="219">
        <f t="shared" si="8"/>
        <v>3</v>
      </c>
      <c r="AA262" s="219" t="s">
        <v>74</v>
      </c>
      <c r="AB262" s="220">
        <f t="shared" ca="1" si="9"/>
        <v>46235</v>
      </c>
      <c r="AC262" s="219">
        <f ca="1">_xlfn.DAYS(Table2[[#This Row],[HOJE]],Table2[[#This Row],[DATA PEDIDO HP]])</f>
        <v>128</v>
      </c>
      <c r="AD262" s="219" t="str">
        <f ca="1">IF(Table2[[#This Row],[STATUS2]]="ENTREGUE","ENTREGUE","")</f>
        <v/>
      </c>
      <c r="AE262" s="230" t="str">
        <f ca="1">IF(Table2[[#This Row],[HOLD]]&gt;30,"ATRASADO","NO PRAZO")</f>
        <v>ATRASADO</v>
      </c>
    </row>
    <row r="263" spans="1:31" ht="14.45">
      <c r="A263" s="219" t="s">
        <v>949</v>
      </c>
      <c r="B263" s="217">
        <v>46107</v>
      </c>
      <c r="C263" s="217">
        <v>46107</v>
      </c>
      <c r="D263" s="218" t="s">
        <v>950</v>
      </c>
      <c r="E263" s="218" t="s">
        <v>298</v>
      </c>
      <c r="F263" s="218" t="s">
        <v>34</v>
      </c>
      <c r="G263" s="218">
        <v>50110261</v>
      </c>
      <c r="H263" s="218" t="s">
        <v>430</v>
      </c>
      <c r="I263" s="218" t="s">
        <v>431</v>
      </c>
      <c r="J263" s="218">
        <v>1</v>
      </c>
      <c r="K263" s="218" t="s">
        <v>37</v>
      </c>
      <c r="L263" s="218" t="s">
        <v>72</v>
      </c>
      <c r="M263" s="218" t="s">
        <v>73</v>
      </c>
      <c r="N263" s="218">
        <v>170886</v>
      </c>
      <c r="O263" s="219"/>
      <c r="P263" s="219"/>
      <c r="Q263" s="219"/>
      <c r="R263" s="219"/>
      <c r="S263" s="220"/>
      <c r="T263" s="220">
        <v>46133</v>
      </c>
      <c r="U263" s="220">
        <v>46168</v>
      </c>
      <c r="V263" s="219" t="s">
        <v>554</v>
      </c>
      <c r="W263" s="223">
        <v>125.99</v>
      </c>
      <c r="X263" s="223">
        <f>Table2[[#This Row],[QUANTIDADE]]*Table2[[#This Row],[PREÇO UNITARIO]]</f>
        <v>125.99</v>
      </c>
      <c r="Y263" s="219"/>
      <c r="Z263" s="219">
        <f t="shared" si="8"/>
        <v>3</v>
      </c>
      <c r="AA263" s="219" t="s">
        <v>74</v>
      </c>
      <c r="AB263" s="220">
        <f t="shared" ca="1" si="9"/>
        <v>46235</v>
      </c>
      <c r="AC263" s="219">
        <f ca="1">_xlfn.DAYS(Table2[[#This Row],[HOJE]],Table2[[#This Row],[DATA PEDIDO HP]])</f>
        <v>128</v>
      </c>
      <c r="AD263" s="219" t="str">
        <f ca="1">IF(Table2[[#This Row],[STATUS2]]="ENTREGUE","ENTREGUE","")</f>
        <v/>
      </c>
      <c r="AE263" s="219" t="str">
        <f ca="1">IF(Table2[[#This Row],[HOLD]]&gt;30,"ATRASADO","NO PRAZO")</f>
        <v>ATRASADO</v>
      </c>
    </row>
    <row r="264" spans="1:31" ht="14.45">
      <c r="A264" s="219" t="s">
        <v>951</v>
      </c>
      <c r="B264" s="217">
        <v>46107</v>
      </c>
      <c r="C264" s="217">
        <v>46107</v>
      </c>
      <c r="D264" s="218" t="s">
        <v>952</v>
      </c>
      <c r="E264" s="218" t="s">
        <v>154</v>
      </c>
      <c r="F264" s="218" t="s">
        <v>102</v>
      </c>
      <c r="G264" s="218">
        <v>51000174</v>
      </c>
      <c r="H264" s="218" t="s">
        <v>953</v>
      </c>
      <c r="I264" s="218" t="s">
        <v>954</v>
      </c>
      <c r="J264" s="218">
        <v>1</v>
      </c>
      <c r="K264" s="218" t="s">
        <v>37</v>
      </c>
      <c r="L264" s="218" t="s">
        <v>72</v>
      </c>
      <c r="M264" s="218" t="s">
        <v>73</v>
      </c>
      <c r="N264" s="218">
        <v>170555</v>
      </c>
      <c r="O264" s="219"/>
      <c r="P264" s="219"/>
      <c r="Q264" s="219"/>
      <c r="R264" s="219" t="s">
        <v>955</v>
      </c>
      <c r="S264" s="220"/>
      <c r="T264" s="220">
        <v>46133</v>
      </c>
      <c r="U264" s="220">
        <v>46168</v>
      </c>
      <c r="V264" s="219" t="s">
        <v>554</v>
      </c>
      <c r="W264" s="223">
        <v>111.7</v>
      </c>
      <c r="X264" s="223">
        <f>Table2[[#This Row],[QUANTIDADE]]*Table2[[#This Row],[PREÇO UNITARIO]]</f>
        <v>111.7</v>
      </c>
      <c r="Y264" s="219"/>
      <c r="Z264" s="219">
        <f t="shared" si="8"/>
        <v>3</v>
      </c>
      <c r="AA264" s="219" t="s">
        <v>74</v>
      </c>
      <c r="AB264" s="220">
        <f t="shared" ca="1" si="9"/>
        <v>46235</v>
      </c>
      <c r="AC264" s="219">
        <f ca="1">_xlfn.DAYS(Table2[[#This Row],[HOJE]],Table2[[#This Row],[DATA PEDIDO HP]])</f>
        <v>128</v>
      </c>
      <c r="AD264" s="219" t="str">
        <f ca="1">IF(Table2[[#This Row],[STATUS2]]="ENTREGUE","ENTREGUE","")</f>
        <v/>
      </c>
      <c r="AE264" s="219" t="str">
        <f ca="1">IF(Table2[[#This Row],[HOLD]]&gt;30,"ATRASADO","NO PRAZO")</f>
        <v>ATRASADO</v>
      </c>
    </row>
    <row r="265" spans="1:31" ht="14.45">
      <c r="A265" s="219" t="s">
        <v>956</v>
      </c>
      <c r="B265" s="217">
        <v>46108</v>
      </c>
      <c r="C265" s="217">
        <v>46108</v>
      </c>
      <c r="D265" s="218" t="s">
        <v>957</v>
      </c>
      <c r="E265" s="218" t="s">
        <v>33</v>
      </c>
      <c r="F265" s="218" t="s">
        <v>95</v>
      </c>
      <c r="G265" s="218">
        <v>60002095</v>
      </c>
      <c r="H265" s="218" t="s">
        <v>958</v>
      </c>
      <c r="I265" s="218" t="s">
        <v>959</v>
      </c>
      <c r="J265" s="218">
        <v>1</v>
      </c>
      <c r="K265" s="218" t="s">
        <v>37</v>
      </c>
      <c r="L265" s="218" t="s">
        <v>72</v>
      </c>
      <c r="M265" s="218" t="s">
        <v>73</v>
      </c>
      <c r="N265" s="218">
        <v>170984</v>
      </c>
      <c r="O265" s="219"/>
      <c r="P265" s="219"/>
      <c r="Q265" s="219"/>
      <c r="R265" s="219" t="s">
        <v>960</v>
      </c>
      <c r="S265" s="220"/>
      <c r="T265" s="220">
        <v>46133</v>
      </c>
      <c r="U265" s="220">
        <v>46168</v>
      </c>
      <c r="V265" s="219" t="s">
        <v>554</v>
      </c>
      <c r="W265" s="223">
        <v>4693.03</v>
      </c>
      <c r="X265" s="223">
        <f>Table2[[#This Row],[QUANTIDADE]]*Table2[[#This Row],[PREÇO UNITARIO]]</f>
        <v>4693.03</v>
      </c>
      <c r="Y265" s="219"/>
      <c r="Z265" s="219">
        <f t="shared" si="8"/>
        <v>3</v>
      </c>
      <c r="AA265" s="219" t="s">
        <v>42</v>
      </c>
      <c r="AB265" s="220">
        <f t="shared" ca="1" si="9"/>
        <v>46235</v>
      </c>
      <c r="AC265" s="219">
        <f ca="1">_xlfn.DAYS(Table2[[#This Row],[HOJE]],Table2[[#This Row],[DATA PEDIDO HP]])</f>
        <v>127</v>
      </c>
      <c r="AD265" s="219" t="str">
        <f ca="1">IF(Table2[[#This Row],[STATUS2]]="ENTREGUE","ENTREGUE","")</f>
        <v/>
      </c>
      <c r="AE265" s="219" t="str">
        <f ca="1">IF(Table2[[#This Row],[HOLD]]&gt;30,"ATRASADO","NO PRAZO")</f>
        <v>ATRASADO</v>
      </c>
    </row>
    <row r="266" spans="1:31" ht="14.45">
      <c r="A266" s="219" t="s">
        <v>961</v>
      </c>
      <c r="B266" s="217">
        <v>46108</v>
      </c>
      <c r="C266" s="217">
        <v>46108</v>
      </c>
      <c r="D266" s="218" t="s">
        <v>962</v>
      </c>
      <c r="E266" s="218" t="s">
        <v>303</v>
      </c>
      <c r="F266" s="218" t="s">
        <v>304</v>
      </c>
      <c r="G266" s="218">
        <v>47200274</v>
      </c>
      <c r="H266" s="218" t="s">
        <v>963</v>
      </c>
      <c r="I266" s="218" t="s">
        <v>964</v>
      </c>
      <c r="J266" s="218">
        <v>1</v>
      </c>
      <c r="K266" s="218" t="s">
        <v>37</v>
      </c>
      <c r="L266" s="218" t="s">
        <v>122</v>
      </c>
      <c r="M266" s="218" t="s">
        <v>81</v>
      </c>
      <c r="N266" s="218">
        <v>171545</v>
      </c>
      <c r="O266" s="219"/>
      <c r="P266" s="219"/>
      <c r="Q266" s="219"/>
      <c r="R266" s="219"/>
      <c r="S266" s="220"/>
      <c r="T266" s="220">
        <v>46133</v>
      </c>
      <c r="U266" s="220">
        <v>46168</v>
      </c>
      <c r="V266" s="219" t="s">
        <v>554</v>
      </c>
      <c r="W266" s="223">
        <v>15.99</v>
      </c>
      <c r="X266" s="223">
        <f>Table2[[#This Row],[QUANTIDADE]]*Table2[[#This Row],[PREÇO UNITARIO]]</f>
        <v>15.99</v>
      </c>
      <c r="Y266" s="219"/>
      <c r="Z266" s="219">
        <f t="shared" si="8"/>
        <v>3</v>
      </c>
      <c r="AA266" s="219" t="s">
        <v>74</v>
      </c>
      <c r="AB266" s="220">
        <f t="shared" ca="1" si="9"/>
        <v>46235</v>
      </c>
      <c r="AC266" s="219">
        <f ca="1">_xlfn.DAYS(Table2[[#This Row],[HOJE]],Table2[[#This Row],[DATA PEDIDO HP]])</f>
        <v>127</v>
      </c>
      <c r="AD266" s="219" t="str">
        <f ca="1">IF(Table2[[#This Row],[STATUS2]]="ENTREGUE","ENTREGUE","")</f>
        <v/>
      </c>
      <c r="AE266" s="219" t="str">
        <f ca="1">IF(Table2[[#This Row],[HOLD]]&gt;30,"ATRASADO","NO PRAZO")</f>
        <v>ATRASADO</v>
      </c>
    </row>
    <row r="267" spans="1:31" ht="14.45">
      <c r="A267" s="219" t="s">
        <v>965</v>
      </c>
      <c r="B267" s="217">
        <v>46108</v>
      </c>
      <c r="C267" s="217">
        <v>46108</v>
      </c>
      <c r="D267" s="218" t="s">
        <v>966</v>
      </c>
      <c r="E267" s="218" t="s">
        <v>333</v>
      </c>
      <c r="F267" s="218" t="s">
        <v>334</v>
      </c>
      <c r="G267" s="218">
        <v>50300097</v>
      </c>
      <c r="H267" s="218" t="s">
        <v>379</v>
      </c>
      <c r="I267" s="218" t="s">
        <v>967</v>
      </c>
      <c r="J267" s="218">
        <v>1</v>
      </c>
      <c r="K267" s="218" t="s">
        <v>37</v>
      </c>
      <c r="L267" s="218" t="s">
        <v>38</v>
      </c>
      <c r="M267" s="218" t="s">
        <v>73</v>
      </c>
      <c r="N267" s="218">
        <v>170390</v>
      </c>
      <c r="O267" s="219"/>
      <c r="P267" s="219"/>
      <c r="Q267" s="219"/>
      <c r="R267" s="219"/>
      <c r="S267" s="220"/>
      <c r="T267" s="220">
        <v>46168</v>
      </c>
      <c r="U267" s="220">
        <v>46185</v>
      </c>
      <c r="V267" s="219" t="s">
        <v>41</v>
      </c>
      <c r="W267" s="223">
        <v>631.67999999999995</v>
      </c>
      <c r="X267" s="223">
        <f>Table2[[#This Row],[QUANTIDADE]]*Table2[[#This Row],[PREÇO UNITARIO]]</f>
        <v>631.67999999999995</v>
      </c>
      <c r="Y267" s="219"/>
      <c r="Z267" s="219">
        <f t="shared" si="8"/>
        <v>3</v>
      </c>
      <c r="AA267" s="219" t="s">
        <v>74</v>
      </c>
      <c r="AB267" s="220">
        <f t="shared" ca="1" si="9"/>
        <v>46235</v>
      </c>
      <c r="AC267" s="219">
        <f ca="1">_xlfn.DAYS(Table2[[#This Row],[HOJE]],Table2[[#This Row],[DATA PEDIDO HP]])</f>
        <v>127</v>
      </c>
      <c r="AD267" s="219" t="str">
        <f ca="1">IF(Table2[[#This Row],[STATUS2]]="ENTREGUE","ENTREGUE","")</f>
        <v/>
      </c>
      <c r="AE267" s="219" t="str">
        <f ca="1">IF(Table2[[#This Row],[HOLD]]&gt;30,"ATRASADO","NO PRAZO")</f>
        <v>ATRASADO</v>
      </c>
    </row>
    <row r="268" spans="1:31" ht="14.45">
      <c r="A268" s="219" t="s">
        <v>965</v>
      </c>
      <c r="B268" s="217">
        <v>46108</v>
      </c>
      <c r="C268" s="217">
        <v>46108</v>
      </c>
      <c r="D268" s="218" t="s">
        <v>966</v>
      </c>
      <c r="E268" s="218" t="s">
        <v>333</v>
      </c>
      <c r="F268" s="218" t="s">
        <v>334</v>
      </c>
      <c r="G268" s="218">
        <v>50300097</v>
      </c>
      <c r="H268" s="218" t="s">
        <v>430</v>
      </c>
      <c r="I268" s="218" t="s">
        <v>431</v>
      </c>
      <c r="J268" s="218">
        <v>1</v>
      </c>
      <c r="K268" s="218" t="s">
        <v>37</v>
      </c>
      <c r="L268" s="218" t="s">
        <v>38</v>
      </c>
      <c r="M268" s="218" t="s">
        <v>39</v>
      </c>
      <c r="N268" s="218">
        <v>170390</v>
      </c>
      <c r="O268" s="219"/>
      <c r="P268" s="219"/>
      <c r="Q268" s="219"/>
      <c r="R268" s="219"/>
      <c r="S268" s="220"/>
      <c r="T268" s="220">
        <v>46133</v>
      </c>
      <c r="U268" s="220">
        <v>46168</v>
      </c>
      <c r="V268" s="219" t="s">
        <v>554</v>
      </c>
      <c r="W268" s="223">
        <v>125.99</v>
      </c>
      <c r="X268" s="223">
        <f>Table2[[#This Row],[QUANTIDADE]]*Table2[[#This Row],[PREÇO UNITARIO]]</f>
        <v>125.99</v>
      </c>
      <c r="Y268" s="219"/>
      <c r="Z268" s="219">
        <f t="shared" si="8"/>
        <v>3</v>
      </c>
      <c r="AA268" s="219" t="s">
        <v>74</v>
      </c>
      <c r="AB268" s="220">
        <f t="shared" ca="1" si="9"/>
        <v>46235</v>
      </c>
      <c r="AC268" s="219">
        <f ca="1">_xlfn.DAYS(Table2[[#This Row],[HOJE]],Table2[[#This Row],[DATA PEDIDO HP]])</f>
        <v>127</v>
      </c>
      <c r="AD268" s="219" t="str">
        <f ca="1">IF(Table2[[#This Row],[STATUS2]]="ENTREGUE","ENTREGUE","")</f>
        <v/>
      </c>
      <c r="AE268" s="219" t="str">
        <f ca="1">IF(Table2[[#This Row],[HOLD]]&gt;30,"ATRASADO","NO PRAZO")</f>
        <v>ATRASADO</v>
      </c>
    </row>
    <row r="269" spans="1:31" ht="14.45">
      <c r="A269" s="219" t="s">
        <v>965</v>
      </c>
      <c r="B269" s="217">
        <v>46108</v>
      </c>
      <c r="C269" s="217">
        <v>46108</v>
      </c>
      <c r="D269" s="218" t="s">
        <v>966</v>
      </c>
      <c r="E269" s="218" t="s">
        <v>333</v>
      </c>
      <c r="F269" s="218" t="s">
        <v>334</v>
      </c>
      <c r="G269" s="218">
        <v>50300097</v>
      </c>
      <c r="H269" s="218" t="s">
        <v>968</v>
      </c>
      <c r="I269" s="218" t="s">
        <v>969</v>
      </c>
      <c r="J269" s="218">
        <v>1</v>
      </c>
      <c r="K269" s="218" t="s">
        <v>37</v>
      </c>
      <c r="L269" s="218" t="s">
        <v>38</v>
      </c>
      <c r="M269" s="218" t="s">
        <v>39</v>
      </c>
      <c r="N269" s="218">
        <v>170390</v>
      </c>
      <c r="O269" s="219"/>
      <c r="P269" s="219"/>
      <c r="Q269" s="219"/>
      <c r="R269" s="219"/>
      <c r="S269" s="220"/>
      <c r="T269" s="220">
        <v>46168</v>
      </c>
      <c r="U269" s="220">
        <v>46185</v>
      </c>
      <c r="V269" s="219" t="s">
        <v>41</v>
      </c>
      <c r="W269" s="223">
        <v>75.94</v>
      </c>
      <c r="X269" s="223">
        <f>Table2[[#This Row],[QUANTIDADE]]*Table2[[#This Row],[PREÇO UNITARIO]]</f>
        <v>75.94</v>
      </c>
      <c r="Y269" s="219"/>
      <c r="Z269" s="219">
        <f t="shared" si="8"/>
        <v>3</v>
      </c>
      <c r="AA269" s="219" t="s">
        <v>74</v>
      </c>
      <c r="AB269" s="220">
        <f t="shared" ca="1" si="9"/>
        <v>46235</v>
      </c>
      <c r="AC269" s="219">
        <f ca="1">_xlfn.DAYS(Table2[[#This Row],[HOJE]],Table2[[#This Row],[DATA PEDIDO HP]])</f>
        <v>127</v>
      </c>
      <c r="AD269" s="219" t="str">
        <f ca="1">IF(Table2[[#This Row],[STATUS2]]="ENTREGUE","ENTREGUE","")</f>
        <v/>
      </c>
      <c r="AE269" s="219" t="str">
        <f ca="1">IF(Table2[[#This Row],[HOLD]]&gt;30,"ATRASADO","NO PRAZO")</f>
        <v>ATRASADO</v>
      </c>
    </row>
    <row r="270" spans="1:31" ht="14.45">
      <c r="A270" s="219" t="s">
        <v>965</v>
      </c>
      <c r="B270" s="217">
        <v>46108</v>
      </c>
      <c r="C270" s="217">
        <v>46108</v>
      </c>
      <c r="D270" s="218" t="s">
        <v>966</v>
      </c>
      <c r="E270" s="218" t="s">
        <v>333</v>
      </c>
      <c r="F270" s="218" t="s">
        <v>334</v>
      </c>
      <c r="G270" s="218">
        <v>50300097</v>
      </c>
      <c r="H270" s="218" t="s">
        <v>79</v>
      </c>
      <c r="I270" s="218" t="s">
        <v>970</v>
      </c>
      <c r="J270" s="218">
        <v>1</v>
      </c>
      <c r="K270" s="218" t="s">
        <v>37</v>
      </c>
      <c r="L270" s="218" t="s">
        <v>38</v>
      </c>
      <c r="M270" s="218" t="s">
        <v>73</v>
      </c>
      <c r="N270" s="218">
        <v>170390</v>
      </c>
      <c r="O270" s="219"/>
      <c r="P270" s="219"/>
      <c r="Q270" s="219"/>
      <c r="R270" s="219"/>
      <c r="S270" s="220"/>
      <c r="T270" s="220">
        <v>46133</v>
      </c>
      <c r="U270" s="220">
        <v>46168</v>
      </c>
      <c r="V270" s="219" t="s">
        <v>554</v>
      </c>
      <c r="W270" s="223">
        <v>42.46</v>
      </c>
      <c r="X270" s="223">
        <f>Table2[[#This Row],[QUANTIDADE]]*Table2[[#This Row],[PREÇO UNITARIO]]</f>
        <v>42.46</v>
      </c>
      <c r="Y270" s="219"/>
      <c r="Z270" s="219">
        <f t="shared" si="8"/>
        <v>3</v>
      </c>
      <c r="AA270" s="219" t="s">
        <v>74</v>
      </c>
      <c r="AB270" s="220">
        <f t="shared" ca="1" si="9"/>
        <v>46235</v>
      </c>
      <c r="AC270" s="219">
        <f ca="1">_xlfn.DAYS(Table2[[#This Row],[HOJE]],Table2[[#This Row],[DATA PEDIDO HP]])</f>
        <v>127</v>
      </c>
      <c r="AD270" s="219" t="str">
        <f ca="1">IF(Table2[[#This Row],[STATUS2]]="ENTREGUE","ENTREGUE","")</f>
        <v/>
      </c>
      <c r="AE270" s="219" t="str">
        <f ca="1">IF(Table2[[#This Row],[HOLD]]&gt;30,"ATRASADO","NO PRAZO")</f>
        <v>ATRASADO</v>
      </c>
    </row>
    <row r="271" spans="1:31" ht="14.45">
      <c r="A271" s="219" t="s">
        <v>965</v>
      </c>
      <c r="B271" s="217">
        <v>46108</v>
      </c>
      <c r="C271" s="217">
        <v>46108</v>
      </c>
      <c r="D271" s="218" t="s">
        <v>966</v>
      </c>
      <c r="E271" s="218" t="s">
        <v>333</v>
      </c>
      <c r="F271" s="218" t="s">
        <v>334</v>
      </c>
      <c r="G271" s="218">
        <v>50300097</v>
      </c>
      <c r="H271" s="218" t="s">
        <v>971</v>
      </c>
      <c r="I271" s="218" t="s">
        <v>386</v>
      </c>
      <c r="J271" s="218">
        <v>1</v>
      </c>
      <c r="K271" s="218" t="s">
        <v>37</v>
      </c>
      <c r="L271" s="218" t="s">
        <v>38</v>
      </c>
      <c r="M271" s="218" t="s">
        <v>73</v>
      </c>
      <c r="N271" s="218">
        <v>170390</v>
      </c>
      <c r="O271" s="219"/>
      <c r="P271" s="219"/>
      <c r="Q271" s="219"/>
      <c r="R271" s="219"/>
      <c r="S271" s="220"/>
      <c r="T271" s="220">
        <v>46133</v>
      </c>
      <c r="U271" s="220">
        <v>46168</v>
      </c>
      <c r="V271" s="219" t="s">
        <v>554</v>
      </c>
      <c r="W271" s="223">
        <v>29.89</v>
      </c>
      <c r="X271" s="223">
        <f>Table2[[#This Row],[QUANTIDADE]]*Table2[[#This Row],[PREÇO UNITARIO]]</f>
        <v>29.89</v>
      </c>
      <c r="Y271" s="219"/>
      <c r="Z271" s="219">
        <f t="shared" si="8"/>
        <v>3</v>
      </c>
      <c r="AA271" s="219" t="s">
        <v>74</v>
      </c>
      <c r="AB271" s="220">
        <f t="shared" ca="1" si="9"/>
        <v>46235</v>
      </c>
      <c r="AC271" s="219">
        <f ca="1">_xlfn.DAYS(Table2[[#This Row],[HOJE]],Table2[[#This Row],[DATA PEDIDO HP]])</f>
        <v>127</v>
      </c>
      <c r="AD271" s="219" t="str">
        <f ca="1">IF(Table2[[#This Row],[STATUS2]]="ENTREGUE","ENTREGUE","")</f>
        <v/>
      </c>
      <c r="AE271" s="219" t="str">
        <f ca="1">IF(Table2[[#This Row],[HOLD]]&gt;30,"ATRASADO","NO PRAZO")</f>
        <v>ATRASADO</v>
      </c>
    </row>
    <row r="272" spans="1:31" ht="14.45">
      <c r="A272" s="219" t="s">
        <v>965</v>
      </c>
      <c r="B272" s="217">
        <v>46108</v>
      </c>
      <c r="C272" s="217">
        <v>46108</v>
      </c>
      <c r="D272" s="218" t="s">
        <v>966</v>
      </c>
      <c r="E272" s="218" t="s">
        <v>333</v>
      </c>
      <c r="F272" s="218" t="s">
        <v>334</v>
      </c>
      <c r="G272" s="218">
        <v>50300097</v>
      </c>
      <c r="H272" s="218" t="s">
        <v>972</v>
      </c>
      <c r="I272" s="218" t="s">
        <v>973</v>
      </c>
      <c r="J272" s="218">
        <v>1</v>
      </c>
      <c r="K272" s="218" t="s">
        <v>37</v>
      </c>
      <c r="L272" s="218" t="s">
        <v>38</v>
      </c>
      <c r="M272" s="218" t="s">
        <v>39</v>
      </c>
      <c r="N272" s="218">
        <v>170390</v>
      </c>
      <c r="O272" s="219"/>
      <c r="P272" s="219"/>
      <c r="Q272" s="219"/>
      <c r="R272" s="219"/>
      <c r="S272" s="220"/>
      <c r="T272" s="220">
        <v>46133</v>
      </c>
      <c r="U272" s="220">
        <v>46168</v>
      </c>
      <c r="V272" s="219" t="s">
        <v>554</v>
      </c>
      <c r="W272" s="223">
        <v>24.5</v>
      </c>
      <c r="X272" s="223">
        <f>Table2[[#This Row],[QUANTIDADE]]*Table2[[#This Row],[PREÇO UNITARIO]]</f>
        <v>24.5</v>
      </c>
      <c r="Y272" s="219"/>
      <c r="Z272" s="219">
        <f t="shared" si="8"/>
        <v>3</v>
      </c>
      <c r="AA272" s="219" t="s">
        <v>74</v>
      </c>
      <c r="AB272" s="220">
        <f t="shared" ca="1" si="9"/>
        <v>46235</v>
      </c>
      <c r="AC272" s="219">
        <f ca="1">_xlfn.DAYS(Table2[[#This Row],[HOJE]],Table2[[#This Row],[DATA PEDIDO HP]])</f>
        <v>127</v>
      </c>
      <c r="AD272" s="219" t="str">
        <f ca="1">IF(Table2[[#This Row],[STATUS2]]="ENTREGUE","ENTREGUE","")</f>
        <v/>
      </c>
      <c r="AE272" s="219" t="str">
        <f ca="1">IF(Table2[[#This Row],[HOLD]]&gt;30,"ATRASADO","NO PRAZO")</f>
        <v>ATRASADO</v>
      </c>
    </row>
    <row r="273" spans="1:31" ht="14.45">
      <c r="A273" s="219" t="s">
        <v>965</v>
      </c>
      <c r="B273" s="217">
        <v>46108</v>
      </c>
      <c r="C273" s="217">
        <v>46108</v>
      </c>
      <c r="D273" s="218" t="s">
        <v>966</v>
      </c>
      <c r="E273" s="218" t="s">
        <v>333</v>
      </c>
      <c r="F273" s="218" t="s">
        <v>334</v>
      </c>
      <c r="G273" s="218">
        <v>50300097</v>
      </c>
      <c r="H273" s="218" t="s">
        <v>82</v>
      </c>
      <c r="I273" s="218" t="s">
        <v>974</v>
      </c>
      <c r="J273" s="218">
        <v>1</v>
      </c>
      <c r="K273" s="218" t="s">
        <v>37</v>
      </c>
      <c r="L273" s="218" t="s">
        <v>38</v>
      </c>
      <c r="M273" s="218" t="s">
        <v>73</v>
      </c>
      <c r="N273" s="218">
        <v>170390</v>
      </c>
      <c r="O273" s="219"/>
      <c r="P273" s="219"/>
      <c r="Q273" s="219"/>
      <c r="R273" s="219"/>
      <c r="S273" s="220"/>
      <c r="T273" s="220">
        <v>46133</v>
      </c>
      <c r="U273" s="220">
        <v>46168</v>
      </c>
      <c r="V273" s="219" t="s">
        <v>554</v>
      </c>
      <c r="W273" s="223">
        <v>19.600000000000001</v>
      </c>
      <c r="X273" s="223">
        <f>Table2[[#This Row],[QUANTIDADE]]*Table2[[#This Row],[PREÇO UNITARIO]]</f>
        <v>19.600000000000001</v>
      </c>
      <c r="Y273" s="219"/>
      <c r="Z273" s="219">
        <f t="shared" si="8"/>
        <v>3</v>
      </c>
      <c r="AA273" s="219" t="s">
        <v>74</v>
      </c>
      <c r="AB273" s="220">
        <f t="shared" ca="1" si="9"/>
        <v>46235</v>
      </c>
      <c r="AC273" s="219">
        <f ca="1">_xlfn.DAYS(Table2[[#This Row],[HOJE]],Table2[[#This Row],[DATA PEDIDO HP]])</f>
        <v>127</v>
      </c>
      <c r="AD273" s="219" t="str">
        <f ca="1">IF(Table2[[#This Row],[STATUS2]]="ENTREGUE","ENTREGUE","")</f>
        <v/>
      </c>
      <c r="AE273" s="219" t="str">
        <f ca="1">IF(Table2[[#This Row],[HOLD]]&gt;30,"ATRASADO","NO PRAZO")</f>
        <v>ATRASADO</v>
      </c>
    </row>
    <row r="274" spans="1:31" ht="14.45">
      <c r="A274" s="219" t="s">
        <v>975</v>
      </c>
      <c r="B274" s="217">
        <v>46111</v>
      </c>
      <c r="C274" s="217">
        <v>46111</v>
      </c>
      <c r="D274" s="218" t="s">
        <v>976</v>
      </c>
      <c r="E274" s="218" t="s">
        <v>541</v>
      </c>
      <c r="F274" s="218" t="s">
        <v>542</v>
      </c>
      <c r="G274" s="218">
        <v>61000037</v>
      </c>
      <c r="H274" s="218" t="s">
        <v>977</v>
      </c>
      <c r="I274" s="218" t="s">
        <v>978</v>
      </c>
      <c r="J274" s="218">
        <v>1</v>
      </c>
      <c r="K274" s="218" t="s">
        <v>37</v>
      </c>
      <c r="L274" s="218" t="s">
        <v>122</v>
      </c>
      <c r="M274" s="218" t="s">
        <v>81</v>
      </c>
      <c r="N274" s="218">
        <v>172040</v>
      </c>
      <c r="O274" s="219"/>
      <c r="P274" s="219"/>
      <c r="Q274" s="219"/>
      <c r="R274" s="219"/>
      <c r="S274" s="220"/>
      <c r="T274" s="220">
        <v>46133</v>
      </c>
      <c r="U274" s="220">
        <v>46168</v>
      </c>
      <c r="V274" s="219" t="s">
        <v>554</v>
      </c>
      <c r="W274" s="223">
        <v>418.07</v>
      </c>
      <c r="X274" s="223">
        <f>Table2[[#This Row],[QUANTIDADE]]*Table2[[#This Row],[PREÇO UNITARIO]]</f>
        <v>418.07</v>
      </c>
      <c r="Y274" s="219"/>
      <c r="Z274" s="219">
        <f t="shared" si="8"/>
        <v>3</v>
      </c>
      <c r="AA274" s="219" t="s">
        <v>74</v>
      </c>
      <c r="AB274" s="220">
        <f t="shared" ca="1" si="9"/>
        <v>46235</v>
      </c>
      <c r="AC274" s="219">
        <f ca="1">_xlfn.DAYS(Table2[[#This Row],[HOJE]],Table2[[#This Row],[DATA PEDIDO HP]])</f>
        <v>124</v>
      </c>
      <c r="AD274" s="219" t="str">
        <f ca="1">IF(Table2[[#This Row],[STATUS2]]="ENTREGUE","ENTREGUE","")</f>
        <v/>
      </c>
      <c r="AE274" s="219" t="str">
        <f ca="1">IF(Table2[[#This Row],[HOLD]]&gt;30,"ATRASADO","NO PRAZO")</f>
        <v>ATRASADO</v>
      </c>
    </row>
    <row r="275" spans="1:31" ht="14.45">
      <c r="A275" s="219" t="s">
        <v>979</v>
      </c>
      <c r="B275" s="217">
        <v>46111</v>
      </c>
      <c r="C275" s="217">
        <v>46111</v>
      </c>
      <c r="D275" s="218" t="s">
        <v>980</v>
      </c>
      <c r="E275" s="218" t="s">
        <v>33</v>
      </c>
      <c r="F275" s="218" t="s">
        <v>95</v>
      </c>
      <c r="G275" s="218">
        <v>60002095</v>
      </c>
      <c r="H275" s="218" t="s">
        <v>981</v>
      </c>
      <c r="I275" s="218" t="s">
        <v>982</v>
      </c>
      <c r="J275" s="218">
        <v>1</v>
      </c>
      <c r="K275" s="218" t="s">
        <v>37</v>
      </c>
      <c r="L275" s="218" t="s">
        <v>122</v>
      </c>
      <c r="M275" s="218" t="s">
        <v>81</v>
      </c>
      <c r="N275" s="218">
        <v>171810</v>
      </c>
      <c r="O275" s="219"/>
      <c r="P275" s="219"/>
      <c r="Q275" s="219"/>
      <c r="R275" s="219"/>
      <c r="S275" s="220">
        <v>46197</v>
      </c>
      <c r="T275" s="220">
        <v>46133</v>
      </c>
      <c r="U275" s="220">
        <v>46168</v>
      </c>
      <c r="V275" s="219" t="s">
        <v>554</v>
      </c>
      <c r="W275" s="223">
        <v>12.46</v>
      </c>
      <c r="X275" s="223">
        <f>Table2[[#This Row],[QUANTIDADE]]*Table2[[#This Row],[PREÇO UNITARIO]]</f>
        <v>12.46</v>
      </c>
      <c r="Y275" s="219"/>
      <c r="Z275" s="219">
        <f t="shared" si="8"/>
        <v>3</v>
      </c>
      <c r="AA275" s="219" t="s">
        <v>42</v>
      </c>
      <c r="AB275" s="220">
        <f t="shared" ca="1" si="9"/>
        <v>46235</v>
      </c>
      <c r="AC275" s="219">
        <f ca="1">_xlfn.DAYS(Table2[[#This Row],[HOJE]],Table2[[#This Row],[DATA PEDIDO HP]])</f>
        <v>124</v>
      </c>
      <c r="AD275" s="219" t="str">
        <f>IF(Table2[[#This Row],[STATUS2]]="ENTREGUE","ENTREGUE","")</f>
        <v>ENTREGUE</v>
      </c>
      <c r="AE275" s="219" t="s">
        <v>43</v>
      </c>
    </row>
    <row r="276" spans="1:31" ht="14.45">
      <c r="A276" s="219" t="s">
        <v>983</v>
      </c>
      <c r="B276" s="217">
        <v>46112</v>
      </c>
      <c r="C276" s="217">
        <v>46094</v>
      </c>
      <c r="D276" s="218" t="s">
        <v>984</v>
      </c>
      <c r="E276" s="218" t="s">
        <v>985</v>
      </c>
      <c r="F276" s="218" t="s">
        <v>778</v>
      </c>
      <c r="G276" s="218">
        <v>41000270</v>
      </c>
      <c r="H276" s="218" t="s">
        <v>986</v>
      </c>
      <c r="I276" s="218" t="s">
        <v>987</v>
      </c>
      <c r="J276" s="218">
        <v>1</v>
      </c>
      <c r="K276" s="218" t="s">
        <v>37</v>
      </c>
      <c r="L276" s="218" t="s">
        <v>72</v>
      </c>
      <c r="M276" s="218" t="s">
        <v>39</v>
      </c>
      <c r="N276" s="218">
        <v>168608</v>
      </c>
      <c r="O276" s="219"/>
      <c r="P276" s="219"/>
      <c r="Q276" s="219"/>
      <c r="R276" s="219" t="s">
        <v>988</v>
      </c>
      <c r="S276" s="220"/>
      <c r="T276" s="220"/>
      <c r="U276" s="220"/>
      <c r="V276" s="219" t="s">
        <v>989</v>
      </c>
      <c r="W276" s="223">
        <v>53.08</v>
      </c>
      <c r="X276" s="223">
        <f>Table2[[#This Row],[QUANTIDADE]]*Table2[[#This Row],[PREÇO UNITARIO]]</f>
        <v>53.08</v>
      </c>
      <c r="Y276" s="219" t="s">
        <v>990</v>
      </c>
      <c r="Z276" s="219">
        <f t="shared" si="8"/>
        <v>3</v>
      </c>
      <c r="AA276" s="219" t="s">
        <v>74</v>
      </c>
      <c r="AB276" s="220">
        <f t="shared" ca="1" si="9"/>
        <v>46235</v>
      </c>
      <c r="AC276" s="219">
        <f ca="1">_xlfn.DAYS(Table2[[#This Row],[HOJE]],Table2[[#This Row],[DATA PEDIDO HP]])</f>
        <v>123</v>
      </c>
      <c r="AD276" s="219" t="str">
        <f ca="1">IF(Table2[[#This Row],[STATUS2]]="ENTREGUE","ENTREGUE","")</f>
        <v/>
      </c>
      <c r="AE276" s="219" t="str">
        <f ca="1">IF(Table2[[#This Row],[HOLD]]&gt;30,"ATRASADO","NO PRAZO")</f>
        <v>ATRASADO</v>
      </c>
    </row>
    <row r="277" spans="1:31" ht="14.45">
      <c r="A277" s="219" t="s">
        <v>991</v>
      </c>
      <c r="B277" s="217">
        <v>46112</v>
      </c>
      <c r="C277" s="217">
        <v>46112</v>
      </c>
      <c r="D277" s="218" t="s">
        <v>992</v>
      </c>
      <c r="E277" s="218" t="s">
        <v>33</v>
      </c>
      <c r="F277" s="218" t="s">
        <v>34</v>
      </c>
      <c r="G277" s="218">
        <v>50110372</v>
      </c>
      <c r="H277" s="218" t="s">
        <v>79</v>
      </c>
      <c r="I277" s="218" t="s">
        <v>531</v>
      </c>
      <c r="J277" s="218">
        <v>1</v>
      </c>
      <c r="K277" s="218" t="s">
        <v>37</v>
      </c>
      <c r="L277" s="218" t="s">
        <v>72</v>
      </c>
      <c r="M277" s="218" t="s">
        <v>81</v>
      </c>
      <c r="N277" s="218">
        <v>172536</v>
      </c>
      <c r="O277" s="219"/>
      <c r="P277" s="219"/>
      <c r="Q277" s="219"/>
      <c r="R277" s="219"/>
      <c r="S277" s="220">
        <v>46197</v>
      </c>
      <c r="T277" s="220">
        <v>46133</v>
      </c>
      <c r="U277" s="220">
        <v>46168</v>
      </c>
      <c r="V277" s="219" t="s">
        <v>554</v>
      </c>
      <c r="W277" s="223">
        <v>42.46</v>
      </c>
      <c r="X277" s="223">
        <f>Table2[[#This Row],[QUANTIDADE]]*Table2[[#This Row],[PREÇO UNITARIO]]</f>
        <v>42.46</v>
      </c>
      <c r="Y277" s="219"/>
      <c r="Z277" s="219">
        <f t="shared" si="8"/>
        <v>3</v>
      </c>
      <c r="AA277" s="219" t="s">
        <v>42</v>
      </c>
      <c r="AB277" s="220">
        <f t="shared" ca="1" si="9"/>
        <v>46235</v>
      </c>
      <c r="AC277" s="219">
        <f ca="1">_xlfn.DAYS(Table2[[#This Row],[HOJE]],Table2[[#This Row],[DATA PEDIDO HP]])</f>
        <v>123</v>
      </c>
      <c r="AD277" s="219" t="str">
        <f>IF(Table2[[#This Row],[STATUS2]]="ENTREGUE","ENTREGUE","")</f>
        <v>ENTREGUE</v>
      </c>
      <c r="AE277" s="219" t="s">
        <v>43</v>
      </c>
    </row>
    <row r="278" spans="1:31" ht="14.45">
      <c r="A278" s="219" t="s">
        <v>993</v>
      </c>
      <c r="B278" s="217">
        <v>46112</v>
      </c>
      <c r="C278" s="217">
        <v>46112</v>
      </c>
      <c r="D278" s="218" t="s">
        <v>994</v>
      </c>
      <c r="E278" s="218" t="s">
        <v>191</v>
      </c>
      <c r="F278" s="218" t="s">
        <v>827</v>
      </c>
      <c r="G278" s="218">
        <v>60003071</v>
      </c>
      <c r="H278" s="218" t="s">
        <v>995</v>
      </c>
      <c r="I278" s="218" t="s">
        <v>996</v>
      </c>
      <c r="J278" s="218">
        <v>1</v>
      </c>
      <c r="K278" s="218" t="s">
        <v>37</v>
      </c>
      <c r="L278" s="218" t="s">
        <v>122</v>
      </c>
      <c r="M278" s="218" t="s">
        <v>81</v>
      </c>
      <c r="N278" s="218">
        <v>172568</v>
      </c>
      <c r="O278" s="219"/>
      <c r="P278" s="219"/>
      <c r="Q278" s="219"/>
      <c r="R278" s="219"/>
      <c r="S278" s="220">
        <v>46197</v>
      </c>
      <c r="T278" s="220">
        <v>46133</v>
      </c>
      <c r="U278" s="220">
        <v>46168</v>
      </c>
      <c r="V278" s="219" t="s">
        <v>554</v>
      </c>
      <c r="W278" s="223">
        <v>14.18</v>
      </c>
      <c r="X278" s="223">
        <f>Table2[[#This Row],[QUANTIDADE]]*Table2[[#This Row],[PREÇO UNITARIO]]</f>
        <v>14.18</v>
      </c>
      <c r="Y278" s="219" t="s">
        <v>42</v>
      </c>
      <c r="Z278" s="219">
        <f t="shared" si="8"/>
        <v>3</v>
      </c>
      <c r="AA278" s="219" t="s">
        <v>42</v>
      </c>
      <c r="AB278" s="220">
        <f t="shared" ca="1" si="9"/>
        <v>46235</v>
      </c>
      <c r="AC278" s="219">
        <f ca="1">_xlfn.DAYS(Table2[[#This Row],[HOJE]],Table2[[#This Row],[DATA PEDIDO HP]])</f>
        <v>123</v>
      </c>
      <c r="AD278" s="219" t="str">
        <f>IF(Table2[[#This Row],[STATUS2]]="ENTREGUE","ENTREGUE","")</f>
        <v>ENTREGUE</v>
      </c>
      <c r="AE278" s="219" t="s">
        <v>43</v>
      </c>
    </row>
    <row r="279" spans="1:31" ht="14.45">
      <c r="A279" s="219" t="s">
        <v>997</v>
      </c>
      <c r="B279" s="217">
        <v>46112</v>
      </c>
      <c r="C279" s="217">
        <v>46112</v>
      </c>
      <c r="D279" s="218" t="s">
        <v>998</v>
      </c>
      <c r="E279" s="218" t="s">
        <v>191</v>
      </c>
      <c r="F279" s="218" t="s">
        <v>95</v>
      </c>
      <c r="G279" s="218">
        <v>60001111</v>
      </c>
      <c r="H279" s="218" t="s">
        <v>999</v>
      </c>
      <c r="I279" s="218" t="s">
        <v>1000</v>
      </c>
      <c r="J279" s="218">
        <v>1</v>
      </c>
      <c r="K279" s="218" t="s">
        <v>37</v>
      </c>
      <c r="L279" s="218" t="s">
        <v>122</v>
      </c>
      <c r="M279" s="218" t="s">
        <v>81</v>
      </c>
      <c r="N279" s="218">
        <v>172634</v>
      </c>
      <c r="O279" s="219"/>
      <c r="P279" s="219"/>
      <c r="Q279" s="219"/>
      <c r="R279" s="219"/>
      <c r="S279" s="220">
        <v>46197</v>
      </c>
      <c r="T279" s="220">
        <v>46168</v>
      </c>
      <c r="U279" s="220">
        <v>46185</v>
      </c>
      <c r="V279" s="219" t="s">
        <v>41</v>
      </c>
      <c r="W279" s="223">
        <v>475.51</v>
      </c>
      <c r="X279" s="223">
        <f>Table2[[#This Row],[QUANTIDADE]]*Table2[[#This Row],[PREÇO UNITARIO]]</f>
        <v>475.51</v>
      </c>
      <c r="Y279" s="219" t="s">
        <v>42</v>
      </c>
      <c r="Z279" s="219">
        <f t="shared" si="8"/>
        <v>3</v>
      </c>
      <c r="AA279" s="219" t="s">
        <v>42</v>
      </c>
      <c r="AB279" s="220">
        <f t="shared" ca="1" si="9"/>
        <v>46235</v>
      </c>
      <c r="AC279" s="219">
        <f ca="1">_xlfn.DAYS(Table2[[#This Row],[HOJE]],Table2[[#This Row],[DATA PEDIDO HP]])</f>
        <v>123</v>
      </c>
      <c r="AD279" s="219" t="str">
        <f>IF(Table2[[#This Row],[STATUS2]]="ENTREGUE","ENTREGUE","")</f>
        <v>ENTREGUE</v>
      </c>
      <c r="AE279" s="219" t="s">
        <v>43</v>
      </c>
    </row>
    <row r="280" spans="1:31" ht="14.45">
      <c r="A280" s="219" t="s">
        <v>1001</v>
      </c>
      <c r="B280" s="217">
        <v>46113</v>
      </c>
      <c r="C280" s="217">
        <v>46113</v>
      </c>
      <c r="D280" s="218" t="s">
        <v>1002</v>
      </c>
      <c r="E280" s="218" t="s">
        <v>88</v>
      </c>
      <c r="F280" s="218" t="s">
        <v>1003</v>
      </c>
      <c r="G280" s="218">
        <v>50110057</v>
      </c>
      <c r="H280" s="218" t="s">
        <v>1004</v>
      </c>
      <c r="I280" s="218" t="s">
        <v>1005</v>
      </c>
      <c r="J280" s="218">
        <v>1</v>
      </c>
      <c r="K280" s="218" t="s">
        <v>37</v>
      </c>
      <c r="L280" s="218" t="s">
        <v>72</v>
      </c>
      <c r="M280" s="218" t="s">
        <v>73</v>
      </c>
      <c r="N280" s="218">
        <v>172832</v>
      </c>
      <c r="O280" s="219"/>
      <c r="P280" s="219"/>
      <c r="Q280" s="218">
        <v>1</v>
      </c>
      <c r="R280" s="219"/>
      <c r="S280" s="220"/>
      <c r="T280" s="220">
        <v>46133</v>
      </c>
      <c r="U280" s="220">
        <v>46168</v>
      </c>
      <c r="V280" s="219" t="s">
        <v>554</v>
      </c>
      <c r="W280" s="223">
        <v>1370.16</v>
      </c>
      <c r="X280" s="223">
        <f>Table2[[#This Row],[QUANTIDADE]]*Table2[[#This Row],[PREÇO UNITARIO]]</f>
        <v>1370.16</v>
      </c>
      <c r="Y280" s="219"/>
      <c r="Z280" s="219">
        <f t="shared" si="8"/>
        <v>4</v>
      </c>
      <c r="AA280" s="219" t="s">
        <v>42</v>
      </c>
      <c r="AB280" s="220">
        <f t="shared" ca="1" si="9"/>
        <v>46235</v>
      </c>
      <c r="AC280" s="219">
        <f ca="1">_xlfn.DAYS(Table2[[#This Row],[HOJE]],Table2[[#This Row],[DATA PEDIDO HP]])</f>
        <v>122</v>
      </c>
      <c r="AD280" s="219" t="str">
        <f ca="1">IF(Table2[[#This Row],[STATUS2]]="ENTREGUE","ENTREGUE","")</f>
        <v/>
      </c>
      <c r="AE280" s="219" t="str">
        <f ca="1">IF(Table2[[#This Row],[HOLD]]&gt;30,"ATRASADO","NO PRAZO")</f>
        <v>ATRASADO</v>
      </c>
    </row>
    <row r="281" spans="1:31" ht="14.45">
      <c r="A281" s="219" t="s">
        <v>1001</v>
      </c>
      <c r="B281" s="217">
        <v>46113</v>
      </c>
      <c r="C281" s="217">
        <v>46113</v>
      </c>
      <c r="D281" s="218" t="s">
        <v>1002</v>
      </c>
      <c r="E281" s="218" t="s">
        <v>88</v>
      </c>
      <c r="F281" s="218" t="s">
        <v>34</v>
      </c>
      <c r="G281" s="218">
        <v>50110057</v>
      </c>
      <c r="H281" s="218" t="s">
        <v>1006</v>
      </c>
      <c r="I281" s="218" t="s">
        <v>1007</v>
      </c>
      <c r="J281" s="218">
        <v>1</v>
      </c>
      <c r="K281" s="218" t="s">
        <v>269</v>
      </c>
      <c r="L281" s="218" t="s">
        <v>72</v>
      </c>
      <c r="M281" s="218" t="s">
        <v>39</v>
      </c>
      <c r="N281" s="218">
        <v>172832</v>
      </c>
      <c r="O281" s="219"/>
      <c r="P281" s="219"/>
      <c r="Q281" s="219">
        <v>0</v>
      </c>
      <c r="R281" s="219"/>
      <c r="S281" s="220">
        <v>46202</v>
      </c>
      <c r="T281" s="220">
        <v>46133</v>
      </c>
      <c r="U281" s="220">
        <v>46168</v>
      </c>
      <c r="V281" s="219" t="s">
        <v>554</v>
      </c>
      <c r="W281" s="223">
        <v>40.83</v>
      </c>
      <c r="X281" s="223">
        <f>Table2[[#This Row],[QUANTIDADE]]*Table2[[#This Row],[PREÇO UNITARIO]]</f>
        <v>40.83</v>
      </c>
      <c r="Y281" s="219"/>
      <c r="Z281" s="219">
        <f t="shared" si="8"/>
        <v>4</v>
      </c>
      <c r="AA281" s="219" t="s">
        <v>42</v>
      </c>
      <c r="AB281" s="220">
        <f t="shared" ca="1" si="9"/>
        <v>46235</v>
      </c>
      <c r="AC281" s="219">
        <f ca="1">_xlfn.DAYS(Table2[[#This Row],[HOJE]],Table2[[#This Row],[DATA PEDIDO HP]])</f>
        <v>122</v>
      </c>
      <c r="AD281" s="219" t="str">
        <f>IF(Table2[[#This Row],[STATUS2]]="ENTREGUE","ENTREGUE","")</f>
        <v>ENTREGUE</v>
      </c>
      <c r="AE281" s="219" t="s">
        <v>43</v>
      </c>
    </row>
    <row r="282" spans="1:31" ht="14.45">
      <c r="A282" s="219" t="s">
        <v>1008</v>
      </c>
      <c r="B282" s="217">
        <v>46113</v>
      </c>
      <c r="C282" s="217">
        <v>46113</v>
      </c>
      <c r="D282" s="218" t="s">
        <v>744</v>
      </c>
      <c r="E282" s="218" t="s">
        <v>745</v>
      </c>
      <c r="F282" s="218" t="s">
        <v>746</v>
      </c>
      <c r="G282" s="218">
        <v>52010031</v>
      </c>
      <c r="H282" s="218" t="s">
        <v>1009</v>
      </c>
      <c r="I282" s="218" t="s">
        <v>1010</v>
      </c>
      <c r="J282" s="218">
        <v>1</v>
      </c>
      <c r="K282" s="218" t="s">
        <v>269</v>
      </c>
      <c r="L282" s="218" t="s">
        <v>98</v>
      </c>
      <c r="M282" s="218" t="s">
        <v>39</v>
      </c>
      <c r="N282" s="218"/>
      <c r="O282" s="219"/>
      <c r="P282" s="219"/>
      <c r="Q282" s="218">
        <v>0</v>
      </c>
      <c r="R282" s="219" t="s">
        <v>1011</v>
      </c>
      <c r="S282" s="220"/>
      <c r="T282" s="220">
        <v>46127</v>
      </c>
      <c r="U282" s="220">
        <v>46134</v>
      </c>
      <c r="V282" s="219" t="s">
        <v>61</v>
      </c>
      <c r="W282" s="223">
        <v>92.77</v>
      </c>
      <c r="X282" s="223">
        <f>Table2[[#This Row],[QUANTIDADE]]*Table2[[#This Row],[PREÇO UNITARIO]]</f>
        <v>92.77</v>
      </c>
      <c r="Y282" s="219"/>
      <c r="Z282" s="219">
        <f t="shared" si="8"/>
        <v>4</v>
      </c>
      <c r="AA282" s="219" t="s">
        <v>42</v>
      </c>
      <c r="AB282" s="220">
        <f t="shared" ca="1" si="9"/>
        <v>46235</v>
      </c>
      <c r="AC282" s="219">
        <f ca="1">_xlfn.DAYS(Table2[[#This Row],[HOJE]],Table2[[#This Row],[DATA PEDIDO HP]])</f>
        <v>122</v>
      </c>
      <c r="AD282" s="219" t="str">
        <f>IF(Table2[[#This Row],[STATUS2]]="ENTREGUE","ENTREGUE","")</f>
        <v>ENTREGUE</v>
      </c>
      <c r="AE282" s="219" t="s">
        <v>43</v>
      </c>
    </row>
    <row r="283" spans="1:31" ht="14.45">
      <c r="A283" s="219" t="s">
        <v>1012</v>
      </c>
      <c r="B283" s="217">
        <v>46113</v>
      </c>
      <c r="C283" s="217">
        <v>46113</v>
      </c>
      <c r="D283" s="218" t="s">
        <v>744</v>
      </c>
      <c r="E283" s="218" t="s">
        <v>745</v>
      </c>
      <c r="F283" s="218" t="s">
        <v>746</v>
      </c>
      <c r="G283" s="218">
        <v>52010031</v>
      </c>
      <c r="H283" s="218" t="s">
        <v>1013</v>
      </c>
      <c r="I283" s="218" t="s">
        <v>1014</v>
      </c>
      <c r="J283" s="218">
        <v>1</v>
      </c>
      <c r="K283" s="218" t="s">
        <v>269</v>
      </c>
      <c r="L283" s="218" t="s">
        <v>98</v>
      </c>
      <c r="M283" s="218" t="s">
        <v>39</v>
      </c>
      <c r="N283" s="218"/>
      <c r="O283" s="219"/>
      <c r="P283" s="219"/>
      <c r="Q283" s="218">
        <v>0</v>
      </c>
      <c r="R283" s="219"/>
      <c r="S283" s="220"/>
      <c r="T283" s="220">
        <v>46121</v>
      </c>
      <c r="U283" s="220">
        <v>46126</v>
      </c>
      <c r="V283" s="219" t="s">
        <v>61</v>
      </c>
      <c r="W283" s="223">
        <v>170.85</v>
      </c>
      <c r="X283" s="223">
        <f>Table2[[#This Row],[QUANTIDADE]]*Table2[[#This Row],[PREÇO UNITARIO]]</f>
        <v>170.85</v>
      </c>
      <c r="Y283" s="219"/>
      <c r="Z283" s="219">
        <f t="shared" si="8"/>
        <v>4</v>
      </c>
      <c r="AA283" s="219" t="s">
        <v>42</v>
      </c>
      <c r="AB283" s="220">
        <f t="shared" ca="1" si="9"/>
        <v>46235</v>
      </c>
      <c r="AC283" s="219">
        <f ca="1">_xlfn.DAYS(Table2[[#This Row],[HOJE]],Table2[[#This Row],[DATA PEDIDO HP]])</f>
        <v>122</v>
      </c>
      <c r="AD283" s="219" t="str">
        <f>IF(Table2[[#This Row],[STATUS2]]="ENTREGUE","ENTREGUE","")</f>
        <v>ENTREGUE</v>
      </c>
      <c r="AE283" s="219" t="s">
        <v>43</v>
      </c>
    </row>
    <row r="284" spans="1:31" ht="14.45">
      <c r="A284" s="219" t="s">
        <v>1015</v>
      </c>
      <c r="B284" s="217">
        <v>46114</v>
      </c>
      <c r="C284" s="217">
        <v>46114</v>
      </c>
      <c r="D284" s="218" t="s">
        <v>1016</v>
      </c>
      <c r="E284" s="218" t="s">
        <v>327</v>
      </c>
      <c r="F284" s="218" t="s">
        <v>328</v>
      </c>
      <c r="G284" s="218">
        <v>50000260</v>
      </c>
      <c r="H284" s="218" t="s">
        <v>1017</v>
      </c>
      <c r="I284" s="218" t="s">
        <v>1018</v>
      </c>
      <c r="J284" s="218">
        <v>1</v>
      </c>
      <c r="K284" s="218" t="s">
        <v>37</v>
      </c>
      <c r="L284" s="218" t="s">
        <v>72</v>
      </c>
      <c r="M284" s="218" t="s">
        <v>73</v>
      </c>
      <c r="N284" s="218">
        <v>171315</v>
      </c>
      <c r="O284" s="219"/>
      <c r="P284" s="219"/>
      <c r="Q284" s="218">
        <v>1</v>
      </c>
      <c r="R284" s="219" t="s">
        <v>1019</v>
      </c>
      <c r="S284" s="220"/>
      <c r="T284" s="220">
        <v>46198</v>
      </c>
      <c r="U284" s="220">
        <v>46210</v>
      </c>
      <c r="V284" s="219" t="s">
        <v>830</v>
      </c>
      <c r="W284" s="223">
        <v>26.96</v>
      </c>
      <c r="X284" s="223">
        <f>Table2[[#This Row],[QUANTIDADE]]*Table2[[#This Row],[PREÇO UNITARIO]]</f>
        <v>26.96</v>
      </c>
      <c r="Y284" s="219"/>
      <c r="Z284" s="219">
        <f t="shared" si="8"/>
        <v>4</v>
      </c>
      <c r="AA284" s="219" t="s">
        <v>42</v>
      </c>
      <c r="AB284" s="220">
        <f t="shared" ca="1" si="9"/>
        <v>46235</v>
      </c>
      <c r="AC284" s="219">
        <f ca="1">_xlfn.DAYS(Table2[[#This Row],[HOJE]],Table2[[#This Row],[DATA PEDIDO HP]])</f>
        <v>121</v>
      </c>
      <c r="AD284" s="219" t="str">
        <f ca="1">IF(Table2[[#This Row],[STATUS2]]="ENTREGUE","ENTREGUE","")</f>
        <v/>
      </c>
      <c r="AE284" s="219" t="str">
        <f ca="1">IF(Table2[[#This Row],[HOLD]]&gt;30,"ATRASADO","NO PRAZO")</f>
        <v>ATRASADO</v>
      </c>
    </row>
    <row r="285" spans="1:31" ht="14.45">
      <c r="A285" s="219" t="s">
        <v>1020</v>
      </c>
      <c r="B285" s="217">
        <v>46114</v>
      </c>
      <c r="C285" s="217">
        <v>46114</v>
      </c>
      <c r="D285" s="218" t="s">
        <v>1021</v>
      </c>
      <c r="E285" s="218" t="s">
        <v>327</v>
      </c>
      <c r="F285" s="218" t="s">
        <v>328</v>
      </c>
      <c r="G285" s="218">
        <v>50000260</v>
      </c>
      <c r="H285" s="218" t="s">
        <v>1022</v>
      </c>
      <c r="I285" s="218" t="s">
        <v>490</v>
      </c>
      <c r="J285" s="218">
        <v>1</v>
      </c>
      <c r="K285" s="218" t="s">
        <v>37</v>
      </c>
      <c r="L285" s="218" t="s">
        <v>72</v>
      </c>
      <c r="M285" s="218" t="s">
        <v>73</v>
      </c>
      <c r="N285" s="218">
        <v>171512</v>
      </c>
      <c r="O285" s="219"/>
      <c r="P285" s="219"/>
      <c r="Q285" s="218">
        <v>1</v>
      </c>
      <c r="R285" s="219"/>
      <c r="S285" s="220"/>
      <c r="T285" s="220">
        <v>46133</v>
      </c>
      <c r="U285" s="220">
        <v>46168</v>
      </c>
      <c r="V285" s="219" t="s">
        <v>554</v>
      </c>
      <c r="W285" s="223">
        <v>24.5</v>
      </c>
      <c r="X285" s="223">
        <f>Table2[[#This Row],[QUANTIDADE]]*Table2[[#This Row],[PREÇO UNITARIO]]</f>
        <v>24.5</v>
      </c>
      <c r="Y285" s="219"/>
      <c r="Z285" s="219">
        <f t="shared" si="8"/>
        <v>4</v>
      </c>
      <c r="AA285" s="219" t="s">
        <v>42</v>
      </c>
      <c r="AB285" s="220">
        <f t="shared" ca="1" si="9"/>
        <v>46235</v>
      </c>
      <c r="AC285" s="219">
        <f ca="1">_xlfn.DAYS(Table2[[#This Row],[HOJE]],Table2[[#This Row],[DATA PEDIDO HP]])</f>
        <v>121</v>
      </c>
      <c r="AD285" s="219" t="str">
        <f ca="1">IF(Table2[[#This Row],[STATUS2]]="ENTREGUE","ENTREGUE","")</f>
        <v/>
      </c>
      <c r="AE285" s="219" t="str">
        <f ca="1">IF(Table2[[#This Row],[HOLD]]&gt;30,"ATRASADO","NO PRAZO")</f>
        <v>ATRASADO</v>
      </c>
    </row>
    <row r="286" spans="1:31" ht="14.45">
      <c r="A286" s="219" t="s">
        <v>1023</v>
      </c>
      <c r="B286" s="217">
        <v>46114</v>
      </c>
      <c r="C286" s="217">
        <v>46114</v>
      </c>
      <c r="D286" s="218" t="s">
        <v>1024</v>
      </c>
      <c r="E286" s="218" t="s">
        <v>1025</v>
      </c>
      <c r="F286" s="218" t="s">
        <v>334</v>
      </c>
      <c r="G286" s="218">
        <v>50300129</v>
      </c>
      <c r="H286" s="218" t="s">
        <v>1026</v>
      </c>
      <c r="I286" s="218" t="s">
        <v>1027</v>
      </c>
      <c r="J286" s="218">
        <v>1</v>
      </c>
      <c r="K286" s="218" t="s">
        <v>37</v>
      </c>
      <c r="L286" s="218" t="s">
        <v>122</v>
      </c>
      <c r="M286" s="218" t="s">
        <v>73</v>
      </c>
      <c r="N286" s="218">
        <v>173096</v>
      </c>
      <c r="O286" s="219"/>
      <c r="P286" s="219"/>
      <c r="Q286" s="218">
        <v>0</v>
      </c>
      <c r="R286" s="219"/>
      <c r="S286" s="220">
        <v>46202</v>
      </c>
      <c r="T286" s="220">
        <v>46168</v>
      </c>
      <c r="U286" s="220">
        <v>46185</v>
      </c>
      <c r="V286" s="219" t="s">
        <v>41</v>
      </c>
      <c r="W286" s="223">
        <v>635.59</v>
      </c>
      <c r="X286" s="223">
        <f>Table2[[#This Row],[QUANTIDADE]]*Table2[[#This Row],[PREÇO UNITARIO]]</f>
        <v>635.59</v>
      </c>
      <c r="Y286" s="219"/>
      <c r="Z286" s="219">
        <f t="shared" si="8"/>
        <v>4</v>
      </c>
      <c r="AA286" s="219" t="s">
        <v>74</v>
      </c>
      <c r="AB286" s="220">
        <f t="shared" ca="1" si="9"/>
        <v>46235</v>
      </c>
      <c r="AC286" s="219">
        <f ca="1">_xlfn.DAYS(Table2[[#This Row],[HOJE]],Table2[[#This Row],[DATA PEDIDO HP]])</f>
        <v>121</v>
      </c>
      <c r="AD286" s="219" t="str">
        <f ca="1">IF(Table2[[#This Row],[STATUS2]]="ENTREGUE","ENTREGUE","")</f>
        <v/>
      </c>
      <c r="AE286" s="219" t="str">
        <f ca="1">IF(Table2[[#This Row],[HOLD]]&gt;30,"ATRASADO","NO PRAZO")</f>
        <v>ATRASADO</v>
      </c>
    </row>
    <row r="287" spans="1:31" ht="14.45">
      <c r="A287" s="219" t="s">
        <v>1028</v>
      </c>
      <c r="B287" s="217">
        <v>46114</v>
      </c>
      <c r="C287" s="217">
        <v>46114</v>
      </c>
      <c r="D287" s="218" t="s">
        <v>1029</v>
      </c>
      <c r="E287" s="218" t="s">
        <v>1030</v>
      </c>
      <c r="F287" s="218" t="s">
        <v>186</v>
      </c>
      <c r="G287" s="218">
        <v>44000010</v>
      </c>
      <c r="H287" s="218" t="s">
        <v>1031</v>
      </c>
      <c r="I287" s="218" t="s">
        <v>1032</v>
      </c>
      <c r="J287" s="218">
        <v>1</v>
      </c>
      <c r="K287" s="218" t="s">
        <v>37</v>
      </c>
      <c r="L287" s="218" t="s">
        <v>122</v>
      </c>
      <c r="M287" s="218" t="s">
        <v>39</v>
      </c>
      <c r="N287" s="218">
        <v>172965</v>
      </c>
      <c r="O287" s="219"/>
      <c r="P287" s="219"/>
      <c r="Q287" s="218">
        <v>1</v>
      </c>
      <c r="R287" s="219" t="s">
        <v>1033</v>
      </c>
      <c r="S287" s="220">
        <v>46202</v>
      </c>
      <c r="T287" s="220">
        <v>46168</v>
      </c>
      <c r="U287" s="220">
        <v>46185</v>
      </c>
      <c r="V287" s="219" t="s">
        <v>41</v>
      </c>
      <c r="W287" s="223">
        <v>101.9</v>
      </c>
      <c r="X287" s="223">
        <f>Table2[[#This Row],[QUANTIDADE]]*Table2[[#This Row],[PREÇO UNITARIO]]</f>
        <v>101.9</v>
      </c>
      <c r="Y287" s="219"/>
      <c r="Z287" s="219">
        <f t="shared" si="8"/>
        <v>4</v>
      </c>
      <c r="AA287" s="219" t="s">
        <v>74</v>
      </c>
      <c r="AB287" s="220">
        <f t="shared" ca="1" si="9"/>
        <v>46235</v>
      </c>
      <c r="AC287" s="219">
        <f ca="1">_xlfn.DAYS(Table2[[#This Row],[HOJE]],Table2[[#This Row],[DATA PEDIDO HP]])</f>
        <v>121</v>
      </c>
      <c r="AD287" s="219" t="str">
        <f>IF(Table2[[#This Row],[STATUS2]]="ENTREGUE","ENTREGUE","")</f>
        <v>ENTREGUE</v>
      </c>
      <c r="AE287" s="219" t="s">
        <v>43</v>
      </c>
    </row>
    <row r="288" spans="1:31" ht="14.45">
      <c r="A288" s="219" t="s">
        <v>1028</v>
      </c>
      <c r="B288" s="217">
        <v>46114</v>
      </c>
      <c r="C288" s="217">
        <v>46114</v>
      </c>
      <c r="D288" s="218" t="s">
        <v>1029</v>
      </c>
      <c r="E288" s="218" t="s">
        <v>1030</v>
      </c>
      <c r="F288" s="218" t="s">
        <v>186</v>
      </c>
      <c r="G288" s="218">
        <v>44000010</v>
      </c>
      <c r="H288" s="218" t="s">
        <v>1034</v>
      </c>
      <c r="I288" s="218" t="s">
        <v>1035</v>
      </c>
      <c r="J288" s="218">
        <v>1</v>
      </c>
      <c r="K288" s="218" t="s">
        <v>37</v>
      </c>
      <c r="L288" s="218" t="s">
        <v>122</v>
      </c>
      <c r="M288" s="218" t="s">
        <v>39</v>
      </c>
      <c r="N288" s="218">
        <v>172965</v>
      </c>
      <c r="O288" s="219"/>
      <c r="P288" s="219"/>
      <c r="Q288" s="218">
        <v>1</v>
      </c>
      <c r="R288" s="219" t="s">
        <v>1036</v>
      </c>
      <c r="S288" s="220">
        <v>46202</v>
      </c>
      <c r="T288" s="220">
        <v>46168</v>
      </c>
      <c r="U288" s="220">
        <v>46185</v>
      </c>
      <c r="V288" s="219" t="s">
        <v>41</v>
      </c>
      <c r="W288" s="223">
        <v>22.54</v>
      </c>
      <c r="X288" s="223">
        <f>Table2[[#This Row],[QUANTIDADE]]*Table2[[#This Row],[PREÇO UNITARIO]]</f>
        <v>22.54</v>
      </c>
      <c r="Y288" s="219"/>
      <c r="Z288" s="219">
        <f t="shared" si="8"/>
        <v>4</v>
      </c>
      <c r="AA288" s="219" t="s">
        <v>74</v>
      </c>
      <c r="AB288" s="220">
        <f t="shared" ca="1" si="9"/>
        <v>46235</v>
      </c>
      <c r="AC288" s="219">
        <f ca="1">_xlfn.DAYS(Table2[[#This Row],[HOJE]],Table2[[#This Row],[DATA PEDIDO HP]])</f>
        <v>121</v>
      </c>
      <c r="AD288" s="219" t="str">
        <f>IF(Table2[[#This Row],[STATUS2]]="ENTREGUE","ENTREGUE","")</f>
        <v>ENTREGUE</v>
      </c>
      <c r="AE288" s="219" t="s">
        <v>43</v>
      </c>
    </row>
    <row r="289" spans="1:31" ht="15" customHeight="1">
      <c r="A289" s="219" t="s">
        <v>1028</v>
      </c>
      <c r="B289" s="217">
        <v>46114</v>
      </c>
      <c r="C289" s="217">
        <v>46114</v>
      </c>
      <c r="D289" s="218" t="s">
        <v>1029</v>
      </c>
      <c r="E289" s="218" t="s">
        <v>1030</v>
      </c>
      <c r="F289" s="218" t="s">
        <v>186</v>
      </c>
      <c r="G289" s="218">
        <v>44000010</v>
      </c>
      <c r="H289" s="218" t="s">
        <v>1037</v>
      </c>
      <c r="I289" s="218" t="s">
        <v>1038</v>
      </c>
      <c r="J289" s="218">
        <v>1</v>
      </c>
      <c r="K289" s="218" t="s">
        <v>37</v>
      </c>
      <c r="L289" s="218" t="s">
        <v>122</v>
      </c>
      <c r="M289" s="218" t="s">
        <v>73</v>
      </c>
      <c r="N289" s="218">
        <v>172965</v>
      </c>
      <c r="O289" s="219"/>
      <c r="P289" s="219"/>
      <c r="Q289" s="218">
        <v>0</v>
      </c>
      <c r="R289" s="219"/>
      <c r="S289" s="220"/>
      <c r="T289" s="220">
        <v>46168</v>
      </c>
      <c r="U289" s="220">
        <v>46185</v>
      </c>
      <c r="V289" s="219" t="s">
        <v>41</v>
      </c>
      <c r="W289" s="223">
        <v>769.19</v>
      </c>
      <c r="X289" s="223">
        <f>Table2[[#This Row],[QUANTIDADE]]*Table2[[#This Row],[PREÇO UNITARIO]]</f>
        <v>769.19</v>
      </c>
      <c r="Y289" s="219"/>
      <c r="Z289" s="219">
        <f t="shared" si="8"/>
        <v>4</v>
      </c>
      <c r="AA289" s="219" t="s">
        <v>74</v>
      </c>
      <c r="AB289" s="220">
        <f t="shared" ca="1" si="9"/>
        <v>46235</v>
      </c>
      <c r="AC289" s="219">
        <f ca="1">_xlfn.DAYS(Table2[[#This Row],[HOJE]],Table2[[#This Row],[DATA PEDIDO HP]])</f>
        <v>121</v>
      </c>
      <c r="AD289" s="219" t="str">
        <f ca="1">IF(Table2[[#This Row],[STATUS2]]="ENTREGUE","ENTREGUE","")</f>
        <v/>
      </c>
      <c r="AE289" s="219" t="str">
        <f ca="1">IF(Table2[[#This Row],[HOLD]]&gt;30,"ATRASADO","NO PRAZO")</f>
        <v>ATRASADO</v>
      </c>
    </row>
    <row r="290" spans="1:31" ht="14.45">
      <c r="A290" s="219" t="s">
        <v>1039</v>
      </c>
      <c r="B290" s="217">
        <v>46114</v>
      </c>
      <c r="C290" s="217">
        <v>46114</v>
      </c>
      <c r="D290" s="218" t="s">
        <v>1040</v>
      </c>
      <c r="E290" s="218" t="s">
        <v>191</v>
      </c>
      <c r="F290" s="218" t="s">
        <v>95</v>
      </c>
      <c r="G290" s="218">
        <v>60001111</v>
      </c>
      <c r="H290" s="218" t="s">
        <v>116</v>
      </c>
      <c r="I290" s="218" t="s">
        <v>1041</v>
      </c>
      <c r="J290" s="218">
        <v>1</v>
      </c>
      <c r="K290" s="218" t="s">
        <v>37</v>
      </c>
      <c r="L290" s="218" t="s">
        <v>122</v>
      </c>
      <c r="M290" s="218" t="s">
        <v>81</v>
      </c>
      <c r="N290" s="218">
        <v>173195</v>
      </c>
      <c r="O290" s="219"/>
      <c r="P290" s="219"/>
      <c r="Q290" s="218">
        <v>1</v>
      </c>
      <c r="R290" s="219"/>
      <c r="S290" s="220">
        <v>46197</v>
      </c>
      <c r="T290" s="220">
        <v>46133</v>
      </c>
      <c r="U290" s="220">
        <v>46168</v>
      </c>
      <c r="V290" s="219" t="s">
        <v>554</v>
      </c>
      <c r="W290" s="223">
        <v>8.11</v>
      </c>
      <c r="X290" s="223">
        <f>Table2[[#This Row],[QUANTIDADE]]*Table2[[#This Row],[PREÇO UNITARIO]]</f>
        <v>8.11</v>
      </c>
      <c r="Y290" s="219" t="s">
        <v>42</v>
      </c>
      <c r="Z290" s="219">
        <f t="shared" si="8"/>
        <v>4</v>
      </c>
      <c r="AA290" s="219" t="s">
        <v>42</v>
      </c>
      <c r="AB290" s="220">
        <f t="shared" ca="1" si="9"/>
        <v>46235</v>
      </c>
      <c r="AC290" s="219">
        <f ca="1">_xlfn.DAYS(Table2[[#This Row],[HOJE]],Table2[[#This Row],[DATA PEDIDO HP]])</f>
        <v>121</v>
      </c>
      <c r="AD290" s="219" t="str">
        <f>IF(Table2[[#This Row],[STATUS2]]="ENTREGUE","ENTREGUE","")</f>
        <v>ENTREGUE</v>
      </c>
      <c r="AE290" s="219" t="s">
        <v>43</v>
      </c>
    </row>
    <row r="291" spans="1:31" ht="14.45">
      <c r="A291" s="219" t="s">
        <v>1039</v>
      </c>
      <c r="B291" s="217">
        <v>46114</v>
      </c>
      <c r="C291" s="217">
        <v>46114</v>
      </c>
      <c r="D291" s="218" t="s">
        <v>1040</v>
      </c>
      <c r="E291" s="218" t="s">
        <v>191</v>
      </c>
      <c r="F291" s="218" t="s">
        <v>95</v>
      </c>
      <c r="G291" s="218">
        <v>60001111</v>
      </c>
      <c r="H291" s="218" t="s">
        <v>197</v>
      </c>
      <c r="I291" s="218" t="s">
        <v>1042</v>
      </c>
      <c r="J291" s="218">
        <v>1</v>
      </c>
      <c r="K291" s="218" t="s">
        <v>37</v>
      </c>
      <c r="L291" s="218" t="s">
        <v>122</v>
      </c>
      <c r="M291" s="218" t="s">
        <v>81</v>
      </c>
      <c r="N291" s="218">
        <v>173195</v>
      </c>
      <c r="O291" s="219"/>
      <c r="P291" s="219"/>
      <c r="Q291" s="218">
        <v>1</v>
      </c>
      <c r="R291" s="219"/>
      <c r="S291" s="220">
        <v>46197</v>
      </c>
      <c r="T291" s="220">
        <v>46133</v>
      </c>
      <c r="U291" s="220">
        <v>46168</v>
      </c>
      <c r="V291" s="219" t="s">
        <v>554</v>
      </c>
      <c r="W291" s="223">
        <v>5.29</v>
      </c>
      <c r="X291" s="223">
        <f>Table2[[#This Row],[QUANTIDADE]]*Table2[[#This Row],[PREÇO UNITARIO]]</f>
        <v>5.29</v>
      </c>
      <c r="Y291" s="219" t="s">
        <v>42</v>
      </c>
      <c r="Z291" s="219">
        <f t="shared" si="8"/>
        <v>4</v>
      </c>
      <c r="AA291" s="219" t="s">
        <v>42</v>
      </c>
      <c r="AB291" s="220">
        <f t="shared" ca="1" si="9"/>
        <v>46235</v>
      </c>
      <c r="AC291" s="219">
        <f ca="1">_xlfn.DAYS(Table2[[#This Row],[HOJE]],Table2[[#This Row],[DATA PEDIDO HP]])</f>
        <v>121</v>
      </c>
      <c r="AD291" s="219" t="str">
        <f>IF(Table2[[#This Row],[STATUS2]]="ENTREGUE","ENTREGUE","")</f>
        <v>ENTREGUE</v>
      </c>
      <c r="AE291" s="219" t="s">
        <v>43</v>
      </c>
    </row>
    <row r="292" spans="1:31" ht="14.45">
      <c r="A292" s="219" t="s">
        <v>1043</v>
      </c>
      <c r="B292" s="217">
        <v>46114</v>
      </c>
      <c r="C292" s="217">
        <v>46114</v>
      </c>
      <c r="D292" s="218" t="s">
        <v>1044</v>
      </c>
      <c r="E292" s="218" t="s">
        <v>33</v>
      </c>
      <c r="F292" s="218" t="s">
        <v>34</v>
      </c>
      <c r="G292" s="218">
        <v>50110372</v>
      </c>
      <c r="H292" s="218" t="s">
        <v>1045</v>
      </c>
      <c r="I292" s="218" t="s">
        <v>1046</v>
      </c>
      <c r="J292" s="218">
        <v>1</v>
      </c>
      <c r="K292" s="218" t="s">
        <v>37</v>
      </c>
      <c r="L292" s="218" t="s">
        <v>122</v>
      </c>
      <c r="M292" s="218" t="s">
        <v>39</v>
      </c>
      <c r="N292" s="218">
        <v>173261</v>
      </c>
      <c r="O292" s="219"/>
      <c r="P292" s="219"/>
      <c r="Q292" s="218">
        <v>1</v>
      </c>
      <c r="R292" s="219" t="s">
        <v>813</v>
      </c>
      <c r="S292" s="220">
        <v>46197</v>
      </c>
      <c r="T292" s="220">
        <v>46168</v>
      </c>
      <c r="U292" s="220">
        <v>46185</v>
      </c>
      <c r="V292" s="219" t="s">
        <v>41</v>
      </c>
      <c r="W292" s="223">
        <v>37.229999999999997</v>
      </c>
      <c r="X292" s="223">
        <f>Table2[[#This Row],[QUANTIDADE]]*Table2[[#This Row],[PREÇO UNITARIO]]</f>
        <v>37.229999999999997</v>
      </c>
      <c r="Y292" s="219"/>
      <c r="Z292" s="219">
        <f t="shared" si="8"/>
        <v>4</v>
      </c>
      <c r="AA292" s="219" t="s">
        <v>42</v>
      </c>
      <c r="AB292" s="220">
        <f t="shared" ca="1" si="9"/>
        <v>46235</v>
      </c>
      <c r="AC292" s="219">
        <f ca="1">_xlfn.DAYS(Table2[[#This Row],[HOJE]],Table2[[#This Row],[DATA PEDIDO HP]])</f>
        <v>121</v>
      </c>
      <c r="AD292" s="219" t="str">
        <f>IF(Table2[[#This Row],[STATUS2]]="ENTREGUE","ENTREGUE","")</f>
        <v>ENTREGUE</v>
      </c>
      <c r="AE292" s="219" t="s">
        <v>43</v>
      </c>
    </row>
    <row r="293" spans="1:31" ht="14.45">
      <c r="A293" s="219" t="s">
        <v>1047</v>
      </c>
      <c r="B293" s="217">
        <v>46114</v>
      </c>
      <c r="C293" s="217">
        <v>46114</v>
      </c>
      <c r="D293" s="218" t="s">
        <v>1048</v>
      </c>
      <c r="E293" s="218" t="s">
        <v>33</v>
      </c>
      <c r="F293" s="218" t="s">
        <v>34</v>
      </c>
      <c r="G293" s="218">
        <v>50110372</v>
      </c>
      <c r="H293" s="218" t="s">
        <v>1049</v>
      </c>
      <c r="I293" s="218" t="s">
        <v>1050</v>
      </c>
      <c r="J293" s="218">
        <v>1</v>
      </c>
      <c r="K293" s="218" t="s">
        <v>269</v>
      </c>
      <c r="L293" s="218" t="s">
        <v>98</v>
      </c>
      <c r="M293" s="218" t="s">
        <v>39</v>
      </c>
      <c r="N293" s="218">
        <v>170192</v>
      </c>
      <c r="O293" s="219"/>
      <c r="P293" s="219"/>
      <c r="Q293" s="218">
        <v>0</v>
      </c>
      <c r="R293" s="219"/>
      <c r="S293" s="220">
        <v>46197</v>
      </c>
      <c r="T293" s="220">
        <v>46168</v>
      </c>
      <c r="U293" s="220">
        <v>46185</v>
      </c>
      <c r="V293" s="219" t="s">
        <v>41</v>
      </c>
      <c r="W293" s="223">
        <v>571.58000000000004</v>
      </c>
      <c r="X293" s="223">
        <f>Table2[[#This Row],[QUANTIDADE]]*Table2[[#This Row],[PREÇO UNITARIO]]</f>
        <v>571.58000000000004</v>
      </c>
      <c r="Y293" s="219"/>
      <c r="Z293" s="219">
        <f t="shared" si="8"/>
        <v>4</v>
      </c>
      <c r="AA293" s="219" t="s">
        <v>42</v>
      </c>
      <c r="AB293" s="220">
        <f t="shared" ca="1" si="9"/>
        <v>46235</v>
      </c>
      <c r="AC293" s="219">
        <f ca="1">_xlfn.DAYS(Table2[[#This Row],[HOJE]],Table2[[#This Row],[DATA PEDIDO HP]])</f>
        <v>121</v>
      </c>
      <c r="AD293" s="219" t="str">
        <f>IF(Table2[[#This Row],[STATUS2]]="ENTREGUE","ENTREGUE","")</f>
        <v>ENTREGUE</v>
      </c>
      <c r="AE293" s="219" t="s">
        <v>43</v>
      </c>
    </row>
    <row r="294" spans="1:31" ht="14.45">
      <c r="A294" s="219" t="s">
        <v>1047</v>
      </c>
      <c r="B294" s="217">
        <v>46114</v>
      </c>
      <c r="C294" s="217">
        <v>46114</v>
      </c>
      <c r="D294" s="218" t="s">
        <v>1048</v>
      </c>
      <c r="E294" s="218" t="s">
        <v>33</v>
      </c>
      <c r="F294" s="218" t="s">
        <v>34</v>
      </c>
      <c r="G294" s="218">
        <v>50110372</v>
      </c>
      <c r="H294" s="218" t="s">
        <v>1051</v>
      </c>
      <c r="I294" s="218" t="s">
        <v>1052</v>
      </c>
      <c r="J294" s="218">
        <v>1</v>
      </c>
      <c r="K294" s="218" t="s">
        <v>269</v>
      </c>
      <c r="L294" s="218" t="s">
        <v>98</v>
      </c>
      <c r="M294" s="218" t="s">
        <v>39</v>
      </c>
      <c r="N294" s="218">
        <v>170192</v>
      </c>
      <c r="O294" s="219"/>
      <c r="P294" s="219"/>
      <c r="Q294" s="218">
        <v>0</v>
      </c>
      <c r="R294" s="219"/>
      <c r="S294" s="220">
        <v>46197</v>
      </c>
      <c r="T294" s="220">
        <v>46168</v>
      </c>
      <c r="U294" s="220">
        <v>46185</v>
      </c>
      <c r="V294" s="219" t="s">
        <v>41</v>
      </c>
      <c r="W294" s="223">
        <v>511.16</v>
      </c>
      <c r="X294" s="223">
        <f>Table2[[#This Row],[QUANTIDADE]]*Table2[[#This Row],[PREÇO UNITARIO]]</f>
        <v>511.16</v>
      </c>
      <c r="Y294" s="219"/>
      <c r="Z294" s="219">
        <f t="shared" si="8"/>
        <v>4</v>
      </c>
      <c r="AA294" s="219" t="s">
        <v>42</v>
      </c>
      <c r="AB294" s="220">
        <f t="shared" ca="1" si="9"/>
        <v>46235</v>
      </c>
      <c r="AC294" s="219">
        <f ca="1">_xlfn.DAYS(Table2[[#This Row],[HOJE]],Table2[[#This Row],[DATA PEDIDO HP]])</f>
        <v>121</v>
      </c>
      <c r="AD294" s="219" t="str">
        <f>IF(Table2[[#This Row],[STATUS2]]="ENTREGUE","ENTREGUE","")</f>
        <v>ENTREGUE</v>
      </c>
      <c r="AE294" s="219" t="s">
        <v>43</v>
      </c>
    </row>
    <row r="295" spans="1:31" ht="14.45">
      <c r="A295" s="219" t="s">
        <v>1053</v>
      </c>
      <c r="B295" s="217">
        <v>46118</v>
      </c>
      <c r="C295" s="217">
        <v>46118</v>
      </c>
      <c r="D295" s="218" t="s">
        <v>1054</v>
      </c>
      <c r="E295" s="218" t="s">
        <v>94</v>
      </c>
      <c r="F295" s="218" t="s">
        <v>95</v>
      </c>
      <c r="G295" s="218">
        <v>60002072</v>
      </c>
      <c r="H295" s="218" t="s">
        <v>1055</v>
      </c>
      <c r="I295" s="218" t="s">
        <v>1056</v>
      </c>
      <c r="J295" s="218">
        <v>1</v>
      </c>
      <c r="K295" s="218" t="s">
        <v>37</v>
      </c>
      <c r="L295" s="218" t="s">
        <v>122</v>
      </c>
      <c r="M295" s="218" t="s">
        <v>73</v>
      </c>
      <c r="N295" s="218">
        <v>173492</v>
      </c>
      <c r="O295" s="219"/>
      <c r="P295" s="219"/>
      <c r="Q295" s="218">
        <v>1</v>
      </c>
      <c r="R295" s="219"/>
      <c r="S295" s="220"/>
      <c r="T295" s="220">
        <v>46168</v>
      </c>
      <c r="U295" s="220">
        <v>46185</v>
      </c>
      <c r="V295" s="219" t="s">
        <v>41</v>
      </c>
      <c r="W295" s="223">
        <v>44.09</v>
      </c>
      <c r="X295" s="223">
        <f>Table2[[#This Row],[QUANTIDADE]]*Table2[[#This Row],[PREÇO UNITARIO]]</f>
        <v>44.09</v>
      </c>
      <c r="Y295" s="219"/>
      <c r="Z295" s="219">
        <f t="shared" si="8"/>
        <v>4</v>
      </c>
      <c r="AA295" s="219" t="s">
        <v>74</v>
      </c>
      <c r="AB295" s="220">
        <f t="shared" ca="1" si="9"/>
        <v>46235</v>
      </c>
      <c r="AC295" s="219">
        <f ca="1">_xlfn.DAYS(Table2[[#This Row],[HOJE]],Table2[[#This Row],[DATA PEDIDO HP]])</f>
        <v>117</v>
      </c>
      <c r="AD295" s="219" t="str">
        <f ca="1">IF(Table2[[#This Row],[STATUS2]]="ENTREGUE","ENTREGUE","")</f>
        <v/>
      </c>
      <c r="AE295" s="219" t="str">
        <f ca="1">IF(Table2[[#This Row],[HOLD]]&gt;30,"ATRASADO","NO PRAZO")</f>
        <v>ATRASADO</v>
      </c>
    </row>
    <row r="296" spans="1:31" ht="14.45">
      <c r="A296" s="219" t="s">
        <v>1057</v>
      </c>
      <c r="B296" s="217">
        <v>46119</v>
      </c>
      <c r="C296" s="217">
        <v>46119</v>
      </c>
      <c r="D296" s="218" t="s">
        <v>1058</v>
      </c>
      <c r="E296" s="218" t="s">
        <v>33</v>
      </c>
      <c r="F296" s="218" t="s">
        <v>95</v>
      </c>
      <c r="G296" s="218">
        <v>60002095</v>
      </c>
      <c r="H296" s="218" t="s">
        <v>79</v>
      </c>
      <c r="I296" s="218" t="s">
        <v>1059</v>
      </c>
      <c r="J296" s="218">
        <v>1</v>
      </c>
      <c r="K296" s="218" t="s">
        <v>37</v>
      </c>
      <c r="L296" s="218" t="s">
        <v>72</v>
      </c>
      <c r="M296" s="218" t="s">
        <v>73</v>
      </c>
      <c r="N296" s="218">
        <v>173855</v>
      </c>
      <c r="O296" s="219"/>
      <c r="P296" s="219"/>
      <c r="Q296" s="218">
        <v>1</v>
      </c>
      <c r="R296" s="219"/>
      <c r="S296" s="220"/>
      <c r="T296" s="220">
        <v>46168</v>
      </c>
      <c r="U296" s="220">
        <v>46185</v>
      </c>
      <c r="V296" s="219" t="s">
        <v>41</v>
      </c>
      <c r="W296" s="223">
        <v>42.46</v>
      </c>
      <c r="X296" s="223">
        <f>Table2[[#This Row],[QUANTIDADE]]*Table2[[#This Row],[PREÇO UNITARIO]]</f>
        <v>42.46</v>
      </c>
      <c r="Y296" s="219"/>
      <c r="Z296" s="219">
        <f t="shared" si="8"/>
        <v>4</v>
      </c>
      <c r="AA296" s="219" t="s">
        <v>42</v>
      </c>
      <c r="AB296" s="220">
        <f t="shared" ca="1" si="9"/>
        <v>46235</v>
      </c>
      <c r="AC296" s="219">
        <f ca="1">_xlfn.DAYS(Table2[[#This Row],[HOJE]],Table2[[#This Row],[DATA PEDIDO HP]])</f>
        <v>116</v>
      </c>
      <c r="AD296" s="219" t="str">
        <f ca="1">IF(Table2[[#This Row],[STATUS2]]="ENTREGUE","ENTREGUE","")</f>
        <v/>
      </c>
      <c r="AE296" s="219" t="str">
        <f ca="1">IF(Table2[[#This Row],[HOLD]]&gt;30,"ATRASADO","NO PRAZO")</f>
        <v>ATRASADO</v>
      </c>
    </row>
    <row r="297" spans="1:31" ht="14.45">
      <c r="A297" s="219" t="s">
        <v>1057</v>
      </c>
      <c r="B297" s="217">
        <v>46119</v>
      </c>
      <c r="C297" s="217">
        <v>46119</v>
      </c>
      <c r="D297" s="218" t="s">
        <v>1058</v>
      </c>
      <c r="E297" s="218" t="s">
        <v>33</v>
      </c>
      <c r="F297" s="218" t="s">
        <v>95</v>
      </c>
      <c r="G297" s="218">
        <v>60002095</v>
      </c>
      <c r="H297" s="218" t="s">
        <v>82</v>
      </c>
      <c r="I297" s="218" t="s">
        <v>83</v>
      </c>
      <c r="J297" s="218">
        <v>1</v>
      </c>
      <c r="K297" s="218" t="s">
        <v>37</v>
      </c>
      <c r="L297" s="218" t="s">
        <v>72</v>
      </c>
      <c r="M297" s="218" t="s">
        <v>73</v>
      </c>
      <c r="N297" s="218">
        <v>173855</v>
      </c>
      <c r="O297" s="219"/>
      <c r="P297" s="219"/>
      <c r="Q297" s="218">
        <v>1</v>
      </c>
      <c r="R297" s="219"/>
      <c r="S297" s="220"/>
      <c r="T297" s="220">
        <v>46168</v>
      </c>
      <c r="U297" s="220">
        <v>46185</v>
      </c>
      <c r="V297" s="219" t="s">
        <v>41</v>
      </c>
      <c r="W297" s="223">
        <v>19.600000000000001</v>
      </c>
      <c r="X297" s="223">
        <f>Table2[[#This Row],[QUANTIDADE]]*Table2[[#This Row],[PREÇO UNITARIO]]</f>
        <v>19.600000000000001</v>
      </c>
      <c r="Y297" s="219"/>
      <c r="Z297" s="219">
        <f t="shared" si="8"/>
        <v>4</v>
      </c>
      <c r="AA297" s="219" t="s">
        <v>42</v>
      </c>
      <c r="AB297" s="220">
        <f t="shared" ca="1" si="9"/>
        <v>46235</v>
      </c>
      <c r="AC297" s="219">
        <f ca="1">_xlfn.DAYS(Table2[[#This Row],[HOJE]],Table2[[#This Row],[DATA PEDIDO HP]])</f>
        <v>116</v>
      </c>
      <c r="AD297" s="219" t="str">
        <f ca="1">IF(Table2[[#This Row],[STATUS2]]="ENTREGUE","ENTREGUE","")</f>
        <v/>
      </c>
      <c r="AE297" s="219" t="str">
        <f ca="1">IF(Table2[[#This Row],[HOLD]]&gt;30,"ATRASADO","NO PRAZO")</f>
        <v>ATRASADO</v>
      </c>
    </row>
    <row r="298" spans="1:31" ht="14.45">
      <c r="A298" s="219" t="s">
        <v>1060</v>
      </c>
      <c r="B298" s="217">
        <v>46120</v>
      </c>
      <c r="C298" s="217">
        <v>46120</v>
      </c>
      <c r="D298" s="218" t="s">
        <v>1061</v>
      </c>
      <c r="E298" s="218" t="s">
        <v>101</v>
      </c>
      <c r="F298" s="218" t="s">
        <v>102</v>
      </c>
      <c r="G298" s="218">
        <v>51000323</v>
      </c>
      <c r="H298" s="218" t="s">
        <v>1062</v>
      </c>
      <c r="I298" s="218" t="s">
        <v>1063</v>
      </c>
      <c r="J298" s="218">
        <v>2</v>
      </c>
      <c r="K298" s="218" t="s">
        <v>37</v>
      </c>
      <c r="L298" s="218" t="s">
        <v>72</v>
      </c>
      <c r="M298" s="218" t="s">
        <v>39</v>
      </c>
      <c r="N298" s="218">
        <v>173525</v>
      </c>
      <c r="O298" s="219"/>
      <c r="P298" s="219"/>
      <c r="Q298" s="231">
        <v>2</v>
      </c>
      <c r="R298" s="219"/>
      <c r="S298" s="220">
        <v>46202</v>
      </c>
      <c r="T298" s="220">
        <v>46168</v>
      </c>
      <c r="U298" s="220">
        <v>46185</v>
      </c>
      <c r="V298" s="219" t="s">
        <v>41</v>
      </c>
      <c r="W298" s="223">
        <v>112.22</v>
      </c>
      <c r="X298" s="223">
        <f>Table2[[#This Row],[QUANTIDADE]]*Table2[[#This Row],[PREÇO UNITARIO]]</f>
        <v>224.44</v>
      </c>
      <c r="Y298" s="219"/>
      <c r="Z298" s="219">
        <f t="shared" si="8"/>
        <v>4</v>
      </c>
      <c r="AA298" s="219" t="s">
        <v>42</v>
      </c>
      <c r="AB298" s="220">
        <f t="shared" ca="1" si="9"/>
        <v>46235</v>
      </c>
      <c r="AC298" s="219">
        <f ca="1">_xlfn.DAYS(Table2[[#This Row],[HOJE]],Table2[[#This Row],[DATA PEDIDO HP]])</f>
        <v>115</v>
      </c>
      <c r="AD298" s="219" t="str">
        <f>IF(Table2[[#This Row],[STATUS2]]="ENTREGUE","ENTREGUE","")</f>
        <v>ENTREGUE</v>
      </c>
      <c r="AE298" s="219" t="s">
        <v>43</v>
      </c>
    </row>
    <row r="299" spans="1:31" ht="14.45">
      <c r="A299" s="219" t="s">
        <v>1060</v>
      </c>
      <c r="B299" s="217">
        <v>46120</v>
      </c>
      <c r="C299" s="217">
        <v>46120</v>
      </c>
      <c r="D299" s="218" t="s">
        <v>1061</v>
      </c>
      <c r="E299" s="218" t="s">
        <v>101</v>
      </c>
      <c r="F299" s="218" t="s">
        <v>102</v>
      </c>
      <c r="G299" s="218">
        <v>51000323</v>
      </c>
      <c r="H299" s="218" t="s">
        <v>1064</v>
      </c>
      <c r="I299" s="218" t="s">
        <v>1065</v>
      </c>
      <c r="J299" s="218">
        <v>1</v>
      </c>
      <c r="K299" s="218" t="s">
        <v>37</v>
      </c>
      <c r="L299" s="218" t="s">
        <v>72</v>
      </c>
      <c r="M299" s="218" t="s">
        <v>73</v>
      </c>
      <c r="N299" s="218">
        <v>173525</v>
      </c>
      <c r="O299" s="219"/>
      <c r="P299" s="219"/>
      <c r="Q299" s="218">
        <v>1</v>
      </c>
      <c r="R299" s="219"/>
      <c r="S299" s="220"/>
      <c r="T299" s="220">
        <v>46168</v>
      </c>
      <c r="U299" s="220">
        <v>46185</v>
      </c>
      <c r="V299" s="219" t="s">
        <v>41</v>
      </c>
      <c r="W299" s="223">
        <v>3.84</v>
      </c>
      <c r="X299" s="223">
        <f>Table2[[#This Row],[QUANTIDADE]]*Table2[[#This Row],[PREÇO UNITARIO]]</f>
        <v>3.84</v>
      </c>
      <c r="Y299" s="219"/>
      <c r="Z299" s="219">
        <f t="shared" si="8"/>
        <v>4</v>
      </c>
      <c r="AA299" s="219" t="s">
        <v>42</v>
      </c>
      <c r="AB299" s="220">
        <f t="shared" ca="1" si="9"/>
        <v>46235</v>
      </c>
      <c r="AC299" s="219">
        <f ca="1">_xlfn.DAYS(Table2[[#This Row],[HOJE]],Table2[[#This Row],[DATA PEDIDO HP]])</f>
        <v>115</v>
      </c>
      <c r="AD299" s="219" t="str">
        <f ca="1">IF(Table2[[#This Row],[STATUS2]]="ENTREGUE","ENTREGUE","")</f>
        <v/>
      </c>
      <c r="AE299" s="219" t="str">
        <f ca="1">IF(Table2[[#This Row],[HOLD]]&gt;30,"ATRASADO","NO PRAZO")</f>
        <v>ATRASADO</v>
      </c>
    </row>
    <row r="300" spans="1:31" ht="14.45">
      <c r="A300" s="219" t="s">
        <v>1066</v>
      </c>
      <c r="B300" s="217">
        <v>46120</v>
      </c>
      <c r="C300" s="217">
        <v>46120</v>
      </c>
      <c r="D300" s="218" t="s">
        <v>1067</v>
      </c>
      <c r="E300" s="218" t="s">
        <v>327</v>
      </c>
      <c r="F300" s="218" t="s">
        <v>328</v>
      </c>
      <c r="G300" s="218">
        <v>50000260</v>
      </c>
      <c r="H300" s="218" t="s">
        <v>1068</v>
      </c>
      <c r="I300" s="218" t="s">
        <v>1069</v>
      </c>
      <c r="J300" s="218">
        <v>1</v>
      </c>
      <c r="K300" s="218" t="s">
        <v>37</v>
      </c>
      <c r="L300" s="218" t="s">
        <v>72</v>
      </c>
      <c r="M300" s="218" t="s">
        <v>73</v>
      </c>
      <c r="N300" s="218">
        <v>174122</v>
      </c>
      <c r="O300" s="219"/>
      <c r="P300" s="219"/>
      <c r="Q300" s="218">
        <v>1</v>
      </c>
      <c r="R300" s="219"/>
      <c r="S300" s="220"/>
      <c r="T300" s="220">
        <v>46168</v>
      </c>
      <c r="U300" s="220">
        <v>46185</v>
      </c>
      <c r="V300" s="219" t="s">
        <v>41</v>
      </c>
      <c r="W300" s="223">
        <v>189.6</v>
      </c>
      <c r="X300" s="223">
        <f>Table2[[#This Row],[QUANTIDADE]]*Table2[[#This Row],[PREÇO UNITARIO]]</f>
        <v>189.6</v>
      </c>
      <c r="Y300" s="219"/>
      <c r="Z300" s="219">
        <f t="shared" si="8"/>
        <v>4</v>
      </c>
      <c r="AA300" s="219" t="s">
        <v>42</v>
      </c>
      <c r="AB300" s="220">
        <f t="shared" ca="1" si="9"/>
        <v>46235</v>
      </c>
      <c r="AC300" s="219">
        <f ca="1">_xlfn.DAYS(Table2[[#This Row],[HOJE]],Table2[[#This Row],[DATA PEDIDO HP]])</f>
        <v>115</v>
      </c>
      <c r="AD300" s="219" t="str">
        <f ca="1">IF(Table2[[#This Row],[STATUS2]]="ENTREGUE","ENTREGUE","")</f>
        <v/>
      </c>
      <c r="AE300" s="219" t="str">
        <f ca="1">IF(Table2[[#This Row],[HOLD]]&gt;30,"ATRASADO","NO PRAZO")</f>
        <v>ATRASADO</v>
      </c>
    </row>
    <row r="301" spans="1:31" ht="14.45">
      <c r="A301" s="219" t="s">
        <v>1066</v>
      </c>
      <c r="B301" s="217">
        <v>46120</v>
      </c>
      <c r="C301" s="217">
        <v>46120</v>
      </c>
      <c r="D301" s="218" t="s">
        <v>1067</v>
      </c>
      <c r="E301" s="218" t="s">
        <v>327</v>
      </c>
      <c r="F301" s="218" t="s">
        <v>328</v>
      </c>
      <c r="G301" s="218">
        <v>50000260</v>
      </c>
      <c r="H301" s="218" t="s">
        <v>167</v>
      </c>
      <c r="I301" s="218" t="s">
        <v>168</v>
      </c>
      <c r="J301" s="218">
        <v>1</v>
      </c>
      <c r="K301" s="218" t="s">
        <v>37</v>
      </c>
      <c r="L301" s="218" t="s">
        <v>72</v>
      </c>
      <c r="M301" s="218" t="s">
        <v>73</v>
      </c>
      <c r="N301" s="218">
        <v>174122</v>
      </c>
      <c r="O301" s="219"/>
      <c r="P301" s="219"/>
      <c r="Q301" s="218">
        <v>1</v>
      </c>
      <c r="R301" s="219"/>
      <c r="S301" s="220"/>
      <c r="T301" s="220">
        <v>46168</v>
      </c>
      <c r="U301" s="220">
        <v>46185</v>
      </c>
      <c r="V301" s="219" t="s">
        <v>41</v>
      </c>
      <c r="W301" s="223">
        <v>125.76</v>
      </c>
      <c r="X301" s="223">
        <f>Table2[[#This Row],[QUANTIDADE]]*Table2[[#This Row],[PREÇO UNITARIO]]</f>
        <v>125.76</v>
      </c>
      <c r="Y301" s="219"/>
      <c r="Z301" s="219">
        <f t="shared" si="8"/>
        <v>4</v>
      </c>
      <c r="AA301" s="219" t="s">
        <v>42</v>
      </c>
      <c r="AB301" s="220">
        <f t="shared" ca="1" si="9"/>
        <v>46235</v>
      </c>
      <c r="AC301" s="219">
        <f ca="1">_xlfn.DAYS(Table2[[#This Row],[HOJE]],Table2[[#This Row],[DATA PEDIDO HP]])</f>
        <v>115</v>
      </c>
      <c r="AD301" s="219" t="str">
        <f ca="1">IF(Table2[[#This Row],[STATUS2]]="ENTREGUE","ENTREGUE","")</f>
        <v/>
      </c>
      <c r="AE301" s="219" t="str">
        <f ca="1">IF(Table2[[#This Row],[HOLD]]&gt;30,"ATRASADO","NO PRAZO")</f>
        <v>ATRASADO</v>
      </c>
    </row>
    <row r="302" spans="1:31" ht="14.45">
      <c r="A302" s="219" t="s">
        <v>1070</v>
      </c>
      <c r="B302" s="217">
        <v>46121</v>
      </c>
      <c r="C302" s="217">
        <v>46121</v>
      </c>
      <c r="D302" s="218" t="s">
        <v>1071</v>
      </c>
      <c r="E302" s="218" t="s">
        <v>1072</v>
      </c>
      <c r="F302" s="218" t="s">
        <v>1073</v>
      </c>
      <c r="G302" s="218">
        <v>50110229</v>
      </c>
      <c r="H302" s="218" t="s">
        <v>1074</v>
      </c>
      <c r="I302" s="218" t="s">
        <v>1075</v>
      </c>
      <c r="J302" s="218">
        <v>1</v>
      </c>
      <c r="K302" s="218" t="s">
        <v>105</v>
      </c>
      <c r="L302" s="218" t="s">
        <v>106</v>
      </c>
      <c r="M302" s="218" t="s">
        <v>73</v>
      </c>
      <c r="N302" s="218"/>
      <c r="O302" s="219"/>
      <c r="P302" s="219"/>
      <c r="Q302" s="218">
        <v>1</v>
      </c>
      <c r="R302" s="219"/>
      <c r="S302" s="220"/>
      <c r="T302" s="220">
        <v>46168</v>
      </c>
      <c r="U302" s="220">
        <v>46185</v>
      </c>
      <c r="V302" s="219" t="s">
        <v>41</v>
      </c>
      <c r="W302" s="223">
        <v>1427.32</v>
      </c>
      <c r="X302" s="223">
        <f>Table2[[#This Row],[QUANTIDADE]]*Table2[[#This Row],[PREÇO UNITARIO]]</f>
        <v>1427.32</v>
      </c>
      <c r="Y302" s="219"/>
      <c r="Z302" s="219">
        <f t="shared" si="8"/>
        <v>4</v>
      </c>
      <c r="AA302" s="219" t="s">
        <v>42</v>
      </c>
      <c r="AB302" s="220">
        <f t="shared" ca="1" si="9"/>
        <v>46235</v>
      </c>
      <c r="AC302" s="219">
        <f ca="1">_xlfn.DAYS(Table2[[#This Row],[HOJE]],Table2[[#This Row],[DATA PEDIDO HP]])</f>
        <v>114</v>
      </c>
      <c r="AD302" s="219" t="str">
        <f ca="1">IF(Table2[[#This Row],[STATUS2]]="ENTREGUE","ENTREGUE","")</f>
        <v/>
      </c>
      <c r="AE302" s="219" t="str">
        <f ca="1">IF(Table2[[#This Row],[HOLD]]&gt;30,"ATRASADO","NO PRAZO")</f>
        <v>ATRASADO</v>
      </c>
    </row>
    <row r="303" spans="1:31" ht="14.45">
      <c r="A303" s="219" t="s">
        <v>1076</v>
      </c>
      <c r="B303" s="217">
        <v>46121</v>
      </c>
      <c r="C303" s="217">
        <v>46121</v>
      </c>
      <c r="D303" s="218" t="s">
        <v>1077</v>
      </c>
      <c r="E303" s="218" t="s">
        <v>125</v>
      </c>
      <c r="F303" s="218" t="s">
        <v>34</v>
      </c>
      <c r="G303" s="218">
        <v>50110193</v>
      </c>
      <c r="H303" s="218" t="s">
        <v>1078</v>
      </c>
      <c r="I303" s="218" t="s">
        <v>1079</v>
      </c>
      <c r="J303" s="218">
        <v>1</v>
      </c>
      <c r="K303" s="218" t="s">
        <v>37</v>
      </c>
      <c r="L303" s="218" t="s">
        <v>122</v>
      </c>
      <c r="M303" s="218" t="s">
        <v>81</v>
      </c>
      <c r="N303" s="218">
        <v>174548</v>
      </c>
      <c r="O303" s="219"/>
      <c r="P303" s="219"/>
      <c r="Q303" s="218">
        <v>1</v>
      </c>
      <c r="R303" s="271" t="s">
        <v>1080</v>
      </c>
      <c r="S303" s="220">
        <v>46202</v>
      </c>
      <c r="T303" s="220">
        <v>46168</v>
      </c>
      <c r="U303" s="220">
        <v>46185</v>
      </c>
      <c r="V303" s="219" t="s">
        <v>41</v>
      </c>
      <c r="W303" s="223">
        <v>381.36</v>
      </c>
      <c r="X303" s="223">
        <f>Table2[[#This Row],[QUANTIDADE]]*Table2[[#This Row],[PREÇO UNITARIO]]</f>
        <v>381.36</v>
      </c>
      <c r="Y303" s="219"/>
      <c r="Z303" s="219">
        <f t="shared" si="8"/>
        <v>4</v>
      </c>
      <c r="AA303" s="219" t="s">
        <v>42</v>
      </c>
      <c r="AB303" s="220">
        <f t="shared" ca="1" si="9"/>
        <v>46235</v>
      </c>
      <c r="AC303" s="219">
        <f ca="1">_xlfn.DAYS(Table2[[#This Row],[HOJE]],Table2[[#This Row],[DATA PEDIDO HP]])</f>
        <v>114</v>
      </c>
      <c r="AD303" s="219" t="str">
        <f>IF(Table2[[#This Row],[STATUS2]]="ENTREGUE","ENTREGUE","")</f>
        <v>ENTREGUE</v>
      </c>
      <c r="AE303" s="219" t="s">
        <v>43</v>
      </c>
    </row>
    <row r="304" spans="1:31" ht="14.45">
      <c r="A304" s="219" t="s">
        <v>1081</v>
      </c>
      <c r="B304" s="217">
        <v>46122</v>
      </c>
      <c r="C304" s="217">
        <v>46122</v>
      </c>
      <c r="D304" s="218" t="s">
        <v>1082</v>
      </c>
      <c r="E304" s="218" t="s">
        <v>101</v>
      </c>
      <c r="F304" s="218" t="s">
        <v>102</v>
      </c>
      <c r="G304" s="218">
        <v>51000136</v>
      </c>
      <c r="H304" s="218" t="s">
        <v>895</v>
      </c>
      <c r="I304" s="218" t="s">
        <v>1083</v>
      </c>
      <c r="J304" s="218">
        <v>1</v>
      </c>
      <c r="K304" s="218" t="s">
        <v>37</v>
      </c>
      <c r="L304" s="218" t="s">
        <v>72</v>
      </c>
      <c r="M304" s="218" t="s">
        <v>73</v>
      </c>
      <c r="N304" s="218">
        <v>174746</v>
      </c>
      <c r="O304" s="219"/>
      <c r="P304" s="219"/>
      <c r="Q304" s="218">
        <v>1</v>
      </c>
      <c r="R304" s="219"/>
      <c r="S304" s="220"/>
      <c r="T304" s="220">
        <v>46168</v>
      </c>
      <c r="U304" s="220">
        <v>46185</v>
      </c>
      <c r="V304" s="219" t="s">
        <v>41</v>
      </c>
      <c r="W304" s="223">
        <v>1308.1099999999999</v>
      </c>
      <c r="X304" s="223">
        <f>Table2[[#This Row],[QUANTIDADE]]*Table2[[#This Row],[PREÇO UNITARIO]]</f>
        <v>1308.1099999999999</v>
      </c>
      <c r="Y304" s="219"/>
      <c r="Z304" s="219">
        <f t="shared" si="8"/>
        <v>4</v>
      </c>
      <c r="AA304" s="219" t="s">
        <v>42</v>
      </c>
      <c r="AB304" s="220">
        <f t="shared" ca="1" si="9"/>
        <v>46235</v>
      </c>
      <c r="AC304" s="219">
        <f ca="1">_xlfn.DAYS(Table2[[#This Row],[HOJE]],Table2[[#This Row],[DATA PEDIDO HP]])</f>
        <v>113</v>
      </c>
      <c r="AD304" s="219" t="str">
        <f ca="1">IF(Table2[[#This Row],[STATUS2]]="ENTREGUE","ENTREGUE","")</f>
        <v/>
      </c>
      <c r="AE304" s="219" t="str">
        <f ca="1">IF(Table2[[#This Row],[HOLD]]&gt;30,"ATRASADO","NO PRAZO")</f>
        <v>ATRASADO</v>
      </c>
    </row>
    <row r="305" spans="1:31" ht="14.45">
      <c r="A305" s="219" t="s">
        <v>1084</v>
      </c>
      <c r="B305" s="217">
        <v>46122</v>
      </c>
      <c r="C305" s="217">
        <v>46122</v>
      </c>
      <c r="D305" s="218" t="s">
        <v>1085</v>
      </c>
      <c r="E305" s="218" t="s">
        <v>345</v>
      </c>
      <c r="F305" s="218" t="s">
        <v>34</v>
      </c>
      <c r="G305" s="218">
        <v>50110229</v>
      </c>
      <c r="H305" s="218" t="s">
        <v>523</v>
      </c>
      <c r="I305" s="218" t="s">
        <v>524</v>
      </c>
      <c r="J305" s="218">
        <v>1</v>
      </c>
      <c r="K305" s="218" t="s">
        <v>37</v>
      </c>
      <c r="L305" s="218" t="s">
        <v>72</v>
      </c>
      <c r="M305" s="218" t="s">
        <v>39</v>
      </c>
      <c r="N305" s="218">
        <v>174123</v>
      </c>
      <c r="O305" s="219"/>
      <c r="P305" s="219"/>
      <c r="Q305" s="228">
        <v>0</v>
      </c>
      <c r="R305" s="219" t="s">
        <v>110</v>
      </c>
      <c r="S305" s="220">
        <v>46202</v>
      </c>
      <c r="T305" s="220">
        <v>46168</v>
      </c>
      <c r="U305" s="220">
        <v>46185</v>
      </c>
      <c r="V305" s="219" t="s">
        <v>41</v>
      </c>
      <c r="W305" s="223">
        <v>898.22</v>
      </c>
      <c r="X305" s="223">
        <f>Table2[[#This Row],[QUANTIDADE]]*Table2[[#This Row],[PREÇO UNITARIO]]</f>
        <v>898.22</v>
      </c>
      <c r="Y305" s="219"/>
      <c r="Z305" s="219">
        <f t="shared" si="8"/>
        <v>4</v>
      </c>
      <c r="AA305" s="219" t="s">
        <v>42</v>
      </c>
      <c r="AB305" s="220">
        <f t="shared" ca="1" si="9"/>
        <v>46235</v>
      </c>
      <c r="AC305" s="219">
        <f ca="1">_xlfn.DAYS(Table2[[#This Row],[HOJE]],Table2[[#This Row],[DATA PEDIDO HP]])</f>
        <v>113</v>
      </c>
      <c r="AD305" s="219" t="str">
        <f>IF(Table2[[#This Row],[STATUS2]]="ENTREGUE","ENTREGUE","")</f>
        <v>ENTREGUE</v>
      </c>
      <c r="AE305" s="219" t="s">
        <v>43</v>
      </c>
    </row>
    <row r="306" spans="1:31" ht="14.45">
      <c r="A306" s="219" t="s">
        <v>1084</v>
      </c>
      <c r="B306" s="217">
        <v>46122</v>
      </c>
      <c r="C306" s="217">
        <v>46122</v>
      </c>
      <c r="D306" s="218" t="s">
        <v>1085</v>
      </c>
      <c r="E306" s="218" t="s">
        <v>345</v>
      </c>
      <c r="F306" s="218" t="s">
        <v>34</v>
      </c>
      <c r="G306" s="218">
        <v>50110229</v>
      </c>
      <c r="H306" s="218" t="s">
        <v>493</v>
      </c>
      <c r="I306" s="218" t="s">
        <v>850</v>
      </c>
      <c r="J306" s="218">
        <v>1</v>
      </c>
      <c r="K306" s="218" t="s">
        <v>37</v>
      </c>
      <c r="L306" s="218" t="s">
        <v>72</v>
      </c>
      <c r="M306" s="218" t="s">
        <v>39</v>
      </c>
      <c r="N306" s="218">
        <v>174123</v>
      </c>
      <c r="O306" s="219"/>
      <c r="P306" s="219"/>
      <c r="Q306" s="231">
        <v>0</v>
      </c>
      <c r="R306" s="219" t="s">
        <v>495</v>
      </c>
      <c r="S306" s="220">
        <v>46202</v>
      </c>
      <c r="T306" s="220">
        <v>46168</v>
      </c>
      <c r="U306" s="220">
        <v>46185</v>
      </c>
      <c r="V306" s="219" t="s">
        <v>41</v>
      </c>
      <c r="W306" s="223">
        <v>106.15</v>
      </c>
      <c r="X306" s="223">
        <f>Table2[[#This Row],[QUANTIDADE]]*Table2[[#This Row],[PREÇO UNITARIO]]</f>
        <v>106.15</v>
      </c>
      <c r="Y306" s="219"/>
      <c r="Z306" s="219">
        <f t="shared" si="8"/>
        <v>4</v>
      </c>
      <c r="AA306" s="219" t="s">
        <v>42</v>
      </c>
      <c r="AB306" s="220">
        <f t="shared" ca="1" si="9"/>
        <v>46235</v>
      </c>
      <c r="AC306" s="219">
        <f ca="1">_xlfn.DAYS(Table2[[#This Row],[HOJE]],Table2[[#This Row],[DATA PEDIDO HP]])</f>
        <v>113</v>
      </c>
      <c r="AD306" s="219" t="str">
        <f>IF(Table2[[#This Row],[STATUS2]]="ENTREGUE","ENTREGUE","")</f>
        <v>ENTREGUE</v>
      </c>
      <c r="AE306" s="219" t="s">
        <v>43</v>
      </c>
    </row>
    <row r="307" spans="1:31" ht="14.45">
      <c r="A307" s="219" t="s">
        <v>1084</v>
      </c>
      <c r="B307" s="217">
        <v>46122</v>
      </c>
      <c r="C307" s="217">
        <v>46122</v>
      </c>
      <c r="D307" s="218" t="s">
        <v>1085</v>
      </c>
      <c r="E307" s="218" t="s">
        <v>345</v>
      </c>
      <c r="F307" s="218" t="s">
        <v>34</v>
      </c>
      <c r="G307" s="218">
        <v>50110229</v>
      </c>
      <c r="H307" s="218" t="s">
        <v>629</v>
      </c>
      <c r="I307" s="218" t="s">
        <v>1086</v>
      </c>
      <c r="J307" s="218">
        <v>1</v>
      </c>
      <c r="K307" s="218" t="s">
        <v>37</v>
      </c>
      <c r="L307" s="218" t="s">
        <v>72</v>
      </c>
      <c r="M307" s="218" t="s">
        <v>73</v>
      </c>
      <c r="N307" s="218">
        <v>174123</v>
      </c>
      <c r="O307" s="219"/>
      <c r="P307" s="219"/>
      <c r="Q307" s="218">
        <v>1</v>
      </c>
      <c r="R307" s="219"/>
      <c r="S307" s="220"/>
      <c r="T307" s="220">
        <v>46168</v>
      </c>
      <c r="U307" s="220">
        <v>46185</v>
      </c>
      <c r="V307" s="219" t="s">
        <v>41</v>
      </c>
      <c r="W307" s="223">
        <v>19.600000000000001</v>
      </c>
      <c r="X307" s="223">
        <f>Table2[[#This Row],[QUANTIDADE]]*Table2[[#This Row],[PREÇO UNITARIO]]</f>
        <v>19.600000000000001</v>
      </c>
      <c r="Y307" s="219"/>
      <c r="Z307" s="219">
        <f t="shared" si="8"/>
        <v>4</v>
      </c>
      <c r="AA307" s="219" t="s">
        <v>42</v>
      </c>
      <c r="AB307" s="220">
        <f t="shared" ca="1" si="9"/>
        <v>46235</v>
      </c>
      <c r="AC307" s="219">
        <f ca="1">_xlfn.DAYS(Table2[[#This Row],[HOJE]],Table2[[#This Row],[DATA PEDIDO HP]])</f>
        <v>113</v>
      </c>
      <c r="AD307" s="219" t="str">
        <f ca="1">IF(Table2[[#This Row],[STATUS2]]="ENTREGUE","ENTREGUE","")</f>
        <v/>
      </c>
      <c r="AE307" s="219" t="str">
        <f ca="1">IF(Table2[[#This Row],[HOLD]]&gt;30,"ATRASADO","NO PRAZO")</f>
        <v>ATRASADO</v>
      </c>
    </row>
    <row r="308" spans="1:31" ht="14.45">
      <c r="A308" s="219" t="s">
        <v>1087</v>
      </c>
      <c r="B308" s="217">
        <v>46125</v>
      </c>
      <c r="C308" s="217">
        <v>46125</v>
      </c>
      <c r="D308" s="218" t="s">
        <v>1088</v>
      </c>
      <c r="E308" s="218" t="s">
        <v>88</v>
      </c>
      <c r="F308" s="218" t="s">
        <v>34</v>
      </c>
      <c r="G308" s="218">
        <v>50110057</v>
      </c>
      <c r="H308" s="218" t="s">
        <v>1089</v>
      </c>
      <c r="I308" s="218" t="s">
        <v>1090</v>
      </c>
      <c r="J308" s="218">
        <v>1</v>
      </c>
      <c r="K308" s="218" t="s">
        <v>37</v>
      </c>
      <c r="L308" s="218" t="s">
        <v>785</v>
      </c>
      <c r="M308" s="218" t="s">
        <v>39</v>
      </c>
      <c r="N308" s="218">
        <v>175076</v>
      </c>
      <c r="O308" s="219"/>
      <c r="P308" s="219"/>
      <c r="Q308" s="231">
        <v>0</v>
      </c>
      <c r="R308" s="219"/>
      <c r="S308" s="220">
        <v>46202</v>
      </c>
      <c r="T308" s="220">
        <v>46168</v>
      </c>
      <c r="U308" s="220">
        <v>46185</v>
      </c>
      <c r="V308" s="219" t="s">
        <v>41</v>
      </c>
      <c r="W308" s="223">
        <v>582.69000000000005</v>
      </c>
      <c r="X308" s="223">
        <f>Table2[[#This Row],[QUANTIDADE]]*Table2[[#This Row],[PREÇO UNITARIO]]</f>
        <v>582.69000000000005</v>
      </c>
      <c r="Y308" s="219"/>
      <c r="Z308" s="219">
        <f t="shared" si="8"/>
        <v>4</v>
      </c>
      <c r="AA308" s="219" t="s">
        <v>42</v>
      </c>
      <c r="AB308" s="220">
        <f t="shared" ca="1" si="9"/>
        <v>46235</v>
      </c>
      <c r="AC308" s="219">
        <f ca="1">_xlfn.DAYS(Table2[[#This Row],[HOJE]],Table2[[#This Row],[DATA PEDIDO HP]])</f>
        <v>110</v>
      </c>
      <c r="AD308" s="219" t="str">
        <f>IF(Table2[[#This Row],[STATUS2]]="ENTREGUE","ENTREGUE","")</f>
        <v>ENTREGUE</v>
      </c>
      <c r="AE308" s="219" t="s">
        <v>43</v>
      </c>
    </row>
    <row r="309" spans="1:31" ht="14.45">
      <c r="A309" s="219" t="s">
        <v>1087</v>
      </c>
      <c r="B309" s="217">
        <v>46125</v>
      </c>
      <c r="C309" s="217">
        <v>46125</v>
      </c>
      <c r="D309" s="218" t="s">
        <v>1088</v>
      </c>
      <c r="E309" s="218" t="s">
        <v>88</v>
      </c>
      <c r="F309" s="218" t="s">
        <v>34</v>
      </c>
      <c r="G309" s="218">
        <v>50110057</v>
      </c>
      <c r="H309" s="218" t="s">
        <v>1091</v>
      </c>
      <c r="I309" s="218" t="s">
        <v>1092</v>
      </c>
      <c r="J309" s="218">
        <v>1</v>
      </c>
      <c r="K309" s="218" t="s">
        <v>37</v>
      </c>
      <c r="L309" s="218" t="s">
        <v>785</v>
      </c>
      <c r="M309" s="218" t="s">
        <v>39</v>
      </c>
      <c r="N309" s="218">
        <v>175076</v>
      </c>
      <c r="O309" s="219"/>
      <c r="P309" s="219"/>
      <c r="Q309" s="231">
        <v>0</v>
      </c>
      <c r="R309" s="219"/>
      <c r="S309" s="220">
        <v>46202</v>
      </c>
      <c r="T309" s="220">
        <v>46168</v>
      </c>
      <c r="U309" s="220">
        <v>46185</v>
      </c>
      <c r="V309" s="219" t="s">
        <v>41</v>
      </c>
      <c r="W309" s="223">
        <v>279.47000000000003</v>
      </c>
      <c r="X309" s="223">
        <f>Table2[[#This Row],[QUANTIDADE]]*Table2[[#This Row],[PREÇO UNITARIO]]</f>
        <v>279.47000000000003</v>
      </c>
      <c r="Y309" s="219"/>
      <c r="Z309" s="219">
        <f t="shared" si="8"/>
        <v>4</v>
      </c>
      <c r="AA309" s="219" t="s">
        <v>42</v>
      </c>
      <c r="AB309" s="220">
        <f t="shared" ca="1" si="9"/>
        <v>46235</v>
      </c>
      <c r="AC309" s="219">
        <f ca="1">_xlfn.DAYS(Table2[[#This Row],[HOJE]],Table2[[#This Row],[DATA PEDIDO HP]])</f>
        <v>110</v>
      </c>
      <c r="AD309" s="219" t="str">
        <f>IF(Table2[[#This Row],[STATUS2]]="ENTREGUE","ENTREGUE","")</f>
        <v>ENTREGUE</v>
      </c>
      <c r="AE309" s="219" t="s">
        <v>43</v>
      </c>
    </row>
    <row r="310" spans="1:31" ht="14.45">
      <c r="A310" s="219" t="s">
        <v>1087</v>
      </c>
      <c r="B310" s="217">
        <v>46125</v>
      </c>
      <c r="C310" s="217">
        <v>46125</v>
      </c>
      <c r="D310" s="218" t="s">
        <v>1088</v>
      </c>
      <c r="E310" s="218" t="s">
        <v>88</v>
      </c>
      <c r="F310" s="218" t="s">
        <v>34</v>
      </c>
      <c r="G310" s="218">
        <v>50110057</v>
      </c>
      <c r="H310" s="218" t="s">
        <v>220</v>
      </c>
      <c r="I310" s="218" t="s">
        <v>1093</v>
      </c>
      <c r="J310" s="218">
        <v>1</v>
      </c>
      <c r="K310" s="218" t="s">
        <v>269</v>
      </c>
      <c r="L310" s="218" t="s">
        <v>785</v>
      </c>
      <c r="M310" s="218" t="s">
        <v>39</v>
      </c>
      <c r="N310" s="218">
        <v>175076</v>
      </c>
      <c r="O310" s="219"/>
      <c r="P310" s="219"/>
      <c r="Q310" s="219">
        <v>0</v>
      </c>
      <c r="R310" s="219"/>
      <c r="S310" s="220">
        <v>46202</v>
      </c>
      <c r="T310" s="220">
        <v>46168</v>
      </c>
      <c r="U310" s="220">
        <v>46185</v>
      </c>
      <c r="V310" s="219" t="s">
        <v>41</v>
      </c>
      <c r="W310" s="223">
        <v>274.36</v>
      </c>
      <c r="X310" s="223">
        <f>Table2[[#This Row],[QUANTIDADE]]*Table2[[#This Row],[PREÇO UNITARIO]]</f>
        <v>274.36</v>
      </c>
      <c r="Y310" s="219"/>
      <c r="Z310" s="219">
        <f t="shared" si="8"/>
        <v>4</v>
      </c>
      <c r="AA310" s="219" t="s">
        <v>42</v>
      </c>
      <c r="AB310" s="220">
        <f t="shared" ca="1" si="9"/>
        <v>46235</v>
      </c>
      <c r="AC310" s="219">
        <f ca="1">_xlfn.DAYS(Table2[[#This Row],[HOJE]],Table2[[#This Row],[DATA PEDIDO HP]])</f>
        <v>110</v>
      </c>
      <c r="AD310" s="219" t="str">
        <f>IF(Table2[[#This Row],[STATUS2]]="ENTREGUE","ENTREGUE","")</f>
        <v>ENTREGUE</v>
      </c>
      <c r="AE310" s="219" t="s">
        <v>43</v>
      </c>
    </row>
    <row r="311" spans="1:31" ht="14.45">
      <c r="A311" s="219" t="s">
        <v>1087</v>
      </c>
      <c r="B311" s="217">
        <v>46125</v>
      </c>
      <c r="C311" s="217">
        <v>46125</v>
      </c>
      <c r="D311" s="218" t="s">
        <v>1088</v>
      </c>
      <c r="E311" s="218" t="s">
        <v>88</v>
      </c>
      <c r="F311" s="218" t="s">
        <v>34</v>
      </c>
      <c r="G311" s="218">
        <v>50110057</v>
      </c>
      <c r="H311" s="218" t="s">
        <v>1094</v>
      </c>
      <c r="I311" s="218" t="s">
        <v>1095</v>
      </c>
      <c r="J311" s="218">
        <v>1</v>
      </c>
      <c r="K311" s="218" t="s">
        <v>269</v>
      </c>
      <c r="L311" s="218" t="s">
        <v>785</v>
      </c>
      <c r="M311" s="218" t="s">
        <v>39</v>
      </c>
      <c r="N311" s="218">
        <v>175076</v>
      </c>
      <c r="O311" s="219"/>
      <c r="P311" s="219"/>
      <c r="Q311" s="231">
        <v>1</v>
      </c>
      <c r="R311" s="219"/>
      <c r="S311" s="220">
        <v>46202</v>
      </c>
      <c r="T311" s="220">
        <v>46168</v>
      </c>
      <c r="U311" s="220">
        <v>46185</v>
      </c>
      <c r="V311" s="219" t="s">
        <v>41</v>
      </c>
      <c r="W311" s="223">
        <v>112</v>
      </c>
      <c r="X311" s="223">
        <f>Table2[[#This Row],[QUANTIDADE]]*Table2[[#This Row],[PREÇO UNITARIO]]</f>
        <v>112</v>
      </c>
      <c r="Y311" s="219"/>
      <c r="Z311" s="219">
        <f t="shared" si="8"/>
        <v>4</v>
      </c>
      <c r="AA311" s="219" t="s">
        <v>42</v>
      </c>
      <c r="AB311" s="220">
        <f t="shared" ca="1" si="9"/>
        <v>46235</v>
      </c>
      <c r="AC311" s="219">
        <f ca="1">_xlfn.DAYS(Table2[[#This Row],[HOJE]],Table2[[#This Row],[DATA PEDIDO HP]])</f>
        <v>110</v>
      </c>
      <c r="AD311" s="219" t="str">
        <f>IF(Table2[[#This Row],[STATUS2]]="ENTREGUE","ENTREGUE","")</f>
        <v>ENTREGUE</v>
      </c>
      <c r="AE311" s="219" t="s">
        <v>43</v>
      </c>
    </row>
    <row r="312" spans="1:31" ht="14.45">
      <c r="A312" s="219" t="s">
        <v>1087</v>
      </c>
      <c r="B312" s="217">
        <v>46125</v>
      </c>
      <c r="C312" s="217">
        <v>46125</v>
      </c>
      <c r="D312" s="218" t="s">
        <v>1088</v>
      </c>
      <c r="E312" s="218" t="s">
        <v>88</v>
      </c>
      <c r="F312" s="218" t="s">
        <v>34</v>
      </c>
      <c r="G312" s="218">
        <v>50110057</v>
      </c>
      <c r="H312" s="218" t="s">
        <v>79</v>
      </c>
      <c r="I312" s="218" t="s">
        <v>1096</v>
      </c>
      <c r="J312" s="218">
        <v>1</v>
      </c>
      <c r="K312" s="218" t="s">
        <v>269</v>
      </c>
      <c r="L312" s="218" t="s">
        <v>785</v>
      </c>
      <c r="M312" s="218" t="s">
        <v>39</v>
      </c>
      <c r="N312" s="218">
        <v>175076</v>
      </c>
      <c r="O312" s="219"/>
      <c r="P312" s="219"/>
      <c r="Q312" s="219">
        <v>1</v>
      </c>
      <c r="R312" s="219"/>
      <c r="S312" s="220">
        <v>46202</v>
      </c>
      <c r="T312" s="220">
        <v>46168</v>
      </c>
      <c r="U312" s="220">
        <v>46185</v>
      </c>
      <c r="V312" s="219" t="s">
        <v>41</v>
      </c>
      <c r="W312" s="223">
        <v>42.46</v>
      </c>
      <c r="X312" s="223">
        <f>Table2[[#This Row],[QUANTIDADE]]*Table2[[#This Row],[PREÇO UNITARIO]]</f>
        <v>42.46</v>
      </c>
      <c r="Y312" s="219"/>
      <c r="Z312" s="219">
        <f t="shared" si="8"/>
        <v>4</v>
      </c>
      <c r="AA312" s="219" t="s">
        <v>42</v>
      </c>
      <c r="AB312" s="220">
        <f t="shared" ca="1" si="9"/>
        <v>46235</v>
      </c>
      <c r="AC312" s="219">
        <f ca="1">_xlfn.DAYS(Table2[[#This Row],[HOJE]],Table2[[#This Row],[DATA PEDIDO HP]])</f>
        <v>110</v>
      </c>
      <c r="AD312" s="219" t="str">
        <f>IF(Table2[[#This Row],[STATUS2]]="ENTREGUE","ENTREGUE","")</f>
        <v>ENTREGUE</v>
      </c>
      <c r="AE312" s="219" t="s">
        <v>43</v>
      </c>
    </row>
    <row r="313" spans="1:31" ht="14.45">
      <c r="A313" s="219" t="s">
        <v>1087</v>
      </c>
      <c r="B313" s="217">
        <v>46125</v>
      </c>
      <c r="C313" s="217">
        <v>46125</v>
      </c>
      <c r="D313" s="218" t="s">
        <v>1088</v>
      </c>
      <c r="E313" s="218" t="s">
        <v>88</v>
      </c>
      <c r="F313" s="218" t="s">
        <v>34</v>
      </c>
      <c r="G313" s="218">
        <v>50110057</v>
      </c>
      <c r="H313" s="218" t="s">
        <v>1097</v>
      </c>
      <c r="I313" s="218" t="s">
        <v>1098</v>
      </c>
      <c r="J313" s="218">
        <v>1</v>
      </c>
      <c r="K313" s="218" t="s">
        <v>269</v>
      </c>
      <c r="L313" s="218" t="s">
        <v>785</v>
      </c>
      <c r="M313" s="218" t="s">
        <v>39</v>
      </c>
      <c r="N313" s="218">
        <v>175076</v>
      </c>
      <c r="O313" s="219"/>
      <c r="P313" s="219"/>
      <c r="Q313" s="219">
        <v>1</v>
      </c>
      <c r="R313" s="219"/>
      <c r="S313" s="220">
        <v>46202</v>
      </c>
      <c r="T313" s="220">
        <v>46168</v>
      </c>
      <c r="U313" s="220">
        <v>46185</v>
      </c>
      <c r="V313" s="219" t="s">
        <v>41</v>
      </c>
      <c r="W313" s="223">
        <v>17.8</v>
      </c>
      <c r="X313" s="223">
        <f>Table2[[#This Row],[QUANTIDADE]]*Table2[[#This Row],[PREÇO UNITARIO]]</f>
        <v>17.8</v>
      </c>
      <c r="Y313" s="219"/>
      <c r="Z313" s="219">
        <f t="shared" si="8"/>
        <v>4</v>
      </c>
      <c r="AA313" s="219" t="s">
        <v>42</v>
      </c>
      <c r="AB313" s="220">
        <f t="shared" ca="1" si="9"/>
        <v>46235</v>
      </c>
      <c r="AC313" s="219">
        <f ca="1">_xlfn.DAYS(Table2[[#This Row],[HOJE]],Table2[[#This Row],[DATA PEDIDO HP]])</f>
        <v>110</v>
      </c>
      <c r="AD313" s="219" t="str">
        <f>IF(Table2[[#This Row],[STATUS2]]="ENTREGUE","ENTREGUE","")</f>
        <v>ENTREGUE</v>
      </c>
      <c r="AE313" s="219" t="s">
        <v>43</v>
      </c>
    </row>
    <row r="314" spans="1:31" ht="14.45">
      <c r="A314" s="219" t="s">
        <v>1087</v>
      </c>
      <c r="B314" s="217">
        <v>46125</v>
      </c>
      <c r="C314" s="217">
        <v>46125</v>
      </c>
      <c r="D314" s="218" t="s">
        <v>1088</v>
      </c>
      <c r="E314" s="218" t="s">
        <v>88</v>
      </c>
      <c r="F314" s="218" t="s">
        <v>34</v>
      </c>
      <c r="G314" s="218">
        <v>50110057</v>
      </c>
      <c r="H314" s="218" t="s">
        <v>1099</v>
      </c>
      <c r="I314" s="218" t="s">
        <v>1100</v>
      </c>
      <c r="J314" s="218">
        <v>1</v>
      </c>
      <c r="K314" s="218" t="s">
        <v>269</v>
      </c>
      <c r="L314" s="218" t="s">
        <v>785</v>
      </c>
      <c r="M314" s="218" t="s">
        <v>39</v>
      </c>
      <c r="N314" s="218">
        <v>175076</v>
      </c>
      <c r="O314" s="219"/>
      <c r="P314" s="219"/>
      <c r="Q314" s="231">
        <v>1</v>
      </c>
      <c r="R314" s="219"/>
      <c r="S314" s="220">
        <v>46202</v>
      </c>
      <c r="T314" s="220">
        <v>46168</v>
      </c>
      <c r="U314" s="220">
        <v>46185</v>
      </c>
      <c r="V314" s="219" t="s">
        <v>41</v>
      </c>
      <c r="W314" s="223">
        <v>16.329999999999998</v>
      </c>
      <c r="X314" s="223">
        <f>Table2[[#This Row],[QUANTIDADE]]*Table2[[#This Row],[PREÇO UNITARIO]]</f>
        <v>16.329999999999998</v>
      </c>
      <c r="Y314" s="219"/>
      <c r="Z314" s="219">
        <f t="shared" si="8"/>
        <v>4</v>
      </c>
      <c r="AA314" s="219" t="s">
        <v>42</v>
      </c>
      <c r="AB314" s="220">
        <f t="shared" ca="1" si="9"/>
        <v>46235</v>
      </c>
      <c r="AC314" s="219">
        <f ca="1">_xlfn.DAYS(Table2[[#This Row],[HOJE]],Table2[[#This Row],[DATA PEDIDO HP]])</f>
        <v>110</v>
      </c>
      <c r="AD314" s="219" t="str">
        <f>IF(Table2[[#This Row],[STATUS2]]="ENTREGUE","ENTREGUE","")</f>
        <v>ENTREGUE</v>
      </c>
      <c r="AE314" s="219" t="s">
        <v>43</v>
      </c>
    </row>
    <row r="315" spans="1:31" ht="14.45">
      <c r="A315" s="219" t="s">
        <v>1087</v>
      </c>
      <c r="B315" s="217">
        <v>46125</v>
      </c>
      <c r="C315" s="217">
        <v>46125</v>
      </c>
      <c r="D315" s="218" t="s">
        <v>1088</v>
      </c>
      <c r="E315" s="218" t="s">
        <v>88</v>
      </c>
      <c r="F315" s="218" t="s">
        <v>34</v>
      </c>
      <c r="G315" s="218">
        <v>50110057</v>
      </c>
      <c r="H315" s="218" t="s">
        <v>807</v>
      </c>
      <c r="I315" s="218" t="s">
        <v>1101</v>
      </c>
      <c r="J315" s="218">
        <v>1</v>
      </c>
      <c r="K315" s="218" t="s">
        <v>269</v>
      </c>
      <c r="L315" s="218" t="s">
        <v>785</v>
      </c>
      <c r="M315" s="218" t="s">
        <v>39</v>
      </c>
      <c r="N315" s="218">
        <v>175076</v>
      </c>
      <c r="O315" s="219"/>
      <c r="P315" s="219"/>
      <c r="Q315" s="219">
        <v>1</v>
      </c>
      <c r="R315" s="219"/>
      <c r="S315" s="220">
        <v>46202</v>
      </c>
      <c r="T315" s="220">
        <v>46168</v>
      </c>
      <c r="U315" s="220">
        <v>46185</v>
      </c>
      <c r="V315" s="219" t="s">
        <v>41</v>
      </c>
      <c r="W315" s="223">
        <v>16.329999999999998</v>
      </c>
      <c r="X315" s="223">
        <f>Table2[[#This Row],[QUANTIDADE]]*Table2[[#This Row],[PREÇO UNITARIO]]</f>
        <v>16.329999999999998</v>
      </c>
      <c r="Y315" s="219"/>
      <c r="Z315" s="219">
        <f t="shared" si="8"/>
        <v>4</v>
      </c>
      <c r="AA315" s="219" t="s">
        <v>42</v>
      </c>
      <c r="AB315" s="220">
        <f t="shared" ca="1" si="9"/>
        <v>46235</v>
      </c>
      <c r="AC315" s="219">
        <f ca="1">_xlfn.DAYS(Table2[[#This Row],[HOJE]],Table2[[#This Row],[DATA PEDIDO HP]])</f>
        <v>110</v>
      </c>
      <c r="AD315" s="219" t="str">
        <f>IF(Table2[[#This Row],[STATUS2]]="ENTREGUE","ENTREGUE","")</f>
        <v>ENTREGUE</v>
      </c>
      <c r="AE315" s="219" t="s">
        <v>43</v>
      </c>
    </row>
    <row r="316" spans="1:31" ht="14.45">
      <c r="A316" s="219" t="s">
        <v>1087</v>
      </c>
      <c r="B316" s="217">
        <v>46125</v>
      </c>
      <c r="C316" s="217">
        <v>46125</v>
      </c>
      <c r="D316" s="218" t="s">
        <v>1088</v>
      </c>
      <c r="E316" s="218" t="s">
        <v>88</v>
      </c>
      <c r="F316" s="218" t="s">
        <v>34</v>
      </c>
      <c r="G316" s="218">
        <v>50110057</v>
      </c>
      <c r="H316" s="218" t="s">
        <v>809</v>
      </c>
      <c r="I316" s="218" t="s">
        <v>1102</v>
      </c>
      <c r="J316" s="218">
        <v>1</v>
      </c>
      <c r="K316" s="218" t="s">
        <v>269</v>
      </c>
      <c r="L316" s="218" t="s">
        <v>785</v>
      </c>
      <c r="M316" s="218" t="s">
        <v>39</v>
      </c>
      <c r="N316" s="218">
        <v>175076</v>
      </c>
      <c r="O316" s="219"/>
      <c r="P316" s="219"/>
      <c r="Q316" s="219">
        <v>1</v>
      </c>
      <c r="R316" s="219"/>
      <c r="S316" s="220">
        <v>46202</v>
      </c>
      <c r="T316" s="220">
        <v>46168</v>
      </c>
      <c r="U316" s="220">
        <v>46185</v>
      </c>
      <c r="V316" s="219" t="s">
        <v>41</v>
      </c>
      <c r="W316" s="223">
        <v>12.09</v>
      </c>
      <c r="X316" s="223">
        <f>Table2[[#This Row],[QUANTIDADE]]*Table2[[#This Row],[PREÇO UNITARIO]]</f>
        <v>12.09</v>
      </c>
      <c r="Y316" s="219"/>
      <c r="Z316" s="219">
        <f t="shared" si="8"/>
        <v>4</v>
      </c>
      <c r="AA316" s="219" t="s">
        <v>42</v>
      </c>
      <c r="AB316" s="220">
        <f t="shared" ca="1" si="9"/>
        <v>46235</v>
      </c>
      <c r="AC316" s="219">
        <f ca="1">_xlfn.DAYS(Table2[[#This Row],[HOJE]],Table2[[#This Row],[DATA PEDIDO HP]])</f>
        <v>110</v>
      </c>
      <c r="AD316" s="219" t="str">
        <f>IF(Table2[[#This Row],[STATUS2]]="ENTREGUE","ENTREGUE","")</f>
        <v>ENTREGUE</v>
      </c>
      <c r="AE316" s="219" t="s">
        <v>43</v>
      </c>
    </row>
    <row r="317" spans="1:31" ht="14.45">
      <c r="A317" s="219" t="s">
        <v>1103</v>
      </c>
      <c r="B317" s="217">
        <v>46126</v>
      </c>
      <c r="C317" s="217">
        <v>46126</v>
      </c>
      <c r="D317" s="218" t="s">
        <v>1104</v>
      </c>
      <c r="E317" s="218" t="s">
        <v>292</v>
      </c>
      <c r="F317" s="218" t="s">
        <v>1105</v>
      </c>
      <c r="G317" s="218">
        <v>48500669</v>
      </c>
      <c r="H317" s="218" t="s">
        <v>1106</v>
      </c>
      <c r="I317" s="218" t="s">
        <v>1107</v>
      </c>
      <c r="J317" s="218">
        <v>1</v>
      </c>
      <c r="K317" s="218" t="s">
        <v>269</v>
      </c>
      <c r="L317" s="218" t="s">
        <v>1108</v>
      </c>
      <c r="M317" s="218" t="s">
        <v>39</v>
      </c>
      <c r="N317" s="218"/>
      <c r="O317" s="219"/>
      <c r="P317" s="219"/>
      <c r="Q317" s="219">
        <v>0</v>
      </c>
      <c r="R317" s="219"/>
      <c r="S317" s="220"/>
      <c r="T317" s="220"/>
      <c r="U317" s="220"/>
      <c r="V317" s="219"/>
      <c r="W317" s="223">
        <v>6822.78</v>
      </c>
      <c r="X317" s="223">
        <f>Table2[[#This Row],[QUANTIDADE]]*Table2[[#This Row],[PREÇO UNITARIO]]</f>
        <v>6822.78</v>
      </c>
      <c r="Y317" s="219"/>
      <c r="Z317" s="219">
        <f t="shared" si="8"/>
        <v>4</v>
      </c>
      <c r="AA317" s="219" t="s">
        <v>42</v>
      </c>
      <c r="AB317" s="220">
        <f t="shared" ca="1" si="9"/>
        <v>46235</v>
      </c>
      <c r="AC317" s="219">
        <f ca="1">_xlfn.DAYS(Table2[[#This Row],[HOJE]],Table2[[#This Row],[DATA PEDIDO HP]])</f>
        <v>109</v>
      </c>
      <c r="AD317" s="219" t="str">
        <f ca="1">IF(Table2[[#This Row],[STATUS2]]="ENTREGUE","ENTREGUE","")</f>
        <v/>
      </c>
      <c r="AE317" s="219" t="str">
        <f ca="1">IF(Table2[[#This Row],[HOLD]]&gt;30,"ATRASADO","NO PRAZO")</f>
        <v>ATRASADO</v>
      </c>
    </row>
    <row r="318" spans="1:31" ht="14.45">
      <c r="A318" s="219" t="s">
        <v>1109</v>
      </c>
      <c r="B318" s="220">
        <v>46126</v>
      </c>
      <c r="C318" s="217">
        <v>46126</v>
      </c>
      <c r="D318" s="218" t="s">
        <v>1110</v>
      </c>
      <c r="E318" s="218" t="s">
        <v>33</v>
      </c>
      <c r="F318" s="218" t="s">
        <v>95</v>
      </c>
      <c r="G318" s="218">
        <v>60002095</v>
      </c>
      <c r="H318" s="218" t="s">
        <v>1111</v>
      </c>
      <c r="I318" s="218" t="s">
        <v>1112</v>
      </c>
      <c r="J318" s="218">
        <v>1</v>
      </c>
      <c r="K318" s="218" t="s">
        <v>37</v>
      </c>
      <c r="L318" s="218" t="s">
        <v>122</v>
      </c>
      <c r="M318" s="218" t="s">
        <v>81</v>
      </c>
      <c r="N318" s="218">
        <v>175406</v>
      </c>
      <c r="O318" s="219"/>
      <c r="P318" s="219"/>
      <c r="Q318" s="218">
        <v>1</v>
      </c>
      <c r="R318" s="219"/>
      <c r="S318" s="220">
        <v>46197</v>
      </c>
      <c r="T318" s="220">
        <v>46168</v>
      </c>
      <c r="U318" s="220">
        <v>46185</v>
      </c>
      <c r="V318" s="219" t="s">
        <v>41</v>
      </c>
      <c r="W318" s="223">
        <v>38.92</v>
      </c>
      <c r="X318" s="223">
        <f>Table2[[#This Row],[QUANTIDADE]]*Table2[[#This Row],[PREÇO UNITARIO]]</f>
        <v>38.92</v>
      </c>
      <c r="Y318" s="219"/>
      <c r="Z318" s="219">
        <f t="shared" si="8"/>
        <v>4</v>
      </c>
      <c r="AA318" s="219" t="s">
        <v>42</v>
      </c>
      <c r="AB318" s="220">
        <f t="shared" ca="1" si="9"/>
        <v>46235</v>
      </c>
      <c r="AC318" s="219">
        <f ca="1">_xlfn.DAYS(Table2[[#This Row],[HOJE]],Table2[[#This Row],[DATA PEDIDO HP]])</f>
        <v>109</v>
      </c>
      <c r="AD318" s="219" t="str">
        <f>IF(Table2[[#This Row],[STATUS2]]="ENTREGUE","ENTREGUE","")</f>
        <v>ENTREGUE</v>
      </c>
      <c r="AE318" s="219" t="s">
        <v>43</v>
      </c>
    </row>
    <row r="319" spans="1:31" ht="14.45">
      <c r="A319" s="219" t="s">
        <v>1113</v>
      </c>
      <c r="B319" s="220">
        <v>46126</v>
      </c>
      <c r="C319" s="217">
        <v>46126</v>
      </c>
      <c r="D319" s="218"/>
      <c r="E319" s="218" t="s">
        <v>292</v>
      </c>
      <c r="F319" s="218"/>
      <c r="G319" s="218"/>
      <c r="H319" s="218" t="s">
        <v>1114</v>
      </c>
      <c r="I319" s="218" t="s">
        <v>1115</v>
      </c>
      <c r="J319" s="218">
        <v>26</v>
      </c>
      <c r="K319" s="218"/>
      <c r="L319" s="218"/>
      <c r="M319" s="218"/>
      <c r="N319" s="218"/>
      <c r="O319" s="219"/>
      <c r="P319" s="219"/>
      <c r="Q319" s="219"/>
      <c r="R319" s="219"/>
      <c r="S319" s="220"/>
      <c r="T319" s="220">
        <v>46168</v>
      </c>
      <c r="U319" s="220">
        <v>46185</v>
      </c>
      <c r="V319" s="219" t="s">
        <v>41</v>
      </c>
      <c r="W319" s="223">
        <v>74</v>
      </c>
      <c r="X319" s="223">
        <f>Table2[[#This Row],[QUANTIDADE]]*Table2[[#This Row],[PREÇO UNITARIO]]</f>
        <v>1924</v>
      </c>
      <c r="Y319" s="219"/>
      <c r="Z319" s="219">
        <f t="shared" si="8"/>
        <v>4</v>
      </c>
      <c r="AA319" s="219" t="s">
        <v>42</v>
      </c>
      <c r="AB319" s="220">
        <f t="shared" ca="1" si="9"/>
        <v>46235</v>
      </c>
      <c r="AC319" s="219">
        <f ca="1">_xlfn.DAYS(Table2[[#This Row],[HOJE]],Table2[[#This Row],[DATA PEDIDO HP]])</f>
        <v>109</v>
      </c>
      <c r="AD319" s="219" t="str">
        <f ca="1">IF(Table2[[#This Row],[STATUS2]]="ENTREGUE","ENTREGUE","")</f>
        <v/>
      </c>
      <c r="AE319" s="219" t="str">
        <f ca="1">IF(Table2[[#This Row],[HOLD]]&gt;30,"ATRASADO","NO PRAZO")</f>
        <v>ATRASADO</v>
      </c>
    </row>
    <row r="320" spans="1:31" ht="14.45">
      <c r="A320" s="219" t="s">
        <v>1116</v>
      </c>
      <c r="B320" s="220">
        <v>46127</v>
      </c>
      <c r="C320" s="217">
        <v>46127</v>
      </c>
      <c r="D320" s="218" t="s">
        <v>1117</v>
      </c>
      <c r="E320" s="218" t="s">
        <v>101</v>
      </c>
      <c r="F320" s="218" t="s">
        <v>102</v>
      </c>
      <c r="G320" s="218">
        <v>51000136</v>
      </c>
      <c r="H320" s="218" t="s">
        <v>243</v>
      </c>
      <c r="I320" s="218" t="s">
        <v>244</v>
      </c>
      <c r="J320" s="218">
        <v>1</v>
      </c>
      <c r="K320" s="218" t="s">
        <v>37</v>
      </c>
      <c r="L320" s="218" t="s">
        <v>72</v>
      </c>
      <c r="M320" s="218" t="s">
        <v>81</v>
      </c>
      <c r="N320" s="218">
        <v>175407</v>
      </c>
      <c r="O320" s="219"/>
      <c r="P320" s="219"/>
      <c r="Q320" s="218">
        <v>1</v>
      </c>
      <c r="R320" s="219" t="s">
        <v>415</v>
      </c>
      <c r="S320" s="220">
        <v>46202</v>
      </c>
      <c r="T320" s="220">
        <v>46168</v>
      </c>
      <c r="U320" s="220">
        <v>46185</v>
      </c>
      <c r="V320" s="219" t="s">
        <v>41</v>
      </c>
      <c r="W320" s="223">
        <v>219.49</v>
      </c>
      <c r="X320" s="223">
        <f>Table2[[#This Row],[QUANTIDADE]]*Table2[[#This Row],[PREÇO UNITARIO]]</f>
        <v>219.49</v>
      </c>
      <c r="Y320" s="219"/>
      <c r="Z320" s="219">
        <f t="shared" si="8"/>
        <v>4</v>
      </c>
      <c r="AA320" s="219" t="s">
        <v>42</v>
      </c>
      <c r="AB320" s="220">
        <f t="shared" ca="1" si="9"/>
        <v>46235</v>
      </c>
      <c r="AC320" s="219">
        <f ca="1">_xlfn.DAYS(Table2[[#This Row],[HOJE]],Table2[[#This Row],[DATA PEDIDO HP]])</f>
        <v>108</v>
      </c>
      <c r="AD320" s="219" t="str">
        <f>IF(Table2[[#This Row],[STATUS2]]="ENTREGUE","ENTREGUE","")</f>
        <v>ENTREGUE</v>
      </c>
      <c r="AE320" s="219" t="s">
        <v>43</v>
      </c>
    </row>
    <row r="321" spans="1:31" ht="14.45">
      <c r="A321" s="219" t="s">
        <v>1118</v>
      </c>
      <c r="B321" s="220">
        <v>46127</v>
      </c>
      <c r="C321" s="217">
        <v>46127</v>
      </c>
      <c r="D321" s="218" t="s">
        <v>1119</v>
      </c>
      <c r="E321" s="218" t="s">
        <v>154</v>
      </c>
      <c r="F321" s="218" t="s">
        <v>145</v>
      </c>
      <c r="G321" s="218">
        <v>48000044</v>
      </c>
      <c r="H321" s="218" t="s">
        <v>513</v>
      </c>
      <c r="I321" s="218" t="s">
        <v>1120</v>
      </c>
      <c r="J321" s="218">
        <v>1</v>
      </c>
      <c r="K321" s="218" t="s">
        <v>37</v>
      </c>
      <c r="L321" s="218" t="s">
        <v>72</v>
      </c>
      <c r="M321" s="218" t="s">
        <v>73</v>
      </c>
      <c r="N321" s="218">
        <v>173228</v>
      </c>
      <c r="O321" s="219"/>
      <c r="P321" s="219"/>
      <c r="Q321" s="218">
        <v>1</v>
      </c>
      <c r="R321" s="219"/>
      <c r="S321" s="220"/>
      <c r="T321" s="220">
        <v>46168</v>
      </c>
      <c r="U321" s="220">
        <v>46185</v>
      </c>
      <c r="V321" s="219" t="s">
        <v>41</v>
      </c>
      <c r="W321" s="223">
        <v>453.02</v>
      </c>
      <c r="X321" s="223">
        <f>Table2[[#This Row],[QUANTIDADE]]*Table2[[#This Row],[PREÇO UNITARIO]]</f>
        <v>453.02</v>
      </c>
      <c r="Y321" s="219"/>
      <c r="Z321" s="219">
        <f t="shared" si="8"/>
        <v>4</v>
      </c>
      <c r="AA321" s="219" t="s">
        <v>74</v>
      </c>
      <c r="AB321" s="220">
        <f t="shared" ca="1" si="9"/>
        <v>46235</v>
      </c>
      <c r="AC321" s="219">
        <f ca="1">_xlfn.DAYS(Table2[[#This Row],[HOJE]],Table2[[#This Row],[DATA PEDIDO HP]])</f>
        <v>108</v>
      </c>
      <c r="AD321" s="219" t="str">
        <f ca="1">IF(Table2[[#This Row],[STATUS2]]="ENTREGUE","ENTREGUE","")</f>
        <v/>
      </c>
      <c r="AE321" s="219" t="str">
        <f ca="1">IF(Table2[[#This Row],[HOLD]]&gt;30,"ATRASADO","NO PRAZO")</f>
        <v>ATRASADO</v>
      </c>
    </row>
    <row r="322" spans="1:31" ht="14.45">
      <c r="A322" s="219" t="s">
        <v>1121</v>
      </c>
      <c r="B322" s="220">
        <v>46127</v>
      </c>
      <c r="C322" s="217">
        <v>46127</v>
      </c>
      <c r="D322" s="218" t="s">
        <v>1122</v>
      </c>
      <c r="E322" s="218" t="s">
        <v>33</v>
      </c>
      <c r="F322" s="218" t="s">
        <v>34</v>
      </c>
      <c r="G322" s="218">
        <v>50110372</v>
      </c>
      <c r="H322" s="218" t="s">
        <v>1123</v>
      </c>
      <c r="I322" s="218" t="s">
        <v>1124</v>
      </c>
      <c r="J322" s="218">
        <v>2</v>
      </c>
      <c r="K322" s="218" t="s">
        <v>37</v>
      </c>
      <c r="L322" s="218" t="s">
        <v>122</v>
      </c>
      <c r="M322" s="218" t="s">
        <v>39</v>
      </c>
      <c r="N322" s="218">
        <v>175835</v>
      </c>
      <c r="O322" s="219"/>
      <c r="P322" s="219"/>
      <c r="Q322" s="219">
        <v>0</v>
      </c>
      <c r="R322" s="219"/>
      <c r="S322" s="220">
        <v>46197</v>
      </c>
      <c r="T322" s="220">
        <v>46168</v>
      </c>
      <c r="U322" s="220">
        <v>46185</v>
      </c>
      <c r="V322" s="219" t="s">
        <v>41</v>
      </c>
      <c r="W322" s="223">
        <v>298.86</v>
      </c>
      <c r="X322" s="223">
        <f>Table2[[#This Row],[QUANTIDADE]]*Table2[[#This Row],[PREÇO UNITARIO]]</f>
        <v>597.72</v>
      </c>
      <c r="Y322" s="219"/>
      <c r="Z322" s="219">
        <f t="shared" ref="Z322:Z385" si="10">MONTH(B322)</f>
        <v>4</v>
      </c>
      <c r="AA322" s="219" t="s">
        <v>42</v>
      </c>
      <c r="AB322" s="220">
        <f t="shared" ref="AB322:AB385" ca="1" si="11">TODAY()</f>
        <v>46235</v>
      </c>
      <c r="AC322" s="219">
        <f ca="1">_xlfn.DAYS(Table2[[#This Row],[HOJE]],Table2[[#This Row],[DATA PEDIDO HP]])</f>
        <v>108</v>
      </c>
      <c r="AD322" s="219" t="str">
        <f>IF(Table2[[#This Row],[STATUS2]]="ENTREGUE","ENTREGUE","")</f>
        <v>ENTREGUE</v>
      </c>
      <c r="AE322" s="219" t="s">
        <v>43</v>
      </c>
    </row>
    <row r="323" spans="1:31" ht="15" customHeight="1">
      <c r="A323" s="219" t="s">
        <v>1125</v>
      </c>
      <c r="B323" s="220">
        <v>46127</v>
      </c>
      <c r="C323" s="217">
        <v>46127</v>
      </c>
      <c r="D323" s="218" t="s">
        <v>1126</v>
      </c>
      <c r="E323" s="218" t="s">
        <v>1127</v>
      </c>
      <c r="F323" s="218" t="s">
        <v>135</v>
      </c>
      <c r="G323" s="218">
        <v>48500742</v>
      </c>
      <c r="H323" s="218" t="s">
        <v>1128</v>
      </c>
      <c r="I323" s="218" t="s">
        <v>142</v>
      </c>
      <c r="J323" s="218">
        <v>1</v>
      </c>
      <c r="K323" s="218" t="s">
        <v>37</v>
      </c>
      <c r="L323" s="218" t="s">
        <v>72</v>
      </c>
      <c r="M323" s="218" t="s">
        <v>73</v>
      </c>
      <c r="N323" s="218">
        <v>173987</v>
      </c>
      <c r="O323" s="219"/>
      <c r="P323" s="219"/>
      <c r="Q323" s="218">
        <v>1</v>
      </c>
      <c r="R323" s="219"/>
      <c r="S323" s="220"/>
      <c r="T323" s="220">
        <v>46168</v>
      </c>
      <c r="U323" s="220">
        <v>46185</v>
      </c>
      <c r="V323" s="219" t="s">
        <v>41</v>
      </c>
      <c r="W323" s="223">
        <v>1009.25</v>
      </c>
      <c r="X323" s="223">
        <f>Table2[[#This Row],[QUANTIDADE]]*Table2[[#This Row],[PREÇO UNITARIO]]</f>
        <v>1009.25</v>
      </c>
      <c r="Y323" s="219"/>
      <c r="Z323" s="219">
        <f t="shared" si="10"/>
        <v>4</v>
      </c>
      <c r="AA323" s="219" t="s">
        <v>74</v>
      </c>
      <c r="AB323" s="220">
        <f t="shared" ca="1" si="11"/>
        <v>46235</v>
      </c>
      <c r="AC323" s="219">
        <f ca="1">_xlfn.DAYS(Table2[[#This Row],[HOJE]],Table2[[#This Row],[DATA PEDIDO HP]])</f>
        <v>108</v>
      </c>
      <c r="AD323" s="219" t="str">
        <f ca="1">IF(Table2[[#This Row],[STATUS2]]="ENTREGUE","ENTREGUE","")</f>
        <v/>
      </c>
      <c r="AE323" s="219" t="str">
        <f ca="1">IF(Table2[[#This Row],[HOLD]]&gt;30,"ATRASADO","NO PRAZO")</f>
        <v>ATRASADO</v>
      </c>
    </row>
    <row r="324" spans="1:31" ht="15" customHeight="1">
      <c r="A324" s="219" t="s">
        <v>1125</v>
      </c>
      <c r="B324" s="220">
        <v>46127</v>
      </c>
      <c r="C324" s="217">
        <v>46127</v>
      </c>
      <c r="D324" s="218" t="s">
        <v>1126</v>
      </c>
      <c r="E324" s="218" t="s">
        <v>1127</v>
      </c>
      <c r="F324" s="218" t="s">
        <v>135</v>
      </c>
      <c r="G324" s="218">
        <v>48500742</v>
      </c>
      <c r="H324" s="218" t="s">
        <v>1129</v>
      </c>
      <c r="I324" s="218" t="s">
        <v>1130</v>
      </c>
      <c r="J324" s="218">
        <v>1</v>
      </c>
      <c r="K324" s="218" t="s">
        <v>37</v>
      </c>
      <c r="L324" s="218" t="s">
        <v>72</v>
      </c>
      <c r="M324" s="218" t="s">
        <v>73</v>
      </c>
      <c r="N324" s="218">
        <v>173987</v>
      </c>
      <c r="O324" s="219"/>
      <c r="P324" s="219"/>
      <c r="Q324" s="218">
        <v>1</v>
      </c>
      <c r="R324" s="219" t="s">
        <v>1131</v>
      </c>
      <c r="S324" s="220"/>
      <c r="T324" s="220">
        <v>46168</v>
      </c>
      <c r="U324" s="220">
        <v>46185</v>
      </c>
      <c r="V324" s="219" t="s">
        <v>41</v>
      </c>
      <c r="W324" s="223">
        <v>110.15</v>
      </c>
      <c r="X324" s="223">
        <f>Table2[[#This Row],[QUANTIDADE]]*Table2[[#This Row],[PREÇO UNITARIO]]</f>
        <v>110.15</v>
      </c>
      <c r="Y324" s="219"/>
      <c r="Z324" s="219">
        <f t="shared" si="10"/>
        <v>4</v>
      </c>
      <c r="AA324" s="219" t="s">
        <v>74</v>
      </c>
      <c r="AB324" s="220">
        <f t="shared" ca="1" si="11"/>
        <v>46235</v>
      </c>
      <c r="AC324" s="219">
        <f ca="1">_xlfn.DAYS(Table2[[#This Row],[HOJE]],Table2[[#This Row],[DATA PEDIDO HP]])</f>
        <v>108</v>
      </c>
      <c r="AD324" s="219" t="str">
        <f ca="1">IF(Table2[[#This Row],[STATUS2]]="ENTREGUE","ENTREGUE","")</f>
        <v/>
      </c>
      <c r="AE324" s="219" t="str">
        <f ca="1">IF(Table2[[#This Row],[HOLD]]&gt;30,"ATRASADO","NO PRAZO")</f>
        <v>ATRASADO</v>
      </c>
    </row>
    <row r="325" spans="1:31" ht="15" customHeight="1">
      <c r="A325" s="219" t="s">
        <v>1125</v>
      </c>
      <c r="B325" s="220">
        <v>46127</v>
      </c>
      <c r="C325" s="217">
        <v>46127</v>
      </c>
      <c r="D325" s="218" t="s">
        <v>1126</v>
      </c>
      <c r="E325" s="218" t="s">
        <v>1127</v>
      </c>
      <c r="F325" s="218" t="s">
        <v>135</v>
      </c>
      <c r="G325" s="218">
        <v>48500742</v>
      </c>
      <c r="H325" s="218" t="s">
        <v>1129</v>
      </c>
      <c r="I325" s="218" t="s">
        <v>1130</v>
      </c>
      <c r="J325" s="218">
        <v>1</v>
      </c>
      <c r="K325" s="218" t="s">
        <v>37</v>
      </c>
      <c r="L325" s="218" t="s">
        <v>72</v>
      </c>
      <c r="M325" s="218" t="s">
        <v>81</v>
      </c>
      <c r="N325" s="218">
        <v>173954</v>
      </c>
      <c r="O325" s="219"/>
      <c r="P325" s="219"/>
      <c r="Q325" s="218">
        <v>1</v>
      </c>
      <c r="R325" s="219" t="s">
        <v>1131</v>
      </c>
      <c r="S325" s="220"/>
      <c r="T325" s="220">
        <v>46168</v>
      </c>
      <c r="U325" s="220">
        <v>46185</v>
      </c>
      <c r="V325" s="219" t="s">
        <v>41</v>
      </c>
      <c r="W325" s="223">
        <v>110.15</v>
      </c>
      <c r="X325" s="223">
        <f>Table2[[#This Row],[QUANTIDADE]]*Table2[[#This Row],[PREÇO UNITARIO]]</f>
        <v>110.15</v>
      </c>
      <c r="Y325" s="219"/>
      <c r="Z325" s="219">
        <f t="shared" si="10"/>
        <v>4</v>
      </c>
      <c r="AA325" s="219" t="s">
        <v>74</v>
      </c>
      <c r="AB325" s="220">
        <f t="shared" ca="1" si="11"/>
        <v>46235</v>
      </c>
      <c r="AC325" s="219">
        <f ca="1">_xlfn.DAYS(Table2[[#This Row],[HOJE]],Table2[[#This Row],[DATA PEDIDO HP]])</f>
        <v>108</v>
      </c>
      <c r="AD325" s="219" t="str">
        <f ca="1">IF(Table2[[#This Row],[STATUS2]]="ENTREGUE","ENTREGUE","")</f>
        <v/>
      </c>
      <c r="AE325" s="219" t="str">
        <f ca="1">IF(Table2[[#This Row],[HOLD]]&gt;30,"ATRASADO","NO PRAZO")</f>
        <v>ATRASADO</v>
      </c>
    </row>
    <row r="326" spans="1:31" ht="15" customHeight="1">
      <c r="A326" s="219" t="s">
        <v>1132</v>
      </c>
      <c r="B326" s="220">
        <v>46127</v>
      </c>
      <c r="C326" s="217">
        <v>46127</v>
      </c>
      <c r="D326" s="218" t="s">
        <v>1133</v>
      </c>
      <c r="E326" s="218" t="s">
        <v>33</v>
      </c>
      <c r="F326" s="218" t="s">
        <v>95</v>
      </c>
      <c r="G326" s="218">
        <v>60002095</v>
      </c>
      <c r="H326" s="218" t="s">
        <v>1134</v>
      </c>
      <c r="I326" s="218" t="s">
        <v>1135</v>
      </c>
      <c r="J326" s="218">
        <v>1</v>
      </c>
      <c r="K326" s="218" t="s">
        <v>37</v>
      </c>
      <c r="L326" s="218" t="s">
        <v>122</v>
      </c>
      <c r="M326" s="218" t="s">
        <v>81</v>
      </c>
      <c r="N326" s="218">
        <v>175936</v>
      </c>
      <c r="O326" s="219"/>
      <c r="P326" s="219"/>
      <c r="Q326" s="218">
        <v>1</v>
      </c>
      <c r="R326" s="219"/>
      <c r="S326" s="220">
        <v>46197</v>
      </c>
      <c r="T326" s="220">
        <v>46168</v>
      </c>
      <c r="U326" s="220">
        <v>46185</v>
      </c>
      <c r="V326" s="219" t="s">
        <v>41</v>
      </c>
      <c r="W326" s="223">
        <v>30.32</v>
      </c>
      <c r="X326" s="223">
        <f>Table2[[#This Row],[QUANTIDADE]]*Table2[[#This Row],[PREÇO UNITARIO]]</f>
        <v>30.32</v>
      </c>
      <c r="Y326" s="219"/>
      <c r="Z326" s="219">
        <f t="shared" si="10"/>
        <v>4</v>
      </c>
      <c r="AA326" s="219" t="s">
        <v>42</v>
      </c>
      <c r="AB326" s="220">
        <f t="shared" ca="1" si="11"/>
        <v>46235</v>
      </c>
      <c r="AC326" s="219">
        <f ca="1">_xlfn.DAYS(Table2[[#This Row],[HOJE]],Table2[[#This Row],[DATA PEDIDO HP]])</f>
        <v>108</v>
      </c>
      <c r="AD326" s="219" t="str">
        <f>IF(Table2[[#This Row],[STATUS2]]="ENTREGUE","ENTREGUE","")</f>
        <v>ENTREGUE</v>
      </c>
      <c r="AE326" s="219" t="s">
        <v>43</v>
      </c>
    </row>
    <row r="327" spans="1:31" ht="15" customHeight="1">
      <c r="A327" s="219" t="s">
        <v>1136</v>
      </c>
      <c r="B327" s="220">
        <v>46127</v>
      </c>
      <c r="C327" s="217">
        <v>46127</v>
      </c>
      <c r="D327" s="218" t="s">
        <v>1137</v>
      </c>
      <c r="E327" s="218" t="s">
        <v>154</v>
      </c>
      <c r="F327" s="218" t="s">
        <v>102</v>
      </c>
      <c r="G327" s="218">
        <v>51000174</v>
      </c>
      <c r="H327" s="218" t="s">
        <v>1138</v>
      </c>
      <c r="I327" s="218" t="s">
        <v>1139</v>
      </c>
      <c r="J327" s="218">
        <v>1</v>
      </c>
      <c r="K327" s="218" t="s">
        <v>37</v>
      </c>
      <c r="L327" s="218" t="s">
        <v>72</v>
      </c>
      <c r="M327" s="218" t="s">
        <v>73</v>
      </c>
      <c r="N327" s="218">
        <v>175703</v>
      </c>
      <c r="O327" s="219"/>
      <c r="P327" s="219"/>
      <c r="Q327" s="218">
        <v>1</v>
      </c>
      <c r="R327" s="219"/>
      <c r="S327" s="220"/>
      <c r="T327" s="220">
        <v>46168</v>
      </c>
      <c r="U327" s="220">
        <v>46185</v>
      </c>
      <c r="V327" s="219" t="s">
        <v>41</v>
      </c>
      <c r="W327" s="223">
        <v>138.32</v>
      </c>
      <c r="X327" s="223">
        <f>Table2[[#This Row],[QUANTIDADE]]*Table2[[#This Row],[PREÇO UNITARIO]]</f>
        <v>138.32</v>
      </c>
      <c r="Y327" s="219"/>
      <c r="Z327" s="219">
        <f t="shared" si="10"/>
        <v>4</v>
      </c>
      <c r="AA327" s="219" t="s">
        <v>74</v>
      </c>
      <c r="AB327" s="220">
        <f t="shared" ca="1" si="11"/>
        <v>46235</v>
      </c>
      <c r="AC327" s="219">
        <f ca="1">_xlfn.DAYS(Table2[[#This Row],[HOJE]],Table2[[#This Row],[DATA PEDIDO HP]])</f>
        <v>108</v>
      </c>
      <c r="AD327" s="219" t="str">
        <f ca="1">IF(Table2[[#This Row],[STATUS2]]="ENTREGUE","ENTREGUE","")</f>
        <v/>
      </c>
      <c r="AE327" s="219" t="str">
        <f ca="1">IF(Table2[[#This Row],[HOLD]]&gt;30,"ATRASADO","NO PRAZO")</f>
        <v>ATRASADO</v>
      </c>
    </row>
    <row r="328" spans="1:31" ht="15" customHeight="1">
      <c r="A328" s="229" t="s">
        <v>1140</v>
      </c>
      <c r="B328" s="249">
        <v>46128</v>
      </c>
      <c r="C328" s="251">
        <v>46128</v>
      </c>
      <c r="D328" s="231" t="s">
        <v>1141</v>
      </c>
      <c r="E328" s="231" t="s">
        <v>33</v>
      </c>
      <c r="F328" s="231" t="s">
        <v>95</v>
      </c>
      <c r="G328" s="231">
        <v>60002095</v>
      </c>
      <c r="H328" s="231" t="s">
        <v>1142</v>
      </c>
      <c r="I328" s="232" t="s">
        <v>1143</v>
      </c>
      <c r="J328" s="231">
        <v>1</v>
      </c>
      <c r="K328" s="231" t="s">
        <v>37</v>
      </c>
      <c r="L328" s="231" t="s">
        <v>122</v>
      </c>
      <c r="M328" s="231" t="s">
        <v>39</v>
      </c>
      <c r="N328" s="231">
        <v>176034</v>
      </c>
      <c r="O328" s="229"/>
      <c r="P328" s="229"/>
      <c r="Q328" s="219">
        <v>1</v>
      </c>
      <c r="R328" s="219" t="s">
        <v>1144</v>
      </c>
      <c r="S328" s="220">
        <v>46197</v>
      </c>
      <c r="T328" s="220">
        <v>46168</v>
      </c>
      <c r="U328" s="220">
        <v>46185</v>
      </c>
      <c r="V328" s="219" t="s">
        <v>41</v>
      </c>
      <c r="W328" s="223">
        <v>42.58</v>
      </c>
      <c r="X328" s="223">
        <f>Table2[[#This Row],[QUANTIDADE]]*Table2[[#This Row],[PREÇO UNITARIO]]</f>
        <v>42.58</v>
      </c>
      <c r="Y328" s="219"/>
      <c r="Z328" s="219">
        <f t="shared" si="10"/>
        <v>4</v>
      </c>
      <c r="AA328" s="219" t="s">
        <v>42</v>
      </c>
      <c r="AB328" s="220">
        <f t="shared" ca="1" si="11"/>
        <v>46235</v>
      </c>
      <c r="AC328" s="219">
        <f ca="1">_xlfn.DAYS(Table2[[#This Row],[HOJE]],Table2[[#This Row],[DATA PEDIDO HP]])</f>
        <v>107</v>
      </c>
      <c r="AD328" s="219" t="str">
        <f>IF(Table2[[#This Row],[STATUS2]]="ENTREGUE","ENTREGUE","")</f>
        <v>ENTREGUE</v>
      </c>
      <c r="AE328" s="219" t="s">
        <v>43</v>
      </c>
    </row>
    <row r="329" spans="1:31" ht="15" customHeight="1">
      <c r="A329" s="229" t="s">
        <v>1145</v>
      </c>
      <c r="B329" s="249">
        <v>46128</v>
      </c>
      <c r="C329" s="251">
        <v>46128</v>
      </c>
      <c r="D329" s="231" t="s">
        <v>1146</v>
      </c>
      <c r="E329" s="231" t="s">
        <v>345</v>
      </c>
      <c r="F329" s="231" t="s">
        <v>34</v>
      </c>
      <c r="G329" s="231">
        <v>50110229</v>
      </c>
      <c r="H329" s="231" t="s">
        <v>323</v>
      </c>
      <c r="I329" s="232" t="s">
        <v>324</v>
      </c>
      <c r="J329" s="231">
        <v>1</v>
      </c>
      <c r="K329" s="231" t="s">
        <v>37</v>
      </c>
      <c r="L329" s="231" t="s">
        <v>72</v>
      </c>
      <c r="M329" s="231" t="s">
        <v>81</v>
      </c>
      <c r="N329" s="231">
        <v>176198</v>
      </c>
      <c r="O329" s="229"/>
      <c r="P329" s="229"/>
      <c r="Q329" s="218">
        <v>1</v>
      </c>
      <c r="R329" s="219"/>
      <c r="S329" s="220">
        <v>46202</v>
      </c>
      <c r="T329" s="220">
        <v>46168</v>
      </c>
      <c r="U329" s="220">
        <v>46185</v>
      </c>
      <c r="V329" s="219" t="s">
        <v>41</v>
      </c>
      <c r="W329" s="223">
        <v>96.35</v>
      </c>
      <c r="X329" s="223">
        <f>Table2[[#This Row],[QUANTIDADE]]*Table2[[#This Row],[PREÇO UNITARIO]]</f>
        <v>96.35</v>
      </c>
      <c r="Y329" s="219"/>
      <c r="Z329" s="219">
        <f t="shared" si="10"/>
        <v>4</v>
      </c>
      <c r="AA329" s="219" t="s">
        <v>42</v>
      </c>
      <c r="AB329" s="220">
        <f t="shared" ca="1" si="11"/>
        <v>46235</v>
      </c>
      <c r="AC329" s="219">
        <f ca="1">_xlfn.DAYS(Table2[[#This Row],[HOJE]],Table2[[#This Row],[DATA PEDIDO HP]])</f>
        <v>107</v>
      </c>
      <c r="AD329" s="219" t="str">
        <f>IF(Table2[[#This Row],[STATUS2]]="ENTREGUE","ENTREGUE","")</f>
        <v>ENTREGUE</v>
      </c>
      <c r="AE329" s="219" t="s">
        <v>43</v>
      </c>
    </row>
    <row r="330" spans="1:31" ht="15" customHeight="1">
      <c r="A330" s="229" t="s">
        <v>1147</v>
      </c>
      <c r="B330" s="249">
        <v>46129</v>
      </c>
      <c r="C330" s="251">
        <v>46128</v>
      </c>
      <c r="D330" s="231" t="s">
        <v>1148</v>
      </c>
      <c r="E330" s="231" t="s">
        <v>94</v>
      </c>
      <c r="F330" s="231" t="s">
        <v>95</v>
      </c>
      <c r="G330" s="231">
        <v>60002072</v>
      </c>
      <c r="H330" s="231" t="s">
        <v>205</v>
      </c>
      <c r="I330" s="232" t="s">
        <v>206</v>
      </c>
      <c r="J330" s="231">
        <v>1</v>
      </c>
      <c r="K330" s="231" t="s">
        <v>37</v>
      </c>
      <c r="L330" s="231" t="s">
        <v>122</v>
      </c>
      <c r="M330" s="231" t="s">
        <v>81</v>
      </c>
      <c r="N330" s="231">
        <v>176330</v>
      </c>
      <c r="O330" s="229"/>
      <c r="P330" s="229"/>
      <c r="Q330" s="218">
        <v>1</v>
      </c>
      <c r="R330" s="219"/>
      <c r="S330" s="220">
        <v>46202</v>
      </c>
      <c r="T330" s="220">
        <v>46168</v>
      </c>
      <c r="U330" s="220">
        <v>46185</v>
      </c>
      <c r="V330" s="219" t="s">
        <v>41</v>
      </c>
      <c r="W330" s="223">
        <v>238.43</v>
      </c>
      <c r="X330" s="223">
        <f>Table2[[#This Row],[QUANTIDADE]]*Table2[[#This Row],[PREÇO UNITARIO]]</f>
        <v>238.43</v>
      </c>
      <c r="Y330" s="219"/>
      <c r="Z330" s="219">
        <f t="shared" si="10"/>
        <v>4</v>
      </c>
      <c r="AA330" s="219" t="s">
        <v>74</v>
      </c>
      <c r="AB330" s="220">
        <f t="shared" ca="1" si="11"/>
        <v>46235</v>
      </c>
      <c r="AC330" s="219">
        <f ca="1">_xlfn.DAYS(Table2[[#This Row],[HOJE]],Table2[[#This Row],[DATA PEDIDO HP]])</f>
        <v>106</v>
      </c>
      <c r="AD330" s="219" t="str">
        <f>IF(Table2[[#This Row],[STATUS2]]="ENTREGUE","ENTREGUE","")</f>
        <v>ENTREGUE</v>
      </c>
      <c r="AE330" s="219" t="s">
        <v>43</v>
      </c>
    </row>
    <row r="331" spans="1:31" ht="15" customHeight="1">
      <c r="A331" s="229" t="s">
        <v>1147</v>
      </c>
      <c r="B331" s="249">
        <v>46129</v>
      </c>
      <c r="C331" s="251">
        <v>46128</v>
      </c>
      <c r="D331" s="231" t="s">
        <v>1148</v>
      </c>
      <c r="E331" s="231" t="s">
        <v>94</v>
      </c>
      <c r="F331" s="231" t="s">
        <v>95</v>
      </c>
      <c r="G331" s="231">
        <v>60002072</v>
      </c>
      <c r="H331" s="231" t="s">
        <v>995</v>
      </c>
      <c r="I331" s="232" t="s">
        <v>996</v>
      </c>
      <c r="J331" s="231">
        <v>1</v>
      </c>
      <c r="K331" s="231" t="s">
        <v>37</v>
      </c>
      <c r="L331" s="231" t="s">
        <v>122</v>
      </c>
      <c r="M331" s="231" t="s">
        <v>81</v>
      </c>
      <c r="N331" s="231">
        <v>176330</v>
      </c>
      <c r="O331" s="229"/>
      <c r="P331" s="229"/>
      <c r="Q331" s="218">
        <v>1</v>
      </c>
      <c r="R331" s="219"/>
      <c r="S331" s="220">
        <v>46202</v>
      </c>
      <c r="T331" s="220">
        <v>46168</v>
      </c>
      <c r="U331" s="220">
        <v>46185</v>
      </c>
      <c r="V331" s="219" t="s">
        <v>41</v>
      </c>
      <c r="W331" s="223">
        <v>14.18</v>
      </c>
      <c r="X331" s="223">
        <f>Table2[[#This Row],[QUANTIDADE]]*Table2[[#This Row],[PREÇO UNITARIO]]</f>
        <v>14.18</v>
      </c>
      <c r="Y331" s="219"/>
      <c r="Z331" s="219">
        <f t="shared" si="10"/>
        <v>4</v>
      </c>
      <c r="AA331" s="219" t="s">
        <v>74</v>
      </c>
      <c r="AB331" s="220">
        <f t="shared" ca="1" si="11"/>
        <v>46235</v>
      </c>
      <c r="AC331" s="219">
        <f ca="1">_xlfn.DAYS(Table2[[#This Row],[HOJE]],Table2[[#This Row],[DATA PEDIDO HP]])</f>
        <v>106</v>
      </c>
      <c r="AD331" s="219" t="str">
        <f>IF(Table2[[#This Row],[STATUS2]]="ENTREGUE","ENTREGUE","")</f>
        <v>ENTREGUE</v>
      </c>
      <c r="AE331" s="219" t="s">
        <v>43</v>
      </c>
    </row>
    <row r="332" spans="1:31" ht="15" customHeight="1">
      <c r="A332" s="229" t="s">
        <v>1149</v>
      </c>
      <c r="B332" s="249">
        <v>46129</v>
      </c>
      <c r="C332" s="251">
        <v>46129</v>
      </c>
      <c r="D332" s="231" t="s">
        <v>1150</v>
      </c>
      <c r="E332" s="231" t="s">
        <v>125</v>
      </c>
      <c r="F332" s="231" t="s">
        <v>34</v>
      </c>
      <c r="G332" s="218">
        <v>50110193</v>
      </c>
      <c r="H332" s="231" t="s">
        <v>1151</v>
      </c>
      <c r="I332" s="232" t="s">
        <v>223</v>
      </c>
      <c r="J332" s="231">
        <v>1</v>
      </c>
      <c r="K332" s="231" t="s">
        <v>37</v>
      </c>
      <c r="L332" s="231" t="s">
        <v>122</v>
      </c>
      <c r="M332" s="231" t="s">
        <v>81</v>
      </c>
      <c r="N332" s="231">
        <v>176396</v>
      </c>
      <c r="O332" s="229"/>
      <c r="P332" s="229"/>
      <c r="Q332" s="218">
        <v>1</v>
      </c>
      <c r="R332" s="219" t="s">
        <v>222</v>
      </c>
      <c r="S332" s="220">
        <v>46202</v>
      </c>
      <c r="T332" s="220">
        <v>46168</v>
      </c>
      <c r="U332" s="220">
        <v>46185</v>
      </c>
      <c r="V332" s="219" t="s">
        <v>41</v>
      </c>
      <c r="W332" s="223">
        <v>207.82</v>
      </c>
      <c r="X332" s="223">
        <f>Table2[[#This Row],[QUANTIDADE]]*Table2[[#This Row],[PREÇO UNITARIO]]</f>
        <v>207.82</v>
      </c>
      <c r="Y332" s="219"/>
      <c r="Z332" s="219">
        <f t="shared" si="10"/>
        <v>4</v>
      </c>
      <c r="AA332" s="219" t="s">
        <v>42</v>
      </c>
      <c r="AB332" s="220">
        <f t="shared" ca="1" si="11"/>
        <v>46235</v>
      </c>
      <c r="AC332" s="219">
        <f ca="1">_xlfn.DAYS(Table2[[#This Row],[HOJE]],Table2[[#This Row],[DATA PEDIDO HP]])</f>
        <v>106</v>
      </c>
      <c r="AD332" s="219" t="str">
        <f>IF(Table2[[#This Row],[STATUS2]]="ENTREGUE","ENTREGUE","")</f>
        <v>ENTREGUE</v>
      </c>
      <c r="AE332" s="219" t="s">
        <v>43</v>
      </c>
    </row>
    <row r="333" spans="1:31" ht="15" customHeight="1">
      <c r="A333" s="229" t="s">
        <v>1152</v>
      </c>
      <c r="B333" s="249">
        <v>46132</v>
      </c>
      <c r="C333" s="251">
        <v>46129</v>
      </c>
      <c r="D333" s="231" t="s">
        <v>1153</v>
      </c>
      <c r="E333" s="231" t="s">
        <v>191</v>
      </c>
      <c r="F333" s="231" t="s">
        <v>95</v>
      </c>
      <c r="G333" s="231">
        <v>60001111</v>
      </c>
      <c r="H333" s="231" t="s">
        <v>1154</v>
      </c>
      <c r="I333" s="232" t="s">
        <v>1155</v>
      </c>
      <c r="J333" s="231">
        <v>1</v>
      </c>
      <c r="K333" s="231" t="s">
        <v>37</v>
      </c>
      <c r="L333" s="231" t="s">
        <v>98</v>
      </c>
      <c r="M333" s="231" t="s">
        <v>81</v>
      </c>
      <c r="N333" s="231">
        <v>170820</v>
      </c>
      <c r="O333" s="229"/>
      <c r="P333" s="229"/>
      <c r="Q333" s="218">
        <v>1</v>
      </c>
      <c r="R333" s="219"/>
      <c r="S333" s="220">
        <v>46197</v>
      </c>
      <c r="T333" s="220">
        <v>46168</v>
      </c>
      <c r="U333" s="220">
        <v>46185</v>
      </c>
      <c r="V333" s="219" t="s">
        <v>41</v>
      </c>
      <c r="W333" s="223">
        <v>359.28</v>
      </c>
      <c r="X333" s="223">
        <f>Table2[[#This Row],[QUANTIDADE]]*Table2[[#This Row],[PREÇO UNITARIO]]</f>
        <v>359.28</v>
      </c>
      <c r="Y333" s="219" t="s">
        <v>42</v>
      </c>
      <c r="Z333" s="219">
        <f t="shared" si="10"/>
        <v>4</v>
      </c>
      <c r="AA333" s="219" t="s">
        <v>42</v>
      </c>
      <c r="AB333" s="220">
        <f t="shared" ca="1" si="11"/>
        <v>46235</v>
      </c>
      <c r="AC333" s="219">
        <f ca="1">_xlfn.DAYS(Table2[[#This Row],[HOJE]],Table2[[#This Row],[DATA PEDIDO HP]])</f>
        <v>103</v>
      </c>
      <c r="AD333" s="219" t="str">
        <f>IF(Table2[[#This Row],[STATUS2]]="ENTREGUE","ENTREGUE","")</f>
        <v>ENTREGUE</v>
      </c>
      <c r="AE333" s="219" t="s">
        <v>43</v>
      </c>
    </row>
    <row r="334" spans="1:31" ht="15" customHeight="1">
      <c r="A334" s="229" t="s">
        <v>1152</v>
      </c>
      <c r="B334" s="249">
        <v>46132</v>
      </c>
      <c r="C334" s="251">
        <v>46129</v>
      </c>
      <c r="D334" s="231" t="s">
        <v>1153</v>
      </c>
      <c r="E334" s="231" t="s">
        <v>191</v>
      </c>
      <c r="F334" s="231" t="s">
        <v>95</v>
      </c>
      <c r="G334" s="231">
        <v>60001111</v>
      </c>
      <c r="H334" s="231" t="s">
        <v>205</v>
      </c>
      <c r="I334" s="232" t="s">
        <v>1156</v>
      </c>
      <c r="J334" s="231">
        <v>2</v>
      </c>
      <c r="K334" s="231" t="s">
        <v>37</v>
      </c>
      <c r="L334" s="231" t="s">
        <v>98</v>
      </c>
      <c r="M334" s="231" t="s">
        <v>81</v>
      </c>
      <c r="N334" s="231">
        <v>170820</v>
      </c>
      <c r="O334" s="229"/>
      <c r="P334" s="229"/>
      <c r="Q334" s="218">
        <v>1</v>
      </c>
      <c r="R334" s="219"/>
      <c r="S334" s="220">
        <v>46197</v>
      </c>
      <c r="T334" s="220">
        <v>46168</v>
      </c>
      <c r="U334" s="220">
        <v>46185</v>
      </c>
      <c r="V334" s="219" t="s">
        <v>41</v>
      </c>
      <c r="W334" s="223">
        <v>238.43</v>
      </c>
      <c r="X334" s="223">
        <f>Table2[[#This Row],[QUANTIDADE]]*Table2[[#This Row],[PREÇO UNITARIO]]</f>
        <v>476.86</v>
      </c>
      <c r="Y334" s="219" t="s">
        <v>42</v>
      </c>
      <c r="Z334" s="219">
        <f t="shared" si="10"/>
        <v>4</v>
      </c>
      <c r="AA334" s="219" t="s">
        <v>42</v>
      </c>
      <c r="AB334" s="220">
        <f t="shared" ca="1" si="11"/>
        <v>46235</v>
      </c>
      <c r="AC334" s="219">
        <f ca="1">_xlfn.DAYS(Table2[[#This Row],[HOJE]],Table2[[#This Row],[DATA PEDIDO HP]])</f>
        <v>103</v>
      </c>
      <c r="AD334" s="219" t="str">
        <f>IF(Table2[[#This Row],[STATUS2]]="ENTREGUE","ENTREGUE","")</f>
        <v>ENTREGUE</v>
      </c>
      <c r="AE334" s="219" t="s">
        <v>43</v>
      </c>
    </row>
    <row r="335" spans="1:31" ht="15" customHeight="1">
      <c r="A335" s="229" t="s">
        <v>1152</v>
      </c>
      <c r="B335" s="249">
        <v>46132</v>
      </c>
      <c r="C335" s="251">
        <v>46129</v>
      </c>
      <c r="D335" s="231" t="s">
        <v>1153</v>
      </c>
      <c r="E335" s="231" t="s">
        <v>191</v>
      </c>
      <c r="F335" s="231" t="s">
        <v>95</v>
      </c>
      <c r="G335" s="231">
        <v>60001111</v>
      </c>
      <c r="H335" s="231" t="s">
        <v>517</v>
      </c>
      <c r="I335" s="232" t="s">
        <v>1157</v>
      </c>
      <c r="J335" s="231">
        <v>1</v>
      </c>
      <c r="K335" s="231" t="s">
        <v>37</v>
      </c>
      <c r="L335" s="231" t="s">
        <v>98</v>
      </c>
      <c r="M335" s="231" t="s">
        <v>81</v>
      </c>
      <c r="N335" s="231">
        <v>170820</v>
      </c>
      <c r="O335" s="229"/>
      <c r="P335" s="229"/>
      <c r="Q335" s="218">
        <v>1</v>
      </c>
      <c r="R335" s="219"/>
      <c r="S335" s="220">
        <v>46197</v>
      </c>
      <c r="T335" s="220">
        <v>46168</v>
      </c>
      <c r="U335" s="220">
        <v>46185</v>
      </c>
      <c r="V335" s="219" t="s">
        <v>41</v>
      </c>
      <c r="W335" s="223">
        <v>77.98</v>
      </c>
      <c r="X335" s="223">
        <f>Table2[[#This Row],[QUANTIDADE]]*Table2[[#This Row],[PREÇO UNITARIO]]</f>
        <v>77.98</v>
      </c>
      <c r="Y335" s="219" t="s">
        <v>42</v>
      </c>
      <c r="Z335" s="219">
        <f t="shared" si="10"/>
        <v>4</v>
      </c>
      <c r="AA335" s="219" t="s">
        <v>42</v>
      </c>
      <c r="AB335" s="220">
        <f t="shared" ca="1" si="11"/>
        <v>46235</v>
      </c>
      <c r="AC335" s="219">
        <f ca="1">_xlfn.DAYS(Table2[[#This Row],[HOJE]],Table2[[#This Row],[DATA PEDIDO HP]])</f>
        <v>103</v>
      </c>
      <c r="AD335" s="219" t="str">
        <f>IF(Table2[[#This Row],[STATUS2]]="ENTREGUE","ENTREGUE","")</f>
        <v>ENTREGUE</v>
      </c>
      <c r="AE335" s="219" t="s">
        <v>43</v>
      </c>
    </row>
    <row r="336" spans="1:31" ht="15" customHeight="1">
      <c r="A336" s="229" t="s">
        <v>1158</v>
      </c>
      <c r="B336" s="249">
        <v>46129</v>
      </c>
      <c r="C336" s="251">
        <v>46129</v>
      </c>
      <c r="D336" s="231" t="s">
        <v>1159</v>
      </c>
      <c r="E336" s="231" t="s">
        <v>191</v>
      </c>
      <c r="F336" s="231" t="s">
        <v>95</v>
      </c>
      <c r="G336" s="231">
        <v>60001111</v>
      </c>
      <c r="H336" s="231" t="s">
        <v>1160</v>
      </c>
      <c r="I336" s="232" t="s">
        <v>1161</v>
      </c>
      <c r="J336" s="231">
        <v>1</v>
      </c>
      <c r="K336" s="231" t="s">
        <v>37</v>
      </c>
      <c r="L336" s="231" t="s">
        <v>98</v>
      </c>
      <c r="M336" s="231" t="s">
        <v>81</v>
      </c>
      <c r="N336" s="231">
        <v>175572</v>
      </c>
      <c r="O336" s="229"/>
      <c r="P336" s="229"/>
      <c r="Q336" s="218">
        <v>1</v>
      </c>
      <c r="R336" s="219"/>
      <c r="S336" s="220">
        <v>46197</v>
      </c>
      <c r="T336" s="220">
        <v>46168</v>
      </c>
      <c r="U336" s="220">
        <v>46185</v>
      </c>
      <c r="V336" s="219" t="s">
        <v>41</v>
      </c>
      <c r="W336" s="223">
        <v>63.13</v>
      </c>
      <c r="X336" s="223">
        <f>Table2[[#This Row],[QUANTIDADE]]*Table2[[#This Row],[PREÇO UNITARIO]]</f>
        <v>63.13</v>
      </c>
      <c r="Y336" s="219" t="s">
        <v>42</v>
      </c>
      <c r="Z336" s="219">
        <f t="shared" si="10"/>
        <v>4</v>
      </c>
      <c r="AA336" s="219" t="s">
        <v>42</v>
      </c>
      <c r="AB336" s="220">
        <f t="shared" ca="1" si="11"/>
        <v>46235</v>
      </c>
      <c r="AC336" s="219">
        <f ca="1">_xlfn.DAYS(Table2[[#This Row],[HOJE]],Table2[[#This Row],[DATA PEDIDO HP]])</f>
        <v>106</v>
      </c>
      <c r="AD336" s="219" t="str">
        <f>IF(Table2[[#This Row],[STATUS2]]="ENTREGUE","ENTREGUE","")</f>
        <v>ENTREGUE</v>
      </c>
      <c r="AE336" s="219" t="s">
        <v>43</v>
      </c>
    </row>
    <row r="337" spans="1:31" ht="15" customHeight="1">
      <c r="A337" s="229" t="s">
        <v>1158</v>
      </c>
      <c r="B337" s="249">
        <v>46129</v>
      </c>
      <c r="C337" s="251">
        <v>46129</v>
      </c>
      <c r="D337" s="231" t="s">
        <v>1159</v>
      </c>
      <c r="E337" s="231" t="s">
        <v>191</v>
      </c>
      <c r="F337" s="231" t="s">
        <v>95</v>
      </c>
      <c r="G337" s="231">
        <v>60001111</v>
      </c>
      <c r="H337" s="231" t="s">
        <v>1162</v>
      </c>
      <c r="I337" s="232" t="s">
        <v>1163</v>
      </c>
      <c r="J337" s="231">
        <v>2</v>
      </c>
      <c r="K337" s="231" t="s">
        <v>37</v>
      </c>
      <c r="L337" s="231" t="s">
        <v>98</v>
      </c>
      <c r="M337" s="231" t="s">
        <v>81</v>
      </c>
      <c r="N337" s="231">
        <v>175572</v>
      </c>
      <c r="O337" s="229"/>
      <c r="P337" s="229"/>
      <c r="Q337" s="218">
        <v>1</v>
      </c>
      <c r="R337" s="219"/>
      <c r="S337" s="220">
        <v>46197</v>
      </c>
      <c r="T337" s="220">
        <v>46168</v>
      </c>
      <c r="U337" s="220">
        <v>46185</v>
      </c>
      <c r="V337" s="219" t="s">
        <v>41</v>
      </c>
      <c r="W337" s="223">
        <v>60.75</v>
      </c>
      <c r="X337" s="223">
        <f>Table2[[#This Row],[QUANTIDADE]]*Table2[[#This Row],[PREÇO UNITARIO]]</f>
        <v>121.5</v>
      </c>
      <c r="Y337" s="219" t="s">
        <v>42</v>
      </c>
      <c r="Z337" s="219">
        <f t="shared" si="10"/>
        <v>4</v>
      </c>
      <c r="AA337" s="219" t="s">
        <v>42</v>
      </c>
      <c r="AB337" s="220">
        <f t="shared" ca="1" si="11"/>
        <v>46235</v>
      </c>
      <c r="AC337" s="219">
        <f ca="1">_xlfn.DAYS(Table2[[#This Row],[HOJE]],Table2[[#This Row],[DATA PEDIDO HP]])</f>
        <v>106</v>
      </c>
      <c r="AD337" s="219" t="str">
        <f>IF(Table2[[#This Row],[STATUS2]]="ENTREGUE","ENTREGUE","")</f>
        <v>ENTREGUE</v>
      </c>
      <c r="AE337" s="219" t="s">
        <v>43</v>
      </c>
    </row>
    <row r="338" spans="1:31" ht="15" customHeight="1">
      <c r="A338" s="229" t="s">
        <v>1158</v>
      </c>
      <c r="B338" s="249">
        <v>46129</v>
      </c>
      <c r="C338" s="251">
        <v>46129</v>
      </c>
      <c r="D338" s="231" t="s">
        <v>1159</v>
      </c>
      <c r="E338" s="231" t="s">
        <v>191</v>
      </c>
      <c r="F338" s="231" t="s">
        <v>95</v>
      </c>
      <c r="G338" s="231">
        <v>60001111</v>
      </c>
      <c r="H338" s="231" t="s">
        <v>1164</v>
      </c>
      <c r="I338" s="232" t="s">
        <v>1165</v>
      </c>
      <c r="J338" s="231">
        <v>1</v>
      </c>
      <c r="K338" s="231" t="s">
        <v>37</v>
      </c>
      <c r="L338" s="231" t="s">
        <v>98</v>
      </c>
      <c r="M338" s="231" t="s">
        <v>81</v>
      </c>
      <c r="N338" s="231">
        <v>175572</v>
      </c>
      <c r="O338" s="229"/>
      <c r="P338" s="229"/>
      <c r="Q338" s="218">
        <v>1</v>
      </c>
      <c r="R338" s="219"/>
      <c r="S338" s="220">
        <v>46233</v>
      </c>
      <c r="T338" s="220">
        <v>46198</v>
      </c>
      <c r="U338" s="220">
        <v>46210</v>
      </c>
      <c r="V338" s="219" t="s">
        <v>830</v>
      </c>
      <c r="W338" s="223">
        <v>16.52</v>
      </c>
      <c r="X338" s="223">
        <f>Table2[[#This Row],[QUANTIDADE]]*Table2[[#This Row],[PREÇO UNITARIO]]</f>
        <v>16.52</v>
      </c>
      <c r="Y338" s="219" t="s">
        <v>42</v>
      </c>
      <c r="Z338" s="219">
        <f t="shared" si="10"/>
        <v>4</v>
      </c>
      <c r="AA338" s="219" t="s">
        <v>42</v>
      </c>
      <c r="AB338" s="220">
        <f t="shared" ca="1" si="11"/>
        <v>46235</v>
      </c>
      <c r="AC338" s="219">
        <f ca="1">_xlfn.DAYS(Table2[[#This Row],[HOJE]],Table2[[#This Row],[DATA PEDIDO HP]])</f>
        <v>106</v>
      </c>
      <c r="AD338" s="219" t="str">
        <f>IF(Table2[[#This Row],[STATUS2]]="ENTREGUE","ENTREGUE","")</f>
        <v>ENTREGUE</v>
      </c>
      <c r="AE338" s="219" t="s">
        <v>43</v>
      </c>
    </row>
    <row r="339" spans="1:31" ht="15" customHeight="1">
      <c r="A339" s="229" t="s">
        <v>1158</v>
      </c>
      <c r="B339" s="249">
        <v>46129</v>
      </c>
      <c r="C339" s="251">
        <v>46129</v>
      </c>
      <c r="D339" s="231" t="s">
        <v>1159</v>
      </c>
      <c r="E339" s="231" t="s">
        <v>191</v>
      </c>
      <c r="F339" s="231" t="s">
        <v>95</v>
      </c>
      <c r="G339" s="231">
        <v>60001111</v>
      </c>
      <c r="H339" s="231" t="s">
        <v>809</v>
      </c>
      <c r="I339" s="232" t="s">
        <v>1166</v>
      </c>
      <c r="J339" s="231">
        <v>1</v>
      </c>
      <c r="K339" s="231" t="s">
        <v>37</v>
      </c>
      <c r="L339" s="231" t="s">
        <v>98</v>
      </c>
      <c r="M339" s="231" t="s">
        <v>81</v>
      </c>
      <c r="N339" s="231">
        <v>175572</v>
      </c>
      <c r="O339" s="229"/>
      <c r="P339" s="229"/>
      <c r="Q339" s="218">
        <v>1</v>
      </c>
      <c r="R339" s="219"/>
      <c r="S339" s="220">
        <v>46197</v>
      </c>
      <c r="T339" s="220">
        <v>46168</v>
      </c>
      <c r="U339" s="220">
        <v>46185</v>
      </c>
      <c r="V339" s="219" t="s">
        <v>41</v>
      </c>
      <c r="W339" s="223">
        <v>12.09</v>
      </c>
      <c r="X339" s="223">
        <f>Table2[[#This Row],[QUANTIDADE]]*Table2[[#This Row],[PREÇO UNITARIO]]</f>
        <v>12.09</v>
      </c>
      <c r="Y339" s="219" t="s">
        <v>42</v>
      </c>
      <c r="Z339" s="219">
        <f t="shared" si="10"/>
        <v>4</v>
      </c>
      <c r="AA339" s="219" t="s">
        <v>42</v>
      </c>
      <c r="AB339" s="220">
        <f t="shared" ca="1" si="11"/>
        <v>46235</v>
      </c>
      <c r="AC339" s="219">
        <f ca="1">_xlfn.DAYS(Table2[[#This Row],[HOJE]],Table2[[#This Row],[DATA PEDIDO HP]])</f>
        <v>106</v>
      </c>
      <c r="AD339" s="219" t="str">
        <f>IF(Table2[[#This Row],[STATUS2]]="ENTREGUE","ENTREGUE","")</f>
        <v>ENTREGUE</v>
      </c>
      <c r="AE339" s="219" t="s">
        <v>43</v>
      </c>
    </row>
    <row r="340" spans="1:31" ht="15" customHeight="1">
      <c r="A340" s="229" t="s">
        <v>1167</v>
      </c>
      <c r="B340" s="249">
        <v>46132</v>
      </c>
      <c r="C340" s="251">
        <v>46129</v>
      </c>
      <c r="D340" s="231" t="s">
        <v>1168</v>
      </c>
      <c r="E340" s="231" t="s">
        <v>298</v>
      </c>
      <c r="F340" s="231" t="s">
        <v>34</v>
      </c>
      <c r="G340" s="231">
        <v>50110261</v>
      </c>
      <c r="H340" s="231" t="s">
        <v>110</v>
      </c>
      <c r="I340" s="232" t="s">
        <v>1169</v>
      </c>
      <c r="J340" s="231">
        <v>1</v>
      </c>
      <c r="K340" s="231" t="s">
        <v>37</v>
      </c>
      <c r="L340" s="231" t="s">
        <v>72</v>
      </c>
      <c r="M340" s="231" t="s">
        <v>73</v>
      </c>
      <c r="N340" s="231">
        <v>176530</v>
      </c>
      <c r="O340" s="229"/>
      <c r="P340" s="229"/>
      <c r="Q340" s="218">
        <v>1</v>
      </c>
      <c r="R340" s="219"/>
      <c r="S340" s="220"/>
      <c r="T340" s="220">
        <v>46168</v>
      </c>
      <c r="U340" s="220">
        <v>46185</v>
      </c>
      <c r="V340" s="219" t="s">
        <v>41</v>
      </c>
      <c r="W340" s="223">
        <v>898.2</v>
      </c>
      <c r="X340" s="223">
        <f>Table2[[#This Row],[QUANTIDADE]]*Table2[[#This Row],[PREÇO UNITARIO]]</f>
        <v>898.2</v>
      </c>
      <c r="Y340" s="219"/>
      <c r="Z340" s="219">
        <f t="shared" si="10"/>
        <v>4</v>
      </c>
      <c r="AA340" s="219" t="s">
        <v>74</v>
      </c>
      <c r="AB340" s="220">
        <f t="shared" ca="1" si="11"/>
        <v>46235</v>
      </c>
      <c r="AC340" s="219">
        <f ca="1">_xlfn.DAYS(Table2[[#This Row],[HOJE]],Table2[[#This Row],[DATA PEDIDO HP]])</f>
        <v>103</v>
      </c>
      <c r="AD340" s="219" t="str">
        <f ca="1">IF(Table2[[#This Row],[STATUS2]]="ENTREGUE","ENTREGUE","")</f>
        <v/>
      </c>
      <c r="AE340" s="219" t="str">
        <f ca="1">IF(Table2[[#This Row],[HOLD]]&gt;30,"ATRASADO","NO PRAZO")</f>
        <v>ATRASADO</v>
      </c>
    </row>
    <row r="341" spans="1:31" ht="15" customHeight="1">
      <c r="A341" s="229" t="s">
        <v>1170</v>
      </c>
      <c r="B341" s="249">
        <v>46132</v>
      </c>
      <c r="C341" s="251">
        <v>46129</v>
      </c>
      <c r="D341" s="231" t="s">
        <v>1171</v>
      </c>
      <c r="E341" s="231" t="s">
        <v>33</v>
      </c>
      <c r="F341" s="231" t="s">
        <v>95</v>
      </c>
      <c r="G341" s="231">
        <v>60002095</v>
      </c>
      <c r="H341" s="231" t="s">
        <v>1172</v>
      </c>
      <c r="I341" s="232" t="s">
        <v>1173</v>
      </c>
      <c r="J341" s="231">
        <v>1</v>
      </c>
      <c r="K341" s="231" t="s">
        <v>37</v>
      </c>
      <c r="L341" s="231" t="s">
        <v>98</v>
      </c>
      <c r="M341" s="231" t="s">
        <v>73</v>
      </c>
      <c r="N341" s="231">
        <v>170192</v>
      </c>
      <c r="O341" s="229"/>
      <c r="P341" s="229"/>
      <c r="Q341" s="218">
        <v>1</v>
      </c>
      <c r="R341" s="219"/>
      <c r="S341" s="220"/>
      <c r="T341" s="220">
        <v>46168</v>
      </c>
      <c r="U341" s="220">
        <v>46185</v>
      </c>
      <c r="V341" s="219" t="s">
        <v>41</v>
      </c>
      <c r="W341" s="223">
        <v>1172.56</v>
      </c>
      <c r="X341" s="223">
        <f>Table2[[#This Row],[QUANTIDADE]]*Table2[[#This Row],[PREÇO UNITARIO]]</f>
        <v>1172.56</v>
      </c>
      <c r="Y341" s="219"/>
      <c r="Z341" s="219">
        <f t="shared" si="10"/>
        <v>4</v>
      </c>
      <c r="AA341" s="219" t="s">
        <v>42</v>
      </c>
      <c r="AB341" s="220">
        <f t="shared" ca="1" si="11"/>
        <v>46235</v>
      </c>
      <c r="AC341" s="219">
        <f ca="1">_xlfn.DAYS(Table2[[#This Row],[HOJE]],Table2[[#This Row],[DATA PEDIDO HP]])</f>
        <v>103</v>
      </c>
      <c r="AD341" s="219" t="str">
        <f ca="1">IF(Table2[[#This Row],[STATUS2]]="ENTREGUE","ENTREGUE","")</f>
        <v/>
      </c>
      <c r="AE341" s="219" t="str">
        <f ca="1">IF(Table2[[#This Row],[HOLD]]&gt;30,"ATRASADO","NO PRAZO")</f>
        <v>ATRASADO</v>
      </c>
    </row>
    <row r="342" spans="1:31" ht="15" customHeight="1">
      <c r="A342" s="229" t="s">
        <v>1170</v>
      </c>
      <c r="B342" s="249">
        <v>46132</v>
      </c>
      <c r="C342" s="251">
        <v>46129</v>
      </c>
      <c r="D342" s="231" t="s">
        <v>1171</v>
      </c>
      <c r="E342" s="231" t="s">
        <v>33</v>
      </c>
      <c r="F342" s="231" t="s">
        <v>95</v>
      </c>
      <c r="G342" s="231">
        <v>60002095</v>
      </c>
      <c r="H342" s="231" t="s">
        <v>1174</v>
      </c>
      <c r="I342" s="232" t="s">
        <v>1175</v>
      </c>
      <c r="J342" s="231">
        <v>1</v>
      </c>
      <c r="K342" s="231" t="s">
        <v>37</v>
      </c>
      <c r="L342" s="231" t="s">
        <v>98</v>
      </c>
      <c r="M342" s="231" t="s">
        <v>73</v>
      </c>
      <c r="N342" s="231">
        <v>170192</v>
      </c>
      <c r="O342" s="229"/>
      <c r="P342" s="229"/>
      <c r="Q342" s="218">
        <v>1</v>
      </c>
      <c r="R342" s="219"/>
      <c r="S342" s="220"/>
      <c r="T342" s="220">
        <v>46168</v>
      </c>
      <c r="U342" s="220">
        <v>46185</v>
      </c>
      <c r="V342" s="219" t="s">
        <v>41</v>
      </c>
      <c r="W342" s="223">
        <v>107.78</v>
      </c>
      <c r="X342" s="223">
        <f>Table2[[#This Row],[QUANTIDADE]]*Table2[[#This Row],[PREÇO UNITARIO]]</f>
        <v>107.78</v>
      </c>
      <c r="Y342" s="219"/>
      <c r="Z342" s="219">
        <f t="shared" si="10"/>
        <v>4</v>
      </c>
      <c r="AA342" s="219" t="s">
        <v>42</v>
      </c>
      <c r="AB342" s="220">
        <f t="shared" ca="1" si="11"/>
        <v>46235</v>
      </c>
      <c r="AC342" s="219">
        <f ca="1">_xlfn.DAYS(Table2[[#This Row],[HOJE]],Table2[[#This Row],[DATA PEDIDO HP]])</f>
        <v>103</v>
      </c>
      <c r="AD342" s="219" t="str">
        <f ca="1">IF(Table2[[#This Row],[STATUS2]]="ENTREGUE","ENTREGUE","")</f>
        <v/>
      </c>
      <c r="AE342" s="219" t="str">
        <f ca="1">IF(Table2[[#This Row],[HOLD]]&gt;30,"ATRASADO","NO PRAZO")</f>
        <v>ATRASADO</v>
      </c>
    </row>
    <row r="343" spans="1:31" ht="15" customHeight="1">
      <c r="A343" s="229" t="s">
        <v>1176</v>
      </c>
      <c r="B343" s="249">
        <v>46135</v>
      </c>
      <c r="C343" s="251">
        <v>46132</v>
      </c>
      <c r="D343" s="231" t="s">
        <v>1177</v>
      </c>
      <c r="E343" s="231" t="s">
        <v>191</v>
      </c>
      <c r="F343" s="231" t="s">
        <v>95</v>
      </c>
      <c r="G343" s="231">
        <v>60001111</v>
      </c>
      <c r="H343" s="231" t="s">
        <v>1178</v>
      </c>
      <c r="I343" s="232" t="s">
        <v>1179</v>
      </c>
      <c r="J343" s="231">
        <v>1</v>
      </c>
      <c r="K343" s="231" t="s">
        <v>37</v>
      </c>
      <c r="L343" s="231" t="s">
        <v>122</v>
      </c>
      <c r="M343" s="231" t="s">
        <v>39</v>
      </c>
      <c r="N343" s="231">
        <v>176957</v>
      </c>
      <c r="O343" s="229"/>
      <c r="P343" s="229"/>
      <c r="Q343" s="219">
        <v>1</v>
      </c>
      <c r="R343" s="219"/>
      <c r="S343" s="220">
        <v>46197</v>
      </c>
      <c r="T343" s="220">
        <v>46168</v>
      </c>
      <c r="U343" s="220">
        <v>46185</v>
      </c>
      <c r="V343" s="219" t="s">
        <v>41</v>
      </c>
      <c r="W343" s="223">
        <v>100.16</v>
      </c>
      <c r="X343" s="223">
        <f>Table2[[#This Row],[QUANTIDADE]]*Table2[[#This Row],[PREÇO UNITARIO]]</f>
        <v>100.16</v>
      </c>
      <c r="Y343" s="219" t="s">
        <v>42</v>
      </c>
      <c r="Z343" s="219">
        <f t="shared" si="10"/>
        <v>4</v>
      </c>
      <c r="AA343" s="219" t="s">
        <v>42</v>
      </c>
      <c r="AB343" s="220">
        <f t="shared" ca="1" si="11"/>
        <v>46235</v>
      </c>
      <c r="AC343" s="219">
        <f ca="1">_xlfn.DAYS(Table2[[#This Row],[HOJE]],Table2[[#This Row],[DATA PEDIDO HP]])</f>
        <v>100</v>
      </c>
      <c r="AD343" s="219" t="str">
        <f>IF(Table2[[#This Row],[STATUS2]]="ENTREGUE","ENTREGUE","")</f>
        <v>ENTREGUE</v>
      </c>
      <c r="AE343" s="219" t="s">
        <v>43</v>
      </c>
    </row>
    <row r="344" spans="1:31" ht="15" customHeight="1">
      <c r="A344" s="229" t="s">
        <v>1180</v>
      </c>
      <c r="B344" s="249">
        <v>46135</v>
      </c>
      <c r="C344" s="251">
        <v>46134</v>
      </c>
      <c r="D344" s="231" t="s">
        <v>1181</v>
      </c>
      <c r="E344" s="231" t="s">
        <v>365</v>
      </c>
      <c r="F344" s="231" t="s">
        <v>328</v>
      </c>
      <c r="G344" s="231">
        <v>50000530</v>
      </c>
      <c r="H344" s="231" t="s">
        <v>1182</v>
      </c>
      <c r="I344" s="232" t="s">
        <v>1183</v>
      </c>
      <c r="J344" s="231">
        <v>1</v>
      </c>
      <c r="K344" s="231" t="s">
        <v>37</v>
      </c>
      <c r="L344" s="231" t="s">
        <v>122</v>
      </c>
      <c r="M344" s="231" t="s">
        <v>39</v>
      </c>
      <c r="N344" s="231">
        <v>177023</v>
      </c>
      <c r="O344" s="229"/>
      <c r="P344" s="229"/>
      <c r="Q344" s="219">
        <v>0</v>
      </c>
      <c r="R344" s="219" t="s">
        <v>415</v>
      </c>
      <c r="S344" s="220">
        <v>46202</v>
      </c>
      <c r="T344" s="220">
        <v>46168</v>
      </c>
      <c r="U344" s="220">
        <v>46185</v>
      </c>
      <c r="V344" s="219" t="s">
        <v>41</v>
      </c>
      <c r="W344" s="223">
        <v>219.49</v>
      </c>
      <c r="X344" s="223">
        <f>Table2[[#This Row],[QUANTIDADE]]*Table2[[#This Row],[PREÇO UNITARIO]]</f>
        <v>219.49</v>
      </c>
      <c r="Y344" s="219"/>
      <c r="Z344" s="219">
        <f t="shared" si="10"/>
        <v>4</v>
      </c>
      <c r="AA344" s="219" t="s">
        <v>74</v>
      </c>
      <c r="AB344" s="220">
        <f t="shared" ca="1" si="11"/>
        <v>46235</v>
      </c>
      <c r="AC344" s="219">
        <f ca="1">_xlfn.DAYS(Table2[[#This Row],[HOJE]],Table2[[#This Row],[DATA PEDIDO HP]])</f>
        <v>100</v>
      </c>
      <c r="AD344" s="219" t="str">
        <f>IF(Table2[[#This Row],[STATUS2]]="ENTREGUE","ENTREGUE","")</f>
        <v>ENTREGUE</v>
      </c>
      <c r="AE344" s="219" t="s">
        <v>43</v>
      </c>
    </row>
    <row r="345" spans="1:31" ht="15" customHeight="1">
      <c r="A345" s="229" t="s">
        <v>1184</v>
      </c>
      <c r="B345" s="249">
        <v>46135</v>
      </c>
      <c r="C345" s="251">
        <v>46132</v>
      </c>
      <c r="D345" s="231" t="s">
        <v>1185</v>
      </c>
      <c r="E345" s="231" t="s">
        <v>915</v>
      </c>
      <c r="F345" s="231" t="s">
        <v>242</v>
      </c>
      <c r="G345" s="231">
        <v>51100064</v>
      </c>
      <c r="H345" s="231" t="s">
        <v>1186</v>
      </c>
      <c r="I345" s="232" t="s">
        <v>1187</v>
      </c>
      <c r="J345" s="231">
        <v>1</v>
      </c>
      <c r="K345" s="231" t="s">
        <v>37</v>
      </c>
      <c r="L345" s="231" t="s">
        <v>122</v>
      </c>
      <c r="M345" s="231" t="s">
        <v>81</v>
      </c>
      <c r="N345" s="231">
        <v>176858</v>
      </c>
      <c r="O345" s="229"/>
      <c r="P345" s="229"/>
      <c r="Q345" s="218">
        <v>1</v>
      </c>
      <c r="R345" s="219" t="s">
        <v>1188</v>
      </c>
      <c r="S345" s="220"/>
      <c r="T345" s="220">
        <v>46168</v>
      </c>
      <c r="U345" s="220">
        <v>46185</v>
      </c>
      <c r="V345" s="219" t="s">
        <v>41</v>
      </c>
      <c r="W345" s="223">
        <v>1055.3</v>
      </c>
      <c r="X345" s="223">
        <f>Table2[[#This Row],[QUANTIDADE]]*Table2[[#This Row],[PREÇO UNITARIO]]</f>
        <v>1055.3</v>
      </c>
      <c r="Y345" s="219"/>
      <c r="Z345" s="219">
        <f t="shared" si="10"/>
        <v>4</v>
      </c>
      <c r="AA345" s="219" t="s">
        <v>74</v>
      </c>
      <c r="AB345" s="220">
        <f t="shared" ca="1" si="11"/>
        <v>46235</v>
      </c>
      <c r="AC345" s="219">
        <f ca="1">_xlfn.DAYS(Table2[[#This Row],[HOJE]],Table2[[#This Row],[DATA PEDIDO HP]])</f>
        <v>100</v>
      </c>
      <c r="AD345" s="219" t="str">
        <f ca="1">IF(Table2[[#This Row],[STATUS2]]="ENTREGUE","ENTREGUE","")</f>
        <v/>
      </c>
      <c r="AE345" s="219" t="str">
        <f ca="1">IF(Table2[[#This Row],[HOLD]]&gt;30,"ATRASADO","NO PRAZO")</f>
        <v>ATRASADO</v>
      </c>
    </row>
    <row r="346" spans="1:31" ht="15" customHeight="1">
      <c r="A346" s="229" t="s">
        <v>1189</v>
      </c>
      <c r="B346" s="249">
        <v>46141</v>
      </c>
      <c r="C346" s="227">
        <v>46134</v>
      </c>
      <c r="D346" s="228"/>
      <c r="E346" s="228" t="s">
        <v>541</v>
      </c>
      <c r="F346" s="228" t="s">
        <v>542</v>
      </c>
      <c r="G346" s="228">
        <v>61000037</v>
      </c>
      <c r="H346" s="228" t="s">
        <v>1190</v>
      </c>
      <c r="I346" s="228" t="s">
        <v>1191</v>
      </c>
      <c r="J346" s="228">
        <v>1</v>
      </c>
      <c r="K346" s="228" t="s">
        <v>37</v>
      </c>
      <c r="L346" s="228"/>
      <c r="M346" s="228"/>
      <c r="N346" s="228"/>
      <c r="O346" s="229"/>
      <c r="P346" s="229"/>
      <c r="Q346" s="219"/>
      <c r="R346" s="219"/>
      <c r="S346" s="220"/>
      <c r="T346" s="220">
        <v>46168</v>
      </c>
      <c r="U346" s="220">
        <v>46185</v>
      </c>
      <c r="V346" s="219" t="s">
        <v>41</v>
      </c>
      <c r="W346" s="223">
        <v>21.56</v>
      </c>
      <c r="X346" s="223">
        <f>Table2[[#This Row],[QUANTIDADE]]*Table2[[#This Row],[PREÇO UNITARIO]]</f>
        <v>21.56</v>
      </c>
      <c r="Y346" s="219"/>
      <c r="Z346" s="219">
        <f t="shared" si="10"/>
        <v>4</v>
      </c>
      <c r="AA346" s="219" t="s">
        <v>74</v>
      </c>
      <c r="AB346" s="220">
        <f t="shared" ca="1" si="11"/>
        <v>46235</v>
      </c>
      <c r="AC346" s="219">
        <f ca="1">_xlfn.DAYS(Table2[[#This Row],[HOJE]],Table2[[#This Row],[DATA PEDIDO HP]])</f>
        <v>94</v>
      </c>
      <c r="AD346" s="219" t="str">
        <f ca="1">IF(Table2[[#This Row],[STATUS2]]="ENTREGUE","ENTREGUE","")</f>
        <v/>
      </c>
      <c r="AE346" s="219" t="str">
        <f ca="1">IF(Table2[[#This Row],[HOLD]]&gt;30,"ATRASADO","NO PRAZO")</f>
        <v>ATRASADO</v>
      </c>
    </row>
    <row r="347" spans="1:31" ht="15" customHeight="1">
      <c r="A347" s="229" t="s">
        <v>1192</v>
      </c>
      <c r="B347" s="249">
        <v>46136</v>
      </c>
      <c r="C347" s="251">
        <v>46134</v>
      </c>
      <c r="D347" s="231" t="s">
        <v>1193</v>
      </c>
      <c r="E347" s="231" t="s">
        <v>345</v>
      </c>
      <c r="F347" s="231" t="s">
        <v>34</v>
      </c>
      <c r="G347" s="231">
        <v>50110229</v>
      </c>
      <c r="H347" s="231" t="s">
        <v>222</v>
      </c>
      <c r="I347" s="232" t="s">
        <v>223</v>
      </c>
      <c r="J347" s="231">
        <v>1</v>
      </c>
      <c r="K347" s="231" t="s">
        <v>37</v>
      </c>
      <c r="L347" s="231" t="s">
        <v>72</v>
      </c>
      <c r="M347" s="231" t="s">
        <v>81</v>
      </c>
      <c r="N347" s="231">
        <v>177124</v>
      </c>
      <c r="O347" s="229"/>
      <c r="P347" s="229"/>
      <c r="Q347" s="218">
        <v>1</v>
      </c>
      <c r="R347" s="219"/>
      <c r="S347" s="220">
        <v>46202</v>
      </c>
      <c r="T347" s="220">
        <v>46168</v>
      </c>
      <c r="U347" s="220">
        <v>46185</v>
      </c>
      <c r="V347" s="219" t="s">
        <v>41</v>
      </c>
      <c r="W347" s="223">
        <v>207.82</v>
      </c>
      <c r="X347" s="223">
        <f>Table2[[#This Row],[QUANTIDADE]]*Table2[[#This Row],[PREÇO UNITARIO]]</f>
        <v>207.82</v>
      </c>
      <c r="Y347" s="219"/>
      <c r="Z347" s="219">
        <f t="shared" si="10"/>
        <v>4</v>
      </c>
      <c r="AA347" s="219" t="s">
        <v>42</v>
      </c>
      <c r="AB347" s="220">
        <f t="shared" ca="1" si="11"/>
        <v>46235</v>
      </c>
      <c r="AC347" s="219">
        <f ca="1">_xlfn.DAYS(Table2[[#This Row],[HOJE]],Table2[[#This Row],[DATA PEDIDO HP]])</f>
        <v>99</v>
      </c>
      <c r="AD347" s="219" t="str">
        <f>IF(Table2[[#This Row],[STATUS2]]="ENTREGUE","ENTREGUE","")</f>
        <v>ENTREGUE</v>
      </c>
      <c r="AE347" s="219" t="s">
        <v>43</v>
      </c>
    </row>
    <row r="348" spans="1:31" ht="15" customHeight="1">
      <c r="A348" s="229" t="s">
        <v>1194</v>
      </c>
      <c r="B348" s="249">
        <v>46135</v>
      </c>
      <c r="C348" s="251">
        <v>46134</v>
      </c>
      <c r="D348" s="231" t="s">
        <v>1195</v>
      </c>
      <c r="E348" s="231" t="s">
        <v>69</v>
      </c>
      <c r="F348" s="231" t="s">
        <v>34</v>
      </c>
      <c r="G348" s="231">
        <v>50200095</v>
      </c>
      <c r="H348" s="231" t="s">
        <v>70</v>
      </c>
      <c r="I348" s="232" t="s">
        <v>352</v>
      </c>
      <c r="J348" s="231">
        <v>1</v>
      </c>
      <c r="K348" s="231" t="s">
        <v>37</v>
      </c>
      <c r="L348" s="231" t="s">
        <v>72</v>
      </c>
      <c r="M348" s="231" t="s">
        <v>73</v>
      </c>
      <c r="N348" s="231">
        <v>177089</v>
      </c>
      <c r="O348" s="229"/>
      <c r="P348" s="229"/>
      <c r="Q348" s="218">
        <v>1</v>
      </c>
      <c r="R348" s="219"/>
      <c r="S348" s="220"/>
      <c r="T348" s="220">
        <v>46168</v>
      </c>
      <c r="U348" s="220">
        <v>46185</v>
      </c>
      <c r="V348" s="219" t="s">
        <v>41</v>
      </c>
      <c r="W348" s="223">
        <v>35.19</v>
      </c>
      <c r="X348" s="223">
        <f>Table2[[#This Row],[QUANTIDADE]]*Table2[[#This Row],[PREÇO UNITARIO]]</f>
        <v>35.19</v>
      </c>
      <c r="Y348" s="219"/>
      <c r="Z348" s="219">
        <f t="shared" si="10"/>
        <v>4</v>
      </c>
      <c r="AA348" s="219" t="s">
        <v>74</v>
      </c>
      <c r="AB348" s="220">
        <f t="shared" ca="1" si="11"/>
        <v>46235</v>
      </c>
      <c r="AC348" s="219">
        <f ca="1">_xlfn.DAYS(Table2[[#This Row],[HOJE]],Table2[[#This Row],[DATA PEDIDO HP]])</f>
        <v>100</v>
      </c>
      <c r="AD348" s="219" t="str">
        <f ca="1">IF(Table2[[#This Row],[STATUS2]]="ENTREGUE","ENTREGUE","")</f>
        <v/>
      </c>
      <c r="AE348" s="219" t="str">
        <f ca="1">IF(Table2[[#This Row],[HOLD]]&gt;30,"ATRASADO","NO PRAZO")</f>
        <v>ATRASADO</v>
      </c>
    </row>
    <row r="349" spans="1:31" ht="15" customHeight="1">
      <c r="A349" s="229" t="s">
        <v>1196</v>
      </c>
      <c r="B349" s="249">
        <v>46136</v>
      </c>
      <c r="C349" s="251">
        <v>46135</v>
      </c>
      <c r="D349" s="231" t="s">
        <v>1197</v>
      </c>
      <c r="E349" s="231" t="s">
        <v>345</v>
      </c>
      <c r="F349" s="231" t="s">
        <v>34</v>
      </c>
      <c r="G349" s="231">
        <v>50110229</v>
      </c>
      <c r="H349" s="231" t="s">
        <v>1198</v>
      </c>
      <c r="I349" s="232" t="s">
        <v>1199</v>
      </c>
      <c r="J349" s="231">
        <v>1</v>
      </c>
      <c r="K349" s="231" t="s">
        <v>37</v>
      </c>
      <c r="L349" s="231" t="s">
        <v>72</v>
      </c>
      <c r="M349" s="231" t="s">
        <v>73</v>
      </c>
      <c r="N349" s="231">
        <v>177485</v>
      </c>
      <c r="O349" s="229"/>
      <c r="P349" s="229"/>
      <c r="Q349" s="218">
        <v>1</v>
      </c>
      <c r="R349" s="219" t="s">
        <v>1200</v>
      </c>
      <c r="S349" s="220"/>
      <c r="T349" s="220">
        <v>46168</v>
      </c>
      <c r="U349" s="220">
        <v>46185</v>
      </c>
      <c r="V349" s="219" t="s">
        <v>41</v>
      </c>
      <c r="W349" s="223">
        <v>253.13</v>
      </c>
      <c r="X349" s="223">
        <f>Table2[[#This Row],[QUANTIDADE]]*Table2[[#This Row],[PREÇO UNITARIO]]</f>
        <v>253.13</v>
      </c>
      <c r="Y349" s="219"/>
      <c r="Z349" s="219">
        <f t="shared" si="10"/>
        <v>4</v>
      </c>
      <c r="AA349" s="219" t="s">
        <v>42</v>
      </c>
      <c r="AB349" s="220">
        <f t="shared" ca="1" si="11"/>
        <v>46235</v>
      </c>
      <c r="AC349" s="219">
        <f ca="1">_xlfn.DAYS(Table2[[#This Row],[HOJE]],Table2[[#This Row],[DATA PEDIDO HP]])</f>
        <v>99</v>
      </c>
      <c r="AD349" s="219" t="str">
        <f ca="1">IF(Table2[[#This Row],[STATUS2]]="ENTREGUE","ENTREGUE","")</f>
        <v/>
      </c>
      <c r="AE349" s="219" t="str">
        <f ca="1">IF(Table2[[#This Row],[HOLD]]&gt;30,"ATRASADO","NO PRAZO")</f>
        <v>ATRASADO</v>
      </c>
    </row>
    <row r="350" spans="1:31" ht="15" customHeight="1">
      <c r="A350" s="229" t="s">
        <v>1201</v>
      </c>
      <c r="B350" s="249">
        <v>46135</v>
      </c>
      <c r="C350" s="251">
        <v>46135</v>
      </c>
      <c r="D350" s="231" t="s">
        <v>1202</v>
      </c>
      <c r="E350" s="231" t="s">
        <v>134</v>
      </c>
      <c r="F350" s="231" t="s">
        <v>145</v>
      </c>
      <c r="G350" s="231">
        <v>48000432</v>
      </c>
      <c r="H350" s="231" t="s">
        <v>1203</v>
      </c>
      <c r="I350" s="232" t="s">
        <v>1204</v>
      </c>
      <c r="J350" s="231">
        <v>1</v>
      </c>
      <c r="K350" s="231" t="s">
        <v>37</v>
      </c>
      <c r="L350" s="231" t="s">
        <v>72</v>
      </c>
      <c r="M350" s="231" t="s">
        <v>73</v>
      </c>
      <c r="N350" s="231">
        <v>177122</v>
      </c>
      <c r="O350" s="229"/>
      <c r="P350" s="229"/>
      <c r="Q350" s="218">
        <v>1</v>
      </c>
      <c r="R350" s="219"/>
      <c r="S350" s="220"/>
      <c r="T350" s="220">
        <v>46168</v>
      </c>
      <c r="U350" s="220">
        <v>46185</v>
      </c>
      <c r="V350" s="219" t="s">
        <v>41</v>
      </c>
      <c r="W350" s="223">
        <v>8.9</v>
      </c>
      <c r="X350" s="223">
        <f>Table2[[#This Row],[QUANTIDADE]]*Table2[[#This Row],[PREÇO UNITARIO]]</f>
        <v>8.9</v>
      </c>
      <c r="Y350" s="219"/>
      <c r="Z350" s="219">
        <f t="shared" si="10"/>
        <v>4</v>
      </c>
      <c r="AA350" s="219" t="s">
        <v>74</v>
      </c>
      <c r="AB350" s="220">
        <f t="shared" ca="1" si="11"/>
        <v>46235</v>
      </c>
      <c r="AC350" s="219">
        <f ca="1">_xlfn.DAYS(Table2[[#This Row],[HOJE]],Table2[[#This Row],[DATA PEDIDO HP]])</f>
        <v>100</v>
      </c>
      <c r="AD350" s="219" t="str">
        <f ca="1">IF(Table2[[#This Row],[STATUS2]]="ENTREGUE","ENTREGUE","")</f>
        <v/>
      </c>
      <c r="AE350" s="219" t="str">
        <f ca="1">IF(Table2[[#This Row],[HOLD]]&gt;30,"ATRASADO","NO PRAZO")</f>
        <v>ATRASADO</v>
      </c>
    </row>
    <row r="351" spans="1:31" ht="15" customHeight="1">
      <c r="A351" s="229" t="s">
        <v>1201</v>
      </c>
      <c r="B351" s="249">
        <v>46135</v>
      </c>
      <c r="C351" s="251">
        <v>46135</v>
      </c>
      <c r="D351" s="231" t="s">
        <v>1202</v>
      </c>
      <c r="E351" s="231" t="s">
        <v>134</v>
      </c>
      <c r="F351" s="231" t="s">
        <v>145</v>
      </c>
      <c r="G351" s="231">
        <v>48000432</v>
      </c>
      <c r="H351" s="231" t="s">
        <v>595</v>
      </c>
      <c r="I351" s="232" t="s">
        <v>1205</v>
      </c>
      <c r="J351" s="231">
        <v>1</v>
      </c>
      <c r="K351" s="231" t="s">
        <v>37</v>
      </c>
      <c r="L351" s="231" t="s">
        <v>72</v>
      </c>
      <c r="M351" s="231" t="s">
        <v>73</v>
      </c>
      <c r="N351" s="231">
        <v>177122</v>
      </c>
      <c r="O351" s="229"/>
      <c r="P351" s="229"/>
      <c r="Q351" s="218">
        <v>1</v>
      </c>
      <c r="R351" s="219"/>
      <c r="S351" s="220"/>
      <c r="T351" s="220">
        <v>46168</v>
      </c>
      <c r="U351" s="220">
        <v>46185</v>
      </c>
      <c r="V351" s="219" t="s">
        <v>41</v>
      </c>
      <c r="W351" s="223">
        <v>129.01</v>
      </c>
      <c r="X351" s="223">
        <f>Table2[[#This Row],[QUANTIDADE]]*Table2[[#This Row],[PREÇO UNITARIO]]</f>
        <v>129.01</v>
      </c>
      <c r="Y351" s="219"/>
      <c r="Z351" s="219">
        <f t="shared" si="10"/>
        <v>4</v>
      </c>
      <c r="AA351" s="219" t="s">
        <v>74</v>
      </c>
      <c r="AB351" s="220">
        <f t="shared" ca="1" si="11"/>
        <v>46235</v>
      </c>
      <c r="AC351" s="219">
        <f ca="1">_xlfn.DAYS(Table2[[#This Row],[HOJE]],Table2[[#This Row],[DATA PEDIDO HP]])</f>
        <v>100</v>
      </c>
      <c r="AD351" s="219" t="str">
        <f ca="1">IF(Table2[[#This Row],[STATUS2]]="ENTREGUE","ENTREGUE","")</f>
        <v/>
      </c>
      <c r="AE351" s="219" t="str">
        <f ca="1">IF(Table2[[#This Row],[HOLD]]&gt;30,"ATRASADO","NO PRAZO")</f>
        <v>ATRASADO</v>
      </c>
    </row>
    <row r="352" spans="1:31" ht="15" customHeight="1">
      <c r="A352" s="229" t="s">
        <v>1201</v>
      </c>
      <c r="B352" s="249">
        <v>46139</v>
      </c>
      <c r="C352" s="251">
        <v>46136</v>
      </c>
      <c r="D352" s="231" t="s">
        <v>1206</v>
      </c>
      <c r="E352" s="231" t="s">
        <v>247</v>
      </c>
      <c r="F352" s="231" t="s">
        <v>1207</v>
      </c>
      <c r="G352" s="231">
        <v>46000017</v>
      </c>
      <c r="H352" s="231" t="s">
        <v>1208</v>
      </c>
      <c r="I352" s="232" t="s">
        <v>1209</v>
      </c>
      <c r="J352" s="231">
        <v>1</v>
      </c>
      <c r="K352" s="231" t="s">
        <v>37</v>
      </c>
      <c r="L352" s="231" t="s">
        <v>785</v>
      </c>
      <c r="M352" s="231" t="s">
        <v>39</v>
      </c>
      <c r="N352" s="229">
        <v>177979</v>
      </c>
      <c r="O352" s="229"/>
      <c r="P352" s="229"/>
      <c r="Q352" s="218">
        <v>1</v>
      </c>
      <c r="R352" s="219"/>
      <c r="S352" s="220"/>
      <c r="T352" s="220"/>
      <c r="U352" s="220"/>
      <c r="V352" s="219"/>
      <c r="W352" s="223">
        <v>357.65</v>
      </c>
      <c r="X352" s="223">
        <f>Table2[[#This Row],[QUANTIDADE]]*Table2[[#This Row],[PREÇO UNITARIO]]</f>
        <v>357.65</v>
      </c>
      <c r="Y352" s="219"/>
      <c r="Z352" s="219">
        <f t="shared" si="10"/>
        <v>4</v>
      </c>
      <c r="AA352" s="219" t="s">
        <v>74</v>
      </c>
      <c r="AB352" s="220">
        <f t="shared" ca="1" si="11"/>
        <v>46235</v>
      </c>
      <c r="AC352" s="219">
        <f ca="1">_xlfn.DAYS(Table2[[#This Row],[HOJE]],Table2[[#This Row],[DATA PEDIDO HP]])</f>
        <v>96</v>
      </c>
      <c r="AD352" s="219" t="str">
        <f ca="1">IF(Table2[[#This Row],[STATUS2]]="ENTREGUE","ENTREGUE","")</f>
        <v/>
      </c>
      <c r="AE352" s="230" t="str">
        <f ca="1">IF(Table2[[#This Row],[HOLD]]&gt;30,"ATRASADO","NO PRAZO")</f>
        <v>ATRASADO</v>
      </c>
    </row>
    <row r="353" spans="1:31" ht="15" customHeight="1">
      <c r="A353" s="229" t="s">
        <v>1210</v>
      </c>
      <c r="B353" s="249">
        <v>46139</v>
      </c>
      <c r="C353" s="251">
        <v>46136</v>
      </c>
      <c r="D353" s="231" t="s">
        <v>1211</v>
      </c>
      <c r="E353" s="231" t="s">
        <v>247</v>
      </c>
      <c r="F353" s="231" t="s">
        <v>594</v>
      </c>
      <c r="G353" s="231">
        <v>46000018</v>
      </c>
      <c r="H353" s="231" t="s">
        <v>1212</v>
      </c>
      <c r="I353" s="232" t="s">
        <v>1213</v>
      </c>
      <c r="J353" s="231">
        <v>1</v>
      </c>
      <c r="K353" s="231" t="s">
        <v>37</v>
      </c>
      <c r="L353" s="231" t="s">
        <v>785</v>
      </c>
      <c r="M353" s="231" t="s">
        <v>39</v>
      </c>
      <c r="N353" s="229">
        <v>177980</v>
      </c>
      <c r="O353" s="229"/>
      <c r="P353" s="229"/>
      <c r="Q353" s="218">
        <v>1</v>
      </c>
      <c r="R353" s="219"/>
      <c r="S353" s="220"/>
      <c r="T353" s="220">
        <v>46198</v>
      </c>
      <c r="U353" s="220">
        <v>46210</v>
      </c>
      <c r="V353" s="219" t="s">
        <v>1214</v>
      </c>
      <c r="W353" s="223">
        <v>375.61</v>
      </c>
      <c r="X353" s="223">
        <f>Table2[[#This Row],[QUANTIDADE]]*Table2[[#This Row],[PREÇO UNITARIO]]</f>
        <v>375.61</v>
      </c>
      <c r="Y353" s="219"/>
      <c r="Z353" s="219">
        <f t="shared" si="10"/>
        <v>4</v>
      </c>
      <c r="AA353" s="219" t="s">
        <v>74</v>
      </c>
      <c r="AB353" s="220">
        <f t="shared" ca="1" si="11"/>
        <v>46235</v>
      </c>
      <c r="AC353" s="219">
        <f ca="1">_xlfn.DAYS(Table2[[#This Row],[HOJE]],Table2[[#This Row],[DATA PEDIDO HP]])</f>
        <v>96</v>
      </c>
      <c r="AD353" s="219" t="str">
        <f ca="1">IF(Table2[[#This Row],[STATUS2]]="ENTREGUE","ENTREGUE","")</f>
        <v/>
      </c>
      <c r="AE353" s="219" t="str">
        <f ca="1">IF(Table2[[#This Row],[HOLD]]&gt;30,"ATRASADO","NO PRAZO")</f>
        <v>ATRASADO</v>
      </c>
    </row>
    <row r="354" spans="1:31" ht="15" customHeight="1">
      <c r="A354" s="229" t="s">
        <v>1210</v>
      </c>
      <c r="B354" s="249">
        <v>46139</v>
      </c>
      <c r="C354" s="251">
        <v>46136</v>
      </c>
      <c r="D354" s="231" t="s">
        <v>1211</v>
      </c>
      <c r="E354" s="231" t="s">
        <v>247</v>
      </c>
      <c r="F354" s="231" t="s">
        <v>594</v>
      </c>
      <c r="G354" s="231">
        <v>46000018</v>
      </c>
      <c r="H354" s="231" t="s">
        <v>1215</v>
      </c>
      <c r="I354" s="232" t="s">
        <v>1216</v>
      </c>
      <c r="J354" s="231">
        <v>5</v>
      </c>
      <c r="K354" s="231" t="s">
        <v>269</v>
      </c>
      <c r="L354" s="231" t="s">
        <v>785</v>
      </c>
      <c r="M354" s="231" t="s">
        <v>73</v>
      </c>
      <c r="N354" s="229">
        <v>177980</v>
      </c>
      <c r="O354" s="229"/>
      <c r="P354" s="229"/>
      <c r="Q354" s="218">
        <v>1</v>
      </c>
      <c r="R354" s="219" t="s">
        <v>1208</v>
      </c>
      <c r="S354" s="220">
        <v>46135</v>
      </c>
      <c r="T354" s="220">
        <v>46168</v>
      </c>
      <c r="U354" s="220">
        <v>46185</v>
      </c>
      <c r="V354" s="219" t="s">
        <v>41</v>
      </c>
      <c r="W354" s="223">
        <v>303.75</v>
      </c>
      <c r="X354" s="223">
        <f>Table2[[#This Row],[QUANTIDADE]]*Table2[[#This Row],[PREÇO UNITARIO]]</f>
        <v>1518.75</v>
      </c>
      <c r="Y354" s="219"/>
      <c r="Z354" s="219">
        <f t="shared" si="10"/>
        <v>4</v>
      </c>
      <c r="AA354" s="219" t="s">
        <v>74</v>
      </c>
      <c r="AB354" s="220">
        <f t="shared" ca="1" si="11"/>
        <v>46235</v>
      </c>
      <c r="AC354" s="219">
        <f ca="1">_xlfn.DAYS(Table2[[#This Row],[HOJE]],Table2[[#This Row],[DATA PEDIDO HP]])</f>
        <v>96</v>
      </c>
      <c r="AD354" s="219" t="str">
        <f ca="1">IF(Table2[[#This Row],[STATUS2]]="ENTREGUE","ENTREGUE","")</f>
        <v/>
      </c>
      <c r="AE354" s="219" t="str">
        <f ca="1">IF(Table2[[#This Row],[HOLD]]&gt;30,"ATRASADO","NO PRAZO")</f>
        <v>ATRASADO</v>
      </c>
    </row>
    <row r="355" spans="1:31" ht="15" customHeight="1">
      <c r="A355" s="229" t="s">
        <v>1217</v>
      </c>
      <c r="B355" s="249">
        <v>46139</v>
      </c>
      <c r="C355" s="251">
        <v>46136</v>
      </c>
      <c r="D355" s="231" t="s">
        <v>1218</v>
      </c>
      <c r="E355" s="231" t="s">
        <v>33</v>
      </c>
      <c r="F355" s="231" t="s">
        <v>95</v>
      </c>
      <c r="G355" s="231">
        <v>60002095</v>
      </c>
      <c r="H355" s="231" t="s">
        <v>552</v>
      </c>
      <c r="I355" s="232" t="s">
        <v>1219</v>
      </c>
      <c r="J355" s="231">
        <v>7</v>
      </c>
      <c r="K355" s="231" t="s">
        <v>37</v>
      </c>
      <c r="L355" s="231" t="s">
        <v>122</v>
      </c>
      <c r="M355" s="231" t="s">
        <v>81</v>
      </c>
      <c r="N355" s="231">
        <v>177848</v>
      </c>
      <c r="O355" s="229"/>
      <c r="P355" s="229"/>
      <c r="Q355" s="218">
        <v>1</v>
      </c>
      <c r="R355" s="219" t="s">
        <v>173</v>
      </c>
      <c r="S355" s="220">
        <v>46197</v>
      </c>
      <c r="T355" s="220">
        <v>46168</v>
      </c>
      <c r="U355" s="220">
        <v>46185</v>
      </c>
      <c r="V355" s="219" t="s">
        <v>41</v>
      </c>
      <c r="W355" s="223">
        <v>32.79</v>
      </c>
      <c r="X355" s="223">
        <f>Table2[[#This Row],[QUANTIDADE]]*Table2[[#This Row],[PREÇO UNITARIO]]</f>
        <v>229.53</v>
      </c>
      <c r="Y355" s="219"/>
      <c r="Z355" s="219">
        <f t="shared" si="10"/>
        <v>4</v>
      </c>
      <c r="AA355" s="219" t="s">
        <v>42</v>
      </c>
      <c r="AB355" s="220">
        <f t="shared" ca="1" si="11"/>
        <v>46235</v>
      </c>
      <c r="AC355" s="219">
        <f ca="1">_xlfn.DAYS(Table2[[#This Row],[HOJE]],Table2[[#This Row],[DATA PEDIDO HP]])</f>
        <v>96</v>
      </c>
      <c r="AD355" s="219" t="str">
        <f>IF(Table2[[#This Row],[STATUS2]]="ENTREGUE","ENTREGUE","")</f>
        <v>ENTREGUE</v>
      </c>
      <c r="AE355" s="219" t="s">
        <v>43</v>
      </c>
    </row>
    <row r="356" spans="1:31" ht="15" customHeight="1">
      <c r="A356" s="229" t="s">
        <v>1220</v>
      </c>
      <c r="B356" s="249">
        <v>46136</v>
      </c>
      <c r="C356" s="251">
        <v>46136</v>
      </c>
      <c r="D356" s="231" t="s">
        <v>1221</v>
      </c>
      <c r="E356" s="218" t="s">
        <v>570</v>
      </c>
      <c r="F356" s="231" t="s">
        <v>1222</v>
      </c>
      <c r="G356" s="231">
        <v>50510045</v>
      </c>
      <c r="H356" s="231" t="s">
        <v>329</v>
      </c>
      <c r="I356" s="232" t="s">
        <v>600</v>
      </c>
      <c r="J356" s="231">
        <v>1</v>
      </c>
      <c r="K356" s="231" t="s">
        <v>37</v>
      </c>
      <c r="L356" s="231" t="s">
        <v>441</v>
      </c>
      <c r="M356" s="218" t="s">
        <v>73</v>
      </c>
      <c r="N356" s="228"/>
      <c r="O356" s="229"/>
      <c r="P356" s="229"/>
      <c r="Q356" s="218">
        <v>1</v>
      </c>
      <c r="R356" s="219"/>
      <c r="S356" s="220"/>
      <c r="T356" s="220">
        <v>46168</v>
      </c>
      <c r="U356" s="220">
        <v>46185</v>
      </c>
      <c r="V356" s="219" t="s">
        <v>41</v>
      </c>
      <c r="W356" s="223">
        <v>49.81</v>
      </c>
      <c r="X356" s="223">
        <f>Table2[[#This Row],[QUANTIDADE]]*Table2[[#This Row],[PREÇO UNITARIO]]</f>
        <v>49.81</v>
      </c>
      <c r="Y356" s="219" t="s">
        <v>42</v>
      </c>
      <c r="Z356" s="219">
        <f t="shared" si="10"/>
        <v>4</v>
      </c>
      <c r="AA356" s="219" t="s">
        <v>42</v>
      </c>
      <c r="AB356" s="220">
        <f t="shared" ca="1" si="11"/>
        <v>46235</v>
      </c>
      <c r="AC356" s="219">
        <f ca="1">_xlfn.DAYS(Table2[[#This Row],[HOJE]],Table2[[#This Row],[DATA PEDIDO HP]])</f>
        <v>99</v>
      </c>
      <c r="AD356" s="219" t="str">
        <f ca="1">IF(Table2[[#This Row],[STATUS2]]="ENTREGUE","ENTREGUE","")</f>
        <v/>
      </c>
      <c r="AE356" s="219" t="str">
        <f ca="1">IF(Table2[[#This Row],[HOLD]]&gt;30,"ATRASADO","NO PRAZO")</f>
        <v>ATRASADO</v>
      </c>
    </row>
    <row r="357" spans="1:31" ht="15" customHeight="1">
      <c r="A357" s="229" t="s">
        <v>1223</v>
      </c>
      <c r="B357" s="249">
        <v>46139</v>
      </c>
      <c r="C357" s="251">
        <v>46136</v>
      </c>
      <c r="D357" s="231" t="s">
        <v>1224</v>
      </c>
      <c r="E357" s="231" t="s">
        <v>94</v>
      </c>
      <c r="F357" s="231" t="s">
        <v>95</v>
      </c>
      <c r="G357" s="231">
        <v>60002072</v>
      </c>
      <c r="H357" s="231" t="s">
        <v>495</v>
      </c>
      <c r="I357" s="232" t="s">
        <v>647</v>
      </c>
      <c r="J357" s="231">
        <v>1</v>
      </c>
      <c r="K357" s="231" t="s">
        <v>37</v>
      </c>
      <c r="L357" s="231" t="s">
        <v>441</v>
      </c>
      <c r="M357" s="231" t="s">
        <v>39</v>
      </c>
      <c r="N357" s="228"/>
      <c r="O357" s="229"/>
      <c r="P357" s="229"/>
      <c r="Q357" s="218">
        <v>1</v>
      </c>
      <c r="R357" s="219" t="s">
        <v>648</v>
      </c>
      <c r="S357" s="220">
        <v>46202</v>
      </c>
      <c r="T357" s="220">
        <v>46168</v>
      </c>
      <c r="U357" s="220">
        <v>46185</v>
      </c>
      <c r="V357" s="219" t="s">
        <v>41</v>
      </c>
      <c r="W357" s="223">
        <v>164.94</v>
      </c>
      <c r="X357" s="223">
        <f>Table2[[#This Row],[QUANTIDADE]]*Table2[[#This Row],[PREÇO UNITARIO]]</f>
        <v>164.94</v>
      </c>
      <c r="Y357" s="219"/>
      <c r="Z357" s="219">
        <f t="shared" si="10"/>
        <v>4</v>
      </c>
      <c r="AA357" s="219" t="s">
        <v>74</v>
      </c>
      <c r="AB357" s="220">
        <f t="shared" ca="1" si="11"/>
        <v>46235</v>
      </c>
      <c r="AC357" s="219">
        <f ca="1">_xlfn.DAYS(Table2[[#This Row],[HOJE]],Table2[[#This Row],[DATA PEDIDO HP]])</f>
        <v>96</v>
      </c>
      <c r="AD357" s="219" t="str">
        <f>IF(Table2[[#This Row],[STATUS2]]="ENTREGUE","ENTREGUE","")</f>
        <v>ENTREGUE</v>
      </c>
      <c r="AE357" s="219" t="s">
        <v>43</v>
      </c>
    </row>
    <row r="358" spans="1:31" ht="15" customHeight="1">
      <c r="A358" s="229" t="s">
        <v>1225</v>
      </c>
      <c r="B358" s="249">
        <v>46140</v>
      </c>
      <c r="C358" s="251">
        <v>46139</v>
      </c>
      <c r="D358" s="231" t="s">
        <v>1226</v>
      </c>
      <c r="E358" s="231" t="s">
        <v>445</v>
      </c>
      <c r="F358" s="231" t="s">
        <v>304</v>
      </c>
      <c r="G358" s="231">
        <v>47200115</v>
      </c>
      <c r="H358" s="231" t="s">
        <v>1227</v>
      </c>
      <c r="I358" s="232" t="s">
        <v>1228</v>
      </c>
      <c r="J358" s="231">
        <v>5</v>
      </c>
      <c r="K358" s="231" t="s">
        <v>37</v>
      </c>
      <c r="L358" s="231" t="s">
        <v>785</v>
      </c>
      <c r="M358" s="231" t="s">
        <v>39</v>
      </c>
      <c r="N358" s="231">
        <v>178112</v>
      </c>
      <c r="O358" s="229"/>
      <c r="P358" s="229"/>
      <c r="Q358" s="218">
        <v>1</v>
      </c>
      <c r="R358" s="219"/>
      <c r="S358" s="220"/>
      <c r="T358" s="220">
        <v>46168</v>
      </c>
      <c r="U358" s="220">
        <v>46185</v>
      </c>
      <c r="V358" s="219" t="s">
        <v>41</v>
      </c>
      <c r="W358" s="223">
        <v>15.51</v>
      </c>
      <c r="X358" s="223">
        <f>Table2[[#This Row],[QUANTIDADE]]*Table2[[#This Row],[PREÇO UNITARIO]]</f>
        <v>77.55</v>
      </c>
      <c r="Y358" s="219"/>
      <c r="Z358" s="219">
        <f t="shared" si="10"/>
        <v>4</v>
      </c>
      <c r="AA358" s="219" t="s">
        <v>74</v>
      </c>
      <c r="AB358" s="220">
        <f t="shared" ca="1" si="11"/>
        <v>46235</v>
      </c>
      <c r="AC358" s="219">
        <f ca="1">_xlfn.DAYS(Table2[[#This Row],[HOJE]],Table2[[#This Row],[DATA PEDIDO HP]])</f>
        <v>95</v>
      </c>
      <c r="AD358" s="219" t="str">
        <f ca="1">IF(Table2[[#This Row],[STATUS2]]="ENTREGUE","ENTREGUE","")</f>
        <v/>
      </c>
      <c r="AE358" s="219" t="str">
        <f ca="1">IF(Table2[[#This Row],[HOLD]]&gt;30,"ATRASADO","NO PRAZO")</f>
        <v>ATRASADO</v>
      </c>
    </row>
    <row r="359" spans="1:31" ht="15" customHeight="1">
      <c r="A359" s="229" t="s">
        <v>1225</v>
      </c>
      <c r="B359" s="249">
        <v>46140</v>
      </c>
      <c r="C359" s="227">
        <v>46139</v>
      </c>
      <c r="D359" s="228" t="s">
        <v>1226</v>
      </c>
      <c r="E359" s="228" t="s">
        <v>445</v>
      </c>
      <c r="F359" s="228" t="s">
        <v>304</v>
      </c>
      <c r="G359" s="228">
        <v>47200115</v>
      </c>
      <c r="H359" s="228" t="s">
        <v>1229</v>
      </c>
      <c r="I359" s="228" t="s">
        <v>1230</v>
      </c>
      <c r="J359" s="218">
        <v>2</v>
      </c>
      <c r="K359" s="228" t="s">
        <v>269</v>
      </c>
      <c r="L359" s="231" t="s">
        <v>785</v>
      </c>
      <c r="M359" s="228" t="s">
        <v>39</v>
      </c>
      <c r="N359" s="218">
        <v>178112</v>
      </c>
      <c r="O359" s="229"/>
      <c r="P359" s="229"/>
      <c r="Q359" s="218">
        <v>1</v>
      </c>
      <c r="R359" s="219"/>
      <c r="S359" s="220"/>
      <c r="T359" s="220">
        <v>46168</v>
      </c>
      <c r="U359" s="220">
        <v>46185</v>
      </c>
      <c r="V359" s="219" t="s">
        <v>41</v>
      </c>
      <c r="W359" s="223">
        <v>29.82</v>
      </c>
      <c r="X359" s="223">
        <f>Table2[[#This Row],[QUANTIDADE]]*Table2[[#This Row],[PREÇO UNITARIO]]</f>
        <v>59.64</v>
      </c>
      <c r="Y359" s="219"/>
      <c r="Z359" s="219">
        <f t="shared" si="10"/>
        <v>4</v>
      </c>
      <c r="AA359" s="219" t="s">
        <v>74</v>
      </c>
      <c r="AB359" s="220">
        <f t="shared" ca="1" si="11"/>
        <v>46235</v>
      </c>
      <c r="AC359" s="219">
        <f ca="1">_xlfn.DAYS(Table2[[#This Row],[HOJE]],Table2[[#This Row],[DATA PEDIDO HP]])</f>
        <v>95</v>
      </c>
      <c r="AD359" s="219" t="str">
        <f ca="1">IF(Table2[[#This Row],[STATUS2]]="ENTREGUE","ENTREGUE","")</f>
        <v/>
      </c>
      <c r="AE359" s="230" t="str">
        <f ca="1">IF(Table2[[#This Row],[HOLD]]&gt;30,"ATRASADO","NO PRAZO")</f>
        <v>ATRASADO</v>
      </c>
    </row>
    <row r="360" spans="1:31" ht="15" customHeight="1">
      <c r="A360" s="229" t="s">
        <v>1225</v>
      </c>
      <c r="B360" s="249">
        <v>46140</v>
      </c>
      <c r="C360" s="227">
        <v>46139</v>
      </c>
      <c r="D360" s="228" t="s">
        <v>1226</v>
      </c>
      <c r="E360" s="228" t="s">
        <v>445</v>
      </c>
      <c r="F360" s="228" t="s">
        <v>304</v>
      </c>
      <c r="G360" s="228">
        <v>47200115</v>
      </c>
      <c r="H360" s="228" t="s">
        <v>1231</v>
      </c>
      <c r="I360" s="228" t="s">
        <v>1232</v>
      </c>
      <c r="J360" s="218">
        <v>2</v>
      </c>
      <c r="K360" s="228" t="s">
        <v>37</v>
      </c>
      <c r="L360" s="231" t="s">
        <v>785</v>
      </c>
      <c r="M360" s="228" t="s">
        <v>39</v>
      </c>
      <c r="N360" s="218">
        <v>178112</v>
      </c>
      <c r="O360" s="229"/>
      <c r="P360" s="229"/>
      <c r="Q360" s="218">
        <v>1</v>
      </c>
      <c r="R360" s="219"/>
      <c r="S360" s="220"/>
      <c r="T360" s="220">
        <v>46168</v>
      </c>
      <c r="U360" s="220">
        <v>46185</v>
      </c>
      <c r="V360" s="219" t="s">
        <v>41</v>
      </c>
      <c r="W360" s="223">
        <v>38.380000000000003</v>
      </c>
      <c r="X360" s="223">
        <f>Table2[[#This Row],[QUANTIDADE]]*Table2[[#This Row],[PREÇO UNITARIO]]</f>
        <v>76.760000000000005</v>
      </c>
      <c r="Y360" s="219"/>
      <c r="Z360" s="219">
        <f t="shared" si="10"/>
        <v>4</v>
      </c>
      <c r="AA360" s="219" t="s">
        <v>74</v>
      </c>
      <c r="AB360" s="220">
        <f t="shared" ca="1" si="11"/>
        <v>46235</v>
      </c>
      <c r="AC360" s="219">
        <f ca="1">_xlfn.DAYS(Table2[[#This Row],[HOJE]],Table2[[#This Row],[DATA PEDIDO HP]])</f>
        <v>95</v>
      </c>
      <c r="AD360" s="219" t="str">
        <f ca="1">IF(Table2[[#This Row],[STATUS2]]="ENTREGUE","ENTREGUE","")</f>
        <v/>
      </c>
      <c r="AE360" s="230" t="str">
        <f ca="1">IF(Table2[[#This Row],[HOLD]]&gt;30,"ATRASADO","NO PRAZO")</f>
        <v>ATRASADO</v>
      </c>
    </row>
    <row r="361" spans="1:31" ht="15" customHeight="1">
      <c r="A361" s="229" t="s">
        <v>1225</v>
      </c>
      <c r="B361" s="249">
        <v>46140</v>
      </c>
      <c r="C361" s="227">
        <v>46139</v>
      </c>
      <c r="D361" s="228" t="s">
        <v>1226</v>
      </c>
      <c r="E361" s="228" t="s">
        <v>445</v>
      </c>
      <c r="F361" s="228" t="s">
        <v>304</v>
      </c>
      <c r="G361" s="228">
        <v>47200115</v>
      </c>
      <c r="H361" s="228" t="s">
        <v>1233</v>
      </c>
      <c r="I361" s="228" t="s">
        <v>1234</v>
      </c>
      <c r="J361" s="218">
        <v>2</v>
      </c>
      <c r="K361" s="228" t="s">
        <v>269</v>
      </c>
      <c r="L361" s="231" t="s">
        <v>785</v>
      </c>
      <c r="M361" s="228" t="s">
        <v>39</v>
      </c>
      <c r="N361" s="218">
        <v>178112</v>
      </c>
      <c r="O361" s="229"/>
      <c r="P361" s="229"/>
      <c r="Q361" s="218">
        <v>1</v>
      </c>
      <c r="R361" s="219"/>
      <c r="S361" s="220"/>
      <c r="T361" s="220">
        <v>46168</v>
      </c>
      <c r="U361" s="220">
        <v>46185</v>
      </c>
      <c r="V361" s="219" t="s">
        <v>41</v>
      </c>
      <c r="W361" s="223">
        <v>8.16</v>
      </c>
      <c r="X361" s="223">
        <f>Table2[[#This Row],[QUANTIDADE]]*Table2[[#This Row],[PREÇO UNITARIO]]</f>
        <v>16.32</v>
      </c>
      <c r="Y361" s="219"/>
      <c r="Z361" s="219">
        <f t="shared" si="10"/>
        <v>4</v>
      </c>
      <c r="AA361" s="219" t="s">
        <v>74</v>
      </c>
      <c r="AB361" s="220">
        <f t="shared" ca="1" si="11"/>
        <v>46235</v>
      </c>
      <c r="AC361" s="219">
        <f ca="1">_xlfn.DAYS(Table2[[#This Row],[HOJE]],Table2[[#This Row],[DATA PEDIDO HP]])</f>
        <v>95</v>
      </c>
      <c r="AD361" s="219" t="str">
        <f ca="1">IF(Table2[[#This Row],[STATUS2]]="ENTREGUE","ENTREGUE","")</f>
        <v/>
      </c>
      <c r="AE361" s="230" t="str">
        <f ca="1">IF(Table2[[#This Row],[HOLD]]&gt;30,"ATRASADO","NO PRAZO")</f>
        <v>ATRASADO</v>
      </c>
    </row>
    <row r="362" spans="1:31" ht="15" customHeight="1">
      <c r="A362" s="229" t="s">
        <v>1225</v>
      </c>
      <c r="B362" s="249">
        <v>46140</v>
      </c>
      <c r="C362" s="227">
        <v>46139</v>
      </c>
      <c r="D362" s="228" t="s">
        <v>1226</v>
      </c>
      <c r="E362" s="228" t="s">
        <v>445</v>
      </c>
      <c r="F362" s="228" t="s">
        <v>304</v>
      </c>
      <c r="G362" s="228">
        <v>47200115</v>
      </c>
      <c r="H362" s="228" t="s">
        <v>1235</v>
      </c>
      <c r="I362" s="228" t="s">
        <v>1236</v>
      </c>
      <c r="J362" s="218">
        <v>5</v>
      </c>
      <c r="K362" s="228" t="s">
        <v>37</v>
      </c>
      <c r="L362" s="231" t="s">
        <v>785</v>
      </c>
      <c r="M362" s="228" t="s">
        <v>39</v>
      </c>
      <c r="N362" s="218">
        <v>178112</v>
      </c>
      <c r="O362" s="229"/>
      <c r="P362" s="229"/>
      <c r="Q362" s="218">
        <v>1</v>
      </c>
      <c r="R362" s="219"/>
      <c r="S362" s="220"/>
      <c r="T362" s="220">
        <v>46168</v>
      </c>
      <c r="U362" s="220">
        <v>46185</v>
      </c>
      <c r="V362" s="219" t="s">
        <v>41</v>
      </c>
      <c r="W362" s="223">
        <v>14.21</v>
      </c>
      <c r="X362" s="223">
        <f>Table2[[#This Row],[QUANTIDADE]]*Table2[[#This Row],[PREÇO UNITARIO]]</f>
        <v>71.050000000000011</v>
      </c>
      <c r="Y362" s="219"/>
      <c r="Z362" s="219">
        <f t="shared" si="10"/>
        <v>4</v>
      </c>
      <c r="AA362" s="219" t="s">
        <v>74</v>
      </c>
      <c r="AB362" s="220">
        <f t="shared" ca="1" si="11"/>
        <v>46235</v>
      </c>
      <c r="AC362" s="219">
        <f ca="1">_xlfn.DAYS(Table2[[#This Row],[HOJE]],Table2[[#This Row],[DATA PEDIDO HP]])</f>
        <v>95</v>
      </c>
      <c r="AD362" s="219" t="str">
        <f ca="1">IF(Table2[[#This Row],[STATUS2]]="ENTREGUE","ENTREGUE","")</f>
        <v/>
      </c>
      <c r="AE362" s="230" t="str">
        <f ca="1">IF(Table2[[#This Row],[HOLD]]&gt;30,"ATRASADO","NO PRAZO")</f>
        <v>ATRASADO</v>
      </c>
    </row>
    <row r="363" spans="1:31" ht="15" customHeight="1">
      <c r="A363" s="229" t="s">
        <v>1225</v>
      </c>
      <c r="B363" s="249">
        <v>46140</v>
      </c>
      <c r="C363" s="227">
        <v>46139</v>
      </c>
      <c r="D363" s="227" t="s">
        <v>1226</v>
      </c>
      <c r="E363" s="227" t="s">
        <v>445</v>
      </c>
      <c r="F363" s="227" t="s">
        <v>304</v>
      </c>
      <c r="G363" s="228">
        <v>47200115</v>
      </c>
      <c r="H363" s="227" t="s">
        <v>1237</v>
      </c>
      <c r="I363" s="227" t="s">
        <v>1238</v>
      </c>
      <c r="J363" s="227">
        <v>3</v>
      </c>
      <c r="K363" s="227" t="s">
        <v>37</v>
      </c>
      <c r="L363" s="231" t="s">
        <v>785</v>
      </c>
      <c r="M363" s="228" t="s">
        <v>39</v>
      </c>
      <c r="N363" s="227">
        <v>178112</v>
      </c>
      <c r="O363" s="229"/>
      <c r="P363" s="229"/>
      <c r="Q363" s="218">
        <v>1</v>
      </c>
      <c r="R363" s="219"/>
      <c r="S363" s="220"/>
      <c r="T363" s="220">
        <v>46168</v>
      </c>
      <c r="U363" s="220">
        <v>46185</v>
      </c>
      <c r="V363" s="219" t="s">
        <v>41</v>
      </c>
      <c r="W363" s="223">
        <v>22.11</v>
      </c>
      <c r="X363" s="223">
        <f>Table2[[#This Row],[QUANTIDADE]]*Table2[[#This Row],[PREÇO UNITARIO]]</f>
        <v>66.33</v>
      </c>
      <c r="Y363" s="219"/>
      <c r="Z363" s="219">
        <f t="shared" si="10"/>
        <v>4</v>
      </c>
      <c r="AA363" s="219" t="s">
        <v>74</v>
      </c>
      <c r="AB363" s="220">
        <f t="shared" ca="1" si="11"/>
        <v>46235</v>
      </c>
      <c r="AC363" s="219">
        <f ca="1">_xlfn.DAYS(Table2[[#This Row],[HOJE]],Table2[[#This Row],[DATA PEDIDO HP]])</f>
        <v>95</v>
      </c>
      <c r="AD363" s="219" t="str">
        <f ca="1">IF(Table2[[#This Row],[STATUS2]]="ENTREGUE","ENTREGUE","")</f>
        <v/>
      </c>
      <c r="AE363" s="230" t="str">
        <f ca="1">IF(Table2[[#This Row],[HOLD]]&gt;30,"ATRASADO","NO PRAZO")</f>
        <v>ATRASADO</v>
      </c>
    </row>
    <row r="364" spans="1:31" ht="15" customHeight="1">
      <c r="A364" s="229" t="s">
        <v>1225</v>
      </c>
      <c r="B364" s="249">
        <v>46140</v>
      </c>
      <c r="C364" s="227">
        <v>46139</v>
      </c>
      <c r="D364" s="228" t="s">
        <v>1226</v>
      </c>
      <c r="E364" s="228" t="s">
        <v>445</v>
      </c>
      <c r="F364" s="228" t="s">
        <v>304</v>
      </c>
      <c r="G364" s="228">
        <v>47200115</v>
      </c>
      <c r="H364" s="228" t="s">
        <v>1239</v>
      </c>
      <c r="I364" s="228" t="s">
        <v>1240</v>
      </c>
      <c r="J364" s="218">
        <v>3</v>
      </c>
      <c r="K364" s="228" t="s">
        <v>37</v>
      </c>
      <c r="L364" s="231" t="s">
        <v>785</v>
      </c>
      <c r="M364" s="228" t="s">
        <v>39</v>
      </c>
      <c r="N364" s="218">
        <v>178112</v>
      </c>
      <c r="O364" s="229"/>
      <c r="P364" s="229"/>
      <c r="Q364" s="218">
        <v>1</v>
      </c>
      <c r="R364" s="219"/>
      <c r="S364" s="220"/>
      <c r="T364" s="220">
        <v>46168</v>
      </c>
      <c r="U364" s="220">
        <v>46185</v>
      </c>
      <c r="V364" s="219" t="s">
        <v>41</v>
      </c>
      <c r="W364" s="223">
        <v>22.11</v>
      </c>
      <c r="X364" s="223">
        <f>Table2[[#This Row],[QUANTIDADE]]*Table2[[#This Row],[PREÇO UNITARIO]]</f>
        <v>66.33</v>
      </c>
      <c r="Y364" s="219"/>
      <c r="Z364" s="219">
        <f t="shared" si="10"/>
        <v>4</v>
      </c>
      <c r="AA364" s="219" t="s">
        <v>74</v>
      </c>
      <c r="AB364" s="220">
        <f t="shared" ca="1" si="11"/>
        <v>46235</v>
      </c>
      <c r="AC364" s="219">
        <f ca="1">_xlfn.DAYS(Table2[[#This Row],[HOJE]],Table2[[#This Row],[DATA PEDIDO HP]])</f>
        <v>95</v>
      </c>
      <c r="AD364" s="219" t="str">
        <f ca="1">IF(Table2[[#This Row],[STATUS2]]="ENTREGUE","ENTREGUE","")</f>
        <v/>
      </c>
      <c r="AE364" s="230" t="str">
        <f ca="1">IF(Table2[[#This Row],[HOLD]]&gt;30,"ATRASADO","NO PRAZO")</f>
        <v>ATRASADO</v>
      </c>
    </row>
    <row r="365" spans="1:31" ht="15" customHeight="1">
      <c r="A365" s="229" t="s">
        <v>1225</v>
      </c>
      <c r="B365" s="249">
        <v>46140</v>
      </c>
      <c r="C365" s="227">
        <v>46139</v>
      </c>
      <c r="D365" s="228" t="s">
        <v>1226</v>
      </c>
      <c r="E365" s="228" t="s">
        <v>445</v>
      </c>
      <c r="F365" s="228" t="s">
        <v>304</v>
      </c>
      <c r="G365" s="228">
        <v>47200115</v>
      </c>
      <c r="H365" s="228" t="s">
        <v>1241</v>
      </c>
      <c r="I365" s="228" t="s">
        <v>1242</v>
      </c>
      <c r="J365" s="218">
        <v>2</v>
      </c>
      <c r="K365" s="228" t="s">
        <v>37</v>
      </c>
      <c r="L365" s="231" t="s">
        <v>785</v>
      </c>
      <c r="M365" s="228" t="s">
        <v>39</v>
      </c>
      <c r="N365" s="218">
        <v>178112</v>
      </c>
      <c r="O365" s="229"/>
      <c r="P365" s="229"/>
      <c r="Q365" s="218">
        <v>1</v>
      </c>
      <c r="R365" s="219"/>
      <c r="S365" s="220"/>
      <c r="T365" s="220">
        <v>46168</v>
      </c>
      <c r="U365" s="220">
        <v>46185</v>
      </c>
      <c r="V365" s="219" t="s">
        <v>41</v>
      </c>
      <c r="W365" s="223">
        <v>437.42</v>
      </c>
      <c r="X365" s="223">
        <f>Table2[[#This Row],[QUANTIDADE]]*Table2[[#This Row],[PREÇO UNITARIO]]</f>
        <v>874.84</v>
      </c>
      <c r="Y365" s="219"/>
      <c r="Z365" s="219">
        <f t="shared" si="10"/>
        <v>4</v>
      </c>
      <c r="AA365" s="219" t="s">
        <v>74</v>
      </c>
      <c r="AB365" s="220">
        <f t="shared" ca="1" si="11"/>
        <v>46235</v>
      </c>
      <c r="AC365" s="219">
        <f ca="1">_xlfn.DAYS(Table2[[#This Row],[HOJE]],Table2[[#This Row],[DATA PEDIDO HP]])</f>
        <v>95</v>
      </c>
      <c r="AD365" s="219" t="str">
        <f ca="1">IF(Table2[[#This Row],[STATUS2]]="ENTREGUE","ENTREGUE","")</f>
        <v/>
      </c>
      <c r="AE365" s="230" t="str">
        <f ca="1">IF(Table2[[#This Row],[HOLD]]&gt;30,"ATRASADO","NO PRAZO")</f>
        <v>ATRASADO</v>
      </c>
    </row>
    <row r="366" spans="1:31" ht="15" customHeight="1">
      <c r="A366" s="229" t="s">
        <v>1225</v>
      </c>
      <c r="B366" s="249">
        <v>46140</v>
      </c>
      <c r="C366" s="227">
        <v>46139</v>
      </c>
      <c r="D366" s="228" t="s">
        <v>1226</v>
      </c>
      <c r="E366" s="228" t="s">
        <v>445</v>
      </c>
      <c r="F366" s="228" t="s">
        <v>304</v>
      </c>
      <c r="G366" s="228">
        <v>47200115</v>
      </c>
      <c r="H366" s="228" t="s">
        <v>1243</v>
      </c>
      <c r="I366" s="228" t="s">
        <v>1244</v>
      </c>
      <c r="J366" s="218">
        <v>4</v>
      </c>
      <c r="K366" s="228" t="s">
        <v>269</v>
      </c>
      <c r="L366" s="231" t="s">
        <v>785</v>
      </c>
      <c r="M366" s="228" t="s">
        <v>39</v>
      </c>
      <c r="N366" s="218">
        <v>178112</v>
      </c>
      <c r="O366" s="229"/>
      <c r="P366" s="229"/>
      <c r="Q366" s="218">
        <v>1</v>
      </c>
      <c r="R366" s="219"/>
      <c r="S366" s="220"/>
      <c r="T366" s="220">
        <v>46168</v>
      </c>
      <c r="U366" s="220">
        <v>46185</v>
      </c>
      <c r="V366" s="219" t="s">
        <v>41</v>
      </c>
      <c r="W366" s="223">
        <v>10.49</v>
      </c>
      <c r="X366" s="223">
        <f>Table2[[#This Row],[QUANTIDADE]]*Table2[[#This Row],[PREÇO UNITARIO]]</f>
        <v>41.96</v>
      </c>
      <c r="Y366" s="219"/>
      <c r="Z366" s="219">
        <f t="shared" si="10"/>
        <v>4</v>
      </c>
      <c r="AA366" s="219" t="s">
        <v>74</v>
      </c>
      <c r="AB366" s="220">
        <f t="shared" ca="1" si="11"/>
        <v>46235</v>
      </c>
      <c r="AC366" s="219">
        <f ca="1">_xlfn.DAYS(Table2[[#This Row],[HOJE]],Table2[[#This Row],[DATA PEDIDO HP]])</f>
        <v>95</v>
      </c>
      <c r="AD366" s="219" t="str">
        <f ca="1">IF(Table2[[#This Row],[STATUS2]]="ENTREGUE","ENTREGUE","")</f>
        <v/>
      </c>
      <c r="AE366" s="230" t="str">
        <f ca="1">IF(Table2[[#This Row],[HOLD]]&gt;30,"ATRASADO","NO PRAZO")</f>
        <v>ATRASADO</v>
      </c>
    </row>
    <row r="367" spans="1:31" ht="15" customHeight="1">
      <c r="A367" s="229" t="s">
        <v>1245</v>
      </c>
      <c r="B367" s="249">
        <v>46139</v>
      </c>
      <c r="C367" s="251">
        <v>46139</v>
      </c>
      <c r="D367" s="231" t="s">
        <v>1246</v>
      </c>
      <c r="E367" s="231" t="s">
        <v>125</v>
      </c>
      <c r="F367" s="231" t="s">
        <v>34</v>
      </c>
      <c r="G367" s="218">
        <v>50110193</v>
      </c>
      <c r="H367" s="231" t="s">
        <v>335</v>
      </c>
      <c r="I367" s="232" t="s">
        <v>336</v>
      </c>
      <c r="J367" s="231">
        <v>2</v>
      </c>
      <c r="K367" s="231" t="s">
        <v>37</v>
      </c>
      <c r="L367" s="231" t="s">
        <v>122</v>
      </c>
      <c r="M367" s="231" t="s">
        <v>81</v>
      </c>
      <c r="N367" s="231">
        <v>178047</v>
      </c>
      <c r="O367" s="229"/>
      <c r="P367" s="229"/>
      <c r="Q367" s="218">
        <v>1</v>
      </c>
      <c r="R367" s="219"/>
      <c r="S367" s="220">
        <v>46202</v>
      </c>
      <c r="T367" s="220">
        <v>46168</v>
      </c>
      <c r="U367" s="220">
        <v>46185</v>
      </c>
      <c r="V367" s="219" t="s">
        <v>41</v>
      </c>
      <c r="W367" s="223">
        <v>17.28</v>
      </c>
      <c r="X367" s="223">
        <f>Table2[[#This Row],[QUANTIDADE]]*Table2[[#This Row],[PREÇO UNITARIO]]</f>
        <v>34.56</v>
      </c>
      <c r="Y367" s="219"/>
      <c r="Z367" s="219">
        <f t="shared" si="10"/>
        <v>4</v>
      </c>
      <c r="AA367" s="219" t="s">
        <v>42</v>
      </c>
      <c r="AB367" s="220">
        <f t="shared" ca="1" si="11"/>
        <v>46235</v>
      </c>
      <c r="AC367" s="219">
        <f ca="1">_xlfn.DAYS(Table2[[#This Row],[HOJE]],Table2[[#This Row],[DATA PEDIDO HP]])</f>
        <v>96</v>
      </c>
      <c r="AD367" s="219" t="str">
        <f>IF(Table2[[#This Row],[STATUS2]]="ENTREGUE","ENTREGUE","")</f>
        <v>ENTREGUE</v>
      </c>
      <c r="AE367" s="219" t="s">
        <v>43</v>
      </c>
    </row>
    <row r="368" spans="1:31" ht="15" customHeight="1">
      <c r="A368" s="229" t="s">
        <v>1247</v>
      </c>
      <c r="B368" s="249">
        <v>46140</v>
      </c>
      <c r="C368" s="251">
        <v>46139</v>
      </c>
      <c r="D368" s="231" t="s">
        <v>1248</v>
      </c>
      <c r="E368" s="231" t="s">
        <v>101</v>
      </c>
      <c r="F368" s="231" t="s">
        <v>102</v>
      </c>
      <c r="G368" s="231">
        <v>51000136</v>
      </c>
      <c r="H368" s="231" t="s">
        <v>1249</v>
      </c>
      <c r="I368" s="232" t="s">
        <v>1250</v>
      </c>
      <c r="J368" s="231">
        <v>1</v>
      </c>
      <c r="K368" s="231" t="s">
        <v>37</v>
      </c>
      <c r="L368" s="231" t="s">
        <v>122</v>
      </c>
      <c r="M368" s="231" t="s">
        <v>81</v>
      </c>
      <c r="N368" s="231">
        <v>178079</v>
      </c>
      <c r="O368" s="229"/>
      <c r="P368" s="229"/>
      <c r="Q368" s="218">
        <v>1</v>
      </c>
      <c r="R368" s="219" t="s">
        <v>1251</v>
      </c>
      <c r="S368" s="220"/>
      <c r="T368" s="220">
        <v>46198</v>
      </c>
      <c r="U368" s="220">
        <v>46210</v>
      </c>
      <c r="V368" s="219" t="s">
        <v>830</v>
      </c>
      <c r="W368" s="223">
        <v>370.71</v>
      </c>
      <c r="X368" s="223">
        <f>Table2[[#This Row],[QUANTIDADE]]*Table2[[#This Row],[PREÇO UNITARIO]]</f>
        <v>370.71</v>
      </c>
      <c r="Y368" s="219"/>
      <c r="Z368" s="219">
        <f t="shared" si="10"/>
        <v>4</v>
      </c>
      <c r="AA368" s="219" t="s">
        <v>42</v>
      </c>
      <c r="AB368" s="220">
        <f t="shared" ca="1" si="11"/>
        <v>46235</v>
      </c>
      <c r="AC368" s="219">
        <f ca="1">_xlfn.DAYS(Table2[[#This Row],[HOJE]],Table2[[#This Row],[DATA PEDIDO HP]])</f>
        <v>95</v>
      </c>
      <c r="AD368" s="219" t="str">
        <f ca="1">IF(Table2[[#This Row],[STATUS2]]="ENTREGUE","ENTREGUE","")</f>
        <v/>
      </c>
      <c r="AE368" s="219" t="str">
        <f ca="1">IF(Table2[[#This Row],[HOLD]]&gt;30,"ATRASADO","NO PRAZO")</f>
        <v>ATRASADO</v>
      </c>
    </row>
    <row r="369" spans="1:31" ht="15" customHeight="1">
      <c r="A369" s="229" t="s">
        <v>1247</v>
      </c>
      <c r="B369" s="249">
        <v>46140</v>
      </c>
      <c r="C369" s="251">
        <v>46139</v>
      </c>
      <c r="D369" s="231" t="s">
        <v>1248</v>
      </c>
      <c r="E369" s="231" t="s">
        <v>101</v>
      </c>
      <c r="F369" s="231" t="s">
        <v>102</v>
      </c>
      <c r="G369" s="231">
        <v>51000136</v>
      </c>
      <c r="H369" s="231" t="s">
        <v>1252</v>
      </c>
      <c r="I369" s="232" t="s">
        <v>1253</v>
      </c>
      <c r="J369" s="231">
        <v>1</v>
      </c>
      <c r="K369" s="231" t="s">
        <v>37</v>
      </c>
      <c r="L369" s="231" t="s">
        <v>122</v>
      </c>
      <c r="M369" s="231" t="s">
        <v>81</v>
      </c>
      <c r="N369" s="231">
        <v>178079</v>
      </c>
      <c r="O369" s="229"/>
      <c r="P369" s="229"/>
      <c r="Q369" s="218">
        <v>1</v>
      </c>
      <c r="R369" s="219"/>
      <c r="S369" s="220">
        <v>46202</v>
      </c>
      <c r="T369" s="220">
        <v>46168</v>
      </c>
      <c r="U369" s="220">
        <v>46185</v>
      </c>
      <c r="V369" s="219" t="s">
        <v>41</v>
      </c>
      <c r="W369" s="223">
        <v>83.45</v>
      </c>
      <c r="X369" s="223">
        <f>Table2[[#This Row],[QUANTIDADE]]*Table2[[#This Row],[PREÇO UNITARIO]]</f>
        <v>83.45</v>
      </c>
      <c r="Y369" s="219"/>
      <c r="Z369" s="219">
        <f t="shared" si="10"/>
        <v>4</v>
      </c>
      <c r="AA369" s="219" t="s">
        <v>42</v>
      </c>
      <c r="AB369" s="220">
        <f t="shared" ca="1" si="11"/>
        <v>46235</v>
      </c>
      <c r="AC369" s="219">
        <f ca="1">_xlfn.DAYS(Table2[[#This Row],[HOJE]],Table2[[#This Row],[DATA PEDIDO HP]])</f>
        <v>95</v>
      </c>
      <c r="AD369" s="219" t="str">
        <f>IF(Table2[[#This Row],[STATUS2]]="ENTREGUE","ENTREGUE","")</f>
        <v>ENTREGUE</v>
      </c>
      <c r="AE369" s="219" t="s">
        <v>43</v>
      </c>
    </row>
    <row r="370" spans="1:31" ht="15" customHeight="1">
      <c r="A370" s="229" t="s">
        <v>1254</v>
      </c>
      <c r="B370" s="249">
        <v>46140</v>
      </c>
      <c r="C370" s="251">
        <v>46139</v>
      </c>
      <c r="D370" s="231" t="s">
        <v>1255</v>
      </c>
      <c r="E370" s="231" t="s">
        <v>247</v>
      </c>
      <c r="F370" s="231" t="s">
        <v>594</v>
      </c>
      <c r="G370" s="231">
        <v>46000053</v>
      </c>
      <c r="H370" s="231" t="s">
        <v>1256</v>
      </c>
      <c r="I370" s="232" t="s">
        <v>1257</v>
      </c>
      <c r="J370" s="231">
        <v>1</v>
      </c>
      <c r="K370" s="231" t="s">
        <v>269</v>
      </c>
      <c r="L370" s="231" t="s">
        <v>785</v>
      </c>
      <c r="M370" s="231" t="s">
        <v>73</v>
      </c>
      <c r="N370" s="229">
        <v>178179</v>
      </c>
      <c r="O370" s="229"/>
      <c r="P370" s="229"/>
      <c r="Q370" s="219">
        <v>0</v>
      </c>
      <c r="R370" s="219"/>
      <c r="S370" s="220">
        <v>46135</v>
      </c>
      <c r="T370" s="220">
        <v>46168</v>
      </c>
      <c r="U370" s="220">
        <v>46185</v>
      </c>
      <c r="V370" s="219" t="s">
        <v>41</v>
      </c>
      <c r="W370" s="223">
        <v>362.55</v>
      </c>
      <c r="X370" s="223">
        <f>Table2[[#This Row],[QUANTIDADE]]*Table2[[#This Row],[PREÇO UNITARIO]]</f>
        <v>362.55</v>
      </c>
      <c r="Y370" s="219"/>
      <c r="Z370" s="219">
        <f t="shared" si="10"/>
        <v>4</v>
      </c>
      <c r="AA370" s="219" t="s">
        <v>74</v>
      </c>
      <c r="AB370" s="220">
        <f t="shared" ca="1" si="11"/>
        <v>46235</v>
      </c>
      <c r="AC370" s="219">
        <f ca="1">_xlfn.DAYS(Table2[[#This Row],[HOJE]],Table2[[#This Row],[DATA PEDIDO HP]])</f>
        <v>95</v>
      </c>
      <c r="AD370" s="219" t="str">
        <f ca="1">IF(Table2[[#This Row],[STATUS2]]="ENTREGUE","ENTREGUE","")</f>
        <v/>
      </c>
      <c r="AE370" s="219" t="str">
        <f ca="1">IF(Table2[[#This Row],[HOLD]]&gt;30,"ATRASADO","NO PRAZO")</f>
        <v>ATRASADO</v>
      </c>
    </row>
    <row r="371" spans="1:31" ht="15" customHeight="1">
      <c r="A371" s="229" t="s">
        <v>1254</v>
      </c>
      <c r="B371" s="249">
        <v>46140</v>
      </c>
      <c r="C371" s="251">
        <v>46139</v>
      </c>
      <c r="D371" s="231" t="s">
        <v>1255</v>
      </c>
      <c r="E371" s="231" t="s">
        <v>247</v>
      </c>
      <c r="F371" s="231" t="s">
        <v>594</v>
      </c>
      <c r="G371" s="231">
        <v>46000053</v>
      </c>
      <c r="H371" s="231" t="s">
        <v>1258</v>
      </c>
      <c r="I371" s="232" t="s">
        <v>1259</v>
      </c>
      <c r="J371" s="231">
        <v>1</v>
      </c>
      <c r="K371" s="231" t="s">
        <v>269</v>
      </c>
      <c r="L371" s="231" t="s">
        <v>785</v>
      </c>
      <c r="M371" s="231" t="s">
        <v>73</v>
      </c>
      <c r="N371" s="231">
        <v>178179</v>
      </c>
      <c r="O371" s="229"/>
      <c r="P371" s="229"/>
      <c r="Q371" s="219">
        <v>0</v>
      </c>
      <c r="R371" s="219" t="s">
        <v>1260</v>
      </c>
      <c r="S371" s="220">
        <v>46135</v>
      </c>
      <c r="T371" s="220">
        <v>46168</v>
      </c>
      <c r="U371" s="220">
        <v>46185</v>
      </c>
      <c r="V371" s="219" t="s">
        <v>41</v>
      </c>
      <c r="W371" s="223">
        <v>246.6</v>
      </c>
      <c r="X371" s="223">
        <f>Table2[[#This Row],[QUANTIDADE]]*Table2[[#This Row],[PREÇO UNITARIO]]</f>
        <v>246.6</v>
      </c>
      <c r="Y371" s="219"/>
      <c r="Z371" s="219">
        <f t="shared" si="10"/>
        <v>4</v>
      </c>
      <c r="AA371" s="219" t="s">
        <v>74</v>
      </c>
      <c r="AB371" s="220">
        <f t="shared" ca="1" si="11"/>
        <v>46235</v>
      </c>
      <c r="AC371" s="219">
        <f ca="1">_xlfn.DAYS(Table2[[#This Row],[HOJE]],Table2[[#This Row],[DATA PEDIDO HP]])</f>
        <v>95</v>
      </c>
      <c r="AD371" s="219" t="str">
        <f ca="1">IF(Table2[[#This Row],[STATUS2]]="ENTREGUE","ENTREGUE","")</f>
        <v/>
      </c>
      <c r="AE371" s="219" t="str">
        <f ca="1">IF(Table2[[#This Row],[HOLD]]&gt;30,"ATRASADO","NO PRAZO")</f>
        <v>ATRASADO</v>
      </c>
    </row>
    <row r="372" spans="1:31" ht="15" customHeight="1">
      <c r="A372" s="229" t="s">
        <v>1261</v>
      </c>
      <c r="B372" s="249">
        <v>46140</v>
      </c>
      <c r="C372" s="251">
        <v>46139</v>
      </c>
      <c r="D372" s="231" t="s">
        <v>1262</v>
      </c>
      <c r="E372" s="231" t="s">
        <v>33</v>
      </c>
      <c r="F372" s="231" t="s">
        <v>95</v>
      </c>
      <c r="G372" s="231">
        <v>60002095</v>
      </c>
      <c r="H372" s="231" t="s">
        <v>1263</v>
      </c>
      <c r="I372" s="232" t="s">
        <v>1264</v>
      </c>
      <c r="J372" s="231">
        <v>1</v>
      </c>
      <c r="K372" s="231" t="s">
        <v>269</v>
      </c>
      <c r="L372" s="231" t="s">
        <v>98</v>
      </c>
      <c r="M372" s="231" t="s">
        <v>39</v>
      </c>
      <c r="N372" s="231">
        <v>175572</v>
      </c>
      <c r="O372" s="229"/>
      <c r="P372" s="229"/>
      <c r="Q372" s="219">
        <v>0</v>
      </c>
      <c r="R372" s="219"/>
      <c r="S372" s="220"/>
      <c r="T372" s="220">
        <v>46148</v>
      </c>
      <c r="U372" s="220"/>
      <c r="V372" s="219" t="s">
        <v>61</v>
      </c>
      <c r="W372" s="223">
        <v>414.23</v>
      </c>
      <c r="X372" s="223">
        <f>Table2[[#This Row],[QUANTIDADE]]*Table2[[#This Row],[PREÇO UNITARIO]]</f>
        <v>414.23</v>
      </c>
      <c r="Y372" s="219"/>
      <c r="Z372" s="219">
        <f t="shared" si="10"/>
        <v>4</v>
      </c>
      <c r="AA372" s="219" t="s">
        <v>42</v>
      </c>
      <c r="AB372" s="220">
        <f t="shared" ca="1" si="11"/>
        <v>46235</v>
      </c>
      <c r="AC372" s="219">
        <f ca="1">_xlfn.DAYS(Table2[[#This Row],[HOJE]],Table2[[#This Row],[DATA PEDIDO HP]])</f>
        <v>95</v>
      </c>
      <c r="AD372" s="219" t="str">
        <f ca="1">IF(Table2[[#This Row],[STATUS2]]="ENTREGUE","ENTREGUE","")</f>
        <v/>
      </c>
      <c r="AE372" s="219" t="str">
        <f ca="1">IF(Table2[[#This Row],[HOLD]]&gt;30,"ATRASADO","NO PRAZO")</f>
        <v>ATRASADO</v>
      </c>
    </row>
    <row r="373" spans="1:31" ht="15" customHeight="1">
      <c r="A373" s="229" t="s">
        <v>1265</v>
      </c>
      <c r="B373" s="249">
        <v>46140</v>
      </c>
      <c r="C373" s="251">
        <v>46139</v>
      </c>
      <c r="D373" s="231" t="s">
        <v>1266</v>
      </c>
      <c r="E373" s="218" t="s">
        <v>88</v>
      </c>
      <c r="F373" s="231" t="s">
        <v>34</v>
      </c>
      <c r="G373" s="231">
        <v>50110057</v>
      </c>
      <c r="H373" s="231" t="s">
        <v>1267</v>
      </c>
      <c r="I373" s="232" t="s">
        <v>1268</v>
      </c>
      <c r="J373" s="231">
        <v>1</v>
      </c>
      <c r="K373" s="231" t="s">
        <v>37</v>
      </c>
      <c r="L373" s="231" t="s">
        <v>72</v>
      </c>
      <c r="M373" s="231" t="s">
        <v>73</v>
      </c>
      <c r="N373" s="231">
        <v>177782</v>
      </c>
      <c r="O373" s="229"/>
      <c r="P373" s="229"/>
      <c r="Q373" s="218">
        <v>1</v>
      </c>
      <c r="R373" s="219"/>
      <c r="S373" s="220"/>
      <c r="T373" s="220">
        <v>46168</v>
      </c>
      <c r="U373" s="220">
        <v>46185</v>
      </c>
      <c r="V373" s="219" t="s">
        <v>41</v>
      </c>
      <c r="W373" s="223">
        <v>83.29</v>
      </c>
      <c r="X373" s="223">
        <f>Table2[[#This Row],[QUANTIDADE]]*Table2[[#This Row],[PREÇO UNITARIO]]</f>
        <v>83.29</v>
      </c>
      <c r="Y373" s="219"/>
      <c r="Z373" s="219">
        <f t="shared" si="10"/>
        <v>4</v>
      </c>
      <c r="AA373" s="219" t="s">
        <v>42</v>
      </c>
      <c r="AB373" s="220">
        <f t="shared" ca="1" si="11"/>
        <v>46235</v>
      </c>
      <c r="AC373" s="219">
        <f ca="1">_xlfn.DAYS(Table2[[#This Row],[HOJE]],Table2[[#This Row],[DATA PEDIDO HP]])</f>
        <v>95</v>
      </c>
      <c r="AD373" s="219" t="str">
        <f ca="1">IF(Table2[[#This Row],[STATUS2]]="ENTREGUE","ENTREGUE","")</f>
        <v/>
      </c>
      <c r="AE373" s="219" t="str">
        <f ca="1">IF(Table2[[#This Row],[HOLD]]&gt;30,"ATRASADO","NO PRAZO")</f>
        <v>ATRASADO</v>
      </c>
    </row>
    <row r="374" spans="1:31" ht="15" customHeight="1">
      <c r="A374" s="229" t="s">
        <v>1269</v>
      </c>
      <c r="B374" s="249">
        <v>46140</v>
      </c>
      <c r="C374" s="251">
        <v>46139</v>
      </c>
      <c r="D374" s="231" t="s">
        <v>1270</v>
      </c>
      <c r="E374" s="231" t="s">
        <v>69</v>
      </c>
      <c r="F374" s="231" t="s">
        <v>34</v>
      </c>
      <c r="G374" s="231">
        <v>50200095</v>
      </c>
      <c r="H374" s="231" t="s">
        <v>79</v>
      </c>
      <c r="I374" s="232" t="s">
        <v>80</v>
      </c>
      <c r="J374" s="231">
        <v>1</v>
      </c>
      <c r="K374" s="231" t="s">
        <v>37</v>
      </c>
      <c r="L374" s="231" t="s">
        <v>72</v>
      </c>
      <c r="M374" s="231" t="s">
        <v>73</v>
      </c>
      <c r="N374" s="231">
        <v>177947</v>
      </c>
      <c r="O374" s="229"/>
      <c r="P374" s="229"/>
      <c r="Q374" s="218">
        <v>1</v>
      </c>
      <c r="R374" s="219"/>
      <c r="S374" s="220"/>
      <c r="T374" s="220">
        <v>46168</v>
      </c>
      <c r="U374" s="220">
        <v>46185</v>
      </c>
      <c r="V374" s="219" t="s">
        <v>41</v>
      </c>
      <c r="W374" s="223">
        <v>42.46</v>
      </c>
      <c r="X374" s="223">
        <f>Table2[[#This Row],[QUANTIDADE]]*Table2[[#This Row],[PREÇO UNITARIO]]</f>
        <v>42.46</v>
      </c>
      <c r="Y374" s="219"/>
      <c r="Z374" s="219">
        <f t="shared" si="10"/>
        <v>4</v>
      </c>
      <c r="AA374" s="219" t="s">
        <v>74</v>
      </c>
      <c r="AB374" s="220">
        <f t="shared" ca="1" si="11"/>
        <v>46235</v>
      </c>
      <c r="AC374" s="219">
        <f ca="1">_xlfn.DAYS(Table2[[#This Row],[HOJE]],Table2[[#This Row],[DATA PEDIDO HP]])</f>
        <v>95</v>
      </c>
      <c r="AD374" s="219" t="str">
        <f ca="1">IF(Table2[[#This Row],[STATUS2]]="ENTREGUE","ENTREGUE","")</f>
        <v/>
      </c>
      <c r="AE374" s="219" t="str">
        <f ca="1">IF(Table2[[#This Row],[HOLD]]&gt;30,"ATRASADO","NO PRAZO")</f>
        <v>ATRASADO</v>
      </c>
    </row>
    <row r="375" spans="1:31" ht="15" customHeight="1">
      <c r="A375" s="229" t="s">
        <v>1269</v>
      </c>
      <c r="B375" s="249">
        <v>46140</v>
      </c>
      <c r="C375" s="227">
        <v>46139</v>
      </c>
      <c r="D375" s="228" t="s">
        <v>1270</v>
      </c>
      <c r="E375" s="228" t="s">
        <v>69</v>
      </c>
      <c r="F375" s="228" t="s">
        <v>34</v>
      </c>
      <c r="G375" s="228">
        <v>50200095</v>
      </c>
      <c r="H375" s="228" t="s">
        <v>82</v>
      </c>
      <c r="I375" s="228" t="s">
        <v>83</v>
      </c>
      <c r="J375" s="228">
        <v>1</v>
      </c>
      <c r="K375" s="228" t="s">
        <v>37</v>
      </c>
      <c r="L375" s="228" t="s">
        <v>72</v>
      </c>
      <c r="M375" s="228" t="s">
        <v>73</v>
      </c>
      <c r="N375" s="231">
        <v>177947</v>
      </c>
      <c r="O375" s="229"/>
      <c r="P375" s="229"/>
      <c r="Q375" s="218">
        <v>1</v>
      </c>
      <c r="R375" s="219"/>
      <c r="S375" s="220"/>
      <c r="T375" s="220">
        <v>46168</v>
      </c>
      <c r="U375" s="220">
        <v>46185</v>
      </c>
      <c r="V375" s="219" t="s">
        <v>41</v>
      </c>
      <c r="W375" s="223">
        <v>19.600000000000001</v>
      </c>
      <c r="X375" s="223">
        <f>Table2[[#This Row],[QUANTIDADE]]*Table2[[#This Row],[PREÇO UNITARIO]]</f>
        <v>19.600000000000001</v>
      </c>
      <c r="Y375" s="219"/>
      <c r="Z375" s="219">
        <f t="shared" si="10"/>
        <v>4</v>
      </c>
      <c r="AA375" s="219" t="s">
        <v>74</v>
      </c>
      <c r="AB375" s="220">
        <f t="shared" ca="1" si="11"/>
        <v>46235</v>
      </c>
      <c r="AC375" s="219">
        <f ca="1">_xlfn.DAYS(Table2[[#This Row],[HOJE]],Table2[[#This Row],[DATA PEDIDO HP]])</f>
        <v>95</v>
      </c>
      <c r="AD375" s="219" t="str">
        <f ca="1">IF(Table2[[#This Row],[STATUS2]]="ENTREGUE","ENTREGUE","")</f>
        <v/>
      </c>
      <c r="AE375" s="219" t="str">
        <f ca="1">IF(Table2[[#This Row],[HOLD]]&gt;30,"ATRASADO","NO PRAZO")</f>
        <v>ATRASADO</v>
      </c>
    </row>
    <row r="376" spans="1:31" ht="15" customHeight="1">
      <c r="A376" s="229" t="s">
        <v>1271</v>
      </c>
      <c r="B376" s="249">
        <v>46139</v>
      </c>
      <c r="C376" s="227">
        <v>46139</v>
      </c>
      <c r="D376" s="231" t="s">
        <v>1272</v>
      </c>
      <c r="E376" s="231" t="s">
        <v>512</v>
      </c>
      <c r="F376" s="231" t="s">
        <v>145</v>
      </c>
      <c r="G376" s="231">
        <v>48000002</v>
      </c>
      <c r="H376" s="231" t="s">
        <v>1273</v>
      </c>
      <c r="I376" s="232" t="s">
        <v>1274</v>
      </c>
      <c r="J376" s="231">
        <v>2</v>
      </c>
      <c r="K376" s="231" t="s">
        <v>37</v>
      </c>
      <c r="L376" s="231" t="s">
        <v>307</v>
      </c>
      <c r="M376" s="231" t="s">
        <v>73</v>
      </c>
      <c r="N376" s="231">
        <v>173758</v>
      </c>
      <c r="O376" s="229"/>
      <c r="P376" s="229"/>
      <c r="Q376" s="218">
        <v>1</v>
      </c>
      <c r="R376" s="219" t="s">
        <v>1275</v>
      </c>
      <c r="S376" s="220"/>
      <c r="T376" s="220">
        <v>46168</v>
      </c>
      <c r="U376" s="220">
        <v>46185</v>
      </c>
      <c r="V376" s="219" t="s">
        <v>41</v>
      </c>
      <c r="W376" s="223">
        <v>120.33</v>
      </c>
      <c r="X376" s="223">
        <f>Table2[[#This Row],[QUANTIDADE]]*Table2[[#This Row],[PREÇO UNITARIO]]</f>
        <v>240.66</v>
      </c>
      <c r="Y376" s="219"/>
      <c r="Z376" s="219">
        <f t="shared" si="10"/>
        <v>4</v>
      </c>
      <c r="AA376" s="219" t="s">
        <v>74</v>
      </c>
      <c r="AB376" s="220">
        <f t="shared" ca="1" si="11"/>
        <v>46235</v>
      </c>
      <c r="AC376" s="219">
        <f ca="1">_xlfn.DAYS(Table2[[#This Row],[HOJE]],Table2[[#This Row],[DATA PEDIDO HP]])</f>
        <v>96</v>
      </c>
      <c r="AD376" s="219" t="str">
        <f ca="1">IF(Table2[[#This Row],[STATUS2]]="ENTREGUE","ENTREGUE","")</f>
        <v/>
      </c>
      <c r="AE376" s="219" t="str">
        <f ca="1">IF(Table2[[#This Row],[HOLD]]&gt;30,"ATRASADO","NO PRAZO")</f>
        <v>ATRASADO</v>
      </c>
    </row>
    <row r="377" spans="1:31" ht="15" customHeight="1">
      <c r="A377" s="229" t="s">
        <v>1276</v>
      </c>
      <c r="B377" s="249">
        <v>46140</v>
      </c>
      <c r="C377" s="251">
        <v>46140</v>
      </c>
      <c r="D377" s="231" t="s">
        <v>1277</v>
      </c>
      <c r="E377" s="231" t="s">
        <v>327</v>
      </c>
      <c r="F377" s="231" t="s">
        <v>328</v>
      </c>
      <c r="G377" s="231">
        <v>50000260</v>
      </c>
      <c r="H377" s="231" t="s">
        <v>1278</v>
      </c>
      <c r="I377" s="232" t="s">
        <v>1279</v>
      </c>
      <c r="J377" s="231">
        <v>1</v>
      </c>
      <c r="K377" s="231" t="s">
        <v>37</v>
      </c>
      <c r="L377" s="231" t="s">
        <v>122</v>
      </c>
      <c r="M377" s="231" t="s">
        <v>81</v>
      </c>
      <c r="N377" s="231">
        <v>178640</v>
      </c>
      <c r="O377" s="229"/>
      <c r="P377" s="229"/>
      <c r="Q377" s="218">
        <v>1</v>
      </c>
      <c r="R377" s="219"/>
      <c r="S377" s="220">
        <v>46202</v>
      </c>
      <c r="T377" s="220">
        <v>46168</v>
      </c>
      <c r="U377" s="220">
        <v>46185</v>
      </c>
      <c r="V377" s="219" t="s">
        <v>41</v>
      </c>
      <c r="W377" s="223">
        <v>50.63</v>
      </c>
      <c r="X377" s="223">
        <f>Table2[[#This Row],[QUANTIDADE]]*Table2[[#This Row],[PREÇO UNITARIO]]</f>
        <v>50.63</v>
      </c>
      <c r="Y377" s="219"/>
      <c r="Z377" s="219">
        <f t="shared" si="10"/>
        <v>4</v>
      </c>
      <c r="AA377" s="219" t="s">
        <v>42</v>
      </c>
      <c r="AB377" s="220">
        <f t="shared" ca="1" si="11"/>
        <v>46235</v>
      </c>
      <c r="AC377" s="219">
        <f ca="1">_xlfn.DAYS(Table2[[#This Row],[HOJE]],Table2[[#This Row],[DATA PEDIDO HP]])</f>
        <v>95</v>
      </c>
      <c r="AD377" s="219" t="str">
        <f>IF(Table2[[#This Row],[STATUS2]]="ENTREGUE","ENTREGUE","")</f>
        <v>ENTREGUE</v>
      </c>
      <c r="AE377" s="219" t="s">
        <v>43</v>
      </c>
    </row>
    <row r="378" spans="1:31" ht="15" customHeight="1">
      <c r="A378" s="229" t="s">
        <v>1280</v>
      </c>
      <c r="B378" s="249">
        <v>46140</v>
      </c>
      <c r="C378" s="251">
        <v>46140</v>
      </c>
      <c r="D378" s="231" t="s">
        <v>1281</v>
      </c>
      <c r="E378" s="231" t="s">
        <v>327</v>
      </c>
      <c r="F378" s="231" t="s">
        <v>328</v>
      </c>
      <c r="G378" s="231">
        <v>50000260</v>
      </c>
      <c r="H378" s="231" t="s">
        <v>1282</v>
      </c>
      <c r="I378" s="232" t="s">
        <v>1283</v>
      </c>
      <c r="J378" s="231">
        <v>1</v>
      </c>
      <c r="K378" s="231" t="s">
        <v>37</v>
      </c>
      <c r="L378" s="231" t="s">
        <v>122</v>
      </c>
      <c r="M378" s="231" t="s">
        <v>81</v>
      </c>
      <c r="N378" s="231">
        <v>178277</v>
      </c>
      <c r="O378" s="229"/>
      <c r="P378" s="229"/>
      <c r="Q378" s="218">
        <v>1</v>
      </c>
      <c r="R378" s="219"/>
      <c r="S378" s="220">
        <v>46202</v>
      </c>
      <c r="T378" s="220">
        <v>46168</v>
      </c>
      <c r="U378" s="220">
        <v>46185</v>
      </c>
      <c r="V378" s="219" t="s">
        <v>41</v>
      </c>
      <c r="W378" s="223">
        <v>426.62</v>
      </c>
      <c r="X378" s="223">
        <f>Table2[[#This Row],[QUANTIDADE]]*Table2[[#This Row],[PREÇO UNITARIO]]</f>
        <v>426.62</v>
      </c>
      <c r="Y378" s="219"/>
      <c r="Z378" s="219">
        <f t="shared" si="10"/>
        <v>4</v>
      </c>
      <c r="AA378" s="219" t="s">
        <v>42</v>
      </c>
      <c r="AB378" s="220">
        <f t="shared" ca="1" si="11"/>
        <v>46235</v>
      </c>
      <c r="AC378" s="219">
        <f ca="1">_xlfn.DAYS(Table2[[#This Row],[HOJE]],Table2[[#This Row],[DATA PEDIDO HP]])</f>
        <v>95</v>
      </c>
      <c r="AD378" s="219" t="str">
        <f>IF(Table2[[#This Row],[STATUS2]]="ENTREGUE","ENTREGUE","")</f>
        <v>ENTREGUE</v>
      </c>
      <c r="AE378" s="219" t="s">
        <v>43</v>
      </c>
    </row>
    <row r="379" spans="1:31" ht="15" customHeight="1">
      <c r="A379" s="229" t="s">
        <v>1284</v>
      </c>
      <c r="B379" s="249">
        <v>46140</v>
      </c>
      <c r="C379" s="251">
        <v>46140</v>
      </c>
      <c r="D379" s="231" t="s">
        <v>1285</v>
      </c>
      <c r="E379" s="231" t="s">
        <v>1127</v>
      </c>
      <c r="F379" s="231" t="s">
        <v>140</v>
      </c>
      <c r="G379" s="231">
        <v>48300400</v>
      </c>
      <c r="H379" s="231" t="s">
        <v>1286</v>
      </c>
      <c r="I379" s="232" t="s">
        <v>1287</v>
      </c>
      <c r="J379" s="231">
        <v>1</v>
      </c>
      <c r="K379" s="231" t="s">
        <v>37</v>
      </c>
      <c r="L379" s="231" t="s">
        <v>72</v>
      </c>
      <c r="M379" s="231" t="s">
        <v>73</v>
      </c>
      <c r="N379" s="231">
        <v>178245</v>
      </c>
      <c r="O379" s="229"/>
      <c r="P379" s="229"/>
      <c r="Q379" s="218">
        <v>1</v>
      </c>
      <c r="R379" s="219"/>
      <c r="S379" s="220"/>
      <c r="T379" s="220">
        <v>46168</v>
      </c>
      <c r="U379" s="220">
        <v>46185</v>
      </c>
      <c r="V379" s="219" t="s">
        <v>41</v>
      </c>
      <c r="W379" s="223">
        <v>16.329999999999998</v>
      </c>
      <c r="X379" s="223">
        <f>Table2[[#This Row],[QUANTIDADE]]*Table2[[#This Row],[PREÇO UNITARIO]]</f>
        <v>16.329999999999998</v>
      </c>
      <c r="Y379" s="219"/>
      <c r="Z379" s="219">
        <f t="shared" si="10"/>
        <v>4</v>
      </c>
      <c r="AA379" s="219" t="s">
        <v>74</v>
      </c>
      <c r="AB379" s="220">
        <f t="shared" ca="1" si="11"/>
        <v>46235</v>
      </c>
      <c r="AC379" s="219">
        <f ca="1">_xlfn.DAYS(Table2[[#This Row],[HOJE]],Table2[[#This Row],[DATA PEDIDO HP]])</f>
        <v>95</v>
      </c>
      <c r="AD379" s="219" t="str">
        <f ca="1">IF(Table2[[#This Row],[STATUS2]]="ENTREGUE","ENTREGUE","")</f>
        <v/>
      </c>
      <c r="AE379" s="219" t="str">
        <f ca="1">IF(Table2[[#This Row],[HOLD]]&gt;30,"ATRASADO","NO PRAZO")</f>
        <v>ATRASADO</v>
      </c>
    </row>
    <row r="380" spans="1:31" ht="15" customHeight="1">
      <c r="A380" s="229" t="s">
        <v>1288</v>
      </c>
      <c r="B380" s="249">
        <v>46140</v>
      </c>
      <c r="C380" s="251">
        <v>46140</v>
      </c>
      <c r="D380" s="231" t="s">
        <v>1289</v>
      </c>
      <c r="E380" s="231" t="s">
        <v>915</v>
      </c>
      <c r="F380" s="231" t="s">
        <v>242</v>
      </c>
      <c r="G380" s="231">
        <v>51100064</v>
      </c>
      <c r="H380" s="231" t="s">
        <v>1267</v>
      </c>
      <c r="I380" s="232" t="s">
        <v>1268</v>
      </c>
      <c r="J380" s="231">
        <v>1</v>
      </c>
      <c r="K380" s="231" t="s">
        <v>37</v>
      </c>
      <c r="L380" s="231" t="s">
        <v>72</v>
      </c>
      <c r="M380" s="231" t="s">
        <v>73</v>
      </c>
      <c r="N380" s="231">
        <v>178574</v>
      </c>
      <c r="O380" s="229"/>
      <c r="P380" s="229"/>
      <c r="Q380" s="218">
        <v>1</v>
      </c>
      <c r="R380" s="219"/>
      <c r="S380" s="220"/>
      <c r="T380" s="220">
        <v>46168</v>
      </c>
      <c r="U380" s="220">
        <v>46185</v>
      </c>
      <c r="V380" s="219" t="s">
        <v>41</v>
      </c>
      <c r="W380" s="223">
        <v>83.29</v>
      </c>
      <c r="X380" s="223">
        <f>Table2[[#This Row],[QUANTIDADE]]*Table2[[#This Row],[PREÇO UNITARIO]]</f>
        <v>83.29</v>
      </c>
      <c r="Y380" s="219"/>
      <c r="Z380" s="219">
        <f t="shared" si="10"/>
        <v>4</v>
      </c>
      <c r="AA380" s="219" t="s">
        <v>74</v>
      </c>
      <c r="AB380" s="220">
        <f t="shared" ca="1" si="11"/>
        <v>46235</v>
      </c>
      <c r="AC380" s="219">
        <f ca="1">_xlfn.DAYS(Table2[[#This Row],[HOJE]],Table2[[#This Row],[DATA PEDIDO HP]])</f>
        <v>95</v>
      </c>
      <c r="AD380" s="219" t="str">
        <f ca="1">IF(Table2[[#This Row],[STATUS2]]="ENTREGUE","ENTREGUE","")</f>
        <v/>
      </c>
      <c r="AE380" s="219" t="str">
        <f ca="1">IF(Table2[[#This Row],[HOLD]]&gt;30,"ATRASADO","NO PRAZO")</f>
        <v>ATRASADO</v>
      </c>
    </row>
    <row r="381" spans="1:31" ht="15" customHeight="1">
      <c r="A381" s="229" t="s">
        <v>1290</v>
      </c>
      <c r="B381" s="249">
        <v>46141</v>
      </c>
      <c r="C381" s="251">
        <v>46140</v>
      </c>
      <c r="D381" s="231" t="s">
        <v>1291</v>
      </c>
      <c r="E381" s="231" t="s">
        <v>298</v>
      </c>
      <c r="F381" s="231" t="s">
        <v>34</v>
      </c>
      <c r="G381" s="231">
        <v>50110261</v>
      </c>
      <c r="H381" s="231" t="s">
        <v>1292</v>
      </c>
      <c r="I381" s="232" t="s">
        <v>1293</v>
      </c>
      <c r="J381" s="231">
        <v>1</v>
      </c>
      <c r="K381" s="231" t="s">
        <v>37</v>
      </c>
      <c r="L381" s="231" t="s">
        <v>72</v>
      </c>
      <c r="M381" s="231" t="s">
        <v>73</v>
      </c>
      <c r="N381" s="231">
        <v>178838</v>
      </c>
      <c r="O381" s="231"/>
      <c r="P381" s="229"/>
      <c r="Q381" s="218">
        <v>1</v>
      </c>
      <c r="R381" s="219"/>
      <c r="S381" s="220"/>
      <c r="T381" s="220">
        <v>46168</v>
      </c>
      <c r="U381" s="220">
        <v>46185</v>
      </c>
      <c r="V381" s="219" t="s">
        <v>41</v>
      </c>
      <c r="W381" s="223">
        <v>109.04</v>
      </c>
      <c r="X381" s="223">
        <f>Table2[[#This Row],[QUANTIDADE]]*Table2[[#This Row],[PREÇO UNITARIO]]</f>
        <v>109.04</v>
      </c>
      <c r="Y381" s="219"/>
      <c r="Z381" s="219">
        <f t="shared" si="10"/>
        <v>4</v>
      </c>
      <c r="AA381" s="219" t="s">
        <v>74</v>
      </c>
      <c r="AB381" s="220">
        <f t="shared" ca="1" si="11"/>
        <v>46235</v>
      </c>
      <c r="AC381" s="219">
        <f ca="1">_xlfn.DAYS(Table2[[#This Row],[HOJE]],Table2[[#This Row],[DATA PEDIDO HP]])</f>
        <v>94</v>
      </c>
      <c r="AD381" s="219" t="str">
        <f ca="1">IF(Table2[[#This Row],[STATUS2]]="ENTREGUE","ENTREGUE","")</f>
        <v/>
      </c>
      <c r="AE381" s="219" t="str">
        <f ca="1">IF(Table2[[#This Row],[HOLD]]&gt;30,"ATRASADO","NO PRAZO")</f>
        <v>ATRASADO</v>
      </c>
    </row>
    <row r="382" spans="1:31" ht="15" customHeight="1">
      <c r="A382" s="229" t="s">
        <v>1294</v>
      </c>
      <c r="B382" s="249">
        <v>46146</v>
      </c>
      <c r="C382" s="217">
        <v>46146</v>
      </c>
      <c r="D382" s="218" t="s">
        <v>1295</v>
      </c>
      <c r="E382" s="218" t="s">
        <v>327</v>
      </c>
      <c r="F382" s="218" t="s">
        <v>328</v>
      </c>
      <c r="G382" s="218">
        <v>50000260</v>
      </c>
      <c r="H382" s="218" t="s">
        <v>1022</v>
      </c>
      <c r="I382" s="218" t="s">
        <v>1296</v>
      </c>
      <c r="J382" s="218">
        <v>1</v>
      </c>
      <c r="K382" s="218" t="s">
        <v>37</v>
      </c>
      <c r="L382" s="218" t="s">
        <v>122</v>
      </c>
      <c r="M382" s="218" t="s">
        <v>73</v>
      </c>
      <c r="N382" s="218">
        <v>179895</v>
      </c>
      <c r="O382" s="219"/>
      <c r="P382" s="219">
        <v>1</v>
      </c>
      <c r="Q382" s="219"/>
      <c r="R382" s="219"/>
      <c r="S382" s="220"/>
      <c r="T382" s="220">
        <v>46168</v>
      </c>
      <c r="U382" s="220">
        <v>46185</v>
      </c>
      <c r="V382" s="219" t="s">
        <v>41</v>
      </c>
      <c r="W382" s="223">
        <v>24.5</v>
      </c>
      <c r="X382" s="223">
        <f>Table2[[#This Row],[QUANTIDADE]]*Table2[[#This Row],[PREÇO UNITARIO]]</f>
        <v>24.5</v>
      </c>
      <c r="Y382" s="219"/>
      <c r="Z382" s="219">
        <f t="shared" si="10"/>
        <v>5</v>
      </c>
      <c r="AA382" s="219" t="s">
        <v>42</v>
      </c>
      <c r="AB382" s="220">
        <f t="shared" ca="1" si="11"/>
        <v>46235</v>
      </c>
      <c r="AC382" s="219">
        <f ca="1">_xlfn.DAYS(Table2[[#This Row],[HOJE]],Table2[[#This Row],[DATA PEDIDO HP]])</f>
        <v>89</v>
      </c>
      <c r="AD382" s="219" t="str">
        <f ca="1">IF(Table2[[#This Row],[STATUS2]]="ENTREGUE","ENTREGUE","")</f>
        <v/>
      </c>
      <c r="AE382" s="230" t="str">
        <f ca="1">IF(Table2[[#This Row],[HOLD]]&gt;30,"ATRASADO","NO PRAZO")</f>
        <v>ATRASADO</v>
      </c>
    </row>
    <row r="383" spans="1:31" ht="15" customHeight="1">
      <c r="A383" s="229" t="s">
        <v>1297</v>
      </c>
      <c r="B383" s="217">
        <v>46141</v>
      </c>
      <c r="C383" s="217">
        <v>46141</v>
      </c>
      <c r="D383" s="218" t="s">
        <v>1298</v>
      </c>
      <c r="E383" s="218" t="s">
        <v>94</v>
      </c>
      <c r="F383" s="218" t="s">
        <v>95</v>
      </c>
      <c r="G383" s="218">
        <v>60002072</v>
      </c>
      <c r="H383" s="218" t="s">
        <v>523</v>
      </c>
      <c r="I383" s="218" t="s">
        <v>524</v>
      </c>
      <c r="J383" s="218">
        <v>1</v>
      </c>
      <c r="K383" s="218" t="s">
        <v>37</v>
      </c>
      <c r="L383" s="218" t="s">
        <v>72</v>
      </c>
      <c r="M383" s="218" t="s">
        <v>81</v>
      </c>
      <c r="N383" s="218">
        <v>178508</v>
      </c>
      <c r="O383" s="219"/>
      <c r="P383" s="219"/>
      <c r="Q383" s="219"/>
      <c r="R383" s="219"/>
      <c r="S383" s="220">
        <v>46202</v>
      </c>
      <c r="T383" s="220">
        <v>46168</v>
      </c>
      <c r="U383" s="220">
        <v>46185</v>
      </c>
      <c r="V383" s="219" t="s">
        <v>41</v>
      </c>
      <c r="W383" s="223">
        <v>475.51</v>
      </c>
      <c r="X383" s="223">
        <f>Table2[[#This Row],[QUANTIDADE]]*Table2[[#This Row],[PREÇO UNITARIO]]</f>
        <v>475.51</v>
      </c>
      <c r="Y383" s="219"/>
      <c r="Z383" s="219">
        <f t="shared" si="10"/>
        <v>4</v>
      </c>
      <c r="AA383" s="219" t="s">
        <v>74</v>
      </c>
      <c r="AB383" s="220">
        <f t="shared" ca="1" si="11"/>
        <v>46235</v>
      </c>
      <c r="AC383" s="219">
        <f ca="1">_xlfn.DAYS(Table2[[#This Row],[HOJE]],Table2[[#This Row],[DATA PEDIDO HP]])</f>
        <v>94</v>
      </c>
      <c r="AD383" s="219" t="str">
        <f>IF(Table2[[#This Row],[STATUS2]]="ENTREGUE","ENTREGUE","")</f>
        <v>ENTREGUE</v>
      </c>
      <c r="AE383" s="219" t="s">
        <v>43</v>
      </c>
    </row>
    <row r="384" spans="1:31" ht="15" customHeight="1">
      <c r="A384" s="229" t="s">
        <v>1299</v>
      </c>
      <c r="B384" s="217">
        <v>46141</v>
      </c>
      <c r="C384" s="217">
        <v>46141</v>
      </c>
      <c r="D384" s="218" t="s">
        <v>1300</v>
      </c>
      <c r="E384" s="218" t="s">
        <v>570</v>
      </c>
      <c r="F384" s="218" t="s">
        <v>571</v>
      </c>
      <c r="G384" s="218">
        <v>50510045</v>
      </c>
      <c r="H384" s="218" t="s">
        <v>1301</v>
      </c>
      <c r="I384" s="218" t="s">
        <v>1302</v>
      </c>
      <c r="J384" s="218">
        <v>1</v>
      </c>
      <c r="K384" s="218" t="s">
        <v>37</v>
      </c>
      <c r="L384" s="218" t="s">
        <v>72</v>
      </c>
      <c r="M384" s="218" t="s">
        <v>39</v>
      </c>
      <c r="N384" s="218">
        <v>179036</v>
      </c>
      <c r="O384" s="219"/>
      <c r="P384" s="219"/>
      <c r="Q384" s="219"/>
      <c r="R384" s="219"/>
      <c r="S384" s="220"/>
      <c r="T384" s="220">
        <v>46161</v>
      </c>
      <c r="U384" s="220">
        <v>46167</v>
      </c>
      <c r="V384" s="219" t="s">
        <v>545</v>
      </c>
      <c r="W384" s="223">
        <v>413.5</v>
      </c>
      <c r="X384" s="223">
        <f>Table2[[#This Row],[QUANTIDADE]]*Table2[[#This Row],[PREÇO UNITARIO]]</f>
        <v>413.5</v>
      </c>
      <c r="Y384" s="219" t="s">
        <v>42</v>
      </c>
      <c r="Z384" s="219">
        <f t="shared" si="10"/>
        <v>4</v>
      </c>
      <c r="AA384" s="219" t="s">
        <v>42</v>
      </c>
      <c r="AB384" s="220">
        <f t="shared" ca="1" si="11"/>
        <v>46235</v>
      </c>
      <c r="AC384" s="219">
        <f ca="1">_xlfn.DAYS(Table2[[#This Row],[HOJE]],Table2[[#This Row],[DATA PEDIDO HP]])</f>
        <v>94</v>
      </c>
      <c r="AD384" s="219" t="str">
        <f ca="1">IF(Table2[[#This Row],[STATUS2]]="ENTREGUE","ENTREGUE","")</f>
        <v/>
      </c>
      <c r="AE384" s="230" t="str">
        <f ca="1">IF(Table2[[#This Row],[HOLD]]&gt;30,"ATRASADO","NO PRAZO")</f>
        <v>ATRASADO</v>
      </c>
    </row>
    <row r="385" spans="1:31" ht="15" customHeight="1">
      <c r="A385" s="229" t="s">
        <v>1303</v>
      </c>
      <c r="B385" s="217">
        <v>46142</v>
      </c>
      <c r="C385" s="217">
        <v>46142</v>
      </c>
      <c r="D385" s="218" t="s">
        <v>1304</v>
      </c>
      <c r="E385" s="218" t="s">
        <v>704</v>
      </c>
      <c r="F385" s="218" t="s">
        <v>145</v>
      </c>
      <c r="G385" s="218">
        <v>48000482</v>
      </c>
      <c r="H385" s="218" t="s">
        <v>1305</v>
      </c>
      <c r="I385" s="218" t="s">
        <v>1306</v>
      </c>
      <c r="J385" s="218">
        <v>1</v>
      </c>
      <c r="K385" s="218" t="s">
        <v>37</v>
      </c>
      <c r="L385" s="218" t="s">
        <v>72</v>
      </c>
      <c r="M385" s="218" t="s">
        <v>73</v>
      </c>
      <c r="N385" s="218">
        <v>179367</v>
      </c>
      <c r="O385" s="219"/>
      <c r="P385" s="219"/>
      <c r="Q385" s="219"/>
      <c r="R385" s="219"/>
      <c r="S385" s="220"/>
      <c r="T385" s="220">
        <v>46168</v>
      </c>
      <c r="U385" s="220">
        <v>46185</v>
      </c>
      <c r="V385" s="219" t="s">
        <v>41</v>
      </c>
      <c r="W385" s="223">
        <v>13.15</v>
      </c>
      <c r="X385" s="223">
        <f>Table2[[#This Row],[QUANTIDADE]]*Table2[[#This Row],[PREÇO UNITARIO]]</f>
        <v>13.15</v>
      </c>
      <c r="Y385" s="219"/>
      <c r="Z385" s="219">
        <f t="shared" si="10"/>
        <v>4</v>
      </c>
      <c r="AA385" s="219" t="s">
        <v>74</v>
      </c>
      <c r="AB385" s="220">
        <f t="shared" ca="1" si="11"/>
        <v>46235</v>
      </c>
      <c r="AC385" s="219">
        <f ca="1">_xlfn.DAYS(Table2[[#This Row],[HOJE]],Table2[[#This Row],[DATA PEDIDO HP]])</f>
        <v>93</v>
      </c>
      <c r="AD385" s="219" t="str">
        <f ca="1">IF(Table2[[#This Row],[STATUS2]]="ENTREGUE","ENTREGUE","")</f>
        <v/>
      </c>
      <c r="AE385" s="230" t="str">
        <f ca="1">IF(Table2[[#This Row],[HOLD]]&gt;30,"ATRASADO","NO PRAZO")</f>
        <v>ATRASADO</v>
      </c>
    </row>
    <row r="386" spans="1:31" ht="15" customHeight="1">
      <c r="A386" s="229" t="s">
        <v>1307</v>
      </c>
      <c r="B386" s="217">
        <v>46142</v>
      </c>
      <c r="C386" s="217">
        <v>46142</v>
      </c>
      <c r="D386" s="218" t="s">
        <v>1308</v>
      </c>
      <c r="E386" s="218" t="s">
        <v>154</v>
      </c>
      <c r="F386" s="218" t="s">
        <v>145</v>
      </c>
      <c r="G386" s="218">
        <v>48000044</v>
      </c>
      <c r="H386" s="218" t="s">
        <v>426</v>
      </c>
      <c r="I386" s="218" t="s">
        <v>1309</v>
      </c>
      <c r="J386" s="218">
        <v>1</v>
      </c>
      <c r="K386" s="218" t="s">
        <v>37</v>
      </c>
      <c r="L386" s="218" t="s">
        <v>72</v>
      </c>
      <c r="M386" s="218" t="s">
        <v>73</v>
      </c>
      <c r="N386" s="218">
        <v>179069</v>
      </c>
      <c r="O386" s="219"/>
      <c r="P386" s="219"/>
      <c r="Q386" s="219"/>
      <c r="R386" s="219"/>
      <c r="S386" s="220"/>
      <c r="T386" s="220">
        <v>46168</v>
      </c>
      <c r="U386" s="220">
        <v>46185</v>
      </c>
      <c r="V386" s="219" t="s">
        <v>41</v>
      </c>
      <c r="W386" s="223">
        <v>16.329999999999998</v>
      </c>
      <c r="X386" s="223">
        <f>Table2[[#This Row],[QUANTIDADE]]*Table2[[#This Row],[PREÇO UNITARIO]]</f>
        <v>16.329999999999998</v>
      </c>
      <c r="Y386" s="219"/>
      <c r="Z386" s="219">
        <f t="shared" ref="Z386:Z449" si="12">MONTH(B386)</f>
        <v>4</v>
      </c>
      <c r="AA386" s="219" t="s">
        <v>74</v>
      </c>
      <c r="AB386" s="220">
        <f t="shared" ref="AB386:AB449" ca="1" si="13">TODAY()</f>
        <v>46235</v>
      </c>
      <c r="AC386" s="219">
        <f ca="1">_xlfn.DAYS(Table2[[#This Row],[HOJE]],Table2[[#This Row],[DATA PEDIDO HP]])</f>
        <v>93</v>
      </c>
      <c r="AD386" s="219" t="str">
        <f ca="1">IF(Table2[[#This Row],[STATUS2]]="ENTREGUE","ENTREGUE","")</f>
        <v/>
      </c>
      <c r="AE386" s="230" t="str">
        <f ca="1">IF(Table2[[#This Row],[HOLD]]&gt;30,"ATRASADO","NO PRAZO")</f>
        <v>ATRASADO</v>
      </c>
    </row>
    <row r="387" spans="1:31" ht="15" customHeight="1">
      <c r="A387" s="229" t="s">
        <v>1307</v>
      </c>
      <c r="B387" s="217">
        <v>46142</v>
      </c>
      <c r="C387" s="217">
        <v>46142</v>
      </c>
      <c r="D387" s="218" t="s">
        <v>1308</v>
      </c>
      <c r="E387" s="218" t="s">
        <v>154</v>
      </c>
      <c r="F387" s="218" t="s">
        <v>145</v>
      </c>
      <c r="G387" s="218">
        <v>48000044</v>
      </c>
      <c r="H387" s="218" t="s">
        <v>1310</v>
      </c>
      <c r="I387" s="218" t="s">
        <v>1311</v>
      </c>
      <c r="J387" s="218">
        <v>2</v>
      </c>
      <c r="K387" s="218" t="s">
        <v>37</v>
      </c>
      <c r="L387" s="218" t="s">
        <v>72</v>
      </c>
      <c r="M387" s="218" t="s">
        <v>39</v>
      </c>
      <c r="N387" s="218">
        <v>179069</v>
      </c>
      <c r="O387" s="219"/>
      <c r="P387" s="219"/>
      <c r="Q387" s="219"/>
      <c r="R387" s="219"/>
      <c r="S387" s="220">
        <v>46202</v>
      </c>
      <c r="T387" s="220">
        <v>46168</v>
      </c>
      <c r="U387" s="220">
        <v>46185</v>
      </c>
      <c r="V387" s="219" t="s">
        <v>41</v>
      </c>
      <c r="W387" s="223">
        <v>72.98</v>
      </c>
      <c r="X387" s="223">
        <f>Table2[[#This Row],[QUANTIDADE]]*Table2[[#This Row],[PREÇO UNITARIO]]</f>
        <v>145.96</v>
      </c>
      <c r="Y387" s="219"/>
      <c r="Z387" s="219">
        <f t="shared" si="12"/>
        <v>4</v>
      </c>
      <c r="AA387" s="219" t="s">
        <v>74</v>
      </c>
      <c r="AB387" s="220">
        <f t="shared" ca="1" si="13"/>
        <v>46235</v>
      </c>
      <c r="AC387" s="219">
        <f ca="1">_xlfn.DAYS(Table2[[#This Row],[HOJE]],Table2[[#This Row],[DATA PEDIDO HP]])</f>
        <v>93</v>
      </c>
      <c r="AD387" s="219" t="str">
        <f>IF(Table2[[#This Row],[STATUS2]]="ENTREGUE","ENTREGUE","")</f>
        <v>ENTREGUE</v>
      </c>
      <c r="AE387" s="219" t="s">
        <v>43</v>
      </c>
    </row>
    <row r="388" spans="1:31" ht="15" customHeight="1">
      <c r="A388" s="229" t="s">
        <v>1312</v>
      </c>
      <c r="B388" s="217">
        <v>46142</v>
      </c>
      <c r="C388" s="217">
        <v>46142</v>
      </c>
      <c r="D388" s="218" t="s">
        <v>1313</v>
      </c>
      <c r="E388" s="218" t="s">
        <v>162</v>
      </c>
      <c r="F388" s="218" t="s">
        <v>140</v>
      </c>
      <c r="G388" s="218">
        <v>48300315</v>
      </c>
      <c r="H388" s="218" t="s">
        <v>1314</v>
      </c>
      <c r="I388" s="218" t="s">
        <v>1315</v>
      </c>
      <c r="J388" s="218">
        <v>1</v>
      </c>
      <c r="K388" s="218" t="s">
        <v>37</v>
      </c>
      <c r="L388" s="218" t="s">
        <v>72</v>
      </c>
      <c r="M388" s="218" t="s">
        <v>73</v>
      </c>
      <c r="N388" s="218">
        <v>179400</v>
      </c>
      <c r="O388" s="219"/>
      <c r="P388" s="219"/>
      <c r="Q388" s="219"/>
      <c r="R388" s="219"/>
      <c r="S388" s="220"/>
      <c r="T388" s="220">
        <v>46168</v>
      </c>
      <c r="U388" s="220">
        <v>46185</v>
      </c>
      <c r="V388" s="219" t="s">
        <v>41</v>
      </c>
      <c r="W388" s="223">
        <v>13.39</v>
      </c>
      <c r="X388" s="223">
        <f>Table2[[#This Row],[QUANTIDADE]]*Table2[[#This Row],[PREÇO UNITARIO]]</f>
        <v>13.39</v>
      </c>
      <c r="Y388" s="219"/>
      <c r="Z388" s="219">
        <f t="shared" si="12"/>
        <v>4</v>
      </c>
      <c r="AA388" s="219" t="s">
        <v>74</v>
      </c>
      <c r="AB388" s="220">
        <f t="shared" ca="1" si="13"/>
        <v>46235</v>
      </c>
      <c r="AC388" s="219">
        <f ca="1">_xlfn.DAYS(Table2[[#This Row],[HOJE]],Table2[[#This Row],[DATA PEDIDO HP]])</f>
        <v>93</v>
      </c>
      <c r="AD388" s="219" t="str">
        <f ca="1">IF(Table2[[#This Row],[STATUS2]]="ENTREGUE","ENTREGUE","")</f>
        <v/>
      </c>
      <c r="AE388" s="230" t="str">
        <f ca="1">IF(Table2[[#This Row],[HOLD]]&gt;30,"ATRASADO","NO PRAZO")</f>
        <v>ATRASADO</v>
      </c>
    </row>
    <row r="389" spans="1:31" ht="15" customHeight="1">
      <c r="A389" s="229" t="s">
        <v>1312</v>
      </c>
      <c r="B389" s="217">
        <v>46142</v>
      </c>
      <c r="C389" s="217">
        <v>46142</v>
      </c>
      <c r="D389" s="218" t="s">
        <v>1313</v>
      </c>
      <c r="E389" s="218" t="s">
        <v>162</v>
      </c>
      <c r="F389" s="218" t="s">
        <v>140</v>
      </c>
      <c r="G389" s="218">
        <v>48300315</v>
      </c>
      <c r="H389" s="218" t="s">
        <v>335</v>
      </c>
      <c r="I389" s="218" t="s">
        <v>728</v>
      </c>
      <c r="J389" s="218">
        <v>1</v>
      </c>
      <c r="K389" s="218" t="s">
        <v>37</v>
      </c>
      <c r="L389" s="218" t="s">
        <v>72</v>
      </c>
      <c r="M389" s="218" t="s">
        <v>73</v>
      </c>
      <c r="N389" s="218">
        <v>179400</v>
      </c>
      <c r="O389" s="219"/>
      <c r="P389" s="219"/>
      <c r="Q389" s="219"/>
      <c r="R389" s="219"/>
      <c r="S389" s="220"/>
      <c r="T389" s="220">
        <v>46168</v>
      </c>
      <c r="U389" s="220">
        <v>46185</v>
      </c>
      <c r="V389" s="219" t="s">
        <v>41</v>
      </c>
      <c r="W389" s="223">
        <v>17.28</v>
      </c>
      <c r="X389" s="223">
        <f>Table2[[#This Row],[QUANTIDADE]]*Table2[[#This Row],[PREÇO UNITARIO]]</f>
        <v>17.28</v>
      </c>
      <c r="Y389" s="219"/>
      <c r="Z389" s="219">
        <f t="shared" si="12"/>
        <v>4</v>
      </c>
      <c r="AA389" s="219" t="s">
        <v>74</v>
      </c>
      <c r="AB389" s="220">
        <f t="shared" ca="1" si="13"/>
        <v>46235</v>
      </c>
      <c r="AC389" s="219">
        <f ca="1">_xlfn.DAYS(Table2[[#This Row],[HOJE]],Table2[[#This Row],[DATA PEDIDO HP]])</f>
        <v>93</v>
      </c>
      <c r="AD389" s="219" t="str">
        <f ca="1">IF(Table2[[#This Row],[STATUS2]]="ENTREGUE","ENTREGUE","")</f>
        <v/>
      </c>
      <c r="AE389" s="230" t="str">
        <f ca="1">IF(Table2[[#This Row],[HOLD]]&gt;30,"ATRASADO","NO PRAZO")</f>
        <v>ATRASADO</v>
      </c>
    </row>
    <row r="390" spans="1:31" ht="15" customHeight="1">
      <c r="A390" s="229" t="s">
        <v>1312</v>
      </c>
      <c r="B390" s="217">
        <v>46142</v>
      </c>
      <c r="C390" s="217">
        <v>46142</v>
      </c>
      <c r="D390" s="218" t="s">
        <v>1313</v>
      </c>
      <c r="E390" s="218" t="s">
        <v>162</v>
      </c>
      <c r="F390" s="218" t="s">
        <v>140</v>
      </c>
      <c r="G390" s="218">
        <v>48300315</v>
      </c>
      <c r="H390" s="218" t="s">
        <v>1316</v>
      </c>
      <c r="I390" s="218" t="s">
        <v>1317</v>
      </c>
      <c r="J390" s="218">
        <v>1</v>
      </c>
      <c r="K390" s="218" t="s">
        <v>37</v>
      </c>
      <c r="L390" s="218" t="s">
        <v>72</v>
      </c>
      <c r="M390" s="218" t="s">
        <v>73</v>
      </c>
      <c r="N390" s="218">
        <v>179400</v>
      </c>
      <c r="O390" s="219"/>
      <c r="P390" s="219"/>
      <c r="Q390" s="219"/>
      <c r="R390" s="219"/>
      <c r="S390" s="220"/>
      <c r="T390" s="220">
        <v>46168</v>
      </c>
      <c r="U390" s="220">
        <v>46185</v>
      </c>
      <c r="V390" s="219" t="s">
        <v>41</v>
      </c>
      <c r="W390" s="223">
        <v>8.98</v>
      </c>
      <c r="X390" s="223">
        <f>Table2[[#This Row],[QUANTIDADE]]*Table2[[#This Row],[PREÇO UNITARIO]]</f>
        <v>8.98</v>
      </c>
      <c r="Y390" s="219"/>
      <c r="Z390" s="219">
        <f t="shared" si="12"/>
        <v>4</v>
      </c>
      <c r="AA390" s="219" t="s">
        <v>74</v>
      </c>
      <c r="AB390" s="220">
        <f t="shared" ca="1" si="13"/>
        <v>46235</v>
      </c>
      <c r="AC390" s="219">
        <f ca="1">_xlfn.DAYS(Table2[[#This Row],[HOJE]],Table2[[#This Row],[DATA PEDIDO HP]])</f>
        <v>93</v>
      </c>
      <c r="AD390" s="219" t="str">
        <f ca="1">IF(Table2[[#This Row],[STATUS2]]="ENTREGUE","ENTREGUE","")</f>
        <v/>
      </c>
      <c r="AE390" s="230" t="str">
        <f ca="1">IF(Table2[[#This Row],[HOLD]]&gt;30,"ATRASADO","NO PRAZO")</f>
        <v>ATRASADO</v>
      </c>
    </row>
    <row r="391" spans="1:31" ht="15" customHeight="1">
      <c r="A391" s="229" t="s">
        <v>1312</v>
      </c>
      <c r="B391" s="217">
        <v>46142</v>
      </c>
      <c r="C391" s="217">
        <v>46142</v>
      </c>
      <c r="D391" s="218" t="s">
        <v>1313</v>
      </c>
      <c r="E391" s="218" t="s">
        <v>162</v>
      </c>
      <c r="F391" s="218" t="s">
        <v>140</v>
      </c>
      <c r="G391" s="218">
        <v>48300315</v>
      </c>
      <c r="H391" s="218" t="s">
        <v>1318</v>
      </c>
      <c r="I391" s="218" t="s">
        <v>1319</v>
      </c>
      <c r="J391" s="218">
        <v>1</v>
      </c>
      <c r="K391" s="218" t="s">
        <v>37</v>
      </c>
      <c r="L391" s="218" t="s">
        <v>72</v>
      </c>
      <c r="M391" s="218" t="s">
        <v>39</v>
      </c>
      <c r="N391" s="218">
        <v>179400</v>
      </c>
      <c r="O391" s="219"/>
      <c r="P391" s="219"/>
      <c r="Q391" s="219"/>
      <c r="R391" s="219"/>
      <c r="S391" s="220">
        <v>46202</v>
      </c>
      <c r="T391" s="220">
        <v>46168</v>
      </c>
      <c r="U391" s="220">
        <v>46185</v>
      </c>
      <c r="V391" s="219" t="s">
        <v>41</v>
      </c>
      <c r="W391" s="223">
        <v>90.47</v>
      </c>
      <c r="X391" s="223">
        <f>Table2[[#This Row],[QUANTIDADE]]*Table2[[#This Row],[PREÇO UNITARIO]]</f>
        <v>90.47</v>
      </c>
      <c r="Y391" s="219"/>
      <c r="Z391" s="219">
        <f t="shared" si="12"/>
        <v>4</v>
      </c>
      <c r="AA391" s="219" t="s">
        <v>74</v>
      </c>
      <c r="AB391" s="220">
        <f t="shared" ca="1" si="13"/>
        <v>46235</v>
      </c>
      <c r="AC391" s="219">
        <f ca="1">_xlfn.DAYS(Table2[[#This Row],[HOJE]],Table2[[#This Row],[DATA PEDIDO HP]])</f>
        <v>93</v>
      </c>
      <c r="AD391" s="219" t="str">
        <f>IF(Table2[[#This Row],[STATUS2]]="ENTREGUE","ENTREGUE","")</f>
        <v>ENTREGUE</v>
      </c>
      <c r="AE391" s="219" t="s">
        <v>43</v>
      </c>
    </row>
    <row r="392" spans="1:31" ht="15" customHeight="1">
      <c r="A392" s="229" t="s">
        <v>1320</v>
      </c>
      <c r="B392" s="217">
        <v>46142</v>
      </c>
      <c r="C392" s="217">
        <v>46142</v>
      </c>
      <c r="D392" s="218" t="s">
        <v>1321</v>
      </c>
      <c r="E392" s="218" t="s">
        <v>1322</v>
      </c>
      <c r="F392" s="218" t="s">
        <v>328</v>
      </c>
      <c r="G392" s="218">
        <v>50000202</v>
      </c>
      <c r="H392" s="218" t="s">
        <v>629</v>
      </c>
      <c r="I392" s="218" t="s">
        <v>1086</v>
      </c>
      <c r="J392" s="218">
        <v>1</v>
      </c>
      <c r="K392" s="218" t="s">
        <v>37</v>
      </c>
      <c r="L392" s="218" t="s">
        <v>122</v>
      </c>
      <c r="M392" s="218" t="s">
        <v>73</v>
      </c>
      <c r="N392" s="218">
        <v>179498</v>
      </c>
      <c r="O392" s="219"/>
      <c r="P392" s="219"/>
      <c r="Q392" s="219"/>
      <c r="R392" s="219"/>
      <c r="S392" s="220"/>
      <c r="T392" s="220">
        <v>46168</v>
      </c>
      <c r="U392" s="220">
        <v>46185</v>
      </c>
      <c r="V392" s="219" t="s">
        <v>41</v>
      </c>
      <c r="W392" s="223">
        <v>19.600000000000001</v>
      </c>
      <c r="X392" s="223">
        <f>Table2[[#This Row],[QUANTIDADE]]*Table2[[#This Row],[PREÇO UNITARIO]]</f>
        <v>19.600000000000001</v>
      </c>
      <c r="Y392" s="219"/>
      <c r="Z392" s="219">
        <f t="shared" si="12"/>
        <v>4</v>
      </c>
      <c r="AA392" s="219" t="s">
        <v>74</v>
      </c>
      <c r="AB392" s="220">
        <f t="shared" ca="1" si="13"/>
        <v>46235</v>
      </c>
      <c r="AC392" s="219">
        <f ca="1">_xlfn.DAYS(Table2[[#This Row],[HOJE]],Table2[[#This Row],[DATA PEDIDO HP]])</f>
        <v>93</v>
      </c>
      <c r="AD392" s="219" t="str">
        <f ca="1">IF(Table2[[#This Row],[STATUS2]]="ENTREGUE","ENTREGUE","")</f>
        <v/>
      </c>
      <c r="AE392" s="230" t="str">
        <f ca="1">IF(Table2[[#This Row],[HOLD]]&gt;30,"ATRASADO","NO PRAZO")</f>
        <v>ATRASADO</v>
      </c>
    </row>
    <row r="393" spans="1:31" ht="15" customHeight="1">
      <c r="A393" s="229" t="s">
        <v>1323</v>
      </c>
      <c r="B393" s="217">
        <v>46146</v>
      </c>
      <c r="C393" s="217">
        <v>46146</v>
      </c>
      <c r="D393" s="218" t="s">
        <v>1324</v>
      </c>
      <c r="E393" s="218" t="s">
        <v>33</v>
      </c>
      <c r="F393" s="218" t="s">
        <v>34</v>
      </c>
      <c r="G393" s="218">
        <v>50110372</v>
      </c>
      <c r="H393" s="218" t="s">
        <v>1325</v>
      </c>
      <c r="I393" s="218" t="s">
        <v>524</v>
      </c>
      <c r="J393" s="218">
        <v>1</v>
      </c>
      <c r="K393" s="218" t="s">
        <v>37</v>
      </c>
      <c r="L393" s="218" t="s">
        <v>122</v>
      </c>
      <c r="M393" s="218" t="s">
        <v>81</v>
      </c>
      <c r="N393" s="218">
        <v>179630</v>
      </c>
      <c r="O393" s="219"/>
      <c r="P393" s="219">
        <v>1</v>
      </c>
      <c r="Q393" s="219"/>
      <c r="R393" s="219"/>
      <c r="S393" s="220"/>
      <c r="T393" s="220">
        <v>46198</v>
      </c>
      <c r="U393" s="220">
        <v>46210</v>
      </c>
      <c r="V393" s="219" t="s">
        <v>830</v>
      </c>
      <c r="W393" s="223">
        <v>475.51</v>
      </c>
      <c r="X393" s="223">
        <f>Table2[[#This Row],[QUANTIDADE]]*Table2[[#This Row],[PREÇO UNITARIO]]</f>
        <v>475.51</v>
      </c>
      <c r="Y393" s="219"/>
      <c r="Z393" s="219">
        <f t="shared" si="12"/>
        <v>5</v>
      </c>
      <c r="AA393" s="219" t="s">
        <v>42</v>
      </c>
      <c r="AB393" s="220">
        <f t="shared" ca="1" si="13"/>
        <v>46235</v>
      </c>
      <c r="AC393" s="219">
        <f ca="1">_xlfn.DAYS(Table2[[#This Row],[HOJE]],Table2[[#This Row],[DATA PEDIDO HP]])</f>
        <v>89</v>
      </c>
      <c r="AD393" s="219" t="str">
        <f ca="1">IF(Table2[[#This Row],[STATUS2]]="ENTREGUE","ENTREGUE","")</f>
        <v/>
      </c>
      <c r="AE393" s="219" t="str">
        <f ca="1">IF(Table2[[#This Row],[HOLD]]&gt;30,"ATRASADO","NO PRAZO")</f>
        <v>ATRASADO</v>
      </c>
    </row>
    <row r="394" spans="1:31" ht="15" customHeight="1">
      <c r="A394" s="252" t="s">
        <v>1323</v>
      </c>
      <c r="B394" s="235">
        <v>46146</v>
      </c>
      <c r="C394" s="235">
        <v>46146</v>
      </c>
      <c r="D394" s="236" t="s">
        <v>1324</v>
      </c>
      <c r="E394" s="236" t="s">
        <v>33</v>
      </c>
      <c r="F394" s="236" t="s">
        <v>34</v>
      </c>
      <c r="G394" s="236">
        <v>50110372</v>
      </c>
      <c r="H394" s="236" t="s">
        <v>1326</v>
      </c>
      <c r="I394" s="236" t="s">
        <v>1327</v>
      </c>
      <c r="J394" s="236">
        <v>1</v>
      </c>
      <c r="K394" s="236" t="s">
        <v>37</v>
      </c>
      <c r="L394" s="236" t="s">
        <v>122</v>
      </c>
      <c r="M394" s="236" t="s">
        <v>81</v>
      </c>
      <c r="N394" s="236">
        <v>179630</v>
      </c>
      <c r="O394" s="237"/>
      <c r="P394" s="237">
        <v>1</v>
      </c>
      <c r="Q394" s="237"/>
      <c r="R394" s="237"/>
      <c r="S394" s="238">
        <v>46197</v>
      </c>
      <c r="T394" s="238">
        <v>46168</v>
      </c>
      <c r="U394" s="238">
        <v>46185</v>
      </c>
      <c r="V394" s="237" t="s">
        <v>41</v>
      </c>
      <c r="W394" s="239">
        <v>91.76</v>
      </c>
      <c r="X394" s="239">
        <f>Table2[[#This Row],[QUANTIDADE]]*Table2[[#This Row],[PREÇO UNITARIO]]</f>
        <v>91.76</v>
      </c>
      <c r="Y394" s="237"/>
      <c r="Z394" s="237">
        <f t="shared" si="12"/>
        <v>5</v>
      </c>
      <c r="AA394" s="237" t="s">
        <v>42</v>
      </c>
      <c r="AB394" s="238">
        <f t="shared" ca="1" si="13"/>
        <v>46235</v>
      </c>
      <c r="AC394" s="237">
        <f ca="1">_xlfn.DAYS(Table2[[#This Row],[HOJE]],Table2[[#This Row],[DATA PEDIDO HP]])</f>
        <v>89</v>
      </c>
      <c r="AD394" s="219" t="str">
        <f>IF(Table2[[#This Row],[STATUS2]]="ENTREGUE","ENTREGUE","")</f>
        <v>ENTREGUE</v>
      </c>
      <c r="AE394" s="230" t="s">
        <v>43</v>
      </c>
    </row>
    <row r="395" spans="1:31" ht="15" customHeight="1">
      <c r="A395" s="245" t="s">
        <v>1328</v>
      </c>
      <c r="B395" s="131">
        <v>46146</v>
      </c>
      <c r="C395" s="253">
        <v>46146</v>
      </c>
      <c r="D395" s="248" t="s">
        <v>1329</v>
      </c>
      <c r="E395" s="248" t="s">
        <v>191</v>
      </c>
      <c r="F395" s="248" t="s">
        <v>827</v>
      </c>
      <c r="G395" s="248">
        <v>60003071</v>
      </c>
      <c r="H395" s="248" t="s">
        <v>79</v>
      </c>
      <c r="I395" s="248" t="s">
        <v>1330</v>
      </c>
      <c r="J395" s="248">
        <v>1</v>
      </c>
      <c r="K395" s="248" t="s">
        <v>37</v>
      </c>
      <c r="L395" s="248" t="s">
        <v>122</v>
      </c>
      <c r="M395" s="248" t="s">
        <v>81</v>
      </c>
      <c r="N395" s="248">
        <v>179795</v>
      </c>
      <c r="O395" s="245"/>
      <c r="P395" s="245">
        <v>1</v>
      </c>
      <c r="Q395" s="245"/>
      <c r="R395" s="245"/>
      <c r="S395" s="220">
        <v>46197</v>
      </c>
      <c r="T395" s="220">
        <v>46168</v>
      </c>
      <c r="U395" s="220">
        <v>46185</v>
      </c>
      <c r="V395" s="245" t="s">
        <v>41</v>
      </c>
      <c r="W395" s="254">
        <v>42.46</v>
      </c>
      <c r="X395" s="254">
        <f>Table2[[#This Row],[QUANTIDADE]]*Table2[[#This Row],[PREÇO UNITARIO]]</f>
        <v>42.46</v>
      </c>
      <c r="Y395" s="219" t="s">
        <v>42</v>
      </c>
      <c r="Z395" s="245">
        <f t="shared" si="12"/>
        <v>5</v>
      </c>
      <c r="AA395" s="237" t="s">
        <v>42</v>
      </c>
      <c r="AB395" s="246">
        <f t="shared" ca="1" si="13"/>
        <v>46235</v>
      </c>
      <c r="AC395" s="245">
        <f ca="1">_xlfn.DAYS(Table2[[#This Row],[HOJE]],Table2[[#This Row],[DATA PEDIDO HP]])</f>
        <v>89</v>
      </c>
      <c r="AD395" s="219" t="str">
        <f>IF(Table2[[#This Row],[STATUS2]]="ENTREGUE","ENTREGUE","")</f>
        <v>ENTREGUE</v>
      </c>
      <c r="AE395" s="219" t="s">
        <v>43</v>
      </c>
    </row>
    <row r="396" spans="1:31" ht="15" customHeight="1">
      <c r="A396" s="245" t="s">
        <v>1331</v>
      </c>
      <c r="B396" s="131">
        <v>46146</v>
      </c>
      <c r="C396" s="253">
        <v>46146</v>
      </c>
      <c r="D396" s="248" t="s">
        <v>1332</v>
      </c>
      <c r="E396" s="248" t="s">
        <v>191</v>
      </c>
      <c r="F396" s="248" t="s">
        <v>95</v>
      </c>
      <c r="G396" s="248">
        <v>60001111</v>
      </c>
      <c r="H396" s="248" t="s">
        <v>70</v>
      </c>
      <c r="I396" s="248" t="s">
        <v>71</v>
      </c>
      <c r="J396" s="248">
        <v>1</v>
      </c>
      <c r="K396" s="248" t="s">
        <v>37</v>
      </c>
      <c r="L396" s="248" t="s">
        <v>72</v>
      </c>
      <c r="M396" s="248" t="s">
        <v>81</v>
      </c>
      <c r="N396" s="248">
        <v>179366</v>
      </c>
      <c r="O396" s="245"/>
      <c r="P396" s="245">
        <v>1</v>
      </c>
      <c r="Q396" s="245"/>
      <c r="R396" s="245"/>
      <c r="S396" s="220">
        <v>46197</v>
      </c>
      <c r="T396" s="220">
        <v>46168</v>
      </c>
      <c r="U396" s="220">
        <v>46185</v>
      </c>
      <c r="V396" s="245" t="s">
        <v>41</v>
      </c>
      <c r="W396" s="254">
        <v>35.19</v>
      </c>
      <c r="X396" s="254">
        <f>Table2[[#This Row],[QUANTIDADE]]*Table2[[#This Row],[PREÇO UNITARIO]]</f>
        <v>35.19</v>
      </c>
      <c r="Y396" s="219" t="s">
        <v>42</v>
      </c>
      <c r="Z396" s="245">
        <f t="shared" si="12"/>
        <v>5</v>
      </c>
      <c r="AA396" s="237" t="s">
        <v>42</v>
      </c>
      <c r="AB396" s="246">
        <f t="shared" ca="1" si="13"/>
        <v>46235</v>
      </c>
      <c r="AC396" s="245">
        <f ca="1">_xlfn.DAYS(Table2[[#This Row],[HOJE]],Table2[[#This Row],[DATA PEDIDO HP]])</f>
        <v>89</v>
      </c>
      <c r="AD396" s="219" t="str">
        <f>IF(Table2[[#This Row],[STATUS2]]="ENTREGUE","ENTREGUE","")</f>
        <v>ENTREGUE</v>
      </c>
      <c r="AE396" s="219" t="s">
        <v>43</v>
      </c>
    </row>
    <row r="397" spans="1:31" ht="15" customHeight="1">
      <c r="A397" s="245" t="s">
        <v>1333</v>
      </c>
      <c r="B397" s="131">
        <v>46147</v>
      </c>
      <c r="C397" s="253">
        <v>46147</v>
      </c>
      <c r="D397" s="248" t="s">
        <v>1334</v>
      </c>
      <c r="E397" s="248" t="s">
        <v>570</v>
      </c>
      <c r="F397" s="248" t="s">
        <v>571</v>
      </c>
      <c r="G397" s="248">
        <v>50510045</v>
      </c>
      <c r="H397" s="248" t="s">
        <v>1335</v>
      </c>
      <c r="I397" s="248" t="s">
        <v>1336</v>
      </c>
      <c r="J397" s="248">
        <v>1</v>
      </c>
      <c r="K397" s="248" t="s">
        <v>37</v>
      </c>
      <c r="L397" s="248" t="s">
        <v>72</v>
      </c>
      <c r="M397" s="248" t="s">
        <v>73</v>
      </c>
      <c r="N397" s="248">
        <v>179664</v>
      </c>
      <c r="O397" s="245"/>
      <c r="P397" s="245">
        <v>1</v>
      </c>
      <c r="Q397" s="245"/>
      <c r="R397" s="245"/>
      <c r="S397" s="246"/>
      <c r="T397" s="220">
        <v>46168</v>
      </c>
      <c r="U397" s="220">
        <v>46185</v>
      </c>
      <c r="V397" s="245" t="s">
        <v>41</v>
      </c>
      <c r="W397" s="254">
        <v>21.59</v>
      </c>
      <c r="X397" s="254">
        <f>Table2[[#This Row],[QUANTIDADE]]*Table2[[#This Row],[PREÇO UNITARIO]]</f>
        <v>21.59</v>
      </c>
      <c r="Y397" s="219" t="s">
        <v>42</v>
      </c>
      <c r="Z397" s="245">
        <f t="shared" si="12"/>
        <v>5</v>
      </c>
      <c r="AA397" s="237" t="s">
        <v>42</v>
      </c>
      <c r="AB397" s="246">
        <f t="shared" ca="1" si="13"/>
        <v>46235</v>
      </c>
      <c r="AC397" s="245">
        <f ca="1">_xlfn.DAYS(Table2[[#This Row],[HOJE]],Table2[[#This Row],[DATA PEDIDO HP]])</f>
        <v>88</v>
      </c>
      <c r="AD397" s="219" t="str">
        <f ca="1">IF(Table2[[#This Row],[STATUS2]]="ENTREGUE","ENTREGUE","")</f>
        <v/>
      </c>
      <c r="AE397" s="234" t="str">
        <f ca="1">IF(Table2[[#This Row],[HOLD]]&gt;30,"ATRASADO","NO PRAZO")</f>
        <v>ATRASADO</v>
      </c>
    </row>
    <row r="398" spans="1:31" ht="15" customHeight="1">
      <c r="A398" s="245" t="s">
        <v>1337</v>
      </c>
      <c r="B398" s="131">
        <v>46147</v>
      </c>
      <c r="C398" s="253">
        <v>46147</v>
      </c>
      <c r="D398" s="248" t="s">
        <v>1338</v>
      </c>
      <c r="E398" s="248" t="s">
        <v>125</v>
      </c>
      <c r="F398" s="248" t="s">
        <v>34</v>
      </c>
      <c r="G398" s="218">
        <v>50110193</v>
      </c>
      <c r="H398" s="248" t="s">
        <v>1004</v>
      </c>
      <c r="I398" s="248" t="s">
        <v>1005</v>
      </c>
      <c r="J398" s="248">
        <v>1</v>
      </c>
      <c r="K398" s="248" t="s">
        <v>269</v>
      </c>
      <c r="L398" s="248" t="s">
        <v>72</v>
      </c>
      <c r="M398" s="248" t="s">
        <v>39</v>
      </c>
      <c r="N398" s="248">
        <v>179960</v>
      </c>
      <c r="O398" s="245"/>
      <c r="P398" s="245">
        <v>0</v>
      </c>
      <c r="Q398" s="245"/>
      <c r="R398" s="245"/>
      <c r="S398" s="220">
        <v>46202</v>
      </c>
      <c r="T398" s="220">
        <v>46168</v>
      </c>
      <c r="U398" s="220">
        <v>46185</v>
      </c>
      <c r="V398" s="245" t="s">
        <v>41</v>
      </c>
      <c r="W398" s="254">
        <v>1370.16</v>
      </c>
      <c r="X398" s="254">
        <f>Table2[[#This Row],[QUANTIDADE]]*Table2[[#This Row],[PREÇO UNITARIO]]</f>
        <v>1370.16</v>
      </c>
      <c r="Y398" s="245"/>
      <c r="Z398" s="245">
        <f t="shared" si="12"/>
        <v>5</v>
      </c>
      <c r="AA398" s="237" t="s">
        <v>42</v>
      </c>
      <c r="AB398" s="246">
        <f t="shared" ca="1" si="13"/>
        <v>46235</v>
      </c>
      <c r="AC398" s="245">
        <f ca="1">_xlfn.DAYS(Table2[[#This Row],[HOJE]],Table2[[#This Row],[DATA PEDIDO HP]])</f>
        <v>88</v>
      </c>
      <c r="AD398" s="219" t="str">
        <f>IF(Table2[[#This Row],[STATUS2]]="ENTREGUE","ENTREGUE","")</f>
        <v>ENTREGUE</v>
      </c>
      <c r="AE398" s="219" t="s">
        <v>43</v>
      </c>
    </row>
    <row r="399" spans="1:31" ht="15" customHeight="1">
      <c r="A399" s="245" t="s">
        <v>1337</v>
      </c>
      <c r="B399" s="131">
        <v>46147</v>
      </c>
      <c r="C399" s="253">
        <v>46147</v>
      </c>
      <c r="D399" s="248" t="s">
        <v>1338</v>
      </c>
      <c r="E399" s="248" t="s">
        <v>125</v>
      </c>
      <c r="F399" s="248" t="s">
        <v>34</v>
      </c>
      <c r="G399" s="218">
        <v>50110193</v>
      </c>
      <c r="H399" s="248" t="s">
        <v>1339</v>
      </c>
      <c r="I399" s="248" t="s">
        <v>1340</v>
      </c>
      <c r="J399" s="248">
        <v>1</v>
      </c>
      <c r="K399" s="248" t="s">
        <v>269</v>
      </c>
      <c r="L399" s="248" t="s">
        <v>72</v>
      </c>
      <c r="M399" s="248" t="s">
        <v>39</v>
      </c>
      <c r="N399" s="248">
        <v>179960</v>
      </c>
      <c r="O399" s="245"/>
      <c r="P399" s="245">
        <v>0</v>
      </c>
      <c r="Q399" s="245"/>
      <c r="R399" s="245"/>
      <c r="S399" s="220">
        <v>46202</v>
      </c>
      <c r="T399" s="220">
        <v>46168</v>
      </c>
      <c r="U399" s="220">
        <v>46185</v>
      </c>
      <c r="V399" s="245" t="s">
        <v>41</v>
      </c>
      <c r="W399" s="254">
        <v>38.590000000000003</v>
      </c>
      <c r="X399" s="254">
        <f>Table2[[#This Row],[QUANTIDADE]]*Table2[[#This Row],[PREÇO UNITARIO]]</f>
        <v>38.590000000000003</v>
      </c>
      <c r="Y399" s="245"/>
      <c r="Z399" s="245">
        <f t="shared" si="12"/>
        <v>5</v>
      </c>
      <c r="AA399" s="237" t="s">
        <v>42</v>
      </c>
      <c r="AB399" s="246">
        <f t="shared" ca="1" si="13"/>
        <v>46235</v>
      </c>
      <c r="AC399" s="245">
        <f ca="1">_xlfn.DAYS(Table2[[#This Row],[HOJE]],Table2[[#This Row],[DATA PEDIDO HP]])</f>
        <v>88</v>
      </c>
      <c r="AD399" s="219" t="str">
        <f>IF(Table2[[#This Row],[STATUS2]]="ENTREGUE","ENTREGUE","")</f>
        <v>ENTREGUE</v>
      </c>
      <c r="AE399" s="219" t="s">
        <v>43</v>
      </c>
    </row>
    <row r="400" spans="1:31" ht="15" customHeight="1">
      <c r="A400" s="245" t="s">
        <v>1341</v>
      </c>
      <c r="B400" s="131">
        <v>46147</v>
      </c>
      <c r="C400" s="253">
        <v>46147</v>
      </c>
      <c r="D400" s="248" t="s">
        <v>1342</v>
      </c>
      <c r="E400" s="248" t="s">
        <v>915</v>
      </c>
      <c r="F400" s="248" t="s">
        <v>242</v>
      </c>
      <c r="G400" s="248">
        <v>51100064</v>
      </c>
      <c r="H400" s="248" t="s">
        <v>1343</v>
      </c>
      <c r="I400" s="248" t="s">
        <v>1344</v>
      </c>
      <c r="J400" s="248">
        <v>1</v>
      </c>
      <c r="K400" s="248" t="s">
        <v>37</v>
      </c>
      <c r="L400" s="248" t="s">
        <v>72</v>
      </c>
      <c r="M400" s="248" t="s">
        <v>73</v>
      </c>
      <c r="N400" s="248">
        <v>177123</v>
      </c>
      <c r="O400" s="245"/>
      <c r="P400" s="245">
        <v>1</v>
      </c>
      <c r="Q400" s="245"/>
      <c r="R400" s="245"/>
      <c r="S400" s="246"/>
      <c r="T400" s="220">
        <v>46168</v>
      </c>
      <c r="U400" s="220">
        <v>46185</v>
      </c>
      <c r="V400" s="245" t="s">
        <v>41</v>
      </c>
      <c r="W400" s="254">
        <v>6014.28</v>
      </c>
      <c r="X400" s="254">
        <f>Table2[[#This Row],[QUANTIDADE]]*Table2[[#This Row],[PREÇO UNITARIO]]</f>
        <v>6014.28</v>
      </c>
      <c r="Y400" s="245"/>
      <c r="Z400" s="245">
        <f t="shared" si="12"/>
        <v>5</v>
      </c>
      <c r="AA400" s="219" t="s">
        <v>74</v>
      </c>
      <c r="AB400" s="246">
        <f t="shared" ca="1" si="13"/>
        <v>46235</v>
      </c>
      <c r="AC400" s="245">
        <f ca="1">_xlfn.DAYS(Table2[[#This Row],[HOJE]],Table2[[#This Row],[DATA PEDIDO HP]])</f>
        <v>88</v>
      </c>
      <c r="AD400" s="219" t="str">
        <f ca="1">IF(Table2[[#This Row],[STATUS2]]="ENTREGUE","ENTREGUE","")</f>
        <v/>
      </c>
      <c r="AE400" s="234" t="str">
        <f ca="1">IF(Table2[[#This Row],[HOLD]]&gt;30,"ATRASADO","NO PRAZO")</f>
        <v>ATRASADO</v>
      </c>
    </row>
    <row r="401" spans="1:31" ht="15" customHeight="1">
      <c r="A401" s="245" t="s">
        <v>1345</v>
      </c>
      <c r="B401" s="131">
        <v>46148</v>
      </c>
      <c r="C401" s="253">
        <v>46148</v>
      </c>
      <c r="D401" s="248" t="s">
        <v>1346</v>
      </c>
      <c r="E401" s="248" t="s">
        <v>915</v>
      </c>
      <c r="F401" s="248" t="s">
        <v>1347</v>
      </c>
      <c r="G401" s="248">
        <v>48700059</v>
      </c>
      <c r="H401" s="248" t="s">
        <v>1348</v>
      </c>
      <c r="I401" s="248" t="s">
        <v>1349</v>
      </c>
      <c r="J401" s="248">
        <v>1</v>
      </c>
      <c r="K401" s="248" t="s">
        <v>269</v>
      </c>
      <c r="L401" s="248" t="s">
        <v>72</v>
      </c>
      <c r="M401" s="248" t="s">
        <v>39</v>
      </c>
      <c r="N401" s="248">
        <v>180389</v>
      </c>
      <c r="O401" s="245"/>
      <c r="P401" s="245">
        <v>0</v>
      </c>
      <c r="Q401" s="245"/>
      <c r="R401" s="245"/>
      <c r="S401" s="246"/>
      <c r="T401" s="220">
        <v>46161</v>
      </c>
      <c r="U401" s="220">
        <v>46167</v>
      </c>
      <c r="V401" s="219" t="s">
        <v>545</v>
      </c>
      <c r="W401" s="254">
        <v>465.43</v>
      </c>
      <c r="X401" s="254">
        <f>Table2[[#This Row],[QUANTIDADE]]*Table2[[#This Row],[PREÇO UNITARIO]]</f>
        <v>465.43</v>
      </c>
      <c r="Y401" s="245"/>
      <c r="Z401" s="245">
        <f t="shared" si="12"/>
        <v>5</v>
      </c>
      <c r="AA401" s="219" t="s">
        <v>74</v>
      </c>
      <c r="AB401" s="246">
        <f t="shared" ca="1" si="13"/>
        <v>46235</v>
      </c>
      <c r="AC401" s="245">
        <f ca="1">_xlfn.DAYS(Table2[[#This Row],[HOJE]],Table2[[#This Row],[DATA PEDIDO HP]])</f>
        <v>87</v>
      </c>
      <c r="AD401" s="219" t="str">
        <f ca="1">IF(Table2[[#This Row],[STATUS2]]="ENTREGUE","ENTREGUE","")</f>
        <v/>
      </c>
      <c r="AE401" s="234" t="str">
        <f ca="1">IF(Table2[[#This Row],[HOLD]]&gt;30,"ATRASADO","NO PRAZO")</f>
        <v>ATRASADO</v>
      </c>
    </row>
    <row r="402" spans="1:31" ht="15" customHeight="1">
      <c r="A402" s="245" t="s">
        <v>1350</v>
      </c>
      <c r="B402" s="131">
        <v>46148</v>
      </c>
      <c r="C402" s="253">
        <v>46148</v>
      </c>
      <c r="D402" s="248" t="s">
        <v>1351</v>
      </c>
      <c r="E402" s="248" t="s">
        <v>191</v>
      </c>
      <c r="F402" s="248" t="s">
        <v>95</v>
      </c>
      <c r="G402" s="248">
        <v>60001111</v>
      </c>
      <c r="H402" s="248" t="s">
        <v>201</v>
      </c>
      <c r="I402" s="248" t="s">
        <v>1352</v>
      </c>
      <c r="J402" s="248">
        <v>1</v>
      </c>
      <c r="K402" s="248" t="s">
        <v>37</v>
      </c>
      <c r="L402" s="248" t="s">
        <v>122</v>
      </c>
      <c r="M402" s="248" t="s">
        <v>81</v>
      </c>
      <c r="N402" s="248">
        <v>180488</v>
      </c>
      <c r="O402" s="245"/>
      <c r="P402" s="245">
        <v>1</v>
      </c>
      <c r="Q402" s="245"/>
      <c r="R402" s="245"/>
      <c r="S402" s="220">
        <v>46197</v>
      </c>
      <c r="T402" s="220">
        <v>46168</v>
      </c>
      <c r="U402" s="220">
        <v>46185</v>
      </c>
      <c r="V402" s="245" t="s">
        <v>41</v>
      </c>
      <c r="W402" s="254">
        <v>1721.28</v>
      </c>
      <c r="X402" s="254">
        <f>Table2[[#This Row],[QUANTIDADE]]*Table2[[#This Row],[PREÇO UNITARIO]]</f>
        <v>1721.28</v>
      </c>
      <c r="Y402" s="219" t="s">
        <v>42</v>
      </c>
      <c r="Z402" s="245">
        <f t="shared" si="12"/>
        <v>5</v>
      </c>
      <c r="AA402" s="237" t="s">
        <v>42</v>
      </c>
      <c r="AB402" s="246">
        <f t="shared" ca="1" si="13"/>
        <v>46235</v>
      </c>
      <c r="AC402" s="245">
        <f ca="1">_xlfn.DAYS(Table2[[#This Row],[HOJE]],Table2[[#This Row],[DATA PEDIDO HP]])</f>
        <v>87</v>
      </c>
      <c r="AD402" s="219" t="str">
        <f>IF(Table2[[#This Row],[STATUS2]]="ENTREGUE","ENTREGUE","")</f>
        <v>ENTREGUE</v>
      </c>
      <c r="AE402" s="219" t="s">
        <v>43</v>
      </c>
    </row>
    <row r="403" spans="1:31" ht="15" customHeight="1">
      <c r="A403" s="245" t="s">
        <v>1353</v>
      </c>
      <c r="B403" s="131">
        <v>46148</v>
      </c>
      <c r="C403" s="253">
        <v>46149</v>
      </c>
      <c r="D403" s="248" t="s">
        <v>1354</v>
      </c>
      <c r="E403" s="248" t="s">
        <v>125</v>
      </c>
      <c r="F403" s="248" t="s">
        <v>34</v>
      </c>
      <c r="G403" s="218">
        <v>50110193</v>
      </c>
      <c r="H403" s="248" t="s">
        <v>493</v>
      </c>
      <c r="I403" s="248" t="s">
        <v>1355</v>
      </c>
      <c r="J403" s="248">
        <v>2</v>
      </c>
      <c r="K403" s="248" t="s">
        <v>37</v>
      </c>
      <c r="L403" s="248" t="s">
        <v>122</v>
      </c>
      <c r="M403" s="248" t="s">
        <v>81</v>
      </c>
      <c r="N403" s="248">
        <v>180687</v>
      </c>
      <c r="O403" s="245"/>
      <c r="P403" s="245">
        <v>2</v>
      </c>
      <c r="Q403" s="245"/>
      <c r="R403" s="245"/>
      <c r="S403" s="220">
        <v>46202</v>
      </c>
      <c r="T403" s="220">
        <v>46168</v>
      </c>
      <c r="U403" s="220">
        <v>46185</v>
      </c>
      <c r="V403" s="245" t="s">
        <v>41</v>
      </c>
      <c r="W403" s="254">
        <v>58.38</v>
      </c>
      <c r="X403" s="254">
        <f>Table2[[#This Row],[QUANTIDADE]]*Table2[[#This Row],[PREÇO UNITARIO]]</f>
        <v>116.76</v>
      </c>
      <c r="Y403" s="245"/>
      <c r="Z403" s="245">
        <f t="shared" si="12"/>
        <v>5</v>
      </c>
      <c r="AA403" s="237" t="s">
        <v>42</v>
      </c>
      <c r="AB403" s="246">
        <f t="shared" ca="1" si="13"/>
        <v>46235</v>
      </c>
      <c r="AC403" s="245">
        <f ca="1">_xlfn.DAYS(Table2[[#This Row],[HOJE]],Table2[[#This Row],[DATA PEDIDO HP]])</f>
        <v>87</v>
      </c>
      <c r="AD403" s="219" t="str">
        <f>IF(Table2[[#This Row],[STATUS2]]="ENTREGUE","ENTREGUE","")</f>
        <v>ENTREGUE</v>
      </c>
      <c r="AE403" s="219" t="s">
        <v>43</v>
      </c>
    </row>
    <row r="404" spans="1:31" ht="15" customHeight="1">
      <c r="A404" s="245" t="s">
        <v>1356</v>
      </c>
      <c r="B404" s="131">
        <v>46149</v>
      </c>
      <c r="C404" s="253">
        <v>46149</v>
      </c>
      <c r="D404" s="113" t="s">
        <v>1357</v>
      </c>
      <c r="E404" s="231" t="s">
        <v>101</v>
      </c>
      <c r="F404" s="231" t="s">
        <v>102</v>
      </c>
      <c r="G404" s="113">
        <v>51000136</v>
      </c>
      <c r="H404" s="113" t="s">
        <v>1358</v>
      </c>
      <c r="I404" s="113" t="s">
        <v>1359</v>
      </c>
      <c r="J404" s="113">
        <v>2</v>
      </c>
      <c r="K404" s="218" t="s">
        <v>37</v>
      </c>
      <c r="L404" s="218" t="s">
        <v>106</v>
      </c>
      <c r="M404" s="218" t="s">
        <v>39</v>
      </c>
      <c r="N404" s="113"/>
      <c r="O404" s="245"/>
      <c r="P404" s="245">
        <v>0</v>
      </c>
      <c r="Q404" s="245"/>
      <c r="R404" s="245"/>
      <c r="S404" s="246">
        <v>46202</v>
      </c>
      <c r="T404" s="220">
        <v>46168</v>
      </c>
      <c r="U404" s="220">
        <v>46185</v>
      </c>
      <c r="V404" s="245" t="s">
        <v>41</v>
      </c>
      <c r="W404" s="254">
        <v>13.51</v>
      </c>
      <c r="X404" s="254">
        <f>Table2[[#This Row],[QUANTIDADE]]*Table2[[#This Row],[PREÇO UNITARIO]]</f>
        <v>27.02</v>
      </c>
      <c r="Y404" s="245"/>
      <c r="Z404" s="245">
        <f t="shared" si="12"/>
        <v>5</v>
      </c>
      <c r="AA404" s="219" t="s">
        <v>74</v>
      </c>
      <c r="AB404" s="246">
        <f t="shared" ca="1" si="13"/>
        <v>46235</v>
      </c>
      <c r="AC404" s="245">
        <f ca="1">_xlfn.DAYS(Table2[[#This Row],[HOJE]],Table2[[#This Row],[DATA PEDIDO HP]])</f>
        <v>86</v>
      </c>
      <c r="AD404" s="219" t="str">
        <f>IF(Table2[[#This Row],[STATUS2]]="ENTREGUE","ENTREGUE","")</f>
        <v>ENTREGUE</v>
      </c>
      <c r="AE404" s="219" t="s">
        <v>43</v>
      </c>
    </row>
    <row r="405" spans="1:31" ht="15" customHeight="1">
      <c r="A405" s="245" t="s">
        <v>1360</v>
      </c>
      <c r="B405" s="131">
        <v>46149</v>
      </c>
      <c r="C405" s="253">
        <v>46149</v>
      </c>
      <c r="D405" s="248" t="s">
        <v>1361</v>
      </c>
      <c r="E405" s="248" t="s">
        <v>298</v>
      </c>
      <c r="F405" s="248" t="s">
        <v>34</v>
      </c>
      <c r="G405" s="248">
        <v>50110261</v>
      </c>
      <c r="H405" s="248" t="s">
        <v>335</v>
      </c>
      <c r="I405" s="248" t="s">
        <v>728</v>
      </c>
      <c r="J405" s="248">
        <v>2</v>
      </c>
      <c r="K405" s="248" t="s">
        <v>37</v>
      </c>
      <c r="L405" s="248" t="s">
        <v>72</v>
      </c>
      <c r="M405" s="248" t="s">
        <v>73</v>
      </c>
      <c r="N405" s="248">
        <v>180620</v>
      </c>
      <c r="O405" s="245"/>
      <c r="P405" s="245">
        <v>2</v>
      </c>
      <c r="Q405" s="245"/>
      <c r="R405" s="245"/>
      <c r="S405" s="246"/>
      <c r="T405" s="220">
        <v>46168</v>
      </c>
      <c r="U405" s="220">
        <v>46185</v>
      </c>
      <c r="V405" s="245" t="s">
        <v>41</v>
      </c>
      <c r="W405" s="254">
        <v>17.28</v>
      </c>
      <c r="X405" s="254">
        <f>Table2[[#This Row],[QUANTIDADE]]*Table2[[#This Row],[PREÇO UNITARIO]]</f>
        <v>34.56</v>
      </c>
      <c r="Y405" s="245"/>
      <c r="Z405" s="245">
        <f t="shared" si="12"/>
        <v>5</v>
      </c>
      <c r="AA405" s="219" t="s">
        <v>74</v>
      </c>
      <c r="AB405" s="246">
        <f t="shared" ca="1" si="13"/>
        <v>46235</v>
      </c>
      <c r="AC405" s="245">
        <f ca="1">_xlfn.DAYS(Table2[[#This Row],[HOJE]],Table2[[#This Row],[DATA PEDIDO HP]])</f>
        <v>86</v>
      </c>
      <c r="AD405" s="219" t="str">
        <f ca="1">IF(Table2[[#This Row],[STATUS2]]="ENTREGUE","ENTREGUE","")</f>
        <v/>
      </c>
      <c r="AE405" s="234" t="str">
        <f ca="1">IF(Table2[[#This Row],[HOLD]]&gt;30,"ATRASADO","NO PRAZO")</f>
        <v>ATRASADO</v>
      </c>
    </row>
    <row r="406" spans="1:31" ht="15" customHeight="1">
      <c r="A406" s="245" t="s">
        <v>1360</v>
      </c>
      <c r="B406" s="131">
        <v>46149</v>
      </c>
      <c r="C406" s="253">
        <v>46149</v>
      </c>
      <c r="D406" s="248" t="s">
        <v>1361</v>
      </c>
      <c r="E406" s="248" t="s">
        <v>298</v>
      </c>
      <c r="F406" s="248" t="s">
        <v>34</v>
      </c>
      <c r="G406" s="248">
        <v>50110261</v>
      </c>
      <c r="H406" s="248" t="s">
        <v>1267</v>
      </c>
      <c r="I406" s="248" t="s">
        <v>1362</v>
      </c>
      <c r="J406" s="248">
        <v>1</v>
      </c>
      <c r="K406" s="248" t="s">
        <v>37</v>
      </c>
      <c r="L406" s="248" t="s">
        <v>72</v>
      </c>
      <c r="M406" s="248" t="s">
        <v>73</v>
      </c>
      <c r="N406" s="248">
        <v>180620</v>
      </c>
      <c r="O406" s="245"/>
      <c r="P406" s="245">
        <v>1</v>
      </c>
      <c r="Q406" s="245"/>
      <c r="R406" s="245"/>
      <c r="S406" s="246"/>
      <c r="T406" s="220">
        <v>46168</v>
      </c>
      <c r="U406" s="220">
        <v>46185</v>
      </c>
      <c r="V406" s="245" t="s">
        <v>41</v>
      </c>
      <c r="W406" s="254">
        <v>83.19</v>
      </c>
      <c r="X406" s="254">
        <f>Table2[[#This Row],[QUANTIDADE]]*Table2[[#This Row],[PREÇO UNITARIO]]</f>
        <v>83.19</v>
      </c>
      <c r="Y406" s="245"/>
      <c r="Z406" s="245">
        <f t="shared" si="12"/>
        <v>5</v>
      </c>
      <c r="AA406" s="219" t="s">
        <v>74</v>
      </c>
      <c r="AB406" s="246">
        <f t="shared" ca="1" si="13"/>
        <v>46235</v>
      </c>
      <c r="AC406" s="245">
        <f ca="1">_xlfn.DAYS(Table2[[#This Row],[HOJE]],Table2[[#This Row],[DATA PEDIDO HP]])</f>
        <v>86</v>
      </c>
      <c r="AD406" s="219" t="str">
        <f ca="1">IF(Table2[[#This Row],[STATUS2]]="ENTREGUE","ENTREGUE","")</f>
        <v/>
      </c>
      <c r="AE406" s="234" t="str">
        <f ca="1">IF(Table2[[#This Row],[HOLD]]&gt;30,"ATRASADO","NO PRAZO")</f>
        <v>ATRASADO</v>
      </c>
    </row>
    <row r="407" spans="1:31" ht="15" customHeight="1">
      <c r="A407" s="245" t="s">
        <v>1363</v>
      </c>
      <c r="B407" s="131">
        <v>46149</v>
      </c>
      <c r="C407" s="253">
        <v>46149</v>
      </c>
      <c r="D407" s="248" t="s">
        <v>1364</v>
      </c>
      <c r="E407" s="248" t="s">
        <v>191</v>
      </c>
      <c r="F407" s="248" t="s">
        <v>95</v>
      </c>
      <c r="G407" s="248">
        <v>60001111</v>
      </c>
      <c r="H407" s="248" t="s">
        <v>82</v>
      </c>
      <c r="I407" s="248" t="s">
        <v>974</v>
      </c>
      <c r="J407" s="248">
        <v>1</v>
      </c>
      <c r="K407" s="248" t="s">
        <v>37</v>
      </c>
      <c r="L407" s="248" t="s">
        <v>122</v>
      </c>
      <c r="M407" s="248" t="s">
        <v>81</v>
      </c>
      <c r="N407" s="248">
        <v>180521</v>
      </c>
      <c r="O407" s="245"/>
      <c r="P407" s="245">
        <v>1</v>
      </c>
      <c r="Q407" s="245"/>
      <c r="R407" s="245"/>
      <c r="S407" s="220">
        <v>46197</v>
      </c>
      <c r="T407" s="220">
        <v>46168</v>
      </c>
      <c r="U407" s="220">
        <v>46185</v>
      </c>
      <c r="V407" s="245" t="s">
        <v>41</v>
      </c>
      <c r="W407" s="254">
        <v>19.600000000000001</v>
      </c>
      <c r="X407" s="254">
        <f>Table2[[#This Row],[QUANTIDADE]]*Table2[[#This Row],[PREÇO UNITARIO]]</f>
        <v>19.600000000000001</v>
      </c>
      <c r="Y407" s="219" t="s">
        <v>42</v>
      </c>
      <c r="Z407" s="245">
        <f t="shared" si="12"/>
        <v>5</v>
      </c>
      <c r="AA407" s="237" t="s">
        <v>42</v>
      </c>
      <c r="AB407" s="246">
        <f t="shared" ca="1" si="13"/>
        <v>46235</v>
      </c>
      <c r="AC407" s="245">
        <f ca="1">_xlfn.DAYS(Table2[[#This Row],[HOJE]],Table2[[#This Row],[DATA PEDIDO HP]])</f>
        <v>86</v>
      </c>
      <c r="AD407" s="219" t="str">
        <f>IF(Table2[[#This Row],[STATUS2]]="ENTREGUE","ENTREGUE","")</f>
        <v>ENTREGUE</v>
      </c>
      <c r="AE407" s="219" t="s">
        <v>43</v>
      </c>
    </row>
    <row r="408" spans="1:31" ht="15" customHeight="1">
      <c r="A408" s="245" t="s">
        <v>1365</v>
      </c>
      <c r="B408" s="131">
        <v>46149</v>
      </c>
      <c r="C408" s="253">
        <v>46149</v>
      </c>
      <c r="D408" s="248" t="s">
        <v>1366</v>
      </c>
      <c r="E408" s="248" t="s">
        <v>570</v>
      </c>
      <c r="F408" s="248" t="s">
        <v>571</v>
      </c>
      <c r="G408" s="248">
        <v>50510045</v>
      </c>
      <c r="H408" s="248" t="s">
        <v>1367</v>
      </c>
      <c r="I408" s="248" t="s">
        <v>1368</v>
      </c>
      <c r="J408" s="248">
        <v>1</v>
      </c>
      <c r="K408" s="248" t="s">
        <v>37</v>
      </c>
      <c r="L408" s="248" t="s">
        <v>72</v>
      </c>
      <c r="M408" s="248" t="s">
        <v>73</v>
      </c>
      <c r="N408" s="248">
        <v>173426</v>
      </c>
      <c r="O408" s="245"/>
      <c r="P408" s="245">
        <v>1</v>
      </c>
      <c r="Q408" s="245"/>
      <c r="R408" s="245"/>
      <c r="S408" s="246"/>
      <c r="T408" s="220">
        <v>46168</v>
      </c>
      <c r="U408" s="220">
        <v>46185</v>
      </c>
      <c r="V408" s="245" t="s">
        <v>41</v>
      </c>
      <c r="W408" s="254">
        <v>1383.95</v>
      </c>
      <c r="X408" s="254">
        <f>Table2[[#This Row],[QUANTIDADE]]*Table2[[#This Row],[PREÇO UNITARIO]]</f>
        <v>1383.95</v>
      </c>
      <c r="Y408" s="219" t="s">
        <v>42</v>
      </c>
      <c r="Z408" s="245">
        <f t="shared" si="12"/>
        <v>5</v>
      </c>
      <c r="AA408" s="237" t="s">
        <v>42</v>
      </c>
      <c r="AB408" s="246">
        <f t="shared" ca="1" si="13"/>
        <v>46235</v>
      </c>
      <c r="AC408" s="245">
        <f ca="1">_xlfn.DAYS(Table2[[#This Row],[HOJE]],Table2[[#This Row],[DATA PEDIDO HP]])</f>
        <v>86</v>
      </c>
      <c r="AD408" s="219" t="str">
        <f ca="1">IF(Table2[[#This Row],[STATUS2]]="ENTREGUE","ENTREGUE","")</f>
        <v/>
      </c>
      <c r="AE408" s="234" t="str">
        <f ca="1">IF(Table2[[#This Row],[HOLD]]&gt;30,"ATRASADO","NO PRAZO")</f>
        <v>ATRASADO</v>
      </c>
    </row>
    <row r="409" spans="1:31" ht="15" customHeight="1">
      <c r="A409" s="245" t="s">
        <v>1369</v>
      </c>
      <c r="B409" s="131">
        <v>46149</v>
      </c>
      <c r="C409" s="253">
        <v>46149</v>
      </c>
      <c r="D409" s="248" t="s">
        <v>1370</v>
      </c>
      <c r="E409" s="248" t="s">
        <v>1371</v>
      </c>
      <c r="F409" s="248" t="s">
        <v>242</v>
      </c>
      <c r="G409" s="248">
        <v>51100110</v>
      </c>
      <c r="H409" s="248" t="s">
        <v>430</v>
      </c>
      <c r="I409" s="248" t="s">
        <v>431</v>
      </c>
      <c r="J409" s="248">
        <v>1</v>
      </c>
      <c r="K409" s="248" t="s">
        <v>269</v>
      </c>
      <c r="L409" s="248" t="s">
        <v>1372</v>
      </c>
      <c r="M409" s="218" t="s">
        <v>73</v>
      </c>
      <c r="N409" s="248">
        <v>180818</v>
      </c>
      <c r="O409" s="245"/>
      <c r="P409" s="245">
        <v>0</v>
      </c>
      <c r="Q409" s="245"/>
      <c r="R409" s="245"/>
      <c r="S409" s="246"/>
      <c r="T409" s="220">
        <v>46198</v>
      </c>
      <c r="U409" s="220">
        <v>46210</v>
      </c>
      <c r="V409" s="245" t="s">
        <v>830</v>
      </c>
      <c r="W409" s="254">
        <v>125.99</v>
      </c>
      <c r="X409" s="254">
        <f>Table2[[#This Row],[QUANTIDADE]]*Table2[[#This Row],[PREÇO UNITARIO]]</f>
        <v>125.99</v>
      </c>
      <c r="Y409" s="245"/>
      <c r="Z409" s="245">
        <f t="shared" si="12"/>
        <v>5</v>
      </c>
      <c r="AA409" s="219" t="s">
        <v>74</v>
      </c>
      <c r="AB409" s="246">
        <f t="shared" ca="1" si="13"/>
        <v>46235</v>
      </c>
      <c r="AC409" s="245">
        <f ca="1">_xlfn.DAYS(Table2[[#This Row],[HOJE]],Table2[[#This Row],[DATA PEDIDO HP]])</f>
        <v>86</v>
      </c>
      <c r="AD409" s="219" t="str">
        <f ca="1">IF(Table2[[#This Row],[STATUS2]]="ENTREGUE","ENTREGUE","")</f>
        <v/>
      </c>
      <c r="AE409" s="234" t="str">
        <f ca="1">IF(Table2[[#This Row],[HOLD]]&gt;30,"ATRASADO","NO PRAZO")</f>
        <v>ATRASADO</v>
      </c>
    </row>
    <row r="410" spans="1:31" ht="15" customHeight="1">
      <c r="A410" s="245" t="s">
        <v>1373</v>
      </c>
      <c r="B410" s="131">
        <v>46149</v>
      </c>
      <c r="C410" s="253">
        <v>46149</v>
      </c>
      <c r="D410" s="248" t="s">
        <v>1374</v>
      </c>
      <c r="E410" s="248" t="s">
        <v>191</v>
      </c>
      <c r="F410" s="248" t="s">
        <v>95</v>
      </c>
      <c r="G410" s="248">
        <v>60001111</v>
      </c>
      <c r="H410" s="248" t="s">
        <v>173</v>
      </c>
      <c r="I410" s="248" t="s">
        <v>1375</v>
      </c>
      <c r="J410" s="248">
        <v>7</v>
      </c>
      <c r="K410" s="248" t="s">
        <v>37</v>
      </c>
      <c r="L410" s="248" t="s">
        <v>122</v>
      </c>
      <c r="M410" s="248" t="s">
        <v>39</v>
      </c>
      <c r="N410" s="248">
        <v>180521</v>
      </c>
      <c r="O410" s="245"/>
      <c r="P410" s="245">
        <v>0</v>
      </c>
      <c r="Q410" s="245"/>
      <c r="R410" s="245"/>
      <c r="S410" s="220">
        <v>46197</v>
      </c>
      <c r="T410" s="220">
        <v>46168</v>
      </c>
      <c r="U410" s="220">
        <v>46185</v>
      </c>
      <c r="V410" s="245" t="s">
        <v>41</v>
      </c>
      <c r="W410" s="254">
        <v>32.79</v>
      </c>
      <c r="X410" s="254">
        <f>Table2[[#This Row],[QUANTIDADE]]*Table2[[#This Row],[PREÇO UNITARIO]]</f>
        <v>229.53</v>
      </c>
      <c r="Y410" s="219" t="s">
        <v>42</v>
      </c>
      <c r="Z410" s="245">
        <f t="shared" si="12"/>
        <v>5</v>
      </c>
      <c r="AA410" s="219" t="s">
        <v>74</v>
      </c>
      <c r="AB410" s="246">
        <f t="shared" ca="1" si="13"/>
        <v>46235</v>
      </c>
      <c r="AC410" s="245">
        <f ca="1">_xlfn.DAYS(Table2[[#This Row],[HOJE]],Table2[[#This Row],[DATA PEDIDO HP]])</f>
        <v>86</v>
      </c>
      <c r="AD410" s="219" t="str">
        <f>IF(Table2[[#This Row],[STATUS2]]="ENTREGUE","ENTREGUE","")</f>
        <v>ENTREGUE</v>
      </c>
      <c r="AE410" s="219" t="s">
        <v>43</v>
      </c>
    </row>
    <row r="411" spans="1:31" ht="15" customHeight="1">
      <c r="A411" s="245" t="s">
        <v>1376</v>
      </c>
      <c r="B411" s="131">
        <v>46150</v>
      </c>
      <c r="C411" s="253">
        <v>46150</v>
      </c>
      <c r="D411" s="248" t="s">
        <v>1377</v>
      </c>
      <c r="E411" s="218" t="s">
        <v>88</v>
      </c>
      <c r="F411" s="248" t="s">
        <v>34</v>
      </c>
      <c r="G411" s="248">
        <v>50110057</v>
      </c>
      <c r="H411" s="248" t="s">
        <v>1378</v>
      </c>
      <c r="I411" s="248" t="s">
        <v>1379</v>
      </c>
      <c r="J411" s="248">
        <v>1</v>
      </c>
      <c r="K411" s="248" t="s">
        <v>37</v>
      </c>
      <c r="L411" s="248" t="s">
        <v>785</v>
      </c>
      <c r="M411" s="248" t="s">
        <v>39</v>
      </c>
      <c r="N411" s="248">
        <v>179399</v>
      </c>
      <c r="O411" s="245"/>
      <c r="P411" s="245">
        <v>0</v>
      </c>
      <c r="Q411" s="245"/>
      <c r="R411" s="245"/>
      <c r="S411" s="220">
        <v>46202</v>
      </c>
      <c r="T411" s="220">
        <v>46168</v>
      </c>
      <c r="U411" s="220">
        <v>46185</v>
      </c>
      <c r="V411" s="245" t="s">
        <v>41</v>
      </c>
      <c r="W411" s="254">
        <v>214.34</v>
      </c>
      <c r="X411" s="254">
        <f>Table2[[#This Row],[QUANTIDADE]]*Table2[[#This Row],[PREÇO UNITARIO]]</f>
        <v>214.34</v>
      </c>
      <c r="Y411" s="245"/>
      <c r="Z411" s="245">
        <f t="shared" si="12"/>
        <v>5</v>
      </c>
      <c r="AA411" s="237" t="s">
        <v>42</v>
      </c>
      <c r="AB411" s="246">
        <f t="shared" ca="1" si="13"/>
        <v>46235</v>
      </c>
      <c r="AC411" s="245">
        <f ca="1">_xlfn.DAYS(Table2[[#This Row],[HOJE]],Table2[[#This Row],[DATA PEDIDO HP]])</f>
        <v>85</v>
      </c>
      <c r="AD411" s="219" t="str">
        <f>IF(Table2[[#This Row],[STATUS2]]="ENTREGUE","ENTREGUE","")</f>
        <v>ENTREGUE</v>
      </c>
      <c r="AE411" s="219" t="s">
        <v>43</v>
      </c>
    </row>
    <row r="412" spans="1:31" ht="15" customHeight="1">
      <c r="A412" s="245" t="s">
        <v>1376</v>
      </c>
      <c r="B412" s="131">
        <v>46150</v>
      </c>
      <c r="C412" s="253">
        <v>46150</v>
      </c>
      <c r="D412" s="248" t="s">
        <v>1377</v>
      </c>
      <c r="E412" s="218" t="s">
        <v>88</v>
      </c>
      <c r="F412" s="248" t="s">
        <v>34</v>
      </c>
      <c r="G412" s="248">
        <v>50110057</v>
      </c>
      <c r="H412" s="248" t="s">
        <v>1380</v>
      </c>
      <c r="I412" s="248" t="s">
        <v>1381</v>
      </c>
      <c r="J412" s="248">
        <v>1</v>
      </c>
      <c r="K412" s="248" t="s">
        <v>37</v>
      </c>
      <c r="L412" s="248" t="s">
        <v>785</v>
      </c>
      <c r="M412" s="248" t="s">
        <v>39</v>
      </c>
      <c r="N412" s="248">
        <v>179399</v>
      </c>
      <c r="O412" s="245"/>
      <c r="P412" s="245">
        <v>0</v>
      </c>
      <c r="Q412" s="245"/>
      <c r="R412" s="245"/>
      <c r="S412" s="220">
        <v>46202</v>
      </c>
      <c r="T412" s="220">
        <v>46168</v>
      </c>
      <c r="U412" s="220">
        <v>46185</v>
      </c>
      <c r="V412" s="245" t="s">
        <v>41</v>
      </c>
      <c r="W412" s="254">
        <v>207.4</v>
      </c>
      <c r="X412" s="254">
        <f>Table2[[#This Row],[QUANTIDADE]]*Table2[[#This Row],[PREÇO UNITARIO]]</f>
        <v>207.4</v>
      </c>
      <c r="Y412" s="245"/>
      <c r="Z412" s="245">
        <f t="shared" si="12"/>
        <v>5</v>
      </c>
      <c r="AA412" s="237" t="s">
        <v>42</v>
      </c>
      <c r="AB412" s="246">
        <f t="shared" ca="1" si="13"/>
        <v>46235</v>
      </c>
      <c r="AC412" s="245">
        <f ca="1">_xlfn.DAYS(Table2[[#This Row],[HOJE]],Table2[[#This Row],[DATA PEDIDO HP]])</f>
        <v>85</v>
      </c>
      <c r="AD412" s="219" t="str">
        <f>IF(Table2[[#This Row],[STATUS2]]="ENTREGUE","ENTREGUE","")</f>
        <v>ENTREGUE</v>
      </c>
      <c r="AE412" s="219" t="s">
        <v>43</v>
      </c>
    </row>
    <row r="413" spans="1:31" ht="15" customHeight="1">
      <c r="A413" s="245" t="s">
        <v>1376</v>
      </c>
      <c r="B413" s="131">
        <v>46150</v>
      </c>
      <c r="C413" s="253">
        <v>46150</v>
      </c>
      <c r="D413" s="248" t="s">
        <v>1377</v>
      </c>
      <c r="E413" s="218" t="s">
        <v>88</v>
      </c>
      <c r="F413" s="248" t="s">
        <v>34</v>
      </c>
      <c r="G413" s="248">
        <v>50110057</v>
      </c>
      <c r="H413" s="248" t="s">
        <v>1382</v>
      </c>
      <c r="I413" s="248" t="s">
        <v>1383</v>
      </c>
      <c r="J413" s="248">
        <v>1</v>
      </c>
      <c r="K413" s="248" t="s">
        <v>37</v>
      </c>
      <c r="L413" s="248" t="s">
        <v>785</v>
      </c>
      <c r="M413" s="248" t="s">
        <v>39</v>
      </c>
      <c r="N413" s="248">
        <v>179399</v>
      </c>
      <c r="O413" s="245"/>
      <c r="P413" s="245">
        <v>0</v>
      </c>
      <c r="Q413" s="245"/>
      <c r="R413" s="245"/>
      <c r="S413" s="220">
        <v>46202</v>
      </c>
      <c r="T413" s="220">
        <v>46168</v>
      </c>
      <c r="U413" s="220">
        <v>46185</v>
      </c>
      <c r="V413" s="245" t="s">
        <v>41</v>
      </c>
      <c r="W413" s="254">
        <v>201.59</v>
      </c>
      <c r="X413" s="254">
        <f>Table2[[#This Row],[QUANTIDADE]]*Table2[[#This Row],[PREÇO UNITARIO]]</f>
        <v>201.59</v>
      </c>
      <c r="Y413" s="245"/>
      <c r="Z413" s="245">
        <f t="shared" si="12"/>
        <v>5</v>
      </c>
      <c r="AA413" s="237" t="s">
        <v>42</v>
      </c>
      <c r="AB413" s="246">
        <f t="shared" ca="1" si="13"/>
        <v>46235</v>
      </c>
      <c r="AC413" s="245">
        <f ca="1">_xlfn.DAYS(Table2[[#This Row],[HOJE]],Table2[[#This Row],[DATA PEDIDO HP]])</f>
        <v>85</v>
      </c>
      <c r="AD413" s="219" t="str">
        <f>IF(Table2[[#This Row],[STATUS2]]="ENTREGUE","ENTREGUE","")</f>
        <v>ENTREGUE</v>
      </c>
      <c r="AE413" s="219" t="s">
        <v>43</v>
      </c>
    </row>
    <row r="414" spans="1:31" ht="15" customHeight="1">
      <c r="A414" s="245" t="s">
        <v>1376</v>
      </c>
      <c r="B414" s="131">
        <v>46150</v>
      </c>
      <c r="C414" s="253">
        <v>46150</v>
      </c>
      <c r="D414" s="248" t="s">
        <v>1377</v>
      </c>
      <c r="E414" s="218" t="s">
        <v>88</v>
      </c>
      <c r="F414" s="248" t="s">
        <v>34</v>
      </c>
      <c r="G414" s="248">
        <v>50110057</v>
      </c>
      <c r="H414" s="248" t="s">
        <v>1094</v>
      </c>
      <c r="I414" s="248" t="s">
        <v>1095</v>
      </c>
      <c r="J414" s="248">
        <v>1</v>
      </c>
      <c r="K414" s="248" t="s">
        <v>37</v>
      </c>
      <c r="L414" s="248" t="s">
        <v>785</v>
      </c>
      <c r="M414" s="248" t="s">
        <v>39</v>
      </c>
      <c r="N414" s="248">
        <v>179399</v>
      </c>
      <c r="O414" s="245"/>
      <c r="P414" s="245">
        <v>0</v>
      </c>
      <c r="Q414" s="245"/>
      <c r="R414" s="245"/>
      <c r="S414" s="220">
        <v>46202</v>
      </c>
      <c r="T414" s="220">
        <v>46168</v>
      </c>
      <c r="U414" s="220">
        <v>46185</v>
      </c>
      <c r="V414" s="245" t="s">
        <v>41</v>
      </c>
      <c r="W414" s="254">
        <v>112</v>
      </c>
      <c r="X414" s="254">
        <f>Table2[[#This Row],[QUANTIDADE]]*Table2[[#This Row],[PREÇO UNITARIO]]</f>
        <v>112</v>
      </c>
      <c r="Y414" s="245"/>
      <c r="Z414" s="245">
        <f t="shared" si="12"/>
        <v>5</v>
      </c>
      <c r="AA414" s="237" t="s">
        <v>42</v>
      </c>
      <c r="AB414" s="246">
        <f t="shared" ca="1" si="13"/>
        <v>46235</v>
      </c>
      <c r="AC414" s="245">
        <f ca="1">_xlfn.DAYS(Table2[[#This Row],[HOJE]],Table2[[#This Row],[DATA PEDIDO HP]])</f>
        <v>85</v>
      </c>
      <c r="AD414" s="219" t="str">
        <f>IF(Table2[[#This Row],[STATUS2]]="ENTREGUE","ENTREGUE","")</f>
        <v>ENTREGUE</v>
      </c>
      <c r="AE414" s="219" t="s">
        <v>43</v>
      </c>
    </row>
    <row r="415" spans="1:31" ht="15" customHeight="1">
      <c r="A415" s="245" t="s">
        <v>1384</v>
      </c>
      <c r="B415" s="131">
        <v>46153</v>
      </c>
      <c r="C415" s="253">
        <v>46153</v>
      </c>
      <c r="D415" s="248" t="s">
        <v>1385</v>
      </c>
      <c r="E415" s="248" t="s">
        <v>303</v>
      </c>
      <c r="F415" s="248" t="s">
        <v>304</v>
      </c>
      <c r="G415" s="248">
        <v>47200274</v>
      </c>
      <c r="H415" s="248" t="s">
        <v>1386</v>
      </c>
      <c r="I415" s="248" t="s">
        <v>1387</v>
      </c>
      <c r="J415" s="248">
        <v>1</v>
      </c>
      <c r="K415" s="248" t="s">
        <v>37</v>
      </c>
      <c r="L415" s="248" t="s">
        <v>122</v>
      </c>
      <c r="M415" s="248" t="s">
        <v>81</v>
      </c>
      <c r="N415" s="248">
        <v>181379</v>
      </c>
      <c r="O415" s="245"/>
      <c r="P415" s="245">
        <v>1</v>
      </c>
      <c r="Q415" s="245"/>
      <c r="R415" s="245"/>
      <c r="S415" s="246"/>
      <c r="T415" s="220">
        <v>46168</v>
      </c>
      <c r="U415" s="220">
        <v>46185</v>
      </c>
      <c r="V415" s="245" t="s">
        <v>41</v>
      </c>
      <c r="W415" s="254">
        <v>207.55</v>
      </c>
      <c r="X415" s="254">
        <f>Table2[[#This Row],[QUANTIDADE]]*Table2[[#This Row],[PREÇO UNITARIO]]</f>
        <v>207.55</v>
      </c>
      <c r="Y415" s="245"/>
      <c r="Z415" s="245">
        <f t="shared" si="12"/>
        <v>5</v>
      </c>
      <c r="AA415" s="219" t="s">
        <v>74</v>
      </c>
      <c r="AB415" s="246">
        <f t="shared" ca="1" si="13"/>
        <v>46235</v>
      </c>
      <c r="AC415" s="245">
        <f ca="1">_xlfn.DAYS(Table2[[#This Row],[HOJE]],Table2[[#This Row],[DATA PEDIDO HP]])</f>
        <v>82</v>
      </c>
      <c r="AD415" s="219" t="str">
        <f ca="1">IF(Table2[[#This Row],[STATUS2]]="ENTREGUE","ENTREGUE","")</f>
        <v/>
      </c>
      <c r="AE415" s="234" t="str">
        <f ca="1">IF(Table2[[#This Row],[HOLD]]&gt;30,"ATRASADO","NO PRAZO")</f>
        <v>ATRASADO</v>
      </c>
    </row>
    <row r="416" spans="1:31" ht="15" customHeight="1">
      <c r="A416" s="245" t="s">
        <v>1384</v>
      </c>
      <c r="B416" s="131">
        <v>46153</v>
      </c>
      <c r="C416" s="253">
        <v>46153</v>
      </c>
      <c r="D416" s="248" t="s">
        <v>1385</v>
      </c>
      <c r="E416" s="248" t="s">
        <v>303</v>
      </c>
      <c r="F416" s="248" t="s">
        <v>304</v>
      </c>
      <c r="G416" s="248">
        <v>47200274</v>
      </c>
      <c r="H416" s="248" t="s">
        <v>1388</v>
      </c>
      <c r="I416" s="248" t="s">
        <v>1389</v>
      </c>
      <c r="J416" s="248">
        <v>1</v>
      </c>
      <c r="K416" s="248" t="s">
        <v>37</v>
      </c>
      <c r="L416" s="248" t="s">
        <v>122</v>
      </c>
      <c r="M416" s="248" t="s">
        <v>81</v>
      </c>
      <c r="N416" s="248">
        <v>181379</v>
      </c>
      <c r="O416" s="245"/>
      <c r="P416" s="245">
        <v>1</v>
      </c>
      <c r="Q416" s="245"/>
      <c r="R416" s="245"/>
      <c r="S416" s="246"/>
      <c r="T416" s="220">
        <v>46168</v>
      </c>
      <c r="U416" s="220">
        <v>46185</v>
      </c>
      <c r="V416" s="245" t="s">
        <v>41</v>
      </c>
      <c r="W416" s="254">
        <v>145.02000000000001</v>
      </c>
      <c r="X416" s="254">
        <f>Table2[[#This Row],[QUANTIDADE]]*Table2[[#This Row],[PREÇO UNITARIO]]</f>
        <v>145.02000000000001</v>
      </c>
      <c r="Y416" s="245"/>
      <c r="Z416" s="245">
        <f t="shared" si="12"/>
        <v>5</v>
      </c>
      <c r="AA416" s="219" t="s">
        <v>74</v>
      </c>
      <c r="AB416" s="246">
        <f t="shared" ca="1" si="13"/>
        <v>46235</v>
      </c>
      <c r="AC416" s="245">
        <f ca="1">_xlfn.DAYS(Table2[[#This Row],[HOJE]],Table2[[#This Row],[DATA PEDIDO HP]])</f>
        <v>82</v>
      </c>
      <c r="AD416" s="219" t="str">
        <f ca="1">IF(Table2[[#This Row],[STATUS2]]="ENTREGUE","ENTREGUE","")</f>
        <v/>
      </c>
      <c r="AE416" s="234" t="str">
        <f ca="1">IF(Table2[[#This Row],[HOLD]]&gt;30,"ATRASADO","NO PRAZO")</f>
        <v>ATRASADO</v>
      </c>
    </row>
    <row r="417" spans="1:31" ht="15" customHeight="1">
      <c r="A417" s="245" t="s">
        <v>1390</v>
      </c>
      <c r="B417" s="131">
        <v>46154</v>
      </c>
      <c r="C417" s="253">
        <v>46154</v>
      </c>
      <c r="D417" s="248" t="s">
        <v>1391</v>
      </c>
      <c r="E417" s="248" t="s">
        <v>94</v>
      </c>
      <c r="F417" s="248" t="s">
        <v>95</v>
      </c>
      <c r="G417" s="248">
        <v>60002072</v>
      </c>
      <c r="H417" s="248" t="s">
        <v>116</v>
      </c>
      <c r="I417" s="248" t="s">
        <v>1041</v>
      </c>
      <c r="J417" s="248">
        <v>1</v>
      </c>
      <c r="K417" s="248" t="s">
        <v>37</v>
      </c>
      <c r="L417" s="248" t="s">
        <v>122</v>
      </c>
      <c r="M417" s="248" t="s">
        <v>73</v>
      </c>
      <c r="N417" s="248">
        <v>181874</v>
      </c>
      <c r="O417" s="245"/>
      <c r="P417" s="245">
        <v>1</v>
      </c>
      <c r="Q417" s="245"/>
      <c r="R417" s="245"/>
      <c r="S417" s="246"/>
      <c r="T417" s="220">
        <v>46198</v>
      </c>
      <c r="U417" s="220">
        <v>46210</v>
      </c>
      <c r="V417" s="245" t="s">
        <v>830</v>
      </c>
      <c r="W417" s="254">
        <v>8.11</v>
      </c>
      <c r="X417" s="254">
        <f>Table2[[#This Row],[QUANTIDADE]]*Table2[[#This Row],[PREÇO UNITARIO]]</f>
        <v>8.11</v>
      </c>
      <c r="Y417" s="245"/>
      <c r="Z417" s="245">
        <f t="shared" si="12"/>
        <v>5</v>
      </c>
      <c r="AA417" s="219" t="s">
        <v>74</v>
      </c>
      <c r="AB417" s="246">
        <f t="shared" ca="1" si="13"/>
        <v>46235</v>
      </c>
      <c r="AC417" s="245">
        <f ca="1">_xlfn.DAYS(Table2[[#This Row],[HOJE]],Table2[[#This Row],[DATA PEDIDO HP]])</f>
        <v>81</v>
      </c>
      <c r="AD417" s="219" t="str">
        <f ca="1">IF(Table2[[#This Row],[STATUS2]]="ENTREGUE","ENTREGUE","")</f>
        <v/>
      </c>
      <c r="AE417" s="234" t="str">
        <f ca="1">IF(Table2[[#This Row],[HOLD]]&gt;30,"ATRASADO","NO PRAZO")</f>
        <v>ATRASADO</v>
      </c>
    </row>
    <row r="418" spans="1:31" ht="15" customHeight="1">
      <c r="A418" s="245" t="s">
        <v>1392</v>
      </c>
      <c r="B418" s="131">
        <v>46155</v>
      </c>
      <c r="C418" s="253">
        <v>46155</v>
      </c>
      <c r="D418" s="248" t="s">
        <v>1393</v>
      </c>
      <c r="E418" s="248" t="s">
        <v>191</v>
      </c>
      <c r="F418" s="248" t="s">
        <v>827</v>
      </c>
      <c r="G418" s="248">
        <v>60003071</v>
      </c>
      <c r="H418" s="248" t="s">
        <v>523</v>
      </c>
      <c r="I418" s="248" t="s">
        <v>1394</v>
      </c>
      <c r="J418" s="248">
        <v>1</v>
      </c>
      <c r="K418" s="248" t="s">
        <v>37</v>
      </c>
      <c r="L418" s="248" t="s">
        <v>72</v>
      </c>
      <c r="M418" s="248" t="s">
        <v>39</v>
      </c>
      <c r="N418" s="248">
        <v>182435</v>
      </c>
      <c r="O418" s="245"/>
      <c r="P418" s="245">
        <v>0</v>
      </c>
      <c r="Q418" s="245"/>
      <c r="R418" s="245"/>
      <c r="S418" s="220">
        <v>46233</v>
      </c>
      <c r="T418" s="220">
        <v>46198</v>
      </c>
      <c r="U418" s="220">
        <v>46210</v>
      </c>
      <c r="V418" s="245" t="s">
        <v>830</v>
      </c>
      <c r="W418" s="254">
        <v>475.51</v>
      </c>
      <c r="X418" s="254">
        <f>Table2[[#This Row],[QUANTIDADE]]*Table2[[#This Row],[PREÇO UNITARIO]]</f>
        <v>475.51</v>
      </c>
      <c r="Y418" s="219" t="s">
        <v>42</v>
      </c>
      <c r="Z418" s="245">
        <f t="shared" si="12"/>
        <v>5</v>
      </c>
      <c r="AA418" s="219" t="s">
        <v>74</v>
      </c>
      <c r="AB418" s="246">
        <f t="shared" ca="1" si="13"/>
        <v>46235</v>
      </c>
      <c r="AC418" s="245">
        <f ca="1">_xlfn.DAYS(Table2[[#This Row],[HOJE]],Table2[[#This Row],[DATA PEDIDO HP]])</f>
        <v>80</v>
      </c>
      <c r="AD418" s="219" t="str">
        <f>IF(Table2[[#This Row],[STATUS2]]="ENTREGUE","ENTREGUE","")</f>
        <v>ENTREGUE</v>
      </c>
      <c r="AE418" s="219" t="s">
        <v>43</v>
      </c>
    </row>
    <row r="419" spans="1:31" ht="15" customHeight="1">
      <c r="A419" s="245" t="s">
        <v>1395</v>
      </c>
      <c r="B419" s="131">
        <v>46155</v>
      </c>
      <c r="C419" s="253">
        <v>46155</v>
      </c>
      <c r="D419" s="248" t="s">
        <v>1396</v>
      </c>
      <c r="E419" s="248" t="s">
        <v>345</v>
      </c>
      <c r="F419" s="248" t="s">
        <v>34</v>
      </c>
      <c r="G419" s="248">
        <v>50110229</v>
      </c>
      <c r="H419" s="248" t="s">
        <v>1397</v>
      </c>
      <c r="I419" s="248" t="s">
        <v>1398</v>
      </c>
      <c r="J419" s="248">
        <v>1</v>
      </c>
      <c r="K419" s="248" t="s">
        <v>269</v>
      </c>
      <c r="L419" s="248" t="s">
        <v>72</v>
      </c>
      <c r="M419" s="248" t="s">
        <v>39</v>
      </c>
      <c r="N419" s="248">
        <v>182171</v>
      </c>
      <c r="O419" s="245"/>
      <c r="P419" s="245">
        <v>0</v>
      </c>
      <c r="Q419" s="245"/>
      <c r="R419" s="245"/>
      <c r="S419" s="220">
        <v>46227</v>
      </c>
      <c r="T419" s="220">
        <v>46198</v>
      </c>
      <c r="U419" s="220">
        <v>46210</v>
      </c>
      <c r="V419" s="245" t="s">
        <v>830</v>
      </c>
      <c r="W419" s="254">
        <v>145.35</v>
      </c>
      <c r="X419" s="254">
        <f>Table2[[#This Row],[QUANTIDADE]]*Table2[[#This Row],[PREÇO UNITARIO]]</f>
        <v>145.35</v>
      </c>
      <c r="Y419" s="245"/>
      <c r="Z419" s="245">
        <f t="shared" si="12"/>
        <v>5</v>
      </c>
      <c r="AA419" s="237" t="s">
        <v>42</v>
      </c>
      <c r="AB419" s="246">
        <f t="shared" ca="1" si="13"/>
        <v>46235</v>
      </c>
      <c r="AC419" s="245">
        <f ca="1">_xlfn.DAYS(Table2[[#This Row],[HOJE]],Table2[[#This Row],[DATA PEDIDO HP]])</f>
        <v>80</v>
      </c>
      <c r="AD419" s="219" t="str">
        <f>IF(Table2[[#This Row],[STATUS2]]="ENTREGUE","ENTREGUE","")</f>
        <v>ENTREGUE</v>
      </c>
      <c r="AE419" s="234" t="s">
        <v>43</v>
      </c>
    </row>
    <row r="420" spans="1:31" ht="15" customHeight="1">
      <c r="A420" s="245" t="s">
        <v>1399</v>
      </c>
      <c r="B420" s="131">
        <v>46156</v>
      </c>
      <c r="C420" s="253">
        <v>46156</v>
      </c>
      <c r="D420" s="248" t="s">
        <v>1400</v>
      </c>
      <c r="E420" s="248" t="s">
        <v>33</v>
      </c>
      <c r="F420" s="248" t="s">
        <v>34</v>
      </c>
      <c r="G420" s="248">
        <v>50110372</v>
      </c>
      <c r="H420" s="248" t="s">
        <v>1401</v>
      </c>
      <c r="I420" s="248" t="s">
        <v>1402</v>
      </c>
      <c r="J420" s="248">
        <v>1</v>
      </c>
      <c r="K420" s="248" t="s">
        <v>37</v>
      </c>
      <c r="L420" s="248" t="s">
        <v>122</v>
      </c>
      <c r="M420" s="248" t="s">
        <v>73</v>
      </c>
      <c r="N420" s="248">
        <v>182800</v>
      </c>
      <c r="O420" s="245"/>
      <c r="P420" s="245">
        <v>1</v>
      </c>
      <c r="Q420" s="245"/>
      <c r="R420" s="245"/>
      <c r="S420" s="246"/>
      <c r="T420" s="220">
        <v>46198</v>
      </c>
      <c r="U420" s="220">
        <v>46210</v>
      </c>
      <c r="V420" s="245" t="s">
        <v>830</v>
      </c>
      <c r="W420" s="254">
        <v>459.53</v>
      </c>
      <c r="X420" s="254">
        <f>Table2[[#This Row],[QUANTIDADE]]*Table2[[#This Row],[PREÇO UNITARIO]]</f>
        <v>459.53</v>
      </c>
      <c r="Y420" s="245"/>
      <c r="Z420" s="245">
        <f t="shared" si="12"/>
        <v>5</v>
      </c>
      <c r="AA420" s="237" t="s">
        <v>42</v>
      </c>
      <c r="AB420" s="246">
        <f t="shared" ca="1" si="13"/>
        <v>46235</v>
      </c>
      <c r="AC420" s="245">
        <f ca="1">_xlfn.DAYS(Table2[[#This Row],[HOJE]],Table2[[#This Row],[DATA PEDIDO HP]])</f>
        <v>79</v>
      </c>
      <c r="AD420" s="219" t="str">
        <f ca="1">IF(Table2[[#This Row],[STATUS2]]="ENTREGUE","ENTREGUE","")</f>
        <v/>
      </c>
      <c r="AE420" s="234" t="str">
        <f ca="1">IF(Table2[[#This Row],[HOLD]]&gt;30,"ATRASADO","NO PRAZO")</f>
        <v>ATRASADO</v>
      </c>
    </row>
    <row r="421" spans="1:31" ht="15" customHeight="1">
      <c r="A421" s="245" t="s">
        <v>1403</v>
      </c>
      <c r="B421" s="131">
        <v>46156</v>
      </c>
      <c r="C421" s="253">
        <v>46156</v>
      </c>
      <c r="D421" s="248" t="s">
        <v>1404</v>
      </c>
      <c r="E421" s="248" t="s">
        <v>1322</v>
      </c>
      <c r="F421" s="248" t="s">
        <v>328</v>
      </c>
      <c r="G421" s="248">
        <v>50000202</v>
      </c>
      <c r="H421" s="248" t="s">
        <v>47</v>
      </c>
      <c r="I421" s="248" t="s">
        <v>48</v>
      </c>
      <c r="J421" s="248">
        <v>1</v>
      </c>
      <c r="K421" s="248" t="s">
        <v>37</v>
      </c>
      <c r="L421" s="248" t="s">
        <v>122</v>
      </c>
      <c r="M421" s="248" t="s">
        <v>73</v>
      </c>
      <c r="N421" s="248">
        <v>182402</v>
      </c>
      <c r="O421" s="245"/>
      <c r="P421" s="245">
        <v>1</v>
      </c>
      <c r="Q421" s="245"/>
      <c r="R421" s="245"/>
      <c r="S421" s="246"/>
      <c r="T421" s="220">
        <v>46198</v>
      </c>
      <c r="U421" s="220">
        <v>46210</v>
      </c>
      <c r="V421" s="245" t="s">
        <v>830</v>
      </c>
      <c r="W421" s="254">
        <v>244.96</v>
      </c>
      <c r="X421" s="254">
        <f>Table2[[#This Row],[QUANTIDADE]]*Table2[[#This Row],[PREÇO UNITARIO]]</f>
        <v>244.96</v>
      </c>
      <c r="Y421" s="245"/>
      <c r="Z421" s="245">
        <f t="shared" si="12"/>
        <v>5</v>
      </c>
      <c r="AA421" s="219" t="s">
        <v>74</v>
      </c>
      <c r="AB421" s="246">
        <f t="shared" ca="1" si="13"/>
        <v>46235</v>
      </c>
      <c r="AC421" s="245">
        <f ca="1">_xlfn.DAYS(Table2[[#This Row],[HOJE]],Table2[[#This Row],[DATA PEDIDO HP]])</f>
        <v>79</v>
      </c>
      <c r="AD421" s="219" t="str">
        <f ca="1">IF(Table2[[#This Row],[STATUS2]]="ENTREGUE","ENTREGUE","")</f>
        <v/>
      </c>
      <c r="AE421" s="234" t="str">
        <f ca="1">IF(Table2[[#This Row],[HOLD]]&gt;30,"ATRASADO","NO PRAZO")</f>
        <v>ATRASADO</v>
      </c>
    </row>
    <row r="422" spans="1:31" ht="15" customHeight="1">
      <c r="A422" s="245" t="s">
        <v>1405</v>
      </c>
      <c r="B422" s="131">
        <v>46156</v>
      </c>
      <c r="C422" s="253">
        <v>46155</v>
      </c>
      <c r="D422" s="248" t="s">
        <v>1406</v>
      </c>
      <c r="E422" s="248" t="s">
        <v>1407</v>
      </c>
      <c r="F422" s="248" t="s">
        <v>34</v>
      </c>
      <c r="G422" s="248">
        <v>50200095</v>
      </c>
      <c r="H422" s="248" t="s">
        <v>750</v>
      </c>
      <c r="I422" s="248" t="s">
        <v>1408</v>
      </c>
      <c r="J422" s="248">
        <v>1</v>
      </c>
      <c r="K422" s="248" t="s">
        <v>37</v>
      </c>
      <c r="L422" s="248" t="s">
        <v>1372</v>
      </c>
      <c r="M422" s="248" t="s">
        <v>39</v>
      </c>
      <c r="N422" s="248">
        <v>181808</v>
      </c>
      <c r="O422" s="245"/>
      <c r="P422" s="245">
        <v>0</v>
      </c>
      <c r="Q422" s="245"/>
      <c r="R422" s="245"/>
      <c r="S422" s="246"/>
      <c r="T422" s="220">
        <v>46198</v>
      </c>
      <c r="U422" s="220">
        <v>46210</v>
      </c>
      <c r="V422" s="245" t="s">
        <v>830</v>
      </c>
      <c r="W422" s="254">
        <v>1407.73</v>
      </c>
      <c r="X422" s="254">
        <f>Table2[[#This Row],[QUANTIDADE]]*Table2[[#This Row],[PREÇO UNITARIO]]</f>
        <v>1407.73</v>
      </c>
      <c r="Y422" s="245"/>
      <c r="Z422" s="245">
        <f t="shared" si="12"/>
        <v>5</v>
      </c>
      <c r="AA422" s="219" t="s">
        <v>74</v>
      </c>
      <c r="AB422" s="246">
        <f t="shared" ca="1" si="13"/>
        <v>46235</v>
      </c>
      <c r="AC422" s="245">
        <f ca="1">_xlfn.DAYS(Table2[[#This Row],[HOJE]],Table2[[#This Row],[DATA PEDIDO HP]])</f>
        <v>79</v>
      </c>
      <c r="AD422" s="219" t="str">
        <f ca="1">IF(Table2[[#This Row],[STATUS2]]="ENTREGUE","ENTREGUE","")</f>
        <v/>
      </c>
      <c r="AE422" s="234" t="str">
        <f ca="1">IF(Table2[[#This Row],[HOLD]]&gt;30,"ATRASADO","NO PRAZO")</f>
        <v>ATRASADO</v>
      </c>
    </row>
    <row r="423" spans="1:31" ht="15" customHeight="1">
      <c r="A423" s="245" t="s">
        <v>1409</v>
      </c>
      <c r="B423" s="131">
        <v>46157</v>
      </c>
      <c r="C423" s="253">
        <v>46157</v>
      </c>
      <c r="D423" s="248" t="s">
        <v>1410</v>
      </c>
      <c r="E423" s="248" t="s">
        <v>33</v>
      </c>
      <c r="F423" s="248" t="s">
        <v>34</v>
      </c>
      <c r="G423" s="248">
        <v>50110372</v>
      </c>
      <c r="H423" s="248" t="s">
        <v>430</v>
      </c>
      <c r="I423" s="248" t="s">
        <v>431</v>
      </c>
      <c r="J423" s="248">
        <v>1</v>
      </c>
      <c r="K423" s="248" t="s">
        <v>37</v>
      </c>
      <c r="L423" s="248" t="s">
        <v>72</v>
      </c>
      <c r="M423" s="248" t="s">
        <v>39</v>
      </c>
      <c r="N423" s="248">
        <v>182898</v>
      </c>
      <c r="O423" s="245"/>
      <c r="P423" s="245">
        <v>0</v>
      </c>
      <c r="Q423" s="245"/>
      <c r="R423" s="245"/>
      <c r="S423" s="246"/>
      <c r="T423" s="220">
        <v>46198</v>
      </c>
      <c r="U423" s="220">
        <v>46210</v>
      </c>
      <c r="V423" s="245" t="s">
        <v>830</v>
      </c>
      <c r="W423" s="254">
        <v>125.99</v>
      </c>
      <c r="X423" s="254">
        <f>Table2[[#This Row],[QUANTIDADE]]*Table2[[#This Row],[PREÇO UNITARIO]]</f>
        <v>125.99</v>
      </c>
      <c r="Y423" s="245"/>
      <c r="Z423" s="245">
        <f t="shared" si="12"/>
        <v>5</v>
      </c>
      <c r="AA423" s="237" t="s">
        <v>42</v>
      </c>
      <c r="AB423" s="246">
        <f t="shared" ca="1" si="13"/>
        <v>46235</v>
      </c>
      <c r="AC423" s="245">
        <f ca="1">_xlfn.DAYS(Table2[[#This Row],[HOJE]],Table2[[#This Row],[DATA PEDIDO HP]])</f>
        <v>78</v>
      </c>
      <c r="AD423" s="219" t="str">
        <f ca="1">IF(Table2[[#This Row],[STATUS2]]="ENTREGUE","ENTREGUE","")</f>
        <v/>
      </c>
      <c r="AE423" s="234" t="str">
        <f ca="1">IF(Table2[[#This Row],[HOLD]]&gt;30,"ATRASADO","NO PRAZO")</f>
        <v>ATRASADO</v>
      </c>
    </row>
    <row r="424" spans="1:31" ht="15" customHeight="1">
      <c r="A424" s="245" t="s">
        <v>1409</v>
      </c>
      <c r="B424" s="131">
        <v>46157</v>
      </c>
      <c r="C424" s="253">
        <v>46157</v>
      </c>
      <c r="D424" s="248" t="s">
        <v>1410</v>
      </c>
      <c r="E424" s="248" t="s">
        <v>33</v>
      </c>
      <c r="F424" s="248" t="s">
        <v>34</v>
      </c>
      <c r="G424" s="248">
        <v>50110372</v>
      </c>
      <c r="H424" s="248" t="s">
        <v>329</v>
      </c>
      <c r="I424" s="248" t="s">
        <v>600</v>
      </c>
      <c r="J424" s="248">
        <v>1</v>
      </c>
      <c r="K424" s="248" t="s">
        <v>37</v>
      </c>
      <c r="L424" s="248" t="s">
        <v>72</v>
      </c>
      <c r="M424" s="248" t="s">
        <v>73</v>
      </c>
      <c r="N424" s="248">
        <v>182898</v>
      </c>
      <c r="O424" s="245"/>
      <c r="P424" s="245">
        <v>1</v>
      </c>
      <c r="Q424" s="245"/>
      <c r="R424" s="245"/>
      <c r="S424" s="246"/>
      <c r="T424" s="220">
        <v>46198</v>
      </c>
      <c r="U424" s="220">
        <v>46210</v>
      </c>
      <c r="V424" s="245" t="s">
        <v>830</v>
      </c>
      <c r="W424" s="254">
        <v>49.81</v>
      </c>
      <c r="X424" s="254">
        <f>Table2[[#This Row],[QUANTIDADE]]*Table2[[#This Row],[PREÇO UNITARIO]]</f>
        <v>49.81</v>
      </c>
      <c r="Y424" s="245"/>
      <c r="Z424" s="245">
        <f t="shared" si="12"/>
        <v>5</v>
      </c>
      <c r="AA424" s="237" t="s">
        <v>42</v>
      </c>
      <c r="AB424" s="246">
        <f t="shared" ca="1" si="13"/>
        <v>46235</v>
      </c>
      <c r="AC424" s="245">
        <f ca="1">_xlfn.DAYS(Table2[[#This Row],[HOJE]],Table2[[#This Row],[DATA PEDIDO HP]])</f>
        <v>78</v>
      </c>
      <c r="AD424" s="219" t="str">
        <f ca="1">IF(Table2[[#This Row],[STATUS2]]="ENTREGUE","ENTREGUE","")</f>
        <v/>
      </c>
      <c r="AE424" s="234" t="str">
        <f ca="1">IF(Table2[[#This Row],[HOLD]]&gt;30,"ATRASADO","NO PRAZO")</f>
        <v>ATRASADO</v>
      </c>
    </row>
    <row r="425" spans="1:31" ht="15" customHeight="1">
      <c r="A425" s="245" t="s">
        <v>1411</v>
      </c>
      <c r="B425" s="131">
        <v>46157</v>
      </c>
      <c r="C425" s="253">
        <v>46157</v>
      </c>
      <c r="D425" s="248" t="s">
        <v>1412</v>
      </c>
      <c r="E425" s="248" t="s">
        <v>154</v>
      </c>
      <c r="F425" s="248" t="s">
        <v>145</v>
      </c>
      <c r="G425" s="248">
        <v>48000044</v>
      </c>
      <c r="H425" s="248" t="s">
        <v>1413</v>
      </c>
      <c r="I425" s="248" t="s">
        <v>1414</v>
      </c>
      <c r="J425" s="248">
        <v>1</v>
      </c>
      <c r="K425" s="248" t="s">
        <v>37</v>
      </c>
      <c r="L425" s="248" t="s">
        <v>72</v>
      </c>
      <c r="M425" s="248" t="s">
        <v>73</v>
      </c>
      <c r="N425" s="248">
        <v>182633</v>
      </c>
      <c r="O425" s="245"/>
      <c r="P425" s="245">
        <v>1</v>
      </c>
      <c r="Q425" s="245"/>
      <c r="R425" s="245"/>
      <c r="S425" s="246"/>
      <c r="T425" s="220">
        <v>46198</v>
      </c>
      <c r="U425" s="220">
        <v>46210</v>
      </c>
      <c r="V425" s="245" t="s">
        <v>830</v>
      </c>
      <c r="W425" s="254">
        <v>142.72999999999999</v>
      </c>
      <c r="X425" s="254">
        <f>Table2[[#This Row],[QUANTIDADE]]*Table2[[#This Row],[PREÇO UNITARIO]]</f>
        <v>142.72999999999999</v>
      </c>
      <c r="Y425" s="245"/>
      <c r="Z425" s="245">
        <f t="shared" si="12"/>
        <v>5</v>
      </c>
      <c r="AA425" s="219" t="s">
        <v>74</v>
      </c>
      <c r="AB425" s="246">
        <f t="shared" ca="1" si="13"/>
        <v>46235</v>
      </c>
      <c r="AC425" s="245">
        <f ca="1">_xlfn.DAYS(Table2[[#This Row],[HOJE]],Table2[[#This Row],[DATA PEDIDO HP]])</f>
        <v>78</v>
      </c>
      <c r="AD425" s="219" t="str">
        <f ca="1">IF(Table2[[#This Row],[STATUS2]]="ENTREGUE","ENTREGUE","")</f>
        <v/>
      </c>
      <c r="AE425" s="234" t="str">
        <f ca="1">IF(Table2[[#This Row],[HOLD]]&gt;30,"ATRASADO","NO PRAZO")</f>
        <v>ATRASADO</v>
      </c>
    </row>
    <row r="426" spans="1:31" ht="15" customHeight="1">
      <c r="A426" s="245" t="s">
        <v>1415</v>
      </c>
      <c r="B426" s="131">
        <v>46161</v>
      </c>
      <c r="C426" s="253">
        <v>46161</v>
      </c>
      <c r="D426" s="248" t="s">
        <v>1416</v>
      </c>
      <c r="E426" s="248" t="s">
        <v>162</v>
      </c>
      <c r="F426" s="248" t="s">
        <v>186</v>
      </c>
      <c r="G426" s="248">
        <v>44000216</v>
      </c>
      <c r="H426" s="248" t="s">
        <v>448</v>
      </c>
      <c r="I426" s="248" t="s">
        <v>449</v>
      </c>
      <c r="J426" s="248">
        <v>1</v>
      </c>
      <c r="K426" s="248" t="s">
        <v>37</v>
      </c>
      <c r="L426" s="248" t="s">
        <v>72</v>
      </c>
      <c r="M426" s="248" t="s">
        <v>73</v>
      </c>
      <c r="N426" s="248">
        <v>181676</v>
      </c>
      <c r="O426" s="245"/>
      <c r="P426" s="245">
        <v>1</v>
      </c>
      <c r="Q426" s="245"/>
      <c r="R426" s="245"/>
      <c r="S426" s="246"/>
      <c r="T426" s="220">
        <v>46222</v>
      </c>
      <c r="U426" s="220">
        <v>46232</v>
      </c>
      <c r="V426" s="245" t="s">
        <v>290</v>
      </c>
      <c r="W426" s="254">
        <v>227.98</v>
      </c>
      <c r="X426" s="254">
        <f>Table2[[#This Row],[QUANTIDADE]]*Table2[[#This Row],[PREÇO UNITARIO]]</f>
        <v>227.98</v>
      </c>
      <c r="Y426" s="245"/>
      <c r="Z426" s="245">
        <f t="shared" si="12"/>
        <v>5</v>
      </c>
      <c r="AA426" s="219" t="s">
        <v>74</v>
      </c>
      <c r="AB426" s="246">
        <f t="shared" ca="1" si="13"/>
        <v>46235</v>
      </c>
      <c r="AC426" s="245">
        <f ca="1">_xlfn.DAYS(Table2[[#This Row],[HOJE]],Table2[[#This Row],[DATA PEDIDO HP]])</f>
        <v>74</v>
      </c>
      <c r="AD426" s="219" t="str">
        <f ca="1">IF(Table2[[#This Row],[STATUS2]]="ENTREGUE","ENTREGUE","")</f>
        <v/>
      </c>
      <c r="AE426" s="234" t="str">
        <f ca="1">IF(Table2[[#This Row],[HOLD]]&gt;30,"ATRASADO","NO PRAZO")</f>
        <v>ATRASADO</v>
      </c>
    </row>
    <row r="427" spans="1:31" ht="15" customHeight="1">
      <c r="A427" s="245" t="s">
        <v>1415</v>
      </c>
      <c r="B427" s="131">
        <v>46161</v>
      </c>
      <c r="C427" s="227">
        <v>46157</v>
      </c>
      <c r="D427" s="228" t="s">
        <v>1417</v>
      </c>
      <c r="E427" s="228" t="s">
        <v>162</v>
      </c>
      <c r="F427" s="228" t="s">
        <v>186</v>
      </c>
      <c r="G427" s="228">
        <v>44000216</v>
      </c>
      <c r="H427" s="228" t="s">
        <v>1418</v>
      </c>
      <c r="I427" s="228" t="s">
        <v>1419</v>
      </c>
      <c r="J427" s="218">
        <v>1</v>
      </c>
      <c r="K427" s="228" t="s">
        <v>37</v>
      </c>
      <c r="L427" s="228" t="s">
        <v>72</v>
      </c>
      <c r="M427" s="228" t="s">
        <v>73</v>
      </c>
      <c r="N427" s="218">
        <v>181676</v>
      </c>
      <c r="O427" s="229"/>
      <c r="P427" s="229">
        <v>1</v>
      </c>
      <c r="Q427" s="219"/>
      <c r="R427" s="229"/>
      <c r="S427" s="249"/>
      <c r="T427" s="220">
        <v>46198</v>
      </c>
      <c r="U427" s="220">
        <v>46210</v>
      </c>
      <c r="V427" s="229" t="s">
        <v>830</v>
      </c>
      <c r="W427" s="250">
        <v>13.88</v>
      </c>
      <c r="X427" s="250">
        <f>Table2[[#This Row],[QUANTIDADE]]*Table2[[#This Row],[PREÇO UNITARIO]]</f>
        <v>13.88</v>
      </c>
      <c r="Y427" s="229"/>
      <c r="Z427" s="229">
        <f t="shared" si="12"/>
        <v>5</v>
      </c>
      <c r="AA427" s="219" t="s">
        <v>74</v>
      </c>
      <c r="AB427" s="220">
        <f t="shared" ca="1" si="13"/>
        <v>46235</v>
      </c>
      <c r="AC427" s="229">
        <f ca="1">_xlfn.DAYS(Table2[[#This Row],[HOJE]],Table2[[#This Row],[DATA PEDIDO HP]])</f>
        <v>74</v>
      </c>
      <c r="AD427" s="219" t="str">
        <f ca="1">IF(Table2[[#This Row],[STATUS2]]="ENTREGUE","ENTREGUE","")</f>
        <v/>
      </c>
      <c r="AE427" s="230" t="str">
        <f ca="1">IF(Table2[[#This Row],[HOLD]]&gt;30,"ATRASADO","NO PRAZO")</f>
        <v>ATRASADO</v>
      </c>
    </row>
    <row r="428" spans="1:31" ht="15" customHeight="1">
      <c r="A428" s="245" t="s">
        <v>1420</v>
      </c>
      <c r="B428" s="131">
        <v>46157</v>
      </c>
      <c r="C428" s="253">
        <v>46157</v>
      </c>
      <c r="D428" s="248" t="s">
        <v>1421</v>
      </c>
      <c r="E428" s="248" t="s">
        <v>191</v>
      </c>
      <c r="F428" s="248" t="s">
        <v>95</v>
      </c>
      <c r="G428" s="248">
        <v>60001111</v>
      </c>
      <c r="H428" s="248" t="s">
        <v>267</v>
      </c>
      <c r="I428" s="248" t="s">
        <v>1422</v>
      </c>
      <c r="J428" s="248">
        <v>1</v>
      </c>
      <c r="K428" s="248" t="s">
        <v>37</v>
      </c>
      <c r="L428" s="248" t="s">
        <v>98</v>
      </c>
      <c r="M428" s="248" t="s">
        <v>81</v>
      </c>
      <c r="N428" s="248">
        <v>170820</v>
      </c>
      <c r="O428" s="245"/>
      <c r="P428" s="245">
        <v>1</v>
      </c>
      <c r="Q428" s="245"/>
      <c r="R428" s="245"/>
      <c r="S428" s="220">
        <v>46233</v>
      </c>
      <c r="T428" s="220">
        <v>46198</v>
      </c>
      <c r="U428" s="220">
        <v>46210</v>
      </c>
      <c r="V428" s="245" t="s">
        <v>830</v>
      </c>
      <c r="W428" s="254">
        <v>723.56</v>
      </c>
      <c r="X428" s="254">
        <f>Table2[[#This Row],[QUANTIDADE]]*Table2[[#This Row],[PREÇO UNITARIO]]</f>
        <v>723.56</v>
      </c>
      <c r="Y428" s="219" t="s">
        <v>42</v>
      </c>
      <c r="Z428" s="245">
        <f t="shared" si="12"/>
        <v>5</v>
      </c>
      <c r="AA428" s="237" t="s">
        <v>42</v>
      </c>
      <c r="AB428" s="246">
        <f t="shared" ca="1" si="13"/>
        <v>46235</v>
      </c>
      <c r="AC428" s="245">
        <f ca="1">_xlfn.DAYS(Table2[[#This Row],[HOJE]],Table2[[#This Row],[DATA PEDIDO HP]])</f>
        <v>78</v>
      </c>
      <c r="AD428" s="219" t="str">
        <f>IF(Table2[[#This Row],[STATUS2]]="ENTREGUE","ENTREGUE","")</f>
        <v>ENTREGUE</v>
      </c>
      <c r="AE428" s="219" t="s">
        <v>43</v>
      </c>
    </row>
    <row r="429" spans="1:31" ht="15" customHeight="1">
      <c r="A429" s="245" t="s">
        <v>1423</v>
      </c>
      <c r="B429" s="131">
        <v>46160</v>
      </c>
      <c r="C429" s="253">
        <v>46160</v>
      </c>
      <c r="D429" s="248" t="s">
        <v>1424</v>
      </c>
      <c r="E429" s="248" t="s">
        <v>1425</v>
      </c>
      <c r="F429" s="248" t="s">
        <v>328</v>
      </c>
      <c r="G429" s="248">
        <v>50000351</v>
      </c>
      <c r="H429" s="248" t="s">
        <v>442</v>
      </c>
      <c r="I429" s="248" t="s">
        <v>1426</v>
      </c>
      <c r="J429" s="248">
        <v>1</v>
      </c>
      <c r="K429" s="248" t="s">
        <v>37</v>
      </c>
      <c r="L429" s="248" t="s">
        <v>38</v>
      </c>
      <c r="M429" s="248" t="s">
        <v>39</v>
      </c>
      <c r="N429" s="113"/>
      <c r="O429" s="245"/>
      <c r="P429" s="245">
        <v>0</v>
      </c>
      <c r="Q429" s="245"/>
      <c r="R429" s="245"/>
      <c r="S429" s="246"/>
      <c r="T429" s="220">
        <v>46198</v>
      </c>
      <c r="U429" s="220">
        <v>46210</v>
      </c>
      <c r="V429" s="245" t="s">
        <v>830</v>
      </c>
      <c r="W429" s="254">
        <v>450.88</v>
      </c>
      <c r="X429" s="254">
        <f>Table2[[#This Row],[QUANTIDADE]]*Table2[[#This Row],[PREÇO UNITARIO]]</f>
        <v>450.88</v>
      </c>
      <c r="Y429" s="245"/>
      <c r="Z429" s="245">
        <f t="shared" si="12"/>
        <v>5</v>
      </c>
      <c r="AA429" s="237" t="s">
        <v>42</v>
      </c>
      <c r="AB429" s="246">
        <f t="shared" ca="1" si="13"/>
        <v>46235</v>
      </c>
      <c r="AC429" s="245">
        <f ca="1">_xlfn.DAYS(Table2[[#This Row],[HOJE]],Table2[[#This Row],[DATA PEDIDO HP]])</f>
        <v>75</v>
      </c>
      <c r="AD429" s="219" t="str">
        <f ca="1">IF(Table2[[#This Row],[STATUS2]]="ENTREGUE","ENTREGUE","")</f>
        <v/>
      </c>
      <c r="AE429" s="234" t="str">
        <f ca="1">IF(Table2[[#This Row],[HOLD]]&gt;30,"ATRASADO","NO PRAZO")</f>
        <v>ATRASADO</v>
      </c>
    </row>
    <row r="430" spans="1:31" ht="15" customHeight="1">
      <c r="A430" s="245" t="s">
        <v>1427</v>
      </c>
      <c r="B430" s="131">
        <v>46157</v>
      </c>
      <c r="C430" s="131">
        <v>46157</v>
      </c>
      <c r="D430" s="113"/>
      <c r="E430" s="113" t="s">
        <v>570</v>
      </c>
      <c r="F430" s="248" t="s">
        <v>571</v>
      </c>
      <c r="G430" s="113">
        <v>50510045</v>
      </c>
      <c r="H430" s="113" t="s">
        <v>1190</v>
      </c>
      <c r="I430" s="113" t="s">
        <v>1428</v>
      </c>
      <c r="J430" s="113">
        <v>1</v>
      </c>
      <c r="K430" s="113"/>
      <c r="L430" s="113"/>
      <c r="M430" s="248" t="s">
        <v>39</v>
      </c>
      <c r="N430" s="113"/>
      <c r="O430" s="245"/>
      <c r="P430" s="245">
        <v>0</v>
      </c>
      <c r="Q430" s="245"/>
      <c r="R430" s="245"/>
      <c r="S430" s="246"/>
      <c r="T430" s="220">
        <v>46222</v>
      </c>
      <c r="U430" s="220">
        <v>46232</v>
      </c>
      <c r="V430" s="245" t="s">
        <v>290</v>
      </c>
      <c r="W430" s="254">
        <v>21.56</v>
      </c>
      <c r="X430" s="254">
        <f>Table2[[#This Row],[QUANTIDADE]]*Table2[[#This Row],[PREÇO UNITARIO]]</f>
        <v>21.56</v>
      </c>
      <c r="Y430" s="219" t="s">
        <v>42</v>
      </c>
      <c r="Z430" s="245">
        <f t="shared" si="12"/>
        <v>5</v>
      </c>
      <c r="AA430" s="219" t="s">
        <v>74</v>
      </c>
      <c r="AB430" s="246">
        <f t="shared" ca="1" si="13"/>
        <v>46235</v>
      </c>
      <c r="AC430" s="245">
        <f ca="1">_xlfn.DAYS(Table2[[#This Row],[HOJE]],Table2[[#This Row],[DATA PEDIDO HP]])</f>
        <v>78</v>
      </c>
      <c r="AD430" s="219" t="str">
        <f ca="1">IF(Table2[[#This Row],[STATUS2]]="ENTREGUE","ENTREGUE","")</f>
        <v/>
      </c>
      <c r="AE430" s="234" t="str">
        <f ca="1">IF(Table2[[#This Row],[HOLD]]&gt;30,"ATRASADO","NO PRAZO")</f>
        <v>ATRASADO</v>
      </c>
    </row>
    <row r="431" spans="1:31" ht="15" customHeight="1">
      <c r="A431" s="245" t="s">
        <v>1429</v>
      </c>
      <c r="B431" s="131">
        <v>46160</v>
      </c>
      <c r="C431" s="253">
        <v>46160</v>
      </c>
      <c r="D431" s="248" t="s">
        <v>1430</v>
      </c>
      <c r="E431" s="248" t="s">
        <v>125</v>
      </c>
      <c r="F431" s="248" t="s">
        <v>34</v>
      </c>
      <c r="G431" s="218">
        <v>50110193</v>
      </c>
      <c r="H431" s="248" t="s">
        <v>1267</v>
      </c>
      <c r="I431" s="248" t="s">
        <v>1431</v>
      </c>
      <c r="J431" s="248">
        <v>1</v>
      </c>
      <c r="K431" s="248" t="s">
        <v>37</v>
      </c>
      <c r="L431" s="248" t="s">
        <v>72</v>
      </c>
      <c r="M431" s="248" t="s">
        <v>81</v>
      </c>
      <c r="N431" s="248">
        <v>183161</v>
      </c>
      <c r="O431" s="245"/>
      <c r="P431" s="245">
        <v>1</v>
      </c>
      <c r="Q431" s="245"/>
      <c r="R431" s="245"/>
      <c r="S431" s="246"/>
      <c r="T431" s="220">
        <v>46198</v>
      </c>
      <c r="U431" s="220">
        <v>46210</v>
      </c>
      <c r="V431" s="245" t="s">
        <v>830</v>
      </c>
      <c r="W431" s="254">
        <v>83.29</v>
      </c>
      <c r="X431" s="254">
        <f>Table2[[#This Row],[QUANTIDADE]]*Table2[[#This Row],[PREÇO UNITARIO]]</f>
        <v>83.29</v>
      </c>
      <c r="Y431" s="245"/>
      <c r="Z431" s="245">
        <f t="shared" si="12"/>
        <v>5</v>
      </c>
      <c r="AA431" s="219" t="s">
        <v>74</v>
      </c>
      <c r="AB431" s="246">
        <f t="shared" ca="1" si="13"/>
        <v>46235</v>
      </c>
      <c r="AC431" s="245">
        <f ca="1">_xlfn.DAYS(Table2[[#This Row],[HOJE]],Table2[[#This Row],[DATA PEDIDO HP]])</f>
        <v>75</v>
      </c>
      <c r="AD431" s="219" t="str">
        <f ca="1">IF(Table2[[#This Row],[STATUS2]]="ENTREGUE","ENTREGUE","")</f>
        <v/>
      </c>
      <c r="AE431" s="234" t="str">
        <f ca="1">IF(Table2[[#This Row],[HOLD]]&gt;30,"ATRASADO","NO PRAZO")</f>
        <v>ATRASADO</v>
      </c>
    </row>
    <row r="432" spans="1:31" ht="15" customHeight="1">
      <c r="A432" s="245" t="s">
        <v>1432</v>
      </c>
      <c r="B432" s="131">
        <v>46160</v>
      </c>
      <c r="C432" s="253">
        <v>46160</v>
      </c>
      <c r="D432" s="248" t="s">
        <v>1433</v>
      </c>
      <c r="E432" s="248" t="s">
        <v>191</v>
      </c>
      <c r="F432" s="248" t="s">
        <v>95</v>
      </c>
      <c r="G432" s="248">
        <v>60001111</v>
      </c>
      <c r="H432" s="248" t="s">
        <v>379</v>
      </c>
      <c r="I432" s="248" t="s">
        <v>1434</v>
      </c>
      <c r="J432" s="248">
        <v>1</v>
      </c>
      <c r="K432" s="248" t="s">
        <v>37</v>
      </c>
      <c r="L432" s="248" t="s">
        <v>38</v>
      </c>
      <c r="M432" s="248" t="s">
        <v>1435</v>
      </c>
      <c r="N432" s="248">
        <v>181942</v>
      </c>
      <c r="O432" s="245"/>
      <c r="P432" s="245">
        <v>1</v>
      </c>
      <c r="Q432" s="245"/>
      <c r="R432" s="245"/>
      <c r="S432" s="220">
        <v>46233</v>
      </c>
      <c r="T432" s="220">
        <v>46198</v>
      </c>
      <c r="U432" s="220">
        <v>46210</v>
      </c>
      <c r="V432" s="245" t="s">
        <v>830</v>
      </c>
      <c r="W432" s="254">
        <v>631.67999999999995</v>
      </c>
      <c r="X432" s="254">
        <f>Table2[[#This Row],[QUANTIDADE]]*Table2[[#This Row],[PREÇO UNITARIO]]</f>
        <v>631.67999999999995</v>
      </c>
      <c r="Y432" s="219" t="s">
        <v>42</v>
      </c>
      <c r="Z432" s="245">
        <f t="shared" si="12"/>
        <v>5</v>
      </c>
      <c r="AA432" s="237" t="s">
        <v>42</v>
      </c>
      <c r="AB432" s="246">
        <f t="shared" ca="1" si="13"/>
        <v>46235</v>
      </c>
      <c r="AC432" s="245">
        <f ca="1">_xlfn.DAYS(Table2[[#This Row],[HOJE]],Table2[[#This Row],[DATA PEDIDO HP]])</f>
        <v>75</v>
      </c>
      <c r="AD432" s="219" t="str">
        <f>IF(Table2[[#This Row],[STATUS2]]="ENTREGUE","ENTREGUE","")</f>
        <v>ENTREGUE</v>
      </c>
      <c r="AE432" s="219" t="s">
        <v>43</v>
      </c>
    </row>
    <row r="433" spans="1:31" ht="15" customHeight="1">
      <c r="A433" s="245" t="s">
        <v>1432</v>
      </c>
      <c r="B433" s="131">
        <v>46160</v>
      </c>
      <c r="C433" s="253">
        <v>46160</v>
      </c>
      <c r="D433" s="248" t="s">
        <v>1433</v>
      </c>
      <c r="E433" s="248" t="s">
        <v>191</v>
      </c>
      <c r="F433" s="248" t="s">
        <v>95</v>
      </c>
      <c r="G433" s="248">
        <v>60001111</v>
      </c>
      <c r="H433" s="248" t="s">
        <v>1049</v>
      </c>
      <c r="I433" s="248" t="s">
        <v>1436</v>
      </c>
      <c r="J433" s="248">
        <v>1</v>
      </c>
      <c r="K433" s="248" t="s">
        <v>37</v>
      </c>
      <c r="L433" s="248" t="s">
        <v>38</v>
      </c>
      <c r="M433" s="248" t="s">
        <v>1435</v>
      </c>
      <c r="N433" s="248">
        <v>181942</v>
      </c>
      <c r="O433" s="245"/>
      <c r="P433" s="245">
        <v>1</v>
      </c>
      <c r="Q433" s="245"/>
      <c r="R433" s="245"/>
      <c r="S433" s="220">
        <v>46233</v>
      </c>
      <c r="T433" s="220">
        <v>46198</v>
      </c>
      <c r="U433" s="220">
        <v>46210</v>
      </c>
      <c r="V433" s="245" t="s">
        <v>830</v>
      </c>
      <c r="W433" s="254">
        <v>571.58000000000004</v>
      </c>
      <c r="X433" s="254">
        <f>Table2[[#This Row],[QUANTIDADE]]*Table2[[#This Row],[PREÇO UNITARIO]]</f>
        <v>571.58000000000004</v>
      </c>
      <c r="Y433" s="219" t="s">
        <v>42</v>
      </c>
      <c r="Z433" s="245">
        <f t="shared" si="12"/>
        <v>5</v>
      </c>
      <c r="AA433" s="237" t="s">
        <v>42</v>
      </c>
      <c r="AB433" s="246">
        <f t="shared" ca="1" si="13"/>
        <v>46235</v>
      </c>
      <c r="AC433" s="245">
        <f ca="1">_xlfn.DAYS(Table2[[#This Row],[HOJE]],Table2[[#This Row],[DATA PEDIDO HP]])</f>
        <v>75</v>
      </c>
      <c r="AD433" s="219" t="str">
        <f>IF(Table2[[#This Row],[STATUS2]]="ENTREGUE","ENTREGUE","")</f>
        <v>ENTREGUE</v>
      </c>
      <c r="AE433" s="219" t="s">
        <v>43</v>
      </c>
    </row>
    <row r="434" spans="1:31" ht="15" customHeight="1">
      <c r="A434" s="245" t="s">
        <v>1432</v>
      </c>
      <c r="B434" s="131">
        <v>46160</v>
      </c>
      <c r="C434" s="253">
        <v>46160</v>
      </c>
      <c r="D434" s="248" t="s">
        <v>1433</v>
      </c>
      <c r="E434" s="248" t="s">
        <v>191</v>
      </c>
      <c r="F434" s="248" t="s">
        <v>95</v>
      </c>
      <c r="G434" s="248">
        <v>60001111</v>
      </c>
      <c r="H434" s="248" t="s">
        <v>649</v>
      </c>
      <c r="I434" s="248" t="s">
        <v>115</v>
      </c>
      <c r="J434" s="248">
        <v>4</v>
      </c>
      <c r="K434" s="248" t="s">
        <v>37</v>
      </c>
      <c r="L434" s="248" t="s">
        <v>38</v>
      </c>
      <c r="M434" s="248" t="s">
        <v>1435</v>
      </c>
      <c r="N434" s="248">
        <v>181942</v>
      </c>
      <c r="O434" s="245"/>
      <c r="P434" s="245">
        <v>4</v>
      </c>
      <c r="Q434" s="245"/>
      <c r="R434" s="245" t="s">
        <v>205</v>
      </c>
      <c r="S434" s="220">
        <v>46233</v>
      </c>
      <c r="T434" s="220">
        <v>46198</v>
      </c>
      <c r="U434" s="220">
        <v>46210</v>
      </c>
      <c r="V434" s="245" t="s">
        <v>830</v>
      </c>
      <c r="W434" s="254">
        <v>373.16</v>
      </c>
      <c r="X434" s="254">
        <f>Table2[[#This Row],[QUANTIDADE]]*Table2[[#This Row],[PREÇO UNITARIO]]</f>
        <v>1492.64</v>
      </c>
      <c r="Y434" s="219" t="s">
        <v>42</v>
      </c>
      <c r="Z434" s="245">
        <f t="shared" si="12"/>
        <v>5</v>
      </c>
      <c r="AA434" s="237" t="s">
        <v>42</v>
      </c>
      <c r="AB434" s="246">
        <f t="shared" ca="1" si="13"/>
        <v>46235</v>
      </c>
      <c r="AC434" s="245">
        <f ca="1">_xlfn.DAYS(Table2[[#This Row],[HOJE]],Table2[[#This Row],[DATA PEDIDO HP]])</f>
        <v>75</v>
      </c>
      <c r="AD434" s="219" t="str">
        <f>IF(Table2[[#This Row],[STATUS2]]="ENTREGUE","ENTREGUE","")</f>
        <v>ENTREGUE</v>
      </c>
      <c r="AE434" s="219" t="s">
        <v>43</v>
      </c>
    </row>
    <row r="435" spans="1:31" ht="15" customHeight="1">
      <c r="A435" s="245" t="s">
        <v>1432</v>
      </c>
      <c r="B435" s="131">
        <v>46160</v>
      </c>
      <c r="C435" s="253">
        <v>46150</v>
      </c>
      <c r="D435" s="248" t="s">
        <v>1433</v>
      </c>
      <c r="E435" s="248" t="s">
        <v>191</v>
      </c>
      <c r="F435" s="248" t="s">
        <v>95</v>
      </c>
      <c r="G435" s="248">
        <v>60001111</v>
      </c>
      <c r="H435" s="248" t="s">
        <v>1437</v>
      </c>
      <c r="I435" s="248" t="s">
        <v>1438</v>
      </c>
      <c r="J435" s="248">
        <v>1</v>
      </c>
      <c r="K435" s="248" t="s">
        <v>37</v>
      </c>
      <c r="L435" s="248" t="s">
        <v>38</v>
      </c>
      <c r="M435" s="248" t="s">
        <v>1435</v>
      </c>
      <c r="N435" s="248">
        <v>181942</v>
      </c>
      <c r="O435" s="245"/>
      <c r="P435" s="245">
        <v>1</v>
      </c>
      <c r="Q435" s="245"/>
      <c r="R435" s="219"/>
      <c r="S435" s="220">
        <v>46233</v>
      </c>
      <c r="T435" s="220">
        <v>46198</v>
      </c>
      <c r="U435" s="220">
        <v>46210</v>
      </c>
      <c r="V435" s="245" t="s">
        <v>830</v>
      </c>
      <c r="W435" s="254">
        <v>69.42</v>
      </c>
      <c r="X435" s="254">
        <f>Table2[[#This Row],[QUANTIDADE]]*Table2[[#This Row],[PREÇO UNITARIO]]</f>
        <v>69.42</v>
      </c>
      <c r="Y435" s="219" t="s">
        <v>42</v>
      </c>
      <c r="Z435" s="245">
        <f t="shared" si="12"/>
        <v>5</v>
      </c>
      <c r="AA435" s="237" t="s">
        <v>42</v>
      </c>
      <c r="AB435" s="246">
        <f t="shared" ca="1" si="13"/>
        <v>46235</v>
      </c>
      <c r="AC435" s="245">
        <f ca="1">_xlfn.DAYS(Table2[[#This Row],[HOJE]],Table2[[#This Row],[DATA PEDIDO HP]])</f>
        <v>75</v>
      </c>
      <c r="AD435" s="219" t="str">
        <f>IF(Table2[[#This Row],[STATUS2]]="ENTREGUE","ENTREGUE","")</f>
        <v>ENTREGUE</v>
      </c>
      <c r="AE435" s="219" t="s">
        <v>43</v>
      </c>
    </row>
    <row r="436" spans="1:31" ht="15" customHeight="1">
      <c r="A436" s="245" t="s">
        <v>1432</v>
      </c>
      <c r="B436" s="131">
        <v>46160</v>
      </c>
      <c r="C436" s="253">
        <v>46160</v>
      </c>
      <c r="D436" s="248" t="s">
        <v>1433</v>
      </c>
      <c r="E436" s="248" t="s">
        <v>191</v>
      </c>
      <c r="F436" s="248" t="s">
        <v>95</v>
      </c>
      <c r="G436" s="248">
        <v>60001111</v>
      </c>
      <c r="H436" s="248" t="s">
        <v>972</v>
      </c>
      <c r="I436" s="248" t="s">
        <v>973</v>
      </c>
      <c r="J436" s="248">
        <v>1</v>
      </c>
      <c r="K436" s="248" t="s">
        <v>37</v>
      </c>
      <c r="L436" s="248" t="s">
        <v>38</v>
      </c>
      <c r="M436" s="248" t="s">
        <v>1435</v>
      </c>
      <c r="N436" s="248">
        <v>181942</v>
      </c>
      <c r="O436" s="245"/>
      <c r="P436" s="245">
        <v>1</v>
      </c>
      <c r="Q436" s="245"/>
      <c r="R436" s="245"/>
      <c r="S436" s="220">
        <v>46233</v>
      </c>
      <c r="T436" s="220">
        <v>46198</v>
      </c>
      <c r="U436" s="220">
        <v>46210</v>
      </c>
      <c r="V436" s="245" t="s">
        <v>830</v>
      </c>
      <c r="W436" s="254">
        <v>24.5</v>
      </c>
      <c r="X436" s="254">
        <f>Table2[[#This Row],[QUANTIDADE]]*Table2[[#This Row],[PREÇO UNITARIO]]</f>
        <v>24.5</v>
      </c>
      <c r="Y436" s="219" t="s">
        <v>42</v>
      </c>
      <c r="Z436" s="245">
        <f t="shared" si="12"/>
        <v>5</v>
      </c>
      <c r="AA436" s="237" t="s">
        <v>42</v>
      </c>
      <c r="AB436" s="246">
        <f t="shared" ca="1" si="13"/>
        <v>46235</v>
      </c>
      <c r="AC436" s="245">
        <f ca="1">_xlfn.DAYS(Table2[[#This Row],[HOJE]],Table2[[#This Row],[DATA PEDIDO HP]])</f>
        <v>75</v>
      </c>
      <c r="AD436" s="219" t="str">
        <f>IF(Table2[[#This Row],[STATUS2]]="ENTREGUE","ENTREGUE","")</f>
        <v>ENTREGUE</v>
      </c>
      <c r="AE436" s="219" t="s">
        <v>43</v>
      </c>
    </row>
    <row r="437" spans="1:31" ht="15" customHeight="1">
      <c r="A437" s="245" t="s">
        <v>1432</v>
      </c>
      <c r="B437" s="131">
        <v>46160</v>
      </c>
      <c r="C437" s="253">
        <v>46160</v>
      </c>
      <c r="D437" s="248" t="s">
        <v>1433</v>
      </c>
      <c r="E437" s="248" t="s">
        <v>191</v>
      </c>
      <c r="F437" s="248" t="s">
        <v>95</v>
      </c>
      <c r="G437" s="248">
        <v>60001111</v>
      </c>
      <c r="H437" s="248" t="s">
        <v>694</v>
      </c>
      <c r="I437" s="248" t="s">
        <v>695</v>
      </c>
      <c r="J437" s="248">
        <v>1</v>
      </c>
      <c r="K437" s="248" t="s">
        <v>37</v>
      </c>
      <c r="L437" s="248" t="s">
        <v>38</v>
      </c>
      <c r="M437" s="248" t="s">
        <v>1435</v>
      </c>
      <c r="N437" s="248">
        <v>181942</v>
      </c>
      <c r="O437" s="245"/>
      <c r="P437" s="245">
        <v>1</v>
      </c>
      <c r="Q437" s="245"/>
      <c r="R437" s="245"/>
      <c r="S437" s="220">
        <v>46233</v>
      </c>
      <c r="T437" s="220">
        <v>46198</v>
      </c>
      <c r="U437" s="220">
        <v>46210</v>
      </c>
      <c r="V437" s="245" t="s">
        <v>830</v>
      </c>
      <c r="W437" s="254">
        <v>17.96</v>
      </c>
      <c r="X437" s="254">
        <f>Table2[[#This Row],[QUANTIDADE]]*Table2[[#This Row],[PREÇO UNITARIO]]</f>
        <v>17.96</v>
      </c>
      <c r="Y437" s="219" t="s">
        <v>42</v>
      </c>
      <c r="Z437" s="245">
        <f t="shared" si="12"/>
        <v>5</v>
      </c>
      <c r="AA437" s="237" t="s">
        <v>42</v>
      </c>
      <c r="AB437" s="246">
        <f t="shared" ca="1" si="13"/>
        <v>46235</v>
      </c>
      <c r="AC437" s="245">
        <f ca="1">_xlfn.DAYS(Table2[[#This Row],[HOJE]],Table2[[#This Row],[DATA PEDIDO HP]])</f>
        <v>75</v>
      </c>
      <c r="AD437" s="219" t="str">
        <f>IF(Table2[[#This Row],[STATUS2]]="ENTREGUE","ENTREGUE","")</f>
        <v>ENTREGUE</v>
      </c>
      <c r="AE437" s="219" t="s">
        <v>43</v>
      </c>
    </row>
    <row r="438" spans="1:31" ht="15" customHeight="1">
      <c r="A438" s="245" t="s">
        <v>1439</v>
      </c>
      <c r="B438" s="131">
        <v>46161</v>
      </c>
      <c r="C438" s="253">
        <v>46161</v>
      </c>
      <c r="D438" s="248" t="s">
        <v>1440</v>
      </c>
      <c r="E438" s="248" t="s">
        <v>745</v>
      </c>
      <c r="F438" s="248" t="s">
        <v>1441</v>
      </c>
      <c r="G438" s="248">
        <v>52010031</v>
      </c>
      <c r="H438" s="248" t="s">
        <v>1442</v>
      </c>
      <c r="I438" s="248" t="s">
        <v>1443</v>
      </c>
      <c r="J438" s="248">
        <v>1</v>
      </c>
      <c r="K438" s="248" t="s">
        <v>269</v>
      </c>
      <c r="L438" s="248" t="s">
        <v>1108</v>
      </c>
      <c r="M438" s="248" t="s">
        <v>39</v>
      </c>
      <c r="N438" s="248"/>
      <c r="O438" s="245"/>
      <c r="P438" s="245">
        <v>0</v>
      </c>
      <c r="Q438" s="245"/>
      <c r="R438" s="245"/>
      <c r="S438" s="246"/>
      <c r="T438" s="220">
        <v>46198</v>
      </c>
      <c r="U438" s="220">
        <v>46210</v>
      </c>
      <c r="V438" s="245" t="s">
        <v>830</v>
      </c>
      <c r="W438" s="254">
        <v>379.73</v>
      </c>
      <c r="X438" s="254">
        <f>Table2[[#This Row],[QUANTIDADE]]*Table2[[#This Row],[PREÇO UNITARIO]]</f>
        <v>379.73</v>
      </c>
      <c r="Y438" s="245"/>
      <c r="Z438" s="245">
        <f t="shared" si="12"/>
        <v>5</v>
      </c>
      <c r="AA438" s="237" t="s">
        <v>42</v>
      </c>
      <c r="AB438" s="246">
        <f t="shared" ca="1" si="13"/>
        <v>46235</v>
      </c>
      <c r="AC438" s="245">
        <f ca="1">_xlfn.DAYS(Table2[[#This Row],[HOJE]],Table2[[#This Row],[DATA PEDIDO HP]])</f>
        <v>74</v>
      </c>
      <c r="AD438" s="219" t="str">
        <f ca="1">IF(Table2[[#This Row],[STATUS2]]="ENTREGUE","ENTREGUE","")</f>
        <v/>
      </c>
      <c r="AE438" s="234" t="str">
        <f ca="1">IF(Table2[[#This Row],[HOLD]]&gt;30,"ATRASADO","NO PRAZO")</f>
        <v>ATRASADO</v>
      </c>
    </row>
    <row r="439" spans="1:31" ht="15" customHeight="1">
      <c r="A439" s="245" t="s">
        <v>1444</v>
      </c>
      <c r="B439" s="131">
        <v>46162</v>
      </c>
      <c r="C439" s="246">
        <v>46161</v>
      </c>
      <c r="D439" s="245" t="s">
        <v>1445</v>
      </c>
      <c r="E439" s="245" t="s">
        <v>434</v>
      </c>
      <c r="F439" s="245" t="s">
        <v>334</v>
      </c>
      <c r="G439" s="245">
        <v>50300141</v>
      </c>
      <c r="H439" s="245" t="s">
        <v>423</v>
      </c>
      <c r="I439" s="245" t="s">
        <v>1446</v>
      </c>
      <c r="J439" s="245">
        <v>1</v>
      </c>
      <c r="K439" s="245" t="s">
        <v>37</v>
      </c>
      <c r="L439" s="245" t="s">
        <v>122</v>
      </c>
      <c r="M439" s="245" t="s">
        <v>81</v>
      </c>
      <c r="N439" s="245">
        <v>182105</v>
      </c>
      <c r="O439" s="245"/>
      <c r="P439" s="245">
        <v>1</v>
      </c>
      <c r="Q439" s="245"/>
      <c r="R439" s="245"/>
      <c r="S439" s="246">
        <v>46227</v>
      </c>
      <c r="T439" s="220">
        <v>46198</v>
      </c>
      <c r="U439" s="220">
        <v>46210</v>
      </c>
      <c r="V439" s="245" t="s">
        <v>830</v>
      </c>
      <c r="W439" s="254">
        <v>85.49</v>
      </c>
      <c r="X439" s="254">
        <f>Table2[[#This Row],[QUANTIDADE]]*Table2[[#This Row],[PREÇO UNITARIO]]</f>
        <v>85.49</v>
      </c>
      <c r="Y439" s="245"/>
      <c r="Z439" s="245">
        <f t="shared" si="12"/>
        <v>5</v>
      </c>
      <c r="AA439" s="219" t="s">
        <v>74</v>
      </c>
      <c r="AB439" s="246">
        <f t="shared" ca="1" si="13"/>
        <v>46235</v>
      </c>
      <c r="AC439" s="245">
        <f ca="1">_xlfn.DAYS(Table2[[#This Row],[HOJE]],Table2[[#This Row],[DATA PEDIDO HP]])</f>
        <v>73</v>
      </c>
      <c r="AD439" s="219" t="str">
        <f ca="1">IF(Table2[[#This Row],[STATUS2]]="ENTREGUE","ENTREGUE","")</f>
        <v/>
      </c>
      <c r="AE439" s="234" t="str">
        <f ca="1">IF(Table2[[#This Row],[HOLD]]&gt;30,"ATRASADO","NO PRAZO")</f>
        <v>ATRASADO</v>
      </c>
    </row>
    <row r="440" spans="1:31" ht="15" customHeight="1">
      <c r="A440" s="245" t="s">
        <v>1447</v>
      </c>
      <c r="B440" s="131">
        <v>46162</v>
      </c>
      <c r="C440" s="131">
        <v>46161</v>
      </c>
      <c r="D440" s="113" t="s">
        <v>1448</v>
      </c>
      <c r="E440" s="113" t="s">
        <v>191</v>
      </c>
      <c r="F440" s="113" t="s">
        <v>827</v>
      </c>
      <c r="G440" s="113">
        <v>60003071</v>
      </c>
      <c r="H440" s="113" t="s">
        <v>581</v>
      </c>
      <c r="I440" s="113" t="s">
        <v>582</v>
      </c>
      <c r="J440" s="113">
        <v>1</v>
      </c>
      <c r="K440" s="113" t="s">
        <v>37</v>
      </c>
      <c r="L440" s="113" t="s">
        <v>122</v>
      </c>
      <c r="M440" s="113" t="s">
        <v>81</v>
      </c>
      <c r="N440" s="113">
        <v>183425</v>
      </c>
      <c r="O440" s="245"/>
      <c r="P440" s="245">
        <v>1</v>
      </c>
      <c r="Q440" s="245"/>
      <c r="R440" s="245"/>
      <c r="S440" s="220">
        <v>46233</v>
      </c>
      <c r="T440" s="220">
        <v>46198</v>
      </c>
      <c r="U440" s="220">
        <v>46210</v>
      </c>
      <c r="V440" s="245" t="s">
        <v>830</v>
      </c>
      <c r="W440" s="254">
        <v>131.79</v>
      </c>
      <c r="X440" s="254">
        <f>Table2[[#This Row],[QUANTIDADE]]*Table2[[#This Row],[PREÇO UNITARIO]]</f>
        <v>131.79</v>
      </c>
      <c r="Y440" s="219" t="s">
        <v>42</v>
      </c>
      <c r="Z440" s="245">
        <f t="shared" si="12"/>
        <v>5</v>
      </c>
      <c r="AA440" s="237" t="s">
        <v>42</v>
      </c>
      <c r="AB440" s="246">
        <f t="shared" ca="1" si="13"/>
        <v>46235</v>
      </c>
      <c r="AC440" s="245">
        <f ca="1">_xlfn.DAYS(Table2[[#This Row],[HOJE]],Table2[[#This Row],[DATA PEDIDO HP]])</f>
        <v>73</v>
      </c>
      <c r="AD440" s="219" t="str">
        <f>IF(Table2[[#This Row],[STATUS2]]="ENTREGUE","ENTREGUE","")</f>
        <v>ENTREGUE</v>
      </c>
      <c r="AE440" s="219" t="s">
        <v>43</v>
      </c>
    </row>
    <row r="441" spans="1:31" ht="15" customHeight="1">
      <c r="A441" s="245" t="s">
        <v>1449</v>
      </c>
      <c r="B441" s="131">
        <v>46162</v>
      </c>
      <c r="C441" s="131">
        <v>46161</v>
      </c>
      <c r="D441" s="113" t="s">
        <v>1450</v>
      </c>
      <c r="E441" s="113" t="s">
        <v>704</v>
      </c>
      <c r="F441" s="113" t="s">
        <v>145</v>
      </c>
      <c r="G441" s="113">
        <v>48000482</v>
      </c>
      <c r="H441" s="113" t="s">
        <v>183</v>
      </c>
      <c r="I441" s="113" t="s">
        <v>1451</v>
      </c>
      <c r="J441" s="113">
        <v>1</v>
      </c>
      <c r="K441" s="113" t="s">
        <v>37</v>
      </c>
      <c r="L441" s="113" t="s">
        <v>122</v>
      </c>
      <c r="M441" s="113" t="s">
        <v>73</v>
      </c>
      <c r="N441" s="113">
        <v>180290</v>
      </c>
      <c r="O441" s="245"/>
      <c r="P441" s="245">
        <v>1</v>
      </c>
      <c r="Q441" s="245"/>
      <c r="R441" s="245"/>
      <c r="S441" s="246"/>
      <c r="T441" s="220">
        <v>46198</v>
      </c>
      <c r="U441" s="220">
        <v>46210</v>
      </c>
      <c r="V441" s="245" t="s">
        <v>830</v>
      </c>
      <c r="W441" s="254">
        <v>1317.91</v>
      </c>
      <c r="X441" s="254">
        <f>Table2[[#This Row],[QUANTIDADE]]*Table2[[#This Row],[PREÇO UNITARIO]]</f>
        <v>1317.91</v>
      </c>
      <c r="Y441" s="245"/>
      <c r="Z441" s="245">
        <f t="shared" si="12"/>
        <v>5</v>
      </c>
      <c r="AA441" s="219" t="s">
        <v>74</v>
      </c>
      <c r="AB441" s="246">
        <f t="shared" ca="1" si="13"/>
        <v>46235</v>
      </c>
      <c r="AC441" s="245">
        <f ca="1">_xlfn.DAYS(Table2[[#This Row],[HOJE]],Table2[[#This Row],[DATA PEDIDO HP]])</f>
        <v>73</v>
      </c>
      <c r="AD441" s="219" t="str">
        <f ca="1">IF(Table2[[#This Row],[STATUS2]]="ENTREGUE","ENTREGUE","")</f>
        <v/>
      </c>
      <c r="AE441" s="234" t="str">
        <f ca="1">IF(Table2[[#This Row],[HOLD]]&gt;30,"ATRASADO","NO PRAZO")</f>
        <v>ATRASADO</v>
      </c>
    </row>
    <row r="442" spans="1:31" ht="15" customHeight="1">
      <c r="A442" s="245" t="s">
        <v>1449</v>
      </c>
      <c r="B442" s="131">
        <v>46162</v>
      </c>
      <c r="C442" s="131">
        <v>46161</v>
      </c>
      <c r="D442" s="113" t="s">
        <v>1450</v>
      </c>
      <c r="E442" s="113" t="s">
        <v>704</v>
      </c>
      <c r="F442" s="113" t="s">
        <v>145</v>
      </c>
      <c r="G442" s="113">
        <v>48000482</v>
      </c>
      <c r="H442" s="113" t="s">
        <v>187</v>
      </c>
      <c r="I442" s="113" t="s">
        <v>1452</v>
      </c>
      <c r="J442" s="113">
        <v>1</v>
      </c>
      <c r="K442" s="113" t="s">
        <v>37</v>
      </c>
      <c r="L442" s="113" t="s">
        <v>122</v>
      </c>
      <c r="M442" s="113" t="s">
        <v>73</v>
      </c>
      <c r="N442" s="113">
        <v>180290</v>
      </c>
      <c r="O442" s="245"/>
      <c r="P442" s="245">
        <v>1</v>
      </c>
      <c r="Q442" s="245"/>
      <c r="R442" s="245"/>
      <c r="S442" s="246"/>
      <c r="T442" s="220">
        <v>46198</v>
      </c>
      <c r="U442" s="220">
        <v>46210</v>
      </c>
      <c r="V442" s="245" t="s">
        <v>830</v>
      </c>
      <c r="W442" s="247">
        <v>1172.56</v>
      </c>
      <c r="X442" s="254">
        <f>Table2[[#This Row],[QUANTIDADE]]*Table2[[#This Row],[PREÇO UNITARIO]]</f>
        <v>1172.56</v>
      </c>
      <c r="Y442" s="245"/>
      <c r="Z442" s="245">
        <f t="shared" si="12"/>
        <v>5</v>
      </c>
      <c r="AA442" s="219" t="s">
        <v>74</v>
      </c>
      <c r="AB442" s="246">
        <f t="shared" ca="1" si="13"/>
        <v>46235</v>
      </c>
      <c r="AC442" s="245">
        <f ca="1">_xlfn.DAYS(Table2[[#This Row],[HOJE]],Table2[[#This Row],[DATA PEDIDO HP]])</f>
        <v>73</v>
      </c>
      <c r="AD442" s="219" t="str">
        <f ca="1">IF(Table2[[#This Row],[STATUS2]]="ENTREGUE","ENTREGUE","")</f>
        <v/>
      </c>
      <c r="AE442" s="234" t="str">
        <f ca="1">IF(Table2[[#This Row],[HOLD]]&gt;30,"ATRASADO","NO PRAZO")</f>
        <v>ATRASADO</v>
      </c>
    </row>
    <row r="443" spans="1:31" ht="15" customHeight="1">
      <c r="A443" s="245" t="s">
        <v>1453</v>
      </c>
      <c r="B443" s="131">
        <v>46162</v>
      </c>
      <c r="C443" s="240">
        <v>46162</v>
      </c>
      <c r="D443" s="241" t="s">
        <v>1454</v>
      </c>
      <c r="E443" s="241" t="s">
        <v>101</v>
      </c>
      <c r="F443" s="241" t="s">
        <v>102</v>
      </c>
      <c r="G443" s="241">
        <v>51000136</v>
      </c>
      <c r="H443" s="241" t="s">
        <v>1455</v>
      </c>
      <c r="I443" s="241" t="s">
        <v>1456</v>
      </c>
      <c r="J443" s="241">
        <v>1</v>
      </c>
      <c r="K443" s="241" t="s">
        <v>37</v>
      </c>
      <c r="L443" s="241" t="s">
        <v>122</v>
      </c>
      <c r="M443" s="241" t="s">
        <v>73</v>
      </c>
      <c r="N443" s="241">
        <v>183986</v>
      </c>
      <c r="O443" s="242"/>
      <c r="P443" s="242">
        <v>1</v>
      </c>
      <c r="Q443" s="242"/>
      <c r="R443" s="242"/>
      <c r="S443" s="243"/>
      <c r="T443" s="220">
        <v>46198</v>
      </c>
      <c r="U443" s="220">
        <v>46210</v>
      </c>
      <c r="V443" s="242" t="s">
        <v>830</v>
      </c>
      <c r="W443" s="244">
        <v>54.06</v>
      </c>
      <c r="X443" s="254">
        <f>Table2[[#This Row],[QUANTIDADE]]*Table2[[#This Row],[PREÇO UNITARIO]]</f>
        <v>54.06</v>
      </c>
      <c r="Y443" s="242"/>
      <c r="Z443" s="245">
        <f t="shared" si="12"/>
        <v>5</v>
      </c>
      <c r="AA443" s="237" t="s">
        <v>42</v>
      </c>
      <c r="AB443" s="246">
        <f t="shared" ca="1" si="13"/>
        <v>46235</v>
      </c>
      <c r="AC443" s="245">
        <f ca="1">_xlfn.DAYS(Table2[[#This Row],[HOJE]],Table2[[#This Row],[DATA PEDIDO HP]])</f>
        <v>73</v>
      </c>
      <c r="AD443" s="219" t="str">
        <f ca="1">IF(Table2[[#This Row],[STATUS2]]="ENTREGUE","ENTREGUE","")</f>
        <v/>
      </c>
      <c r="AE443" s="230" t="str">
        <f ca="1">IF(Table2[[#This Row],[HOLD]]&gt;30,"ATRASADO","NO PRAZO")</f>
        <v>ATRASADO</v>
      </c>
    </row>
    <row r="444" spans="1:31" ht="15" customHeight="1">
      <c r="A444" s="245" t="s">
        <v>1457</v>
      </c>
      <c r="B444" s="131">
        <v>46163</v>
      </c>
      <c r="C444" s="217">
        <v>46163</v>
      </c>
      <c r="D444" s="218" t="s">
        <v>1458</v>
      </c>
      <c r="E444" s="218" t="s">
        <v>234</v>
      </c>
      <c r="F444" s="218" t="s">
        <v>135</v>
      </c>
      <c r="G444" s="218">
        <v>48500706</v>
      </c>
      <c r="H444" s="218" t="s">
        <v>1459</v>
      </c>
      <c r="I444" s="218" t="s">
        <v>1460</v>
      </c>
      <c r="J444" s="218">
        <v>1</v>
      </c>
      <c r="K444" s="218" t="s">
        <v>37</v>
      </c>
      <c r="L444" s="218" t="s">
        <v>72</v>
      </c>
      <c r="M444" s="218" t="s">
        <v>73</v>
      </c>
      <c r="N444" s="218">
        <v>174284</v>
      </c>
      <c r="O444" s="219"/>
      <c r="P444" s="219">
        <v>1</v>
      </c>
      <c r="Q444" s="219"/>
      <c r="R444" s="219"/>
      <c r="S444" s="220"/>
      <c r="T444" s="220">
        <v>46198</v>
      </c>
      <c r="U444" s="220">
        <v>46210</v>
      </c>
      <c r="V444" s="219" t="s">
        <v>830</v>
      </c>
      <c r="W444" s="223">
        <v>111.38</v>
      </c>
      <c r="X444" s="254">
        <f>Table2[[#This Row],[QUANTIDADE]]*Table2[[#This Row],[PREÇO UNITARIO]]</f>
        <v>111.38</v>
      </c>
      <c r="Y444" s="219"/>
      <c r="Z444" s="245">
        <f t="shared" si="12"/>
        <v>5</v>
      </c>
      <c r="AA444" s="219" t="s">
        <v>74</v>
      </c>
      <c r="AB444" s="246">
        <f t="shared" ca="1" si="13"/>
        <v>46235</v>
      </c>
      <c r="AC444" s="245">
        <f ca="1">_xlfn.DAYS(Table2[[#This Row],[HOJE]],Table2[[#This Row],[DATA PEDIDO HP]])</f>
        <v>72</v>
      </c>
      <c r="AD444" s="219" t="str">
        <f ca="1">IF(Table2[[#This Row],[STATUS2]]="ENTREGUE","ENTREGUE","")</f>
        <v/>
      </c>
      <c r="AE444" s="230" t="str">
        <f ca="1">IF(Table2[[#This Row],[HOLD]]&gt;30,"ATRASADO","NO PRAZO")</f>
        <v>ATRASADO</v>
      </c>
    </row>
    <row r="445" spans="1:31" ht="15" customHeight="1">
      <c r="A445" s="245" t="s">
        <v>1461</v>
      </c>
      <c r="B445" s="131">
        <v>46163</v>
      </c>
      <c r="C445" s="217">
        <v>46163</v>
      </c>
      <c r="D445" s="218" t="s">
        <v>1462</v>
      </c>
      <c r="E445" s="218" t="s">
        <v>162</v>
      </c>
      <c r="F445" s="218" t="s">
        <v>140</v>
      </c>
      <c r="G445" s="218">
        <v>48300315</v>
      </c>
      <c r="H445" s="218" t="s">
        <v>426</v>
      </c>
      <c r="I445" s="218" t="s">
        <v>1463</v>
      </c>
      <c r="J445" s="218">
        <v>1</v>
      </c>
      <c r="K445" s="218" t="s">
        <v>37</v>
      </c>
      <c r="L445" s="218" t="s">
        <v>72</v>
      </c>
      <c r="M445" s="218" t="s">
        <v>73</v>
      </c>
      <c r="N445" s="218">
        <v>183657</v>
      </c>
      <c r="O445" s="219"/>
      <c r="P445" s="219">
        <v>1</v>
      </c>
      <c r="Q445" s="219"/>
      <c r="R445" s="219"/>
      <c r="S445" s="220"/>
      <c r="T445" s="220">
        <v>46198</v>
      </c>
      <c r="U445" s="220">
        <v>46210</v>
      </c>
      <c r="V445" s="219" t="s">
        <v>830</v>
      </c>
      <c r="W445" s="223">
        <v>16.329999999999998</v>
      </c>
      <c r="X445" s="254">
        <f>Table2[[#This Row],[QUANTIDADE]]*Table2[[#This Row],[PREÇO UNITARIO]]</f>
        <v>16.329999999999998</v>
      </c>
      <c r="Y445" s="219"/>
      <c r="Z445" s="245">
        <f t="shared" si="12"/>
        <v>5</v>
      </c>
      <c r="AA445" s="219" t="s">
        <v>74</v>
      </c>
      <c r="AB445" s="246">
        <f t="shared" ca="1" si="13"/>
        <v>46235</v>
      </c>
      <c r="AC445" s="245">
        <f ca="1">_xlfn.DAYS(Table2[[#This Row],[HOJE]],Table2[[#This Row],[DATA PEDIDO HP]])</f>
        <v>72</v>
      </c>
      <c r="AD445" s="219" t="str">
        <f ca="1">IF(Table2[[#This Row],[STATUS2]]="ENTREGUE","ENTREGUE","")</f>
        <v/>
      </c>
      <c r="AE445" s="230" t="str">
        <f ca="1">IF(Table2[[#This Row],[HOLD]]&gt;30,"ATRASADO","NO PRAZO")</f>
        <v>ATRASADO</v>
      </c>
    </row>
    <row r="446" spans="1:31" ht="15" customHeight="1">
      <c r="A446" s="245" t="s">
        <v>1464</v>
      </c>
      <c r="B446" s="131">
        <v>46163</v>
      </c>
      <c r="C446" s="217">
        <v>46163</v>
      </c>
      <c r="D446" s="218" t="s">
        <v>1465</v>
      </c>
      <c r="E446" s="218" t="s">
        <v>1466</v>
      </c>
      <c r="F446" s="218" t="s">
        <v>135</v>
      </c>
      <c r="G446" s="218">
        <v>48500709</v>
      </c>
      <c r="H446" s="218" t="s">
        <v>1467</v>
      </c>
      <c r="I446" s="218" t="s">
        <v>1468</v>
      </c>
      <c r="J446" s="218">
        <v>1</v>
      </c>
      <c r="K446" s="218" t="s">
        <v>37</v>
      </c>
      <c r="L446" s="218" t="s">
        <v>72</v>
      </c>
      <c r="M446" s="218" t="s">
        <v>73</v>
      </c>
      <c r="N446" s="218">
        <v>182931</v>
      </c>
      <c r="O446" s="219"/>
      <c r="P446" s="219">
        <v>1</v>
      </c>
      <c r="Q446" s="219"/>
      <c r="R446" s="219"/>
      <c r="S446" s="220"/>
      <c r="T446" s="220">
        <v>46222</v>
      </c>
      <c r="U446" s="220">
        <v>46232</v>
      </c>
      <c r="V446" s="219" t="s">
        <v>290</v>
      </c>
      <c r="W446" s="223">
        <v>274.36</v>
      </c>
      <c r="X446" s="254">
        <f>Table2[[#This Row],[QUANTIDADE]]*Table2[[#This Row],[PREÇO UNITARIO]]</f>
        <v>274.36</v>
      </c>
      <c r="Y446" s="219"/>
      <c r="Z446" s="245">
        <f t="shared" si="12"/>
        <v>5</v>
      </c>
      <c r="AA446" s="219" t="s">
        <v>74</v>
      </c>
      <c r="AB446" s="246">
        <f t="shared" ca="1" si="13"/>
        <v>46235</v>
      </c>
      <c r="AC446" s="245">
        <f ca="1">_xlfn.DAYS(Table2[[#This Row],[HOJE]],Table2[[#This Row],[DATA PEDIDO HP]])</f>
        <v>72</v>
      </c>
      <c r="AD446" s="219" t="str">
        <f ca="1">IF(Table2[[#This Row],[STATUS2]]="ENTREGUE","ENTREGUE","")</f>
        <v/>
      </c>
      <c r="AE446" s="230" t="str">
        <f ca="1">IF(Table2[[#This Row],[HOLD]]&gt;30,"ATRASADO","NO PRAZO")</f>
        <v>ATRASADO</v>
      </c>
    </row>
    <row r="447" spans="1:31" ht="15" customHeight="1">
      <c r="A447" s="245" t="s">
        <v>1469</v>
      </c>
      <c r="B447" s="131">
        <v>46163</v>
      </c>
      <c r="C447" s="217">
        <v>46163</v>
      </c>
      <c r="D447" s="218" t="s">
        <v>1470</v>
      </c>
      <c r="E447" s="218" t="s">
        <v>125</v>
      </c>
      <c r="F447" s="218" t="s">
        <v>34</v>
      </c>
      <c r="G447" s="218">
        <v>50110193</v>
      </c>
      <c r="H447" s="218" t="s">
        <v>788</v>
      </c>
      <c r="I447" s="218" t="s">
        <v>1471</v>
      </c>
      <c r="J447" s="218">
        <v>2</v>
      </c>
      <c r="K447" s="218" t="s">
        <v>37</v>
      </c>
      <c r="L447" s="218" t="s">
        <v>72</v>
      </c>
      <c r="M447" s="218" t="s">
        <v>73</v>
      </c>
      <c r="N447" s="218">
        <v>175637</v>
      </c>
      <c r="O447" s="219"/>
      <c r="P447" s="219">
        <v>2</v>
      </c>
      <c r="Q447" s="219"/>
      <c r="R447" s="219"/>
      <c r="S447" s="220"/>
      <c r="T447" s="220">
        <v>46198</v>
      </c>
      <c r="U447" s="220">
        <v>46210</v>
      </c>
      <c r="V447" s="219" t="s">
        <v>830</v>
      </c>
      <c r="W447" s="223">
        <v>422.15</v>
      </c>
      <c r="X447" s="254">
        <f>Table2[[#This Row],[QUANTIDADE]]*Table2[[#This Row],[PREÇO UNITARIO]]</f>
        <v>844.3</v>
      </c>
      <c r="Y447" s="219"/>
      <c r="Z447" s="245">
        <f t="shared" si="12"/>
        <v>5</v>
      </c>
      <c r="AA447" s="237" t="s">
        <v>42</v>
      </c>
      <c r="AB447" s="246">
        <f t="shared" ca="1" si="13"/>
        <v>46235</v>
      </c>
      <c r="AC447" s="245">
        <f ca="1">_xlfn.DAYS(Table2[[#This Row],[HOJE]],Table2[[#This Row],[DATA PEDIDO HP]])</f>
        <v>72</v>
      </c>
      <c r="AD447" s="219" t="str">
        <f ca="1">IF(Table2[[#This Row],[STATUS2]]="ENTREGUE","ENTREGUE","")</f>
        <v/>
      </c>
      <c r="AE447" s="230" t="str">
        <f ca="1">IF(Table2[[#This Row],[HOLD]]&gt;30,"ATRASADO","NO PRAZO")</f>
        <v>ATRASADO</v>
      </c>
    </row>
    <row r="448" spans="1:31" ht="15" customHeight="1">
      <c r="A448" s="245" t="s">
        <v>1472</v>
      </c>
      <c r="B448" s="131">
        <v>46164</v>
      </c>
      <c r="C448" s="217">
        <v>46163</v>
      </c>
      <c r="D448" s="218" t="s">
        <v>1473</v>
      </c>
      <c r="E448" s="218" t="s">
        <v>69</v>
      </c>
      <c r="F448" s="218" t="s">
        <v>34</v>
      </c>
      <c r="G448" s="218" t="s">
        <v>1474</v>
      </c>
      <c r="H448" s="218" t="s">
        <v>1475</v>
      </c>
      <c r="I448" s="218" t="s">
        <v>1476</v>
      </c>
      <c r="J448" s="218">
        <v>1</v>
      </c>
      <c r="K448" s="218" t="s">
        <v>37</v>
      </c>
      <c r="L448" s="218" t="s">
        <v>1477</v>
      </c>
      <c r="M448" s="218" t="s">
        <v>39</v>
      </c>
      <c r="N448" s="218">
        <v>180521</v>
      </c>
      <c r="O448" s="219"/>
      <c r="P448" s="219">
        <v>1</v>
      </c>
      <c r="Q448" s="219"/>
      <c r="R448" s="219" t="s">
        <v>1478</v>
      </c>
      <c r="S448" s="220">
        <v>46190</v>
      </c>
      <c r="T448" s="220">
        <v>46198</v>
      </c>
      <c r="U448" s="220">
        <v>46210</v>
      </c>
      <c r="V448" s="219" t="s">
        <v>830</v>
      </c>
      <c r="W448" s="223">
        <v>443.27</v>
      </c>
      <c r="X448" s="254">
        <f>Table2[[#This Row],[QUANTIDADE]]*Table2[[#This Row],[PREÇO UNITARIO]]</f>
        <v>443.27</v>
      </c>
      <c r="Y448" s="219"/>
      <c r="Z448" s="245">
        <f t="shared" si="12"/>
        <v>5</v>
      </c>
      <c r="AA448" s="219" t="s">
        <v>74</v>
      </c>
      <c r="AB448" s="246">
        <f t="shared" ca="1" si="13"/>
        <v>46235</v>
      </c>
      <c r="AC448" s="245">
        <f ca="1">_xlfn.DAYS(Table2[[#This Row],[HOJE]],Table2[[#This Row],[DATA PEDIDO HP]])</f>
        <v>71</v>
      </c>
      <c r="AD448" s="219" t="str">
        <f ca="1">IF(Table2[[#This Row],[STATUS2]]="ENTREGUE","ENTREGUE","")</f>
        <v/>
      </c>
      <c r="AE448" s="230" t="str">
        <f ca="1">IF(Table2[[#This Row],[HOLD]]&gt;30,"ATRASADO","NO PRAZO")</f>
        <v>ATRASADO</v>
      </c>
    </row>
    <row r="449" spans="1:31" ht="15" customHeight="1">
      <c r="A449" s="245" t="s">
        <v>1472</v>
      </c>
      <c r="B449" s="131">
        <v>46164</v>
      </c>
      <c r="C449" s="217">
        <v>46163</v>
      </c>
      <c r="D449" s="218" t="s">
        <v>1473</v>
      </c>
      <c r="E449" s="218" t="s">
        <v>69</v>
      </c>
      <c r="F449" s="218" t="s">
        <v>34</v>
      </c>
      <c r="G449" s="218" t="s">
        <v>1474</v>
      </c>
      <c r="H449" s="218" t="s">
        <v>1479</v>
      </c>
      <c r="I449" s="218" t="s">
        <v>1480</v>
      </c>
      <c r="J449" s="218">
        <v>1</v>
      </c>
      <c r="K449" s="218" t="s">
        <v>37</v>
      </c>
      <c r="L449" s="218" t="s">
        <v>1477</v>
      </c>
      <c r="M449" s="218" t="s">
        <v>39</v>
      </c>
      <c r="N449" s="218">
        <v>180521</v>
      </c>
      <c r="O449" s="219"/>
      <c r="P449" s="219">
        <v>1</v>
      </c>
      <c r="Q449" s="219"/>
      <c r="R449" s="219" t="s">
        <v>1481</v>
      </c>
      <c r="S449" s="220">
        <v>46190</v>
      </c>
      <c r="T449" s="220">
        <v>46198</v>
      </c>
      <c r="U449" s="220">
        <v>46210</v>
      </c>
      <c r="V449" s="219" t="s">
        <v>830</v>
      </c>
      <c r="W449" s="223">
        <v>232.03</v>
      </c>
      <c r="X449" s="254">
        <f>Table2[[#This Row],[QUANTIDADE]]*Table2[[#This Row],[PREÇO UNITARIO]]</f>
        <v>232.03</v>
      </c>
      <c r="Y449" s="219"/>
      <c r="Z449" s="245">
        <f t="shared" si="12"/>
        <v>5</v>
      </c>
      <c r="AA449" s="219" t="s">
        <v>74</v>
      </c>
      <c r="AB449" s="246">
        <f t="shared" ca="1" si="13"/>
        <v>46235</v>
      </c>
      <c r="AC449" s="245">
        <f ca="1">_xlfn.DAYS(Table2[[#This Row],[HOJE]],Table2[[#This Row],[DATA PEDIDO HP]])</f>
        <v>71</v>
      </c>
      <c r="AD449" s="219" t="str">
        <f ca="1">IF(Table2[[#This Row],[STATUS2]]="ENTREGUE","ENTREGUE","")</f>
        <v/>
      </c>
      <c r="AE449" s="230" t="str">
        <f ca="1">IF(Table2[[#This Row],[HOLD]]&gt;30,"ATRASADO","NO PRAZO")</f>
        <v>ATRASADO</v>
      </c>
    </row>
    <row r="450" spans="1:31" ht="15" customHeight="1">
      <c r="A450" s="245" t="s">
        <v>1482</v>
      </c>
      <c r="B450" s="131">
        <v>46164</v>
      </c>
      <c r="C450" s="217">
        <v>46164</v>
      </c>
      <c r="D450" s="218" t="s">
        <v>1483</v>
      </c>
      <c r="E450" s="218" t="s">
        <v>345</v>
      </c>
      <c r="F450" s="218" t="s">
        <v>34</v>
      </c>
      <c r="G450" s="218">
        <v>50110229</v>
      </c>
      <c r="H450" s="218" t="s">
        <v>243</v>
      </c>
      <c r="I450" s="218" t="s">
        <v>244</v>
      </c>
      <c r="J450" s="218">
        <v>1</v>
      </c>
      <c r="K450" s="218" t="s">
        <v>37</v>
      </c>
      <c r="L450" s="218" t="s">
        <v>72</v>
      </c>
      <c r="M450" s="218" t="s">
        <v>81</v>
      </c>
      <c r="N450" s="218">
        <v>184085</v>
      </c>
      <c r="O450" s="219"/>
      <c r="P450" s="219">
        <v>1</v>
      </c>
      <c r="Q450" s="219"/>
      <c r="R450" s="219"/>
      <c r="S450" s="220">
        <v>46227</v>
      </c>
      <c r="T450" s="220">
        <v>46198</v>
      </c>
      <c r="U450" s="220">
        <v>46210</v>
      </c>
      <c r="V450" s="219" t="s">
        <v>830</v>
      </c>
      <c r="W450" s="223">
        <v>354.38</v>
      </c>
      <c r="X450" s="254">
        <f>Table2[[#This Row],[QUANTIDADE]]*Table2[[#This Row],[PREÇO UNITARIO]]</f>
        <v>354.38</v>
      </c>
      <c r="Y450" s="219"/>
      <c r="Z450" s="245">
        <f t="shared" ref="Z450:Z513" si="14">MONTH(B450)</f>
        <v>5</v>
      </c>
      <c r="AA450" s="237" t="s">
        <v>42</v>
      </c>
      <c r="AB450" s="246">
        <f t="shared" ref="AB450:AB457" ca="1" si="15">TODAY()</f>
        <v>46235</v>
      </c>
      <c r="AC450" s="245">
        <f ca="1">_xlfn.DAYS(Table2[[#This Row],[HOJE]],Table2[[#This Row],[DATA PEDIDO HP]])</f>
        <v>71</v>
      </c>
      <c r="AD450" s="219" t="str">
        <f>IF(Table2[[#This Row],[STATUS2]]="ENTREGUE","ENTREGUE","")</f>
        <v>ENTREGUE</v>
      </c>
      <c r="AE450" s="230" t="s">
        <v>43</v>
      </c>
    </row>
    <row r="451" spans="1:31" ht="15" customHeight="1">
      <c r="A451" s="245" t="s">
        <v>1484</v>
      </c>
      <c r="B451" s="131">
        <v>46167</v>
      </c>
      <c r="C451" s="217">
        <v>46167</v>
      </c>
      <c r="D451" s="218" t="s">
        <v>1485</v>
      </c>
      <c r="E451" s="218" t="s">
        <v>33</v>
      </c>
      <c r="F451" s="218" t="s">
        <v>34</v>
      </c>
      <c r="G451" s="218">
        <v>50110372</v>
      </c>
      <c r="H451" s="218" t="s">
        <v>360</v>
      </c>
      <c r="I451" s="218" t="s">
        <v>1486</v>
      </c>
      <c r="J451" s="218">
        <v>1</v>
      </c>
      <c r="K451" s="218" t="s">
        <v>37</v>
      </c>
      <c r="L451" s="218" t="s">
        <v>122</v>
      </c>
      <c r="M451" s="218" t="s">
        <v>73</v>
      </c>
      <c r="N451" s="218">
        <v>185142</v>
      </c>
      <c r="O451" s="219"/>
      <c r="P451" s="219">
        <v>1</v>
      </c>
      <c r="Q451" s="219"/>
      <c r="R451" s="219" t="s">
        <v>362</v>
      </c>
      <c r="S451" s="220"/>
      <c r="T451" s="220">
        <v>46198</v>
      </c>
      <c r="U451" s="220">
        <v>46210</v>
      </c>
      <c r="V451" s="219" t="s">
        <v>830</v>
      </c>
      <c r="W451" s="223">
        <v>255.99</v>
      </c>
      <c r="X451" s="254">
        <f>Table2[[#This Row],[QUANTIDADE]]*Table2[[#This Row],[PREÇO UNITARIO]]</f>
        <v>255.99</v>
      </c>
      <c r="Y451" s="219"/>
      <c r="Z451" s="245">
        <f t="shared" si="14"/>
        <v>5</v>
      </c>
      <c r="AA451" s="237" t="s">
        <v>42</v>
      </c>
      <c r="AB451" s="246">
        <f t="shared" ca="1" si="15"/>
        <v>46235</v>
      </c>
      <c r="AC451" s="245">
        <f ca="1">_xlfn.DAYS(Table2[[#This Row],[HOJE]],Table2[[#This Row],[DATA PEDIDO HP]])</f>
        <v>68</v>
      </c>
      <c r="AD451" s="219" t="str">
        <f ca="1">IF(Table2[[#This Row],[STATUS2]]="ENTREGUE","ENTREGUE","")</f>
        <v/>
      </c>
      <c r="AE451" s="230" t="str">
        <f ca="1">IF(Table2[[#This Row],[HOLD]]&gt;30,"ATRASADO","NO PRAZO")</f>
        <v>ATRASADO</v>
      </c>
    </row>
    <row r="452" spans="1:31" ht="15" customHeight="1">
      <c r="A452" s="245" t="s">
        <v>1487</v>
      </c>
      <c r="B452" s="131">
        <v>46167</v>
      </c>
      <c r="C452" s="217">
        <v>46167</v>
      </c>
      <c r="D452" s="218" t="s">
        <v>1488</v>
      </c>
      <c r="E452" s="218" t="s">
        <v>33</v>
      </c>
      <c r="F452" s="218" t="s">
        <v>34</v>
      </c>
      <c r="G452" s="218">
        <v>50110372</v>
      </c>
      <c r="H452" s="218" t="s">
        <v>1489</v>
      </c>
      <c r="I452" s="218" t="s">
        <v>1490</v>
      </c>
      <c r="J452" s="218">
        <v>1</v>
      </c>
      <c r="K452" s="218" t="s">
        <v>37</v>
      </c>
      <c r="L452" s="218" t="s">
        <v>98</v>
      </c>
      <c r="M452" s="218" t="s">
        <v>39</v>
      </c>
      <c r="N452" s="218">
        <v>177815</v>
      </c>
      <c r="O452" s="219"/>
      <c r="P452" s="219">
        <v>0</v>
      </c>
      <c r="Q452" s="219"/>
      <c r="R452" s="219"/>
      <c r="S452" s="220"/>
      <c r="T452" s="220">
        <v>46198</v>
      </c>
      <c r="U452" s="220">
        <v>46210</v>
      </c>
      <c r="V452" s="219" t="s">
        <v>830</v>
      </c>
      <c r="W452" s="223">
        <v>219.2</v>
      </c>
      <c r="X452" s="254">
        <f>Table2[[#This Row],[QUANTIDADE]]*Table2[[#This Row],[PREÇO UNITARIO]]</f>
        <v>219.2</v>
      </c>
      <c r="Y452" s="219"/>
      <c r="Z452" s="245">
        <f t="shared" si="14"/>
        <v>5</v>
      </c>
      <c r="AA452" s="237" t="s">
        <v>42</v>
      </c>
      <c r="AB452" s="246">
        <f t="shared" ca="1" si="15"/>
        <v>46235</v>
      </c>
      <c r="AC452" s="245">
        <f ca="1">_xlfn.DAYS(Table2[[#This Row],[HOJE]],Table2[[#This Row],[DATA PEDIDO HP]])</f>
        <v>68</v>
      </c>
      <c r="AD452" s="219" t="str">
        <f ca="1">IF(Table2[[#This Row],[STATUS2]]="ENTREGUE","ENTREGUE","")</f>
        <v/>
      </c>
      <c r="AE452" s="230" t="str">
        <f ca="1">IF(Table2[[#This Row],[HOLD]]&gt;30,"ATRASADO","NO PRAZO")</f>
        <v>ATRASADO</v>
      </c>
    </row>
    <row r="453" spans="1:31" ht="15" customHeight="1">
      <c r="A453" s="245" t="s">
        <v>1487</v>
      </c>
      <c r="B453" s="131">
        <v>46167</v>
      </c>
      <c r="C453" s="217">
        <v>46167</v>
      </c>
      <c r="D453" s="218" t="s">
        <v>1488</v>
      </c>
      <c r="E453" s="218" t="s">
        <v>33</v>
      </c>
      <c r="F453" s="218" t="s">
        <v>34</v>
      </c>
      <c r="G453" s="218">
        <v>50110372</v>
      </c>
      <c r="H453" s="218" t="s">
        <v>1068</v>
      </c>
      <c r="I453" s="218" t="s">
        <v>1491</v>
      </c>
      <c r="J453" s="218">
        <v>1</v>
      </c>
      <c r="K453" s="218" t="s">
        <v>37</v>
      </c>
      <c r="L453" s="218" t="s">
        <v>98</v>
      </c>
      <c r="M453" s="218" t="s">
        <v>39</v>
      </c>
      <c r="N453" s="218">
        <v>177815</v>
      </c>
      <c r="O453" s="219"/>
      <c r="P453" s="219">
        <v>0</v>
      </c>
      <c r="Q453" s="219"/>
      <c r="R453" s="219"/>
      <c r="S453" s="220"/>
      <c r="T453" s="220">
        <v>46198</v>
      </c>
      <c r="U453" s="220">
        <v>46210</v>
      </c>
      <c r="V453" s="219" t="s">
        <v>830</v>
      </c>
      <c r="W453" s="223">
        <v>189.6</v>
      </c>
      <c r="X453" s="254">
        <f>Table2[[#This Row],[QUANTIDADE]]*Table2[[#This Row],[PREÇO UNITARIO]]</f>
        <v>189.6</v>
      </c>
      <c r="Y453" s="219"/>
      <c r="Z453" s="245">
        <f t="shared" si="14"/>
        <v>5</v>
      </c>
      <c r="AA453" s="237" t="s">
        <v>42</v>
      </c>
      <c r="AB453" s="246">
        <f t="shared" ca="1" si="15"/>
        <v>46235</v>
      </c>
      <c r="AC453" s="245">
        <f ca="1">_xlfn.DAYS(Table2[[#This Row],[HOJE]],Table2[[#This Row],[DATA PEDIDO HP]])</f>
        <v>68</v>
      </c>
      <c r="AD453" s="219" t="str">
        <f ca="1">IF(Table2[[#This Row],[STATUS2]]="ENTREGUE","ENTREGUE","")</f>
        <v/>
      </c>
      <c r="AE453" s="230" t="str">
        <f ca="1">IF(Table2[[#This Row],[HOLD]]&gt;30,"ATRASADO","NO PRAZO")</f>
        <v>ATRASADO</v>
      </c>
    </row>
    <row r="454" spans="1:31" ht="15" customHeight="1">
      <c r="A454" s="245" t="s">
        <v>1487</v>
      </c>
      <c r="B454" s="131">
        <v>46167</v>
      </c>
      <c r="C454" s="217">
        <v>46167</v>
      </c>
      <c r="D454" s="218" t="s">
        <v>1488</v>
      </c>
      <c r="E454" s="218" t="s">
        <v>33</v>
      </c>
      <c r="F454" s="218" t="s">
        <v>34</v>
      </c>
      <c r="G454" s="218">
        <v>50110372</v>
      </c>
      <c r="H454" s="218" t="s">
        <v>1492</v>
      </c>
      <c r="I454" s="218" t="s">
        <v>1493</v>
      </c>
      <c r="J454" s="218">
        <v>1</v>
      </c>
      <c r="K454" s="218" t="s">
        <v>37</v>
      </c>
      <c r="L454" s="218" t="s">
        <v>98</v>
      </c>
      <c r="M454" s="218" t="s">
        <v>39</v>
      </c>
      <c r="N454" s="218">
        <v>177815</v>
      </c>
      <c r="O454" s="219"/>
      <c r="P454" s="219">
        <v>0</v>
      </c>
      <c r="Q454" s="219"/>
      <c r="R454" s="219"/>
      <c r="S454" s="220"/>
      <c r="T454" s="220">
        <v>46198</v>
      </c>
      <c r="U454" s="220">
        <v>46210</v>
      </c>
      <c r="V454" s="219" t="s">
        <v>830</v>
      </c>
      <c r="W454" s="223">
        <v>26.85</v>
      </c>
      <c r="X454" s="254">
        <f>Table2[[#This Row],[QUANTIDADE]]*Table2[[#This Row],[PREÇO UNITARIO]]</f>
        <v>26.85</v>
      </c>
      <c r="Y454" s="219"/>
      <c r="Z454" s="245">
        <f t="shared" si="14"/>
        <v>5</v>
      </c>
      <c r="AA454" s="237" t="s">
        <v>42</v>
      </c>
      <c r="AB454" s="246">
        <f t="shared" ca="1" si="15"/>
        <v>46235</v>
      </c>
      <c r="AC454" s="245">
        <f ca="1">_xlfn.DAYS(Table2[[#This Row],[HOJE]],Table2[[#This Row],[DATA PEDIDO HP]])</f>
        <v>68</v>
      </c>
      <c r="AD454" s="219" t="str">
        <f ca="1">IF(Table2[[#This Row],[STATUS2]]="ENTREGUE","ENTREGUE","")</f>
        <v/>
      </c>
      <c r="AE454" s="230" t="str">
        <f ca="1">IF(Table2[[#This Row],[HOLD]]&gt;30,"ATRASADO","NO PRAZO")</f>
        <v>ATRASADO</v>
      </c>
    </row>
    <row r="455" spans="1:31" ht="15" customHeight="1">
      <c r="A455" s="245" t="s">
        <v>1487</v>
      </c>
      <c r="B455" s="131">
        <v>46167</v>
      </c>
      <c r="C455" s="217">
        <v>46167</v>
      </c>
      <c r="D455" s="218" t="s">
        <v>1488</v>
      </c>
      <c r="E455" s="218" t="s">
        <v>33</v>
      </c>
      <c r="F455" s="218" t="s">
        <v>34</v>
      </c>
      <c r="G455" s="218">
        <v>50110372</v>
      </c>
      <c r="H455" s="218" t="s">
        <v>1494</v>
      </c>
      <c r="I455" s="218" t="s">
        <v>1493</v>
      </c>
      <c r="J455" s="218">
        <v>1</v>
      </c>
      <c r="K455" s="218" t="s">
        <v>37</v>
      </c>
      <c r="L455" s="218" t="s">
        <v>98</v>
      </c>
      <c r="M455" s="218" t="s">
        <v>39</v>
      </c>
      <c r="N455" s="218">
        <v>177815</v>
      </c>
      <c r="O455" s="219"/>
      <c r="P455" s="219">
        <v>0</v>
      </c>
      <c r="Q455" s="219"/>
      <c r="R455" s="219"/>
      <c r="S455" s="220"/>
      <c r="T455" s="220">
        <v>46198</v>
      </c>
      <c r="U455" s="220">
        <v>46210</v>
      </c>
      <c r="V455" s="219" t="s">
        <v>830</v>
      </c>
      <c r="W455" s="223">
        <v>20</v>
      </c>
      <c r="X455" s="254">
        <f>Table2[[#This Row],[QUANTIDADE]]*Table2[[#This Row],[PREÇO UNITARIO]]</f>
        <v>20</v>
      </c>
      <c r="Y455" s="219"/>
      <c r="Z455" s="245">
        <f t="shared" si="14"/>
        <v>5</v>
      </c>
      <c r="AA455" s="237" t="s">
        <v>42</v>
      </c>
      <c r="AB455" s="246">
        <f t="shared" ca="1" si="15"/>
        <v>46235</v>
      </c>
      <c r="AC455" s="245">
        <f ca="1">_xlfn.DAYS(Table2[[#This Row],[HOJE]],Table2[[#This Row],[DATA PEDIDO HP]])</f>
        <v>68</v>
      </c>
      <c r="AD455" s="219" t="str">
        <f ca="1">IF(Table2[[#This Row],[STATUS2]]="ENTREGUE","ENTREGUE","")</f>
        <v/>
      </c>
      <c r="AE455" s="230" t="str">
        <f ca="1">IF(Table2[[#This Row],[HOLD]]&gt;30,"ATRASADO","NO PRAZO")</f>
        <v>ATRASADO</v>
      </c>
    </row>
    <row r="456" spans="1:31" ht="15" customHeight="1">
      <c r="A456" s="245" t="s">
        <v>1495</v>
      </c>
      <c r="B456" s="217">
        <v>46168</v>
      </c>
      <c r="C456" s="217">
        <v>46168</v>
      </c>
      <c r="D456" s="218" t="s">
        <v>1496</v>
      </c>
      <c r="E456" s="218" t="s">
        <v>101</v>
      </c>
      <c r="F456" s="218" t="s">
        <v>102</v>
      </c>
      <c r="G456" s="218">
        <v>51000136</v>
      </c>
      <c r="H456" s="218" t="s">
        <v>417</v>
      </c>
      <c r="I456" s="218" t="s">
        <v>1497</v>
      </c>
      <c r="J456" s="218">
        <v>2</v>
      </c>
      <c r="K456" s="218" t="s">
        <v>37</v>
      </c>
      <c r="L456" s="218" t="s">
        <v>122</v>
      </c>
      <c r="M456" s="218" t="s">
        <v>39</v>
      </c>
      <c r="N456" s="218">
        <v>184911</v>
      </c>
      <c r="O456" s="219"/>
      <c r="P456" s="219"/>
      <c r="Q456" s="219"/>
      <c r="R456" s="219"/>
      <c r="S456" s="220"/>
      <c r="T456" s="220">
        <v>46198</v>
      </c>
      <c r="U456" s="220">
        <v>46210</v>
      </c>
      <c r="V456" s="219" t="s">
        <v>830</v>
      </c>
      <c r="W456" s="223">
        <v>260.14999999999998</v>
      </c>
      <c r="X456" s="250">
        <f>Table2[[#This Row],[QUANTIDADE]]*Table2[[#This Row],[PREÇO UNITARIO]]</f>
        <v>520.29999999999995</v>
      </c>
      <c r="Y456" s="219"/>
      <c r="Z456" s="229">
        <f t="shared" si="14"/>
        <v>5</v>
      </c>
      <c r="AA456" s="219" t="s">
        <v>42</v>
      </c>
      <c r="AB456" s="220">
        <f t="shared" ca="1" si="15"/>
        <v>46235</v>
      </c>
      <c r="AC456" s="229">
        <f ca="1">_xlfn.DAYS(Table2[[#This Row],[HOJE]],Table2[[#This Row],[DATA PEDIDO HP]])</f>
        <v>67</v>
      </c>
      <c r="AD456" s="219" t="str">
        <f ca="1">IF(Table2[[#This Row],[STATUS2]]="ENTREGUE","ENTREGUE","")</f>
        <v/>
      </c>
      <c r="AE456" s="230" t="str">
        <f ca="1">IF(Table2[[#This Row],[HOLD]]&gt;30,"ATRASADO","NO PRAZO")</f>
        <v>ATRASADO</v>
      </c>
    </row>
    <row r="457" spans="1:31" ht="15" customHeight="1">
      <c r="A457" s="245" t="s">
        <v>1498</v>
      </c>
      <c r="B457" s="131">
        <v>46168</v>
      </c>
      <c r="C457" s="217">
        <v>46168</v>
      </c>
      <c r="D457" s="218" t="s">
        <v>1499</v>
      </c>
      <c r="E457" s="218" t="s">
        <v>33</v>
      </c>
      <c r="F457" s="218" t="s">
        <v>95</v>
      </c>
      <c r="G457" s="218">
        <v>60002095</v>
      </c>
      <c r="H457" s="218" t="s">
        <v>1500</v>
      </c>
      <c r="I457" s="218" t="s">
        <v>1501</v>
      </c>
      <c r="J457" s="218">
        <v>1</v>
      </c>
      <c r="K457" s="218" t="s">
        <v>37</v>
      </c>
      <c r="L457" s="218" t="s">
        <v>441</v>
      </c>
      <c r="M457" s="218" t="s">
        <v>73</v>
      </c>
      <c r="N457" s="218"/>
      <c r="O457" s="219"/>
      <c r="P457" s="219">
        <v>1</v>
      </c>
      <c r="Q457" s="219"/>
      <c r="R457" s="219"/>
      <c r="S457" s="220"/>
      <c r="T457" s="220"/>
      <c r="U457" s="220"/>
      <c r="V457" s="219"/>
      <c r="W457" s="223">
        <v>57.16</v>
      </c>
      <c r="X457" s="254">
        <f>Table2[[#This Row],[QUANTIDADE]]*Table2[[#This Row],[PREÇO UNITARIO]]</f>
        <v>57.16</v>
      </c>
      <c r="Y457" s="219"/>
      <c r="Z457" s="245">
        <f t="shared" si="14"/>
        <v>5</v>
      </c>
      <c r="AA457" s="237" t="s">
        <v>42</v>
      </c>
      <c r="AB457" s="246">
        <f t="shared" ca="1" si="15"/>
        <v>46235</v>
      </c>
      <c r="AC457" s="245">
        <f ca="1">_xlfn.DAYS(Table2[[#This Row],[HOJE]],Table2[[#This Row],[DATA PEDIDO HP]])</f>
        <v>67</v>
      </c>
      <c r="AD457" s="219" t="str">
        <f ca="1">IF(Table2[[#This Row],[STATUS2]]="ENTREGUE","ENTREGUE","")</f>
        <v/>
      </c>
      <c r="AE457" s="230" t="str">
        <f ca="1">IF(Table2[[#This Row],[HOLD]]&gt;30,"ATRASADO","NO PRAZO")</f>
        <v>ATRASADO</v>
      </c>
    </row>
    <row r="458" spans="1:31" ht="15" customHeight="1">
      <c r="A458" s="245" t="s">
        <v>1502</v>
      </c>
      <c r="B458" s="131">
        <v>46169</v>
      </c>
      <c r="C458" s="217">
        <v>46169</v>
      </c>
      <c r="D458" s="218" t="s">
        <v>1503</v>
      </c>
      <c r="E458" s="218" t="s">
        <v>69</v>
      </c>
      <c r="F458" s="218" t="s">
        <v>34</v>
      </c>
      <c r="G458" s="218">
        <v>50200095</v>
      </c>
      <c r="H458" s="218" t="s">
        <v>971</v>
      </c>
      <c r="I458" s="218" t="s">
        <v>386</v>
      </c>
      <c r="J458" s="218">
        <v>1</v>
      </c>
      <c r="K458" s="218" t="s">
        <v>37</v>
      </c>
      <c r="L458" s="218" t="s">
        <v>122</v>
      </c>
      <c r="M458" s="218" t="s">
        <v>73</v>
      </c>
      <c r="N458" s="218">
        <v>185735</v>
      </c>
      <c r="O458" s="219"/>
      <c r="P458" s="219"/>
      <c r="Q458" s="219"/>
      <c r="R458" s="219"/>
      <c r="S458" s="220"/>
      <c r="T458" s="220">
        <v>46198</v>
      </c>
      <c r="U458" s="220">
        <v>46210</v>
      </c>
      <c r="V458" s="219" t="s">
        <v>830</v>
      </c>
      <c r="W458" s="223">
        <v>29.89</v>
      </c>
      <c r="X458" s="254">
        <f>Table2[[#This Row],[QUANTIDADE]]*Table2[[#This Row],[PREÇO UNITARIO]]</f>
        <v>29.89</v>
      </c>
      <c r="Y458" s="219"/>
      <c r="Z458" s="245">
        <f t="shared" si="14"/>
        <v>5</v>
      </c>
      <c r="AA458" s="237" t="s">
        <v>74</v>
      </c>
      <c r="AB458" s="220">
        <f t="shared" ref="AB458:AB465" ca="1" si="16">TODAY()</f>
        <v>46235</v>
      </c>
      <c r="AC458" s="229">
        <f ca="1">_xlfn.DAYS(Table2[[#This Row],[HOJE]],Table2[[#This Row],[DATA PEDIDO HP]])</f>
        <v>66</v>
      </c>
      <c r="AD458" s="219" t="str">
        <f ca="1">IF(Table2[[#This Row],[STATUS2]]="ENTREGUE","ENTREGUE","")</f>
        <v/>
      </c>
      <c r="AE458" s="230" t="str">
        <f ca="1">IF(Table2[[#This Row],[HOLD]]&gt;30,"ATRASADO","NO PRAZO")</f>
        <v>ATRASADO</v>
      </c>
    </row>
    <row r="459" spans="1:31" ht="15" customHeight="1">
      <c r="A459" s="245" t="s">
        <v>1504</v>
      </c>
      <c r="B459" s="131">
        <v>46170</v>
      </c>
      <c r="C459" s="217">
        <v>46170</v>
      </c>
      <c r="D459" s="218" t="s">
        <v>1505</v>
      </c>
      <c r="E459" s="218" t="s">
        <v>154</v>
      </c>
      <c r="F459" s="218" t="s">
        <v>145</v>
      </c>
      <c r="G459" s="218">
        <v>48000044</v>
      </c>
      <c r="H459" s="218" t="s">
        <v>1506</v>
      </c>
      <c r="I459" s="218" t="s">
        <v>1507</v>
      </c>
      <c r="J459" s="218">
        <v>1</v>
      </c>
      <c r="K459" s="218" t="s">
        <v>37</v>
      </c>
      <c r="L459" s="218" t="s">
        <v>72</v>
      </c>
      <c r="M459" s="218" t="s">
        <v>39</v>
      </c>
      <c r="N459" s="218">
        <v>186098</v>
      </c>
      <c r="O459" s="219"/>
      <c r="P459" s="219"/>
      <c r="Q459" s="219"/>
      <c r="R459" s="219"/>
      <c r="S459" s="220">
        <v>46218</v>
      </c>
      <c r="T459" s="220">
        <v>46198</v>
      </c>
      <c r="U459" s="220">
        <v>46210</v>
      </c>
      <c r="V459" s="219" t="s">
        <v>830</v>
      </c>
      <c r="W459" s="223">
        <v>863.91</v>
      </c>
      <c r="X459" s="254">
        <f>Table2[[#This Row],[QUANTIDADE]]*Table2[[#This Row],[PREÇO UNITARIO]]</f>
        <v>863.91</v>
      </c>
      <c r="Y459" s="219"/>
      <c r="Z459" s="245">
        <f t="shared" si="14"/>
        <v>5</v>
      </c>
      <c r="AA459" s="237" t="s">
        <v>74</v>
      </c>
      <c r="AB459" s="220">
        <f t="shared" ca="1" si="16"/>
        <v>46235</v>
      </c>
      <c r="AC459" s="229">
        <f ca="1">_xlfn.DAYS(Table2[[#This Row],[HOJE]],Table2[[#This Row],[DATA PEDIDO HP]])</f>
        <v>65</v>
      </c>
      <c r="AD459" s="219" t="str">
        <f ca="1">IF(Table2[[#This Row],[STATUS2]]="ENTREGUE","ENTREGUE","")</f>
        <v/>
      </c>
      <c r="AE459" s="230" t="str">
        <f ca="1">IF(Table2[[#This Row],[HOLD]]&gt;30,"ATRASADO","NO PRAZO")</f>
        <v>ATRASADO</v>
      </c>
    </row>
    <row r="460" spans="1:31" ht="15" customHeight="1">
      <c r="A460" s="245" t="s">
        <v>1508</v>
      </c>
      <c r="B460" s="131">
        <v>46170</v>
      </c>
      <c r="C460" s="217">
        <v>46169</v>
      </c>
      <c r="D460" s="218" t="s">
        <v>1509</v>
      </c>
      <c r="E460" s="218" t="s">
        <v>191</v>
      </c>
      <c r="F460" s="218" t="s">
        <v>95</v>
      </c>
      <c r="G460" s="218">
        <v>60001111</v>
      </c>
      <c r="H460" s="218" t="s">
        <v>1510</v>
      </c>
      <c r="I460" s="218" t="s">
        <v>1511</v>
      </c>
      <c r="J460" s="218">
        <v>1</v>
      </c>
      <c r="K460" s="218" t="s">
        <v>269</v>
      </c>
      <c r="L460" s="218" t="s">
        <v>441</v>
      </c>
      <c r="M460" s="218" t="s">
        <v>39</v>
      </c>
      <c r="N460" s="218"/>
      <c r="O460" s="219"/>
      <c r="P460" s="219"/>
      <c r="Q460" s="219"/>
      <c r="R460" s="219"/>
      <c r="S460" s="220">
        <v>46218</v>
      </c>
      <c r="T460" s="220">
        <v>46198</v>
      </c>
      <c r="U460" s="220">
        <v>46210</v>
      </c>
      <c r="V460" s="219" t="s">
        <v>830</v>
      </c>
      <c r="W460" s="223">
        <v>2531.29</v>
      </c>
      <c r="X460" s="254">
        <f>Table2[[#This Row],[QUANTIDADE]]*Table2[[#This Row],[PREÇO UNITARIO]]</f>
        <v>2531.29</v>
      </c>
      <c r="Y460" s="219" t="s">
        <v>42</v>
      </c>
      <c r="Z460" s="245">
        <f t="shared" si="14"/>
        <v>5</v>
      </c>
      <c r="AA460" s="219" t="s">
        <v>42</v>
      </c>
      <c r="AB460" s="220">
        <f t="shared" ca="1" si="16"/>
        <v>46235</v>
      </c>
      <c r="AC460" s="229">
        <f ca="1">_xlfn.DAYS(Table2[[#This Row],[HOJE]],Table2[[#This Row],[DATA PEDIDO HP]])</f>
        <v>65</v>
      </c>
      <c r="AD460" s="219" t="str">
        <f ca="1">IF(Table2[[#This Row],[STATUS2]]="ENTREGUE","ENTREGUE","")</f>
        <v/>
      </c>
      <c r="AE460" s="230" t="str">
        <f ca="1">IF(Table2[[#This Row],[HOLD]]&gt;30,"ATRASADO","NO PRAZO")</f>
        <v>ATRASADO</v>
      </c>
    </row>
    <row r="461" spans="1:31" ht="15" customHeight="1">
      <c r="A461" s="245" t="s">
        <v>1512</v>
      </c>
      <c r="B461" s="131">
        <v>46170</v>
      </c>
      <c r="C461" s="217">
        <v>46170</v>
      </c>
      <c r="D461" s="218" t="s">
        <v>1513</v>
      </c>
      <c r="E461" s="218" t="s">
        <v>33</v>
      </c>
      <c r="F461" s="218" t="s">
        <v>95</v>
      </c>
      <c r="G461" s="218">
        <v>60002095</v>
      </c>
      <c r="H461" s="218" t="s">
        <v>194</v>
      </c>
      <c r="I461" s="218" t="s">
        <v>1514</v>
      </c>
      <c r="J461" s="218">
        <v>1</v>
      </c>
      <c r="K461" s="218" t="s">
        <v>37</v>
      </c>
      <c r="L461" s="218" t="s">
        <v>122</v>
      </c>
      <c r="M461" s="218" t="s">
        <v>73</v>
      </c>
      <c r="N461" s="218">
        <v>186131</v>
      </c>
      <c r="O461" s="219"/>
      <c r="P461" s="219"/>
      <c r="Q461" s="219"/>
      <c r="R461" s="219"/>
      <c r="S461" s="220"/>
      <c r="T461" s="220">
        <v>46222</v>
      </c>
      <c r="U461" s="220">
        <v>46232</v>
      </c>
      <c r="V461" s="219" t="s">
        <v>290</v>
      </c>
      <c r="W461" s="223">
        <v>22.19</v>
      </c>
      <c r="X461" s="254">
        <f>Table2[[#This Row],[QUANTIDADE]]*Table2[[#This Row],[PREÇO UNITARIO]]</f>
        <v>22.19</v>
      </c>
      <c r="Y461" s="219"/>
      <c r="Z461" s="245">
        <f t="shared" si="14"/>
        <v>5</v>
      </c>
      <c r="AA461" s="219" t="s">
        <v>42</v>
      </c>
      <c r="AB461" s="220">
        <f t="shared" ca="1" si="16"/>
        <v>46235</v>
      </c>
      <c r="AC461" s="229">
        <f ca="1">_xlfn.DAYS(Table2[[#This Row],[HOJE]],Table2[[#This Row],[DATA PEDIDO HP]])</f>
        <v>65</v>
      </c>
      <c r="AD461" s="219" t="str">
        <f ca="1">IF(Table2[[#This Row],[STATUS2]]="ENTREGUE","ENTREGUE","")</f>
        <v/>
      </c>
      <c r="AE461" s="230" t="str">
        <f ca="1">IF(Table2[[#This Row],[HOLD]]&gt;30,"ATRASADO","NO PRAZO")</f>
        <v>ATRASADO</v>
      </c>
    </row>
    <row r="462" spans="1:31" ht="15" customHeight="1">
      <c r="A462" s="245" t="s">
        <v>1515</v>
      </c>
      <c r="B462" s="131">
        <v>46170</v>
      </c>
      <c r="C462" s="217">
        <v>46169</v>
      </c>
      <c r="D462" s="218" t="s">
        <v>1516</v>
      </c>
      <c r="E462" s="218" t="s">
        <v>327</v>
      </c>
      <c r="F462" s="218" t="s">
        <v>328</v>
      </c>
      <c r="G462" s="218">
        <v>50000260</v>
      </c>
      <c r="H462" s="218" t="s">
        <v>1517</v>
      </c>
      <c r="I462" s="218" t="s">
        <v>1518</v>
      </c>
      <c r="J462" s="218">
        <v>1</v>
      </c>
      <c r="K462" s="218" t="s">
        <v>37</v>
      </c>
      <c r="L462" s="218" t="s">
        <v>122</v>
      </c>
      <c r="M462" s="218" t="s">
        <v>73</v>
      </c>
      <c r="N462" s="218">
        <v>185869</v>
      </c>
      <c r="O462" s="219"/>
      <c r="P462" s="219"/>
      <c r="Q462" s="219"/>
      <c r="R462" s="219" t="s">
        <v>1519</v>
      </c>
      <c r="S462" s="220"/>
      <c r="T462" s="220">
        <v>46198</v>
      </c>
      <c r="U462" s="220">
        <v>46210</v>
      </c>
      <c r="V462" s="219" t="s">
        <v>830</v>
      </c>
      <c r="W462" s="223">
        <v>89.82</v>
      </c>
      <c r="X462" s="254">
        <f>Table2[[#This Row],[QUANTIDADE]]*Table2[[#This Row],[PREÇO UNITARIO]]</f>
        <v>89.82</v>
      </c>
      <c r="Y462" s="219"/>
      <c r="Z462" s="245">
        <f t="shared" si="14"/>
        <v>5</v>
      </c>
      <c r="AA462" s="219" t="s">
        <v>42</v>
      </c>
      <c r="AB462" s="220">
        <f t="shared" ca="1" si="16"/>
        <v>46235</v>
      </c>
      <c r="AC462" s="229">
        <f ca="1">_xlfn.DAYS(Table2[[#This Row],[HOJE]],Table2[[#This Row],[DATA PEDIDO HP]])</f>
        <v>65</v>
      </c>
      <c r="AD462" s="219" t="str">
        <f ca="1">IF(Table2[[#This Row],[STATUS2]]="ENTREGUE","ENTREGUE","")</f>
        <v/>
      </c>
      <c r="AE462" s="230" t="str">
        <f ca="1">IF(Table2[[#This Row],[HOLD]]&gt;30,"ATRASADO","NO PRAZO")</f>
        <v>ATRASADO</v>
      </c>
    </row>
    <row r="463" spans="1:31" ht="15" customHeight="1">
      <c r="A463" s="245" t="s">
        <v>1520</v>
      </c>
      <c r="B463" s="131">
        <v>46170</v>
      </c>
      <c r="C463" s="217">
        <v>46170</v>
      </c>
      <c r="D463" s="218" t="s">
        <v>1521</v>
      </c>
      <c r="E463" s="218" t="s">
        <v>915</v>
      </c>
      <c r="F463" s="218" t="s">
        <v>242</v>
      </c>
      <c r="G463" s="218">
        <v>51100064</v>
      </c>
      <c r="H463" s="218" t="s">
        <v>243</v>
      </c>
      <c r="I463" s="218" t="s">
        <v>244</v>
      </c>
      <c r="J463" s="218">
        <v>1</v>
      </c>
      <c r="K463" s="218" t="s">
        <v>37</v>
      </c>
      <c r="L463" s="218" t="s">
        <v>72</v>
      </c>
      <c r="M463" s="218" t="s">
        <v>73</v>
      </c>
      <c r="N463" s="218">
        <v>184613</v>
      </c>
      <c r="O463" s="219"/>
      <c r="P463" s="219"/>
      <c r="Q463" s="219"/>
      <c r="R463" s="219"/>
      <c r="S463" s="220"/>
      <c r="T463" s="220">
        <v>46198</v>
      </c>
      <c r="U463" s="220">
        <v>46210</v>
      </c>
      <c r="V463" s="219" t="s">
        <v>830</v>
      </c>
      <c r="W463" s="223">
        <v>354.38</v>
      </c>
      <c r="X463" s="254">
        <f>Table2[[#This Row],[QUANTIDADE]]*Table2[[#This Row],[PREÇO UNITARIO]]</f>
        <v>354.38</v>
      </c>
      <c r="Y463" s="219"/>
      <c r="Z463" s="245">
        <f t="shared" si="14"/>
        <v>5</v>
      </c>
      <c r="AA463" s="237" t="s">
        <v>74</v>
      </c>
      <c r="AB463" s="220">
        <f t="shared" ca="1" si="16"/>
        <v>46235</v>
      </c>
      <c r="AC463" s="229">
        <f ca="1">_xlfn.DAYS(Table2[[#This Row],[HOJE]],Table2[[#This Row],[DATA PEDIDO HP]])</f>
        <v>65</v>
      </c>
      <c r="AD463" s="219" t="str">
        <f ca="1">IF(Table2[[#This Row],[STATUS2]]="ENTREGUE","ENTREGUE","")</f>
        <v/>
      </c>
      <c r="AE463" s="230" t="str">
        <f ca="1">IF(Table2[[#This Row],[HOLD]]&gt;30,"ATRASADO","NO PRAZO")</f>
        <v>ATRASADO</v>
      </c>
    </row>
    <row r="464" spans="1:31" ht="15" customHeight="1">
      <c r="A464" s="245" t="s">
        <v>1520</v>
      </c>
      <c r="B464" s="131">
        <v>46170</v>
      </c>
      <c r="C464" s="217">
        <v>46170</v>
      </c>
      <c r="D464" s="218" t="s">
        <v>1521</v>
      </c>
      <c r="E464" s="218" t="s">
        <v>915</v>
      </c>
      <c r="F464" s="218" t="s">
        <v>242</v>
      </c>
      <c r="G464" s="218">
        <v>51100064</v>
      </c>
      <c r="H464" s="218" t="s">
        <v>1358</v>
      </c>
      <c r="I464" s="218" t="s">
        <v>1522</v>
      </c>
      <c r="J464" s="218">
        <v>2</v>
      </c>
      <c r="K464" s="218" t="s">
        <v>37</v>
      </c>
      <c r="L464" s="218" t="s">
        <v>72</v>
      </c>
      <c r="M464" s="218" t="s">
        <v>73</v>
      </c>
      <c r="N464" s="218">
        <v>184547</v>
      </c>
      <c r="O464" s="219"/>
      <c r="P464" s="219"/>
      <c r="Q464" s="219"/>
      <c r="R464" s="219"/>
      <c r="S464" s="220"/>
      <c r="T464" s="220">
        <v>46198</v>
      </c>
      <c r="U464" s="220">
        <v>46210</v>
      </c>
      <c r="V464" s="219" t="s">
        <v>830</v>
      </c>
      <c r="W464" s="223">
        <v>13.51</v>
      </c>
      <c r="X464" s="254">
        <f>Table2[[#This Row],[QUANTIDADE]]*Table2[[#This Row],[PREÇO UNITARIO]]</f>
        <v>27.02</v>
      </c>
      <c r="Y464" s="219"/>
      <c r="Z464" s="245">
        <f t="shared" si="14"/>
        <v>5</v>
      </c>
      <c r="AA464" s="237" t="s">
        <v>74</v>
      </c>
      <c r="AB464" s="220">
        <f t="shared" ca="1" si="16"/>
        <v>46235</v>
      </c>
      <c r="AC464" s="229">
        <f ca="1">_xlfn.DAYS(Table2[[#This Row],[HOJE]],Table2[[#This Row],[DATA PEDIDO HP]])</f>
        <v>65</v>
      </c>
      <c r="AD464" s="219" t="str">
        <f ca="1">IF(Table2[[#This Row],[STATUS2]]="ENTREGUE","ENTREGUE","")</f>
        <v/>
      </c>
      <c r="AE464" s="230" t="str">
        <f ca="1">IF(Table2[[#This Row],[HOLD]]&gt;30,"ATRASADO","NO PRAZO")</f>
        <v>ATRASADO</v>
      </c>
    </row>
    <row r="465" spans="1:31" ht="15" customHeight="1">
      <c r="A465" s="245" t="s">
        <v>1523</v>
      </c>
      <c r="B465" s="131">
        <v>46170</v>
      </c>
      <c r="C465" s="217">
        <v>46170</v>
      </c>
      <c r="D465" s="218" t="s">
        <v>1524</v>
      </c>
      <c r="E465" s="218" t="s">
        <v>298</v>
      </c>
      <c r="F465" s="218" t="s">
        <v>34</v>
      </c>
      <c r="G465" s="218">
        <v>50110261</v>
      </c>
      <c r="H465" s="218" t="s">
        <v>243</v>
      </c>
      <c r="I465" s="218" t="s">
        <v>244</v>
      </c>
      <c r="J465" s="218">
        <v>1</v>
      </c>
      <c r="K465" s="218" t="s">
        <v>37</v>
      </c>
      <c r="L465" s="218" t="s">
        <v>72</v>
      </c>
      <c r="M465" s="218" t="s">
        <v>73</v>
      </c>
      <c r="N465" s="218">
        <v>183162</v>
      </c>
      <c r="O465" s="219"/>
      <c r="P465" s="219"/>
      <c r="Q465" s="219"/>
      <c r="R465" s="219"/>
      <c r="S465" s="220"/>
      <c r="T465" s="220">
        <v>46198</v>
      </c>
      <c r="U465" s="220">
        <v>46210</v>
      </c>
      <c r="V465" s="219" t="s">
        <v>830</v>
      </c>
      <c r="W465" s="223">
        <v>354.38</v>
      </c>
      <c r="X465" s="254">
        <f>Table2[[#This Row],[QUANTIDADE]]*Table2[[#This Row],[PREÇO UNITARIO]]</f>
        <v>354.38</v>
      </c>
      <c r="Y465" s="219"/>
      <c r="Z465" s="245">
        <f t="shared" si="14"/>
        <v>5</v>
      </c>
      <c r="AA465" s="237" t="s">
        <v>74</v>
      </c>
      <c r="AB465" s="220">
        <f t="shared" ca="1" si="16"/>
        <v>46235</v>
      </c>
      <c r="AC465" s="229">
        <f ca="1">_xlfn.DAYS(Table2[[#This Row],[HOJE]],Table2[[#This Row],[DATA PEDIDO HP]])</f>
        <v>65</v>
      </c>
      <c r="AD465" s="219" t="str">
        <f ca="1">IF(Table2[[#This Row],[STATUS2]]="ENTREGUE","ENTREGUE","")</f>
        <v/>
      </c>
      <c r="AE465" s="230" t="str">
        <f ca="1">IF(Table2[[#This Row],[HOLD]]&gt;30,"ATRASADO","NO PRAZO")</f>
        <v>ATRASADO</v>
      </c>
    </row>
    <row r="466" spans="1:31" ht="15" customHeight="1">
      <c r="A466" s="245" t="s">
        <v>1525</v>
      </c>
      <c r="B466" s="131">
        <v>46174</v>
      </c>
      <c r="C466" s="217">
        <v>46174</v>
      </c>
      <c r="D466" s="218" t="s">
        <v>1526</v>
      </c>
      <c r="E466" s="218" t="s">
        <v>125</v>
      </c>
      <c r="F466" s="218" t="s">
        <v>34</v>
      </c>
      <c r="G466" s="218">
        <v>50110193</v>
      </c>
      <c r="H466" s="218" t="s">
        <v>79</v>
      </c>
      <c r="I466" s="218" t="s">
        <v>970</v>
      </c>
      <c r="J466" s="218">
        <v>1</v>
      </c>
      <c r="K466" s="218" t="s">
        <v>37</v>
      </c>
      <c r="L466" s="218" t="s">
        <v>122</v>
      </c>
      <c r="M466" s="218" t="s">
        <v>81</v>
      </c>
      <c r="N466" s="218">
        <v>186692</v>
      </c>
      <c r="O466" s="219"/>
      <c r="P466" s="219"/>
      <c r="Q466" s="219">
        <v>1</v>
      </c>
      <c r="R466" s="219"/>
      <c r="S466" s="220"/>
      <c r="T466" s="220">
        <v>46222</v>
      </c>
      <c r="U466" s="220">
        <v>46232</v>
      </c>
      <c r="V466" s="219" t="s">
        <v>290</v>
      </c>
      <c r="W466" s="223">
        <v>42.46</v>
      </c>
      <c r="X466" s="254">
        <f>Table2[[#This Row],[QUANTIDADE]]*Table2[[#This Row],[PREÇO UNITARIO]]</f>
        <v>42.46</v>
      </c>
      <c r="Y466" s="219"/>
      <c r="Z466" s="245">
        <f t="shared" si="14"/>
        <v>6</v>
      </c>
      <c r="AA466" s="219" t="s">
        <v>42</v>
      </c>
      <c r="AB466" s="17">
        <f t="shared" ref="AB466:AB497" ca="1" si="17">TODAY()</f>
        <v>46235</v>
      </c>
      <c r="AC466" s="229">
        <f ca="1">_xlfn.DAYS(Table2[[#This Row],[HOJE]],Table2[[#This Row],[DATA PEDIDO HP]])</f>
        <v>61</v>
      </c>
      <c r="AD466" s="219" t="str">
        <f ca="1">IF(Table2[[#This Row],[STATUS2]]="ENTREGUE","ENTREGUE","")</f>
        <v/>
      </c>
      <c r="AE466" s="230" t="str">
        <f ca="1">IF(Table2[[#This Row],[HOLD]]&gt;30,"ATRASADO","NO PRAZO")</f>
        <v>ATRASADO</v>
      </c>
    </row>
    <row r="467" spans="1:31" ht="15" customHeight="1">
      <c r="A467" s="245" t="s">
        <v>1525</v>
      </c>
      <c r="B467" s="131">
        <v>46174</v>
      </c>
      <c r="C467" s="217">
        <v>46174</v>
      </c>
      <c r="D467" s="218" t="s">
        <v>1526</v>
      </c>
      <c r="E467" s="218" t="s">
        <v>125</v>
      </c>
      <c r="F467" s="218" t="s">
        <v>34</v>
      </c>
      <c r="G467" s="218">
        <v>50110193</v>
      </c>
      <c r="H467" s="218" t="s">
        <v>82</v>
      </c>
      <c r="I467" s="218" t="s">
        <v>1527</v>
      </c>
      <c r="J467" s="218">
        <v>1</v>
      </c>
      <c r="K467" s="218" t="s">
        <v>37</v>
      </c>
      <c r="L467" s="218" t="s">
        <v>122</v>
      </c>
      <c r="M467" s="218" t="s">
        <v>81</v>
      </c>
      <c r="N467" s="218">
        <v>186692</v>
      </c>
      <c r="O467" s="219"/>
      <c r="P467" s="219"/>
      <c r="Q467" s="219">
        <v>1</v>
      </c>
      <c r="R467" s="219"/>
      <c r="S467" s="220"/>
      <c r="T467" s="220">
        <v>46222</v>
      </c>
      <c r="U467" s="220">
        <v>46232</v>
      </c>
      <c r="V467" s="219" t="s">
        <v>290</v>
      </c>
      <c r="W467" s="223">
        <v>19.600000000000001</v>
      </c>
      <c r="X467" s="254">
        <f>Table2[[#This Row],[QUANTIDADE]]*Table2[[#This Row],[PREÇO UNITARIO]]</f>
        <v>19.600000000000001</v>
      </c>
      <c r="Y467" s="219"/>
      <c r="Z467" s="245">
        <f t="shared" si="14"/>
        <v>6</v>
      </c>
      <c r="AA467" s="219" t="s">
        <v>42</v>
      </c>
      <c r="AB467" s="17">
        <f t="shared" ca="1" si="17"/>
        <v>46235</v>
      </c>
      <c r="AC467" s="9">
        <f ca="1">_xlfn.DAYS(Table2[[#This Row],[HOJE]],Table2[[#This Row],[DATA PEDIDO HP]])</f>
        <v>61</v>
      </c>
      <c r="AD467" s="219" t="str">
        <f ca="1">IF(Table2[[#This Row],[STATUS2]]="ENTREGUE","ENTREGUE","")</f>
        <v/>
      </c>
      <c r="AE467" s="230" t="str">
        <f ca="1">IF(Table2[[#This Row],[HOLD]]&gt;30,"ATRASADO","NO PRAZO")</f>
        <v>ATRASADO</v>
      </c>
    </row>
    <row r="468" spans="1:31" ht="15" customHeight="1">
      <c r="A468" s="245" t="s">
        <v>1528</v>
      </c>
      <c r="B468" s="131">
        <v>46174</v>
      </c>
      <c r="C468" s="217">
        <v>46174</v>
      </c>
      <c r="D468" s="218" t="s">
        <v>1529</v>
      </c>
      <c r="E468" s="218" t="s">
        <v>1466</v>
      </c>
      <c r="F468" s="218" t="s">
        <v>135</v>
      </c>
      <c r="G468" s="218">
        <v>48500709</v>
      </c>
      <c r="H468" s="218" t="s">
        <v>1530</v>
      </c>
      <c r="I468" s="218" t="s">
        <v>1531</v>
      </c>
      <c r="J468" s="218">
        <v>1</v>
      </c>
      <c r="K468" s="218" t="s">
        <v>37</v>
      </c>
      <c r="L468" s="218" t="s">
        <v>72</v>
      </c>
      <c r="M468" s="218" t="s">
        <v>73</v>
      </c>
      <c r="N468" s="218">
        <v>186725</v>
      </c>
      <c r="O468" s="219"/>
      <c r="P468" s="219"/>
      <c r="Q468" s="219">
        <v>1</v>
      </c>
      <c r="R468" s="219"/>
      <c r="S468" s="220"/>
      <c r="T468" s="220">
        <v>46222</v>
      </c>
      <c r="U468" s="220">
        <v>46232</v>
      </c>
      <c r="V468" s="219" t="s">
        <v>290</v>
      </c>
      <c r="W468" s="223">
        <v>416.44</v>
      </c>
      <c r="X468" s="254">
        <f>Table2[[#This Row],[QUANTIDADE]]*Table2[[#This Row],[PREÇO UNITARIO]]</f>
        <v>416.44</v>
      </c>
      <c r="Y468" s="219"/>
      <c r="Z468" s="245">
        <f t="shared" si="14"/>
        <v>6</v>
      </c>
      <c r="AA468" s="237" t="s">
        <v>74</v>
      </c>
      <c r="AB468" s="17">
        <f t="shared" ca="1" si="17"/>
        <v>46235</v>
      </c>
      <c r="AC468" s="9">
        <f ca="1">_xlfn.DAYS(Table2[[#This Row],[HOJE]],Table2[[#This Row],[DATA PEDIDO HP]])</f>
        <v>61</v>
      </c>
      <c r="AD468" s="219" t="str">
        <f ca="1">IF(Table2[[#This Row],[STATUS2]]="ENTREGUE","ENTREGUE","")</f>
        <v/>
      </c>
      <c r="AE468" s="230" t="str">
        <f ca="1">IF(Table2[[#This Row],[HOLD]]&gt;30,"ATRASADO","NO PRAZO")</f>
        <v>ATRASADO</v>
      </c>
    </row>
    <row r="469" spans="1:31" ht="15" customHeight="1">
      <c r="A469" s="245" t="s">
        <v>1532</v>
      </c>
      <c r="B469" s="131">
        <v>46175</v>
      </c>
      <c r="C469" s="217">
        <v>46175</v>
      </c>
      <c r="D469" s="218" t="s">
        <v>1533</v>
      </c>
      <c r="E469" s="218" t="s">
        <v>125</v>
      </c>
      <c r="F469" s="218" t="s">
        <v>34</v>
      </c>
      <c r="G469" s="218">
        <v>50110193</v>
      </c>
      <c r="H469" s="218" t="s">
        <v>1534</v>
      </c>
      <c r="I469" s="218" t="s">
        <v>1486</v>
      </c>
      <c r="J469" s="218">
        <v>1</v>
      </c>
      <c r="K469" s="218" t="s">
        <v>37</v>
      </c>
      <c r="L469" s="218" t="s">
        <v>122</v>
      </c>
      <c r="M469" s="218" t="s">
        <v>81</v>
      </c>
      <c r="N469" s="218">
        <v>186959</v>
      </c>
      <c r="O469" s="219"/>
      <c r="P469" s="219"/>
      <c r="Q469" s="219">
        <v>1</v>
      </c>
      <c r="R469" s="219" t="s">
        <v>362</v>
      </c>
      <c r="S469" s="220"/>
      <c r="T469" s="220">
        <v>46222</v>
      </c>
      <c r="U469" s="220">
        <v>46232</v>
      </c>
      <c r="V469" s="219" t="s">
        <v>290</v>
      </c>
      <c r="W469" s="223">
        <v>255.99</v>
      </c>
      <c r="X469" s="254">
        <f>Table2[[#This Row],[QUANTIDADE]]*Table2[[#This Row],[PREÇO UNITARIO]]</f>
        <v>255.99</v>
      </c>
      <c r="Y469" s="219"/>
      <c r="Z469" s="245">
        <f t="shared" si="14"/>
        <v>6</v>
      </c>
      <c r="AA469" s="219" t="s">
        <v>42</v>
      </c>
      <c r="AB469" s="17">
        <f t="shared" ca="1" si="17"/>
        <v>46235</v>
      </c>
      <c r="AC469" s="9">
        <f ca="1">_xlfn.DAYS(Table2[[#This Row],[HOJE]],Table2[[#This Row],[DATA PEDIDO HP]])</f>
        <v>60</v>
      </c>
      <c r="AD469" s="219" t="str">
        <f ca="1">IF(Table2[[#This Row],[STATUS2]]="ENTREGUE","ENTREGUE","")</f>
        <v/>
      </c>
      <c r="AE469" s="230" t="str">
        <f ca="1">IF(Table2[[#This Row],[HOLD]]&gt;30,"ATRASADO","NO PRAZO")</f>
        <v>ATRASADO</v>
      </c>
    </row>
    <row r="470" spans="1:31" ht="15" customHeight="1">
      <c r="A470" s="245" t="s">
        <v>1535</v>
      </c>
      <c r="B470" s="131">
        <v>46175</v>
      </c>
      <c r="C470" s="217">
        <v>46175</v>
      </c>
      <c r="D470" s="218" t="s">
        <v>1536</v>
      </c>
      <c r="E470" s="218" t="s">
        <v>33</v>
      </c>
      <c r="F470" s="218" t="s">
        <v>34</v>
      </c>
      <c r="G470" s="218">
        <v>50110372</v>
      </c>
      <c r="H470" s="218" t="s">
        <v>1151</v>
      </c>
      <c r="I470" s="218" t="s">
        <v>1537</v>
      </c>
      <c r="J470" s="218">
        <v>2</v>
      </c>
      <c r="K470" s="218" t="s">
        <v>37</v>
      </c>
      <c r="L470" s="218" t="s">
        <v>122</v>
      </c>
      <c r="M470" s="218" t="s">
        <v>73</v>
      </c>
      <c r="N470" s="218">
        <v>186989</v>
      </c>
      <c r="O470" s="219"/>
      <c r="P470" s="219"/>
      <c r="Q470" s="219">
        <v>2</v>
      </c>
      <c r="R470" s="219" t="s">
        <v>222</v>
      </c>
      <c r="S470" s="220"/>
      <c r="T470" s="220">
        <v>46222</v>
      </c>
      <c r="U470" s="220">
        <v>46232</v>
      </c>
      <c r="V470" s="219" t="s">
        <v>290</v>
      </c>
      <c r="W470" s="223">
        <v>207.82</v>
      </c>
      <c r="X470" s="254">
        <f>Table2[[#This Row],[QUANTIDADE]]*Table2[[#This Row],[PREÇO UNITARIO]]</f>
        <v>415.64</v>
      </c>
      <c r="Y470" s="219"/>
      <c r="Z470" s="245">
        <f t="shared" si="14"/>
        <v>6</v>
      </c>
      <c r="AA470" s="219" t="s">
        <v>42</v>
      </c>
      <c r="AB470" s="17">
        <f t="shared" ca="1" si="17"/>
        <v>46235</v>
      </c>
      <c r="AC470" s="9">
        <f ca="1">_xlfn.DAYS(Table2[[#This Row],[HOJE]],Table2[[#This Row],[DATA PEDIDO HP]])</f>
        <v>60</v>
      </c>
      <c r="AD470" s="219" t="str">
        <f ca="1">IF(Table2[[#This Row],[STATUS2]]="ENTREGUE","ENTREGUE","")</f>
        <v/>
      </c>
      <c r="AE470" s="230" t="str">
        <f ca="1">IF(Table2[[#This Row],[HOLD]]&gt;30,"ATRASADO","NO PRAZO")</f>
        <v>ATRASADO</v>
      </c>
    </row>
    <row r="471" spans="1:31" ht="15" customHeight="1">
      <c r="A471" s="245" t="s">
        <v>1538</v>
      </c>
      <c r="B471" s="131">
        <v>46175</v>
      </c>
      <c r="C471" s="217">
        <v>46175</v>
      </c>
      <c r="D471" s="218" t="s">
        <v>1539</v>
      </c>
      <c r="E471" s="218" t="s">
        <v>191</v>
      </c>
      <c r="F471" s="218" t="s">
        <v>827</v>
      </c>
      <c r="G471" s="218">
        <v>60003071</v>
      </c>
      <c r="H471" s="218" t="s">
        <v>1540</v>
      </c>
      <c r="I471" s="218" t="s">
        <v>1541</v>
      </c>
      <c r="J471" s="218">
        <v>1</v>
      </c>
      <c r="K471" s="218" t="s">
        <v>37</v>
      </c>
      <c r="L471" s="218" t="s">
        <v>122</v>
      </c>
      <c r="M471" s="218" t="s">
        <v>81</v>
      </c>
      <c r="N471" s="218">
        <v>187022</v>
      </c>
      <c r="O471" s="219"/>
      <c r="P471" s="219"/>
      <c r="Q471" s="219">
        <v>1</v>
      </c>
      <c r="R471" s="219"/>
      <c r="S471" s="220">
        <v>46233</v>
      </c>
      <c r="T471" s="220">
        <v>46222</v>
      </c>
      <c r="U471" s="220">
        <v>46232</v>
      </c>
      <c r="V471" s="219" t="s">
        <v>290</v>
      </c>
      <c r="W471" s="223">
        <v>37.24</v>
      </c>
      <c r="X471" s="254">
        <f>Table2[[#This Row],[QUANTIDADE]]*Table2[[#This Row],[PREÇO UNITARIO]]</f>
        <v>37.24</v>
      </c>
      <c r="Y471" s="219" t="s">
        <v>42</v>
      </c>
      <c r="Z471" s="245">
        <f t="shared" si="14"/>
        <v>6</v>
      </c>
      <c r="AA471" s="219" t="s">
        <v>42</v>
      </c>
      <c r="AB471" s="17">
        <f t="shared" ca="1" si="17"/>
        <v>46235</v>
      </c>
      <c r="AC471" s="9">
        <f ca="1">_xlfn.DAYS(Table2[[#This Row],[HOJE]],Table2[[#This Row],[DATA PEDIDO HP]])</f>
        <v>60</v>
      </c>
      <c r="AD471" s="219" t="str">
        <f>IF(Table2[[#This Row],[STATUS2]]="ENTREGUE","ENTREGUE","")</f>
        <v>ENTREGUE</v>
      </c>
      <c r="AE471" s="219" t="s">
        <v>43</v>
      </c>
    </row>
    <row r="472" spans="1:31" ht="15" customHeight="1">
      <c r="A472" s="245" t="s">
        <v>1542</v>
      </c>
      <c r="B472" s="131">
        <v>46176</v>
      </c>
      <c r="C472" s="217">
        <v>46176</v>
      </c>
      <c r="D472" s="218" t="s">
        <v>1543</v>
      </c>
      <c r="E472" s="218" t="s">
        <v>1544</v>
      </c>
      <c r="F472" s="218" t="s">
        <v>1105</v>
      </c>
      <c r="G472" s="218" t="s">
        <v>1545</v>
      </c>
      <c r="H472" s="218" t="s">
        <v>1106</v>
      </c>
      <c r="I472" s="218" t="s">
        <v>1546</v>
      </c>
      <c r="J472" s="218">
        <v>1</v>
      </c>
      <c r="K472" s="218" t="s">
        <v>269</v>
      </c>
      <c r="L472" s="218" t="s">
        <v>785</v>
      </c>
      <c r="M472" s="218" t="s">
        <v>39</v>
      </c>
      <c r="N472" s="218">
        <v>186068</v>
      </c>
      <c r="O472" s="219"/>
      <c r="P472" s="219"/>
      <c r="Q472" s="219">
        <v>0</v>
      </c>
      <c r="R472" s="219"/>
      <c r="S472" s="220"/>
      <c r="T472" s="220">
        <v>46222</v>
      </c>
      <c r="U472" s="220">
        <v>46232</v>
      </c>
      <c r="V472" s="219" t="s">
        <v>290</v>
      </c>
      <c r="W472" s="223">
        <v>6822.78</v>
      </c>
      <c r="X472" s="254">
        <f>Table2[[#This Row],[QUANTIDADE]]*Table2[[#This Row],[PREÇO UNITARIO]]</f>
        <v>6822.78</v>
      </c>
      <c r="Y472" s="219"/>
      <c r="Z472" s="245">
        <f t="shared" si="14"/>
        <v>6</v>
      </c>
      <c r="AA472" s="237" t="s">
        <v>74</v>
      </c>
      <c r="AB472" s="17">
        <f t="shared" ca="1" si="17"/>
        <v>46235</v>
      </c>
      <c r="AC472" s="9">
        <f ca="1">_xlfn.DAYS(Table2[[#This Row],[HOJE]],Table2[[#This Row],[DATA PEDIDO HP]])</f>
        <v>59</v>
      </c>
      <c r="AD472" s="219" t="str">
        <f ca="1">IF(Table2[[#This Row],[STATUS2]]="ENTREGUE","ENTREGUE","")</f>
        <v/>
      </c>
      <c r="AE472" s="230" t="str">
        <f ca="1">IF(Table2[[#This Row],[HOLD]]&gt;30,"ATRASADO","NO PRAZO")</f>
        <v>ATRASADO</v>
      </c>
    </row>
    <row r="473" spans="1:31" ht="15" customHeight="1">
      <c r="A473" s="245" t="s">
        <v>1547</v>
      </c>
      <c r="B473" s="131">
        <v>46176</v>
      </c>
      <c r="C473" s="217">
        <v>46176</v>
      </c>
      <c r="D473" s="218" t="s">
        <v>1548</v>
      </c>
      <c r="E473" s="218" t="s">
        <v>1549</v>
      </c>
      <c r="F473" s="218" t="s">
        <v>1550</v>
      </c>
      <c r="G473" s="218">
        <v>47100399</v>
      </c>
      <c r="H473" s="218" t="s">
        <v>705</v>
      </c>
      <c r="I473" s="218" t="s">
        <v>706</v>
      </c>
      <c r="J473" s="218">
        <v>1</v>
      </c>
      <c r="K473" s="218" t="s">
        <v>37</v>
      </c>
      <c r="L473" s="218" t="s">
        <v>122</v>
      </c>
      <c r="M473" s="218" t="s">
        <v>73</v>
      </c>
      <c r="N473" s="218">
        <v>143799</v>
      </c>
      <c r="O473" s="219"/>
      <c r="P473" s="219"/>
      <c r="Q473" s="219">
        <v>1</v>
      </c>
      <c r="R473" s="219"/>
      <c r="S473" s="220"/>
      <c r="T473" s="220">
        <v>46222</v>
      </c>
      <c r="U473" s="220">
        <v>46232</v>
      </c>
      <c r="V473" s="219" t="s">
        <v>290</v>
      </c>
      <c r="W473" s="223">
        <v>167.85</v>
      </c>
      <c r="X473" s="254">
        <f>Table2[[#This Row],[QUANTIDADE]]*Table2[[#This Row],[PREÇO UNITARIO]]</f>
        <v>167.85</v>
      </c>
      <c r="Y473" s="219"/>
      <c r="Z473" s="245">
        <f t="shared" si="14"/>
        <v>6</v>
      </c>
      <c r="AA473" s="237" t="s">
        <v>74</v>
      </c>
      <c r="AB473" s="17">
        <f t="shared" ca="1" si="17"/>
        <v>46235</v>
      </c>
      <c r="AC473" s="9">
        <f ca="1">_xlfn.DAYS(Table2[[#This Row],[HOJE]],Table2[[#This Row],[DATA PEDIDO HP]])</f>
        <v>59</v>
      </c>
      <c r="AD473" s="219" t="str">
        <f ca="1">IF(Table2[[#This Row],[STATUS2]]="ENTREGUE","ENTREGUE","")</f>
        <v/>
      </c>
      <c r="AE473" s="230" t="str">
        <f ca="1">IF(Table2[[#This Row],[HOLD]]&gt;30,"ATRASADO","NO PRAZO")</f>
        <v>ATRASADO</v>
      </c>
    </row>
    <row r="474" spans="1:31" ht="15" customHeight="1">
      <c r="A474" s="245" t="s">
        <v>1551</v>
      </c>
      <c r="B474" s="131">
        <v>46198</v>
      </c>
      <c r="C474" s="217">
        <v>46176</v>
      </c>
      <c r="D474" s="218" t="s">
        <v>1552</v>
      </c>
      <c r="E474" s="218" t="s">
        <v>94</v>
      </c>
      <c r="F474" s="218" t="s">
        <v>95</v>
      </c>
      <c r="G474" s="218">
        <v>60002072</v>
      </c>
      <c r="H474" s="218" t="s">
        <v>495</v>
      </c>
      <c r="I474" s="218" t="s">
        <v>647</v>
      </c>
      <c r="J474" s="218">
        <v>8</v>
      </c>
      <c r="K474" s="218" t="s">
        <v>37</v>
      </c>
      <c r="L474" s="218" t="s">
        <v>441</v>
      </c>
      <c r="M474" s="218" t="s">
        <v>39</v>
      </c>
      <c r="N474" s="218"/>
      <c r="O474" s="219"/>
      <c r="P474" s="219"/>
      <c r="Q474" s="219"/>
      <c r="R474" s="219"/>
      <c r="S474" s="220"/>
      <c r="T474" s="220">
        <v>46222</v>
      </c>
      <c r="U474" s="220">
        <v>46232</v>
      </c>
      <c r="V474" s="219" t="s">
        <v>290</v>
      </c>
      <c r="W474" s="223">
        <v>106.15</v>
      </c>
      <c r="X474" s="250">
        <f>Table2[[#This Row],[QUANTIDADE]]*Table2[[#This Row],[PREÇO UNITARIO]]</f>
        <v>849.2</v>
      </c>
      <c r="Y474" s="219"/>
      <c r="Z474" s="229">
        <f t="shared" si="14"/>
        <v>6</v>
      </c>
      <c r="AA474" s="237" t="s">
        <v>74</v>
      </c>
      <c r="AB474" s="220">
        <f t="shared" ca="1" si="17"/>
        <v>46235</v>
      </c>
      <c r="AC474" s="219">
        <f ca="1">_xlfn.DAYS(Table2[[#This Row],[HOJE]],Table2[[#This Row],[DATA PEDIDO HP]])</f>
        <v>37</v>
      </c>
      <c r="AD474" s="219" t="str">
        <f ca="1">IF(Table2[[#This Row],[STATUS2]]="ENTREGUE","ENTREGUE","")</f>
        <v/>
      </c>
      <c r="AE474" s="230" t="str">
        <f ca="1">IF(Table2[[#This Row],[HOLD]]&gt;30,"ATRASADO","NO PRAZO")</f>
        <v>ATRASADO</v>
      </c>
    </row>
    <row r="475" spans="1:31" ht="15" customHeight="1">
      <c r="A475" s="245" t="s">
        <v>1553</v>
      </c>
      <c r="B475" s="131">
        <v>46176</v>
      </c>
      <c r="C475" s="217">
        <v>46176</v>
      </c>
      <c r="D475" s="218" t="s">
        <v>1554</v>
      </c>
      <c r="E475" s="218" t="s">
        <v>94</v>
      </c>
      <c r="F475" s="218" t="s">
        <v>95</v>
      </c>
      <c r="G475" s="218">
        <v>60002072</v>
      </c>
      <c r="H475" s="218" t="s">
        <v>1555</v>
      </c>
      <c r="I475" s="218" t="s">
        <v>1556</v>
      </c>
      <c r="J475" s="218">
        <v>1</v>
      </c>
      <c r="K475" s="218" t="s">
        <v>37</v>
      </c>
      <c r="L475" s="218" t="s">
        <v>441</v>
      </c>
      <c r="M475" s="218" t="s">
        <v>73</v>
      </c>
      <c r="N475" s="218"/>
      <c r="O475" s="219"/>
      <c r="P475" s="219"/>
      <c r="Q475" s="219">
        <v>1</v>
      </c>
      <c r="R475" s="219"/>
      <c r="S475" s="220"/>
      <c r="T475" s="220">
        <v>46222</v>
      </c>
      <c r="U475" s="220">
        <v>46232</v>
      </c>
      <c r="V475" s="219" t="s">
        <v>290</v>
      </c>
      <c r="W475" s="223">
        <v>2731.67</v>
      </c>
      <c r="X475" s="254">
        <f>Table2[[#This Row],[QUANTIDADE]]*Table2[[#This Row],[PREÇO UNITARIO]]</f>
        <v>2731.67</v>
      </c>
      <c r="Y475" s="219"/>
      <c r="Z475" s="245">
        <f t="shared" si="14"/>
        <v>6</v>
      </c>
      <c r="AA475" s="237" t="s">
        <v>74</v>
      </c>
      <c r="AB475" s="17">
        <f t="shared" ca="1" si="17"/>
        <v>46235</v>
      </c>
      <c r="AC475" s="9">
        <f ca="1">_xlfn.DAYS(Table2[[#This Row],[HOJE]],Table2[[#This Row],[DATA PEDIDO HP]])</f>
        <v>59</v>
      </c>
      <c r="AD475" s="219" t="str">
        <f ca="1">IF(Table2[[#This Row],[STATUS2]]="ENTREGUE","ENTREGUE","")</f>
        <v/>
      </c>
      <c r="AE475" s="230" t="str">
        <f ca="1">IF(Table2[[#This Row],[HOLD]]&gt;30,"ATRASADO","NO PRAZO")</f>
        <v>ATRASADO</v>
      </c>
    </row>
    <row r="476" spans="1:31" ht="15" customHeight="1">
      <c r="A476" s="245" t="s">
        <v>1557</v>
      </c>
      <c r="B476" s="217">
        <v>46181</v>
      </c>
      <c r="C476" s="217">
        <v>46181</v>
      </c>
      <c r="D476" s="218" t="s">
        <v>1558</v>
      </c>
      <c r="E476" s="218" t="s">
        <v>345</v>
      </c>
      <c r="F476" s="218" t="s">
        <v>34</v>
      </c>
      <c r="G476" s="218">
        <v>50110229</v>
      </c>
      <c r="H476" s="218" t="s">
        <v>1492</v>
      </c>
      <c r="I476" s="218" t="s">
        <v>1559</v>
      </c>
      <c r="J476" s="218">
        <v>1</v>
      </c>
      <c r="K476" s="218" t="s">
        <v>37</v>
      </c>
      <c r="L476" s="218" t="s">
        <v>72</v>
      </c>
      <c r="M476" s="218" t="s">
        <v>81</v>
      </c>
      <c r="N476" s="218">
        <v>187223</v>
      </c>
      <c r="O476" s="219"/>
      <c r="P476" s="219"/>
      <c r="Q476" s="219">
        <v>1</v>
      </c>
      <c r="R476" s="219"/>
      <c r="S476" s="220"/>
      <c r="T476" s="220">
        <v>46222</v>
      </c>
      <c r="U476" s="220">
        <v>46232</v>
      </c>
      <c r="V476" s="219" t="s">
        <v>290</v>
      </c>
      <c r="W476" s="223">
        <v>26.85</v>
      </c>
      <c r="X476" s="254">
        <f>Table2[[#This Row],[QUANTIDADE]]*Table2[[#This Row],[PREÇO UNITARIO]]</f>
        <v>26.85</v>
      </c>
      <c r="Y476" s="219"/>
      <c r="Z476" s="245">
        <f t="shared" si="14"/>
        <v>6</v>
      </c>
      <c r="AA476" s="219" t="s">
        <v>42</v>
      </c>
      <c r="AB476" s="17">
        <f t="shared" ca="1" si="17"/>
        <v>46235</v>
      </c>
      <c r="AC476" s="9">
        <f ca="1">_xlfn.DAYS(Table2[[#This Row],[HOJE]],Table2[[#This Row],[DATA PEDIDO HP]])</f>
        <v>54</v>
      </c>
      <c r="AD476" s="219" t="str">
        <f ca="1">IF(Table2[[#This Row],[STATUS2]]="ENTREGUE","ENTREGUE","")</f>
        <v/>
      </c>
      <c r="AE476" s="230" t="str">
        <f ca="1">IF(Table2[[#This Row],[HOLD]]&gt;30,"ATRASADO","NO PRAZO")</f>
        <v>ATRASADO</v>
      </c>
    </row>
    <row r="477" spans="1:31" ht="15" customHeight="1">
      <c r="A477" s="245" t="s">
        <v>1560</v>
      </c>
      <c r="B477" s="217">
        <v>46181</v>
      </c>
      <c r="C477" s="217">
        <v>46181</v>
      </c>
      <c r="D477" s="218" t="s">
        <v>1561</v>
      </c>
      <c r="E477" s="218" t="s">
        <v>94</v>
      </c>
      <c r="F477" s="218" t="s">
        <v>95</v>
      </c>
      <c r="G477" s="218">
        <v>60002072</v>
      </c>
      <c r="H477" s="218" t="s">
        <v>650</v>
      </c>
      <c r="I477" s="218" t="s">
        <v>651</v>
      </c>
      <c r="J477" s="218">
        <v>1</v>
      </c>
      <c r="K477" s="218" t="s">
        <v>37</v>
      </c>
      <c r="L477" s="218" t="s">
        <v>122</v>
      </c>
      <c r="M477" s="218" t="s">
        <v>81</v>
      </c>
      <c r="N477" s="218">
        <v>187684</v>
      </c>
      <c r="O477" s="219"/>
      <c r="P477" s="219"/>
      <c r="Q477" s="219">
        <v>1</v>
      </c>
      <c r="R477" s="219"/>
      <c r="S477" s="220"/>
      <c r="T477" s="220">
        <v>46222</v>
      </c>
      <c r="U477" s="220">
        <v>46232</v>
      </c>
      <c r="V477" s="219" t="s">
        <v>290</v>
      </c>
      <c r="W477" s="223">
        <v>16.329999999999998</v>
      </c>
      <c r="X477" s="254">
        <f>Table2[[#This Row],[QUANTIDADE]]*Table2[[#This Row],[PREÇO UNITARIO]]</f>
        <v>16.329999999999998</v>
      </c>
      <c r="Y477" s="219"/>
      <c r="Z477" s="245">
        <f t="shared" si="14"/>
        <v>6</v>
      </c>
      <c r="AA477" s="237" t="s">
        <v>74</v>
      </c>
      <c r="AB477" s="17">
        <f t="shared" ca="1" si="17"/>
        <v>46235</v>
      </c>
      <c r="AC477" s="9">
        <f ca="1">_xlfn.DAYS(Table2[[#This Row],[HOJE]],Table2[[#This Row],[DATA PEDIDO HP]])</f>
        <v>54</v>
      </c>
      <c r="AD477" s="219" t="str">
        <f ca="1">IF(Table2[[#This Row],[STATUS2]]="ENTREGUE","ENTREGUE","")</f>
        <v/>
      </c>
      <c r="AE477" s="230" t="str">
        <f ca="1">IF(Table2[[#This Row],[HOLD]]&gt;30,"ATRASADO","NO PRAZO")</f>
        <v>ATRASADO</v>
      </c>
    </row>
    <row r="478" spans="1:31" ht="15" customHeight="1">
      <c r="A478" s="245" t="s">
        <v>1562</v>
      </c>
      <c r="B478" s="217">
        <v>46181</v>
      </c>
      <c r="C478" s="217">
        <v>46181</v>
      </c>
      <c r="D478" s="218" t="s">
        <v>1563</v>
      </c>
      <c r="E478" s="218" t="s">
        <v>69</v>
      </c>
      <c r="F478" s="218" t="s">
        <v>34</v>
      </c>
      <c r="G478" s="218">
        <v>50200095</v>
      </c>
      <c r="H478" s="218" t="s">
        <v>47</v>
      </c>
      <c r="I478" s="218" t="s">
        <v>48</v>
      </c>
      <c r="J478" s="218">
        <v>1</v>
      </c>
      <c r="K478" s="218" t="s">
        <v>37</v>
      </c>
      <c r="L478" s="218" t="s">
        <v>122</v>
      </c>
      <c r="M478" s="218" t="s">
        <v>73</v>
      </c>
      <c r="N478" s="218">
        <v>187616</v>
      </c>
      <c r="O478" s="219"/>
      <c r="P478" s="219"/>
      <c r="Q478" s="219">
        <v>1</v>
      </c>
      <c r="R478" s="219"/>
      <c r="S478" s="220"/>
      <c r="T478" s="220">
        <v>46222</v>
      </c>
      <c r="U478" s="220">
        <v>46232</v>
      </c>
      <c r="V478" s="219" t="s">
        <v>290</v>
      </c>
      <c r="W478" s="223">
        <v>244.96</v>
      </c>
      <c r="X478" s="254">
        <f>Table2[[#This Row],[QUANTIDADE]]*Table2[[#This Row],[PREÇO UNITARIO]]</f>
        <v>244.96</v>
      </c>
      <c r="Y478" s="219"/>
      <c r="Z478" s="245">
        <f t="shared" si="14"/>
        <v>6</v>
      </c>
      <c r="AA478" s="237" t="s">
        <v>74</v>
      </c>
      <c r="AB478" s="17">
        <f t="shared" ca="1" si="17"/>
        <v>46235</v>
      </c>
      <c r="AC478" s="9">
        <f ca="1">_xlfn.DAYS(Table2[[#This Row],[HOJE]],Table2[[#This Row],[DATA PEDIDO HP]])</f>
        <v>54</v>
      </c>
      <c r="AD478" s="219" t="str">
        <f ca="1">IF(Table2[[#This Row],[STATUS2]]="ENTREGUE","ENTREGUE","")</f>
        <v/>
      </c>
      <c r="AE478" s="230" t="str">
        <f ca="1">IF(Table2[[#This Row],[HOLD]]&gt;30,"ATRASADO","NO PRAZO")</f>
        <v>ATRASADO</v>
      </c>
    </row>
    <row r="479" spans="1:31" ht="15" customHeight="1">
      <c r="A479" s="245" t="s">
        <v>1564</v>
      </c>
      <c r="B479" s="217">
        <v>46181</v>
      </c>
      <c r="C479" s="217">
        <v>46181</v>
      </c>
      <c r="D479" s="218" t="s">
        <v>1565</v>
      </c>
      <c r="E479" s="218" t="s">
        <v>191</v>
      </c>
      <c r="F479" s="218" t="s">
        <v>827</v>
      </c>
      <c r="G479" s="218">
        <v>60003071</v>
      </c>
      <c r="H479" s="218" t="s">
        <v>82</v>
      </c>
      <c r="I479" s="218" t="s">
        <v>974</v>
      </c>
      <c r="J479" s="218">
        <v>1</v>
      </c>
      <c r="K479" s="218" t="s">
        <v>37</v>
      </c>
      <c r="L479" s="218" t="s">
        <v>122</v>
      </c>
      <c r="M479" s="218" t="s">
        <v>81</v>
      </c>
      <c r="N479" s="218">
        <v>187946</v>
      </c>
      <c r="O479" s="219"/>
      <c r="P479" s="219"/>
      <c r="Q479" s="219">
        <v>1</v>
      </c>
      <c r="R479" s="219"/>
      <c r="S479" s="220">
        <v>46233</v>
      </c>
      <c r="T479" s="220">
        <v>46222</v>
      </c>
      <c r="U479" s="220">
        <v>46232</v>
      </c>
      <c r="V479" s="219" t="s">
        <v>290</v>
      </c>
      <c r="W479" s="223">
        <v>19.600000000000001</v>
      </c>
      <c r="X479" s="254">
        <f>Table2[[#This Row],[QUANTIDADE]]*Table2[[#This Row],[PREÇO UNITARIO]]</f>
        <v>19.600000000000001</v>
      </c>
      <c r="Y479" s="219"/>
      <c r="Z479" s="245">
        <f t="shared" si="14"/>
        <v>6</v>
      </c>
      <c r="AA479" s="219" t="s">
        <v>42</v>
      </c>
      <c r="AB479" s="17">
        <f t="shared" ca="1" si="17"/>
        <v>46235</v>
      </c>
      <c r="AC479" s="9">
        <f ca="1">_xlfn.DAYS(Table2[[#This Row],[HOJE]],Table2[[#This Row],[DATA PEDIDO HP]])</f>
        <v>54</v>
      </c>
      <c r="AD479" s="219" t="str">
        <f>IF(Table2[[#This Row],[STATUS2]]="ENTREGUE","ENTREGUE","")</f>
        <v>ENTREGUE</v>
      </c>
      <c r="AE479" s="219" t="s">
        <v>43</v>
      </c>
    </row>
    <row r="480" spans="1:31" ht="15" customHeight="1">
      <c r="A480" s="245" t="s">
        <v>1566</v>
      </c>
      <c r="B480" s="217">
        <v>46182</v>
      </c>
      <c r="C480" s="217">
        <v>46182</v>
      </c>
      <c r="D480" s="218" t="s">
        <v>1567</v>
      </c>
      <c r="E480" s="218" t="s">
        <v>365</v>
      </c>
      <c r="F480" s="218" t="s">
        <v>328</v>
      </c>
      <c r="G480" s="218">
        <v>50000530</v>
      </c>
      <c r="H480" s="218" t="s">
        <v>629</v>
      </c>
      <c r="I480" s="218" t="s">
        <v>1568</v>
      </c>
      <c r="J480" s="218">
        <v>1</v>
      </c>
      <c r="K480" s="218" t="s">
        <v>37</v>
      </c>
      <c r="L480" s="218" t="s">
        <v>122</v>
      </c>
      <c r="M480" s="218" t="s">
        <v>73</v>
      </c>
      <c r="N480" s="218">
        <v>188144</v>
      </c>
      <c r="O480" s="219"/>
      <c r="P480" s="219"/>
      <c r="Q480" s="219">
        <v>1</v>
      </c>
      <c r="R480" s="219"/>
      <c r="S480" s="220"/>
      <c r="T480" s="220">
        <v>46222</v>
      </c>
      <c r="U480" s="220">
        <v>46232</v>
      </c>
      <c r="V480" s="219" t="s">
        <v>290</v>
      </c>
      <c r="W480" s="223">
        <v>19.600000000000001</v>
      </c>
      <c r="X480" s="254">
        <f>Table2[[#This Row],[QUANTIDADE]]*Table2[[#This Row],[PREÇO UNITARIO]]</f>
        <v>19.600000000000001</v>
      </c>
      <c r="Y480" s="219"/>
      <c r="Z480" s="245">
        <f t="shared" si="14"/>
        <v>6</v>
      </c>
      <c r="AA480" s="237" t="s">
        <v>74</v>
      </c>
      <c r="AB480" s="17">
        <f t="shared" ca="1" si="17"/>
        <v>46235</v>
      </c>
      <c r="AC480" s="9">
        <f ca="1">_xlfn.DAYS(Table2[[#This Row],[HOJE]],Table2[[#This Row],[DATA PEDIDO HP]])</f>
        <v>53</v>
      </c>
      <c r="AD480" s="219" t="str">
        <f ca="1">IF(Table2[[#This Row],[STATUS2]]="ENTREGUE","ENTREGUE","")</f>
        <v/>
      </c>
      <c r="AE480" s="230" t="str">
        <f ca="1">IF(Table2[[#This Row],[HOLD]]&gt;30,"ATRASADO","NO PRAZO")</f>
        <v>ATRASADO</v>
      </c>
    </row>
    <row r="481" spans="1:31" ht="15" customHeight="1">
      <c r="A481" s="245" t="s">
        <v>1569</v>
      </c>
      <c r="B481" s="217">
        <v>46182</v>
      </c>
      <c r="C481" s="217">
        <v>46182</v>
      </c>
      <c r="D481" s="218" t="s">
        <v>1570</v>
      </c>
      <c r="E481" s="218" t="s">
        <v>162</v>
      </c>
      <c r="F481" s="218" t="s">
        <v>186</v>
      </c>
      <c r="G481" s="218">
        <v>44000216</v>
      </c>
      <c r="H481" s="218" t="s">
        <v>944</v>
      </c>
      <c r="I481" s="218" t="s">
        <v>1571</v>
      </c>
      <c r="J481" s="218">
        <v>1</v>
      </c>
      <c r="K481" s="218" t="s">
        <v>37</v>
      </c>
      <c r="L481" s="218" t="s">
        <v>122</v>
      </c>
      <c r="M481" s="218" t="s">
        <v>73</v>
      </c>
      <c r="N481" s="218">
        <v>188177</v>
      </c>
      <c r="O481" s="219"/>
      <c r="P481" s="219"/>
      <c r="Q481" s="219">
        <v>1</v>
      </c>
      <c r="R481" s="219"/>
      <c r="S481" s="220"/>
      <c r="T481" s="220">
        <v>46222</v>
      </c>
      <c r="U481" s="220">
        <v>46232</v>
      </c>
      <c r="V481" s="219" t="s">
        <v>290</v>
      </c>
      <c r="W481" s="223">
        <v>79.989999999999995</v>
      </c>
      <c r="X481" s="254">
        <f>Table2[[#This Row],[QUANTIDADE]]*Table2[[#This Row],[PREÇO UNITARIO]]</f>
        <v>79.989999999999995</v>
      </c>
      <c r="Y481" s="219"/>
      <c r="Z481" s="245">
        <f t="shared" si="14"/>
        <v>6</v>
      </c>
      <c r="AA481" s="237" t="s">
        <v>74</v>
      </c>
      <c r="AB481" s="17">
        <f t="shared" ca="1" si="17"/>
        <v>46235</v>
      </c>
      <c r="AC481" s="9">
        <f ca="1">_xlfn.DAYS(Table2[[#This Row],[HOJE]],Table2[[#This Row],[DATA PEDIDO HP]])</f>
        <v>53</v>
      </c>
      <c r="AD481" s="219" t="str">
        <f ca="1">IF(Table2[[#This Row],[STATUS2]]="ENTREGUE","ENTREGUE","")</f>
        <v/>
      </c>
      <c r="AE481" s="230" t="str">
        <f ca="1">IF(Table2[[#This Row],[HOLD]]&gt;30,"ATRASADO","NO PRAZO")</f>
        <v>ATRASADO</v>
      </c>
    </row>
    <row r="482" spans="1:31" ht="15" customHeight="1">
      <c r="A482" s="245" t="s">
        <v>1572</v>
      </c>
      <c r="B482" s="217">
        <v>46182</v>
      </c>
      <c r="C482" s="217">
        <v>46182</v>
      </c>
      <c r="D482" s="218" t="s">
        <v>1573</v>
      </c>
      <c r="E482" s="218" t="s">
        <v>298</v>
      </c>
      <c r="F482" s="218" t="s">
        <v>34</v>
      </c>
      <c r="G482" s="218">
        <v>50110261</v>
      </c>
      <c r="H482" s="218" t="s">
        <v>220</v>
      </c>
      <c r="I482" s="218" t="s">
        <v>221</v>
      </c>
      <c r="J482" s="218">
        <v>1</v>
      </c>
      <c r="K482" s="218" t="s">
        <v>37</v>
      </c>
      <c r="L482" s="218" t="s">
        <v>72</v>
      </c>
      <c r="M482" s="218" t="s">
        <v>73</v>
      </c>
      <c r="N482" s="218">
        <v>187352</v>
      </c>
      <c r="O482" s="219"/>
      <c r="P482" s="219"/>
      <c r="Q482" s="219">
        <v>1</v>
      </c>
      <c r="R482" s="219"/>
      <c r="S482" s="220"/>
      <c r="T482" s="220">
        <v>46222</v>
      </c>
      <c r="U482" s="220">
        <v>46232</v>
      </c>
      <c r="V482" s="219" t="s">
        <v>290</v>
      </c>
      <c r="W482" s="223">
        <v>274.36</v>
      </c>
      <c r="X482" s="254">
        <f>Table2[[#This Row],[QUANTIDADE]]*Table2[[#This Row],[PREÇO UNITARIO]]</f>
        <v>274.36</v>
      </c>
      <c r="Y482" s="219"/>
      <c r="Z482" s="245">
        <f t="shared" si="14"/>
        <v>6</v>
      </c>
      <c r="AA482" s="237" t="s">
        <v>74</v>
      </c>
      <c r="AB482" s="17">
        <f t="shared" ca="1" si="17"/>
        <v>46235</v>
      </c>
      <c r="AC482" s="9">
        <f ca="1">_xlfn.DAYS(Table2[[#This Row],[HOJE]],Table2[[#This Row],[DATA PEDIDO HP]])</f>
        <v>53</v>
      </c>
      <c r="AD482" s="219" t="str">
        <f ca="1">IF(Table2[[#This Row],[STATUS2]]="ENTREGUE","ENTREGUE","")</f>
        <v/>
      </c>
      <c r="AE482" s="230" t="str">
        <f ca="1">IF(Table2[[#This Row],[HOLD]]&gt;30,"ATRASADO","NO PRAZO")</f>
        <v>ATRASADO</v>
      </c>
    </row>
    <row r="483" spans="1:31" ht="15" customHeight="1">
      <c r="A483" s="229" t="s">
        <v>1574</v>
      </c>
      <c r="B483" s="217">
        <v>46183</v>
      </c>
      <c r="C483" s="217">
        <v>46183</v>
      </c>
      <c r="D483" s="218" t="s">
        <v>1575</v>
      </c>
      <c r="E483" s="218" t="s">
        <v>191</v>
      </c>
      <c r="F483" s="218" t="s">
        <v>827</v>
      </c>
      <c r="G483" s="218">
        <v>60003071</v>
      </c>
      <c r="H483" s="218" t="s">
        <v>1576</v>
      </c>
      <c r="I483" s="218" t="s">
        <v>1577</v>
      </c>
      <c r="J483" s="218">
        <v>1</v>
      </c>
      <c r="K483" s="218" t="s">
        <v>269</v>
      </c>
      <c r="L483" s="218" t="s">
        <v>1108</v>
      </c>
      <c r="M483" s="218" t="s">
        <v>39</v>
      </c>
      <c r="N483" s="218">
        <v>47894</v>
      </c>
      <c r="O483" s="219"/>
      <c r="P483" s="219"/>
      <c r="Q483" s="219">
        <v>0</v>
      </c>
      <c r="R483" s="219"/>
      <c r="S483" s="220">
        <v>46233</v>
      </c>
      <c r="T483" s="220">
        <v>46222</v>
      </c>
      <c r="U483" s="220">
        <v>46232</v>
      </c>
      <c r="V483" s="219" t="s">
        <v>290</v>
      </c>
      <c r="W483" s="223">
        <v>3006.52</v>
      </c>
      <c r="X483" s="254">
        <f>Table2[[#This Row],[QUANTIDADE]]*Table2[[#This Row],[PREÇO UNITARIO]]</f>
        <v>3006.52</v>
      </c>
      <c r="Y483" s="219"/>
      <c r="Z483" s="245">
        <f t="shared" si="14"/>
        <v>6</v>
      </c>
      <c r="AA483" s="219" t="s">
        <v>42</v>
      </c>
      <c r="AB483" s="17">
        <f t="shared" ca="1" si="17"/>
        <v>46235</v>
      </c>
      <c r="AC483" s="9">
        <f ca="1">_xlfn.DAYS(Table2[[#This Row],[HOJE]],Table2[[#This Row],[DATA PEDIDO HP]])</f>
        <v>52</v>
      </c>
      <c r="AD483" s="219" t="str">
        <f>IF(Table2[[#This Row],[STATUS2]]="ENTREGUE","ENTREGUE","")</f>
        <v>ENTREGUE</v>
      </c>
      <c r="AE483" s="219" t="s">
        <v>43</v>
      </c>
    </row>
    <row r="484" spans="1:31" ht="15" customHeight="1">
      <c r="A484" s="229" t="s">
        <v>1578</v>
      </c>
      <c r="B484" s="217">
        <v>46184</v>
      </c>
      <c r="C484" s="217">
        <v>46183</v>
      </c>
      <c r="D484" s="218" t="s">
        <v>1579</v>
      </c>
      <c r="E484" s="218" t="s">
        <v>33</v>
      </c>
      <c r="F484" s="218" t="s">
        <v>34</v>
      </c>
      <c r="G484" s="218">
        <v>50110372</v>
      </c>
      <c r="H484" s="218" t="s">
        <v>216</v>
      </c>
      <c r="I484" s="218" t="s">
        <v>1580</v>
      </c>
      <c r="J484" s="218">
        <v>1</v>
      </c>
      <c r="K484" s="218" t="s">
        <v>37</v>
      </c>
      <c r="L484" s="218" t="s">
        <v>122</v>
      </c>
      <c r="M484" s="218" t="s">
        <v>73</v>
      </c>
      <c r="N484" s="218">
        <v>188342</v>
      </c>
      <c r="O484" s="219"/>
      <c r="P484" s="219"/>
      <c r="Q484" s="219">
        <v>1</v>
      </c>
      <c r="R484" s="219"/>
      <c r="S484" s="220"/>
      <c r="T484" s="220">
        <v>46222</v>
      </c>
      <c r="U484" s="220">
        <v>46232</v>
      </c>
      <c r="V484" s="219" t="s">
        <v>290</v>
      </c>
      <c r="W484" s="223">
        <v>1187.4100000000001</v>
      </c>
      <c r="X484" s="254">
        <f>Table2[[#This Row],[QUANTIDADE]]*Table2[[#This Row],[PREÇO UNITARIO]]</f>
        <v>1187.4100000000001</v>
      </c>
      <c r="Y484" s="219"/>
      <c r="Z484" s="245">
        <f t="shared" si="14"/>
        <v>6</v>
      </c>
      <c r="AA484" s="219" t="s">
        <v>42</v>
      </c>
      <c r="AB484" s="17">
        <f t="shared" ca="1" si="17"/>
        <v>46235</v>
      </c>
      <c r="AC484" s="9">
        <f ca="1">_xlfn.DAYS(Table2[[#This Row],[HOJE]],Table2[[#This Row],[DATA PEDIDO HP]])</f>
        <v>51</v>
      </c>
      <c r="AD484" s="219" t="str">
        <f ca="1">IF(Table2[[#This Row],[STATUS2]]="ENTREGUE","ENTREGUE","")</f>
        <v/>
      </c>
      <c r="AE484" s="230" t="str">
        <f ca="1">IF(Table2[[#This Row],[HOLD]]&gt;30,"ATRASADO","NO PRAZO")</f>
        <v>ATRASADO</v>
      </c>
    </row>
    <row r="485" spans="1:31" ht="15" customHeight="1">
      <c r="A485" s="229" t="s">
        <v>1578</v>
      </c>
      <c r="B485" s="217">
        <v>46184</v>
      </c>
      <c r="C485" s="217">
        <v>46183</v>
      </c>
      <c r="D485" s="218" t="s">
        <v>1579</v>
      </c>
      <c r="E485" s="218" t="s">
        <v>33</v>
      </c>
      <c r="F485" s="218" t="s">
        <v>34</v>
      </c>
      <c r="G485" s="218">
        <v>50110372</v>
      </c>
      <c r="H485" s="218" t="s">
        <v>1581</v>
      </c>
      <c r="I485" s="218" t="s">
        <v>1582</v>
      </c>
      <c r="J485" s="218">
        <v>1</v>
      </c>
      <c r="K485" s="218" t="s">
        <v>37</v>
      </c>
      <c r="L485" s="218" t="s">
        <v>122</v>
      </c>
      <c r="M485" s="218" t="s">
        <v>39</v>
      </c>
      <c r="N485" s="218">
        <v>188342</v>
      </c>
      <c r="O485" s="219"/>
      <c r="P485" s="219"/>
      <c r="Q485" s="219">
        <v>1</v>
      </c>
      <c r="R485" s="219"/>
      <c r="S485" s="220"/>
      <c r="T485" s="220">
        <v>46222</v>
      </c>
      <c r="U485" s="220">
        <v>46232</v>
      </c>
      <c r="V485" s="219" t="s">
        <v>290</v>
      </c>
      <c r="W485" s="223">
        <v>162.54</v>
      </c>
      <c r="X485" s="254">
        <f>Table2[[#This Row],[QUANTIDADE]]*Table2[[#This Row],[PREÇO UNITARIO]]</f>
        <v>162.54</v>
      </c>
      <c r="Y485" s="219"/>
      <c r="Z485" s="245">
        <f t="shared" si="14"/>
        <v>6</v>
      </c>
      <c r="AA485" s="219" t="s">
        <v>42</v>
      </c>
      <c r="AB485" s="17">
        <f t="shared" ca="1" si="17"/>
        <v>46235</v>
      </c>
      <c r="AC485" s="9">
        <f ca="1">_xlfn.DAYS(Table2[[#This Row],[HOJE]],Table2[[#This Row],[DATA PEDIDO HP]])</f>
        <v>51</v>
      </c>
      <c r="AD485" s="219" t="str">
        <f ca="1">IF(Table2[[#This Row],[STATUS2]]="ENTREGUE","ENTREGUE","")</f>
        <v/>
      </c>
      <c r="AE485" s="230" t="str">
        <f ca="1">IF(Table2[[#This Row],[HOLD]]&gt;30,"ATRASADO","NO PRAZO")</f>
        <v>ATRASADO</v>
      </c>
    </row>
    <row r="486" spans="1:31" ht="15" customHeight="1">
      <c r="A486" s="229" t="s">
        <v>1583</v>
      </c>
      <c r="B486" s="217">
        <v>46184</v>
      </c>
      <c r="C486" s="217">
        <v>46184</v>
      </c>
      <c r="D486" s="218" t="s">
        <v>1584</v>
      </c>
      <c r="E486" s="218" t="s">
        <v>69</v>
      </c>
      <c r="F486" s="218" t="s">
        <v>34</v>
      </c>
      <c r="G486" s="218">
        <v>50200095</v>
      </c>
      <c r="H486" s="218" t="s">
        <v>70</v>
      </c>
      <c r="I486" s="218" t="s">
        <v>352</v>
      </c>
      <c r="J486" s="218">
        <v>1</v>
      </c>
      <c r="K486" s="218" t="s">
        <v>37</v>
      </c>
      <c r="L486" s="218" t="s">
        <v>122</v>
      </c>
      <c r="M486" s="218" t="s">
        <v>81</v>
      </c>
      <c r="N486" s="218">
        <v>188540</v>
      </c>
      <c r="O486" s="219"/>
      <c r="P486" s="219"/>
      <c r="Q486" s="219">
        <v>1</v>
      </c>
      <c r="R486" s="219"/>
      <c r="S486" s="220"/>
      <c r="T486" s="220">
        <v>46222</v>
      </c>
      <c r="U486" s="220">
        <v>46232</v>
      </c>
      <c r="V486" s="219" t="s">
        <v>290</v>
      </c>
      <c r="W486" s="223">
        <v>35.159999999999997</v>
      </c>
      <c r="X486" s="254">
        <f>Table2[[#This Row],[QUANTIDADE]]*Table2[[#This Row],[PREÇO UNITARIO]]</f>
        <v>35.159999999999997</v>
      </c>
      <c r="Y486" s="219"/>
      <c r="Z486" s="245">
        <f t="shared" si="14"/>
        <v>6</v>
      </c>
      <c r="AA486" s="237" t="s">
        <v>74</v>
      </c>
      <c r="AB486" s="17">
        <f t="shared" ca="1" si="17"/>
        <v>46235</v>
      </c>
      <c r="AC486" s="9">
        <f ca="1">_xlfn.DAYS(Table2[[#This Row],[HOJE]],Table2[[#This Row],[DATA PEDIDO HP]])</f>
        <v>51</v>
      </c>
      <c r="AD486" s="219" t="str">
        <f ca="1">IF(Table2[[#This Row],[STATUS2]]="ENTREGUE","ENTREGUE","")</f>
        <v/>
      </c>
      <c r="AE486" s="230" t="str">
        <f ca="1">IF(Table2[[#This Row],[HOLD]]&gt;30,"ATRASADO","NO PRAZO")</f>
        <v>ATRASADO</v>
      </c>
    </row>
    <row r="487" spans="1:31" ht="15" customHeight="1">
      <c r="A487" s="229" t="s">
        <v>1585</v>
      </c>
      <c r="B487" s="217">
        <v>46184</v>
      </c>
      <c r="C487" s="217">
        <v>46184</v>
      </c>
      <c r="D487" s="218" t="s">
        <v>1586</v>
      </c>
      <c r="E487" s="218" t="s">
        <v>777</v>
      </c>
      <c r="F487" s="218" t="s">
        <v>778</v>
      </c>
      <c r="G487" s="218">
        <v>41000142</v>
      </c>
      <c r="H487" s="218" t="s">
        <v>1587</v>
      </c>
      <c r="I487" s="218" t="s">
        <v>1588</v>
      </c>
      <c r="J487" s="218">
        <v>1</v>
      </c>
      <c r="K487" s="218" t="s">
        <v>37</v>
      </c>
      <c r="L487" s="218" t="s">
        <v>72</v>
      </c>
      <c r="M487" s="218" t="s">
        <v>39</v>
      </c>
      <c r="N487" s="218">
        <v>182336</v>
      </c>
      <c r="O487" s="219"/>
      <c r="P487" s="219"/>
      <c r="Q487" s="219">
        <v>1</v>
      </c>
      <c r="R487" s="219"/>
      <c r="S487" s="220"/>
      <c r="T487" s="220">
        <v>46222</v>
      </c>
      <c r="U487" s="220">
        <v>46232</v>
      </c>
      <c r="V487" s="219" t="s">
        <v>290</v>
      </c>
      <c r="W487" s="223">
        <v>27.76</v>
      </c>
      <c r="X487" s="254">
        <f>Table2[[#This Row],[QUANTIDADE]]*Table2[[#This Row],[PREÇO UNITARIO]]</f>
        <v>27.76</v>
      </c>
      <c r="Y487" s="219"/>
      <c r="Z487" s="245">
        <f t="shared" si="14"/>
        <v>6</v>
      </c>
      <c r="AA487" s="237" t="s">
        <v>74</v>
      </c>
      <c r="AB487" s="17">
        <f t="shared" ca="1" si="17"/>
        <v>46235</v>
      </c>
      <c r="AC487" s="9">
        <f ca="1">_xlfn.DAYS(Table2[[#This Row],[HOJE]],Table2[[#This Row],[DATA PEDIDO HP]])</f>
        <v>51</v>
      </c>
      <c r="AD487" s="219" t="str">
        <f ca="1">IF(Table2[[#This Row],[STATUS2]]="ENTREGUE","ENTREGUE","")</f>
        <v/>
      </c>
      <c r="AE487" s="230" t="str">
        <f ca="1">IF(Table2[[#This Row],[HOLD]]&gt;30,"ATRASADO","NO PRAZO")</f>
        <v>ATRASADO</v>
      </c>
    </row>
    <row r="488" spans="1:31" ht="15" customHeight="1">
      <c r="A488" s="229" t="s">
        <v>1585</v>
      </c>
      <c r="B488" s="217">
        <v>46184</v>
      </c>
      <c r="C488" s="217">
        <v>46184</v>
      </c>
      <c r="D488" s="218" t="s">
        <v>1586</v>
      </c>
      <c r="E488" s="218" t="s">
        <v>777</v>
      </c>
      <c r="F488" s="218" t="s">
        <v>778</v>
      </c>
      <c r="G488" s="218">
        <v>41000142</v>
      </c>
      <c r="H488" s="218" t="s">
        <v>1589</v>
      </c>
      <c r="I488" s="218" t="s">
        <v>1590</v>
      </c>
      <c r="J488" s="218">
        <v>1</v>
      </c>
      <c r="K488" s="218" t="s">
        <v>37</v>
      </c>
      <c r="L488" s="218" t="s">
        <v>72</v>
      </c>
      <c r="M488" s="218" t="s">
        <v>39</v>
      </c>
      <c r="N488" s="218">
        <v>182336</v>
      </c>
      <c r="O488" s="219"/>
      <c r="P488" s="219"/>
      <c r="Q488" s="219">
        <v>1</v>
      </c>
      <c r="R488" s="219"/>
      <c r="S488" s="220"/>
      <c r="T488" s="220"/>
      <c r="U488" s="220"/>
      <c r="V488" s="219"/>
      <c r="W488" s="223">
        <v>21.6</v>
      </c>
      <c r="X488" s="254">
        <f>Table2[[#This Row],[QUANTIDADE]]*Table2[[#This Row],[PREÇO UNITARIO]]</f>
        <v>21.6</v>
      </c>
      <c r="Y488" s="219"/>
      <c r="Z488" s="245">
        <f t="shared" si="14"/>
        <v>6</v>
      </c>
      <c r="AA488" s="237" t="s">
        <v>74</v>
      </c>
      <c r="AB488" s="17">
        <f t="shared" ca="1" si="17"/>
        <v>46235</v>
      </c>
      <c r="AC488" s="9">
        <f ca="1">_xlfn.DAYS(Table2[[#This Row],[HOJE]],Table2[[#This Row],[DATA PEDIDO HP]])</f>
        <v>51</v>
      </c>
      <c r="AD488" s="219" t="str">
        <f ca="1">IF(Table2[[#This Row],[STATUS2]]="ENTREGUE","ENTREGUE","")</f>
        <v/>
      </c>
      <c r="AE488" s="230" t="str">
        <f ca="1">IF(Table2[[#This Row],[HOLD]]&gt;30,"ATRASADO","NO PRAZO")</f>
        <v>ATRASADO</v>
      </c>
    </row>
    <row r="489" spans="1:31" ht="15" customHeight="1">
      <c r="A489" s="229" t="s">
        <v>1585</v>
      </c>
      <c r="B489" s="217">
        <v>46184</v>
      </c>
      <c r="C489" s="217">
        <v>46184</v>
      </c>
      <c r="D489" s="218" t="s">
        <v>1586</v>
      </c>
      <c r="E489" s="218" t="s">
        <v>777</v>
      </c>
      <c r="F489" s="218" t="s">
        <v>778</v>
      </c>
      <c r="G489" s="218">
        <v>41000142</v>
      </c>
      <c r="H489" s="218" t="s">
        <v>1591</v>
      </c>
      <c r="I489" s="218" t="s">
        <v>1592</v>
      </c>
      <c r="J489" s="218">
        <v>1</v>
      </c>
      <c r="K489" s="218" t="s">
        <v>37</v>
      </c>
      <c r="L489" s="218" t="s">
        <v>72</v>
      </c>
      <c r="M489" s="218" t="s">
        <v>39</v>
      </c>
      <c r="N489" s="218">
        <v>182336</v>
      </c>
      <c r="O489" s="219"/>
      <c r="P489" s="219"/>
      <c r="Q489" s="219">
        <v>1</v>
      </c>
      <c r="R489" s="219"/>
      <c r="S489" s="220"/>
      <c r="T489" s="220">
        <v>46222</v>
      </c>
      <c r="U489" s="220">
        <v>46232</v>
      </c>
      <c r="V489" s="219" t="s">
        <v>290</v>
      </c>
      <c r="W489" s="223">
        <v>40.83</v>
      </c>
      <c r="X489" s="254">
        <f>Table2[[#This Row],[QUANTIDADE]]*Table2[[#This Row],[PREÇO UNITARIO]]</f>
        <v>40.83</v>
      </c>
      <c r="Y489" s="219"/>
      <c r="Z489" s="245">
        <f t="shared" si="14"/>
        <v>6</v>
      </c>
      <c r="AA489" s="237" t="s">
        <v>74</v>
      </c>
      <c r="AB489" s="17">
        <f t="shared" ca="1" si="17"/>
        <v>46235</v>
      </c>
      <c r="AC489" s="9">
        <f ca="1">_xlfn.DAYS(Table2[[#This Row],[HOJE]],Table2[[#This Row],[DATA PEDIDO HP]])</f>
        <v>51</v>
      </c>
      <c r="AD489" s="219" t="str">
        <f ca="1">IF(Table2[[#This Row],[STATUS2]]="ENTREGUE","ENTREGUE","")</f>
        <v/>
      </c>
      <c r="AE489" s="230" t="str">
        <f ca="1">IF(Table2[[#This Row],[HOLD]]&gt;30,"ATRASADO","NO PRAZO")</f>
        <v>ATRASADO</v>
      </c>
    </row>
    <row r="490" spans="1:31" ht="15" customHeight="1">
      <c r="A490" s="229" t="s">
        <v>1585</v>
      </c>
      <c r="B490" s="217">
        <v>46184</v>
      </c>
      <c r="C490" s="217">
        <v>46184</v>
      </c>
      <c r="D490" s="218" t="s">
        <v>1586</v>
      </c>
      <c r="E490" s="218" t="s">
        <v>777</v>
      </c>
      <c r="F490" s="218" t="s">
        <v>778</v>
      </c>
      <c r="G490" s="218">
        <v>41000142</v>
      </c>
      <c r="H490" s="218" t="s">
        <v>1593</v>
      </c>
      <c r="I490" s="218" t="s">
        <v>1594</v>
      </c>
      <c r="J490" s="218">
        <v>1</v>
      </c>
      <c r="K490" s="218" t="s">
        <v>37</v>
      </c>
      <c r="L490" s="218" t="s">
        <v>72</v>
      </c>
      <c r="M490" s="218" t="s">
        <v>39</v>
      </c>
      <c r="N490" s="218">
        <v>182336</v>
      </c>
      <c r="O490" s="219"/>
      <c r="P490" s="219"/>
      <c r="Q490" s="219">
        <v>0</v>
      </c>
      <c r="R490" s="219"/>
      <c r="S490" s="220"/>
      <c r="T490" s="220">
        <v>46222</v>
      </c>
      <c r="U490" s="220">
        <v>46232</v>
      </c>
      <c r="V490" s="219" t="s">
        <v>290</v>
      </c>
      <c r="W490" s="223">
        <v>106.15</v>
      </c>
      <c r="X490" s="254">
        <f>Table2[[#This Row],[QUANTIDADE]]*Table2[[#This Row],[PREÇO UNITARIO]]</f>
        <v>106.15</v>
      </c>
      <c r="Y490" s="219"/>
      <c r="Z490" s="245">
        <f t="shared" si="14"/>
        <v>6</v>
      </c>
      <c r="AA490" s="237" t="s">
        <v>74</v>
      </c>
      <c r="AB490" s="17">
        <f t="shared" ca="1" si="17"/>
        <v>46235</v>
      </c>
      <c r="AC490" s="9">
        <f ca="1">_xlfn.DAYS(Table2[[#This Row],[HOJE]],Table2[[#This Row],[DATA PEDIDO HP]])</f>
        <v>51</v>
      </c>
      <c r="AD490" s="219" t="str">
        <f ca="1">IF(Table2[[#This Row],[STATUS2]]="ENTREGUE","ENTREGUE","")</f>
        <v/>
      </c>
      <c r="AE490" s="230" t="str">
        <f ca="1">IF(Table2[[#This Row],[HOLD]]&gt;30,"ATRASADO","NO PRAZO")</f>
        <v>ATRASADO</v>
      </c>
    </row>
    <row r="491" spans="1:31" ht="15" customHeight="1">
      <c r="A491" s="229" t="s">
        <v>1585</v>
      </c>
      <c r="B491" s="217">
        <v>46184</v>
      </c>
      <c r="C491" s="217">
        <v>46184</v>
      </c>
      <c r="D491" s="218" t="s">
        <v>1586</v>
      </c>
      <c r="E491" s="218" t="s">
        <v>777</v>
      </c>
      <c r="F491" s="218" t="s">
        <v>778</v>
      </c>
      <c r="G491" s="218">
        <v>41000142</v>
      </c>
      <c r="H491" s="218" t="s">
        <v>1595</v>
      </c>
      <c r="I491" s="218" t="s">
        <v>1596</v>
      </c>
      <c r="J491" s="218">
        <v>1</v>
      </c>
      <c r="K491" s="218" t="s">
        <v>37</v>
      </c>
      <c r="L491" s="218" t="s">
        <v>72</v>
      </c>
      <c r="M491" s="218" t="s">
        <v>39</v>
      </c>
      <c r="N491" s="218">
        <v>182336</v>
      </c>
      <c r="O491" s="219"/>
      <c r="P491" s="219"/>
      <c r="Q491" s="219">
        <v>1</v>
      </c>
      <c r="R491" s="219"/>
      <c r="S491" s="220"/>
      <c r="T491" s="220">
        <v>46222</v>
      </c>
      <c r="U491" s="220">
        <v>46232</v>
      </c>
      <c r="V491" s="219" t="s">
        <v>290</v>
      </c>
      <c r="W491" s="223">
        <v>62.58</v>
      </c>
      <c r="X491" s="254">
        <f>Table2[[#This Row],[QUANTIDADE]]*Table2[[#This Row],[PREÇO UNITARIO]]</f>
        <v>62.58</v>
      </c>
      <c r="Y491" s="219"/>
      <c r="Z491" s="245">
        <f t="shared" si="14"/>
        <v>6</v>
      </c>
      <c r="AA491" s="237" t="s">
        <v>74</v>
      </c>
      <c r="AB491" s="17">
        <f t="shared" ca="1" si="17"/>
        <v>46235</v>
      </c>
      <c r="AC491" s="9">
        <f ca="1">_xlfn.DAYS(Table2[[#This Row],[HOJE]],Table2[[#This Row],[DATA PEDIDO HP]])</f>
        <v>51</v>
      </c>
      <c r="AD491" s="219" t="str">
        <f ca="1">IF(Table2[[#This Row],[STATUS2]]="ENTREGUE","ENTREGUE","")</f>
        <v/>
      </c>
      <c r="AE491" s="230" t="str">
        <f ca="1">IF(Table2[[#This Row],[HOLD]]&gt;30,"ATRASADO","NO PRAZO")</f>
        <v>ATRASADO</v>
      </c>
    </row>
    <row r="492" spans="1:31" ht="15" customHeight="1">
      <c r="A492" s="229" t="s">
        <v>1597</v>
      </c>
      <c r="B492" s="217">
        <v>46185</v>
      </c>
      <c r="C492" s="217">
        <v>46185</v>
      </c>
      <c r="D492" s="218" t="s">
        <v>1598</v>
      </c>
      <c r="E492" s="218" t="s">
        <v>134</v>
      </c>
      <c r="F492" s="218" t="s">
        <v>140</v>
      </c>
      <c r="G492" s="218">
        <v>48300301</v>
      </c>
      <c r="H492" s="218" t="s">
        <v>1599</v>
      </c>
      <c r="I492" s="218" t="s">
        <v>1600</v>
      </c>
      <c r="J492" s="218">
        <v>1</v>
      </c>
      <c r="K492" s="218" t="s">
        <v>37</v>
      </c>
      <c r="L492" s="218" t="s">
        <v>122</v>
      </c>
      <c r="M492" s="218" t="s">
        <v>39</v>
      </c>
      <c r="N492" s="218">
        <v>188903</v>
      </c>
      <c r="O492" s="219"/>
      <c r="P492" s="219"/>
      <c r="Q492" s="219">
        <v>1</v>
      </c>
      <c r="R492" s="219"/>
      <c r="S492" s="220"/>
      <c r="T492" s="220">
        <v>46222</v>
      </c>
      <c r="U492" s="220">
        <v>46232</v>
      </c>
      <c r="V492" s="219" t="s">
        <v>290</v>
      </c>
      <c r="W492" s="223">
        <v>274.36</v>
      </c>
      <c r="X492" s="254">
        <f>Table2[[#This Row],[QUANTIDADE]]*Table2[[#This Row],[PREÇO UNITARIO]]</f>
        <v>274.36</v>
      </c>
      <c r="Y492" s="219"/>
      <c r="Z492" s="245">
        <f t="shared" si="14"/>
        <v>6</v>
      </c>
      <c r="AA492" s="237" t="s">
        <v>74</v>
      </c>
      <c r="AB492" s="17">
        <f t="shared" ca="1" si="17"/>
        <v>46235</v>
      </c>
      <c r="AC492" s="9">
        <f ca="1">_xlfn.DAYS(Table2[[#This Row],[HOJE]],Table2[[#This Row],[DATA PEDIDO HP]])</f>
        <v>50</v>
      </c>
      <c r="AD492" s="219" t="str">
        <f ca="1">IF(Table2[[#This Row],[STATUS2]]="ENTREGUE","ENTREGUE","")</f>
        <v/>
      </c>
      <c r="AE492" s="230" t="str">
        <f ca="1">IF(Table2[[#This Row],[HOLD]]&gt;30,"ATRASADO","NO PRAZO")</f>
        <v>ATRASADO</v>
      </c>
    </row>
    <row r="493" spans="1:31" ht="15" customHeight="1">
      <c r="A493" s="229" t="s">
        <v>1601</v>
      </c>
      <c r="B493" s="217">
        <v>46185</v>
      </c>
      <c r="C493" s="217">
        <v>46185</v>
      </c>
      <c r="D493" s="218" t="s">
        <v>1602</v>
      </c>
      <c r="E493" s="218" t="s">
        <v>570</v>
      </c>
      <c r="F493" s="218" t="s">
        <v>571</v>
      </c>
      <c r="G493" s="218">
        <v>50510045</v>
      </c>
      <c r="H493" s="218" t="s">
        <v>79</v>
      </c>
      <c r="I493" s="218" t="s">
        <v>1059</v>
      </c>
      <c r="J493" s="218">
        <v>1</v>
      </c>
      <c r="K493" s="218" t="s">
        <v>37</v>
      </c>
      <c r="L493" s="218" t="s">
        <v>122</v>
      </c>
      <c r="M493" s="218" t="s">
        <v>81</v>
      </c>
      <c r="N493" s="218">
        <v>188936</v>
      </c>
      <c r="O493" s="219"/>
      <c r="P493" s="219"/>
      <c r="Q493" s="219">
        <v>1</v>
      </c>
      <c r="R493" s="219"/>
      <c r="S493" s="220"/>
      <c r="T493" s="220">
        <v>46222</v>
      </c>
      <c r="U493" s="220">
        <v>46232</v>
      </c>
      <c r="V493" s="219" t="s">
        <v>290</v>
      </c>
      <c r="W493" s="223">
        <v>42.46</v>
      </c>
      <c r="X493" s="254">
        <f>Table2[[#This Row],[QUANTIDADE]]*Table2[[#This Row],[PREÇO UNITARIO]]</f>
        <v>42.46</v>
      </c>
      <c r="Y493" s="219"/>
      <c r="Z493" s="245">
        <f t="shared" si="14"/>
        <v>6</v>
      </c>
      <c r="AA493" s="219" t="s">
        <v>42</v>
      </c>
      <c r="AB493" s="17">
        <f t="shared" ca="1" si="17"/>
        <v>46235</v>
      </c>
      <c r="AC493" s="9">
        <f ca="1">_xlfn.DAYS(Table2[[#This Row],[HOJE]],Table2[[#This Row],[DATA PEDIDO HP]])</f>
        <v>50</v>
      </c>
      <c r="AD493" s="219" t="str">
        <f ca="1">IF(Table2[[#This Row],[STATUS2]]="ENTREGUE","ENTREGUE","")</f>
        <v/>
      </c>
      <c r="AE493" s="230" t="str">
        <f ca="1">IF(Table2[[#This Row],[HOLD]]&gt;30,"ATRASADO","NO PRAZO")</f>
        <v>ATRASADO</v>
      </c>
    </row>
    <row r="494" spans="1:31" ht="15" customHeight="1">
      <c r="A494" s="229" t="s">
        <v>1601</v>
      </c>
      <c r="B494" s="217">
        <v>46185</v>
      </c>
      <c r="C494" s="217">
        <v>46185</v>
      </c>
      <c r="D494" s="218" t="s">
        <v>1602</v>
      </c>
      <c r="E494" s="218" t="s">
        <v>570</v>
      </c>
      <c r="F494" s="218" t="s">
        <v>571</v>
      </c>
      <c r="G494" s="218">
        <v>50510045</v>
      </c>
      <c r="H494" s="218" t="s">
        <v>82</v>
      </c>
      <c r="I494" s="218" t="s">
        <v>974</v>
      </c>
      <c r="J494" s="218">
        <v>1</v>
      </c>
      <c r="K494" s="218" t="s">
        <v>37</v>
      </c>
      <c r="L494" s="218" t="s">
        <v>122</v>
      </c>
      <c r="M494" s="218" t="s">
        <v>81</v>
      </c>
      <c r="N494" s="218">
        <v>188936</v>
      </c>
      <c r="O494" s="219"/>
      <c r="P494" s="219"/>
      <c r="Q494" s="219">
        <v>1</v>
      </c>
      <c r="R494" s="219"/>
      <c r="S494" s="220"/>
      <c r="T494" s="220">
        <v>46222</v>
      </c>
      <c r="U494" s="220">
        <v>46232</v>
      </c>
      <c r="V494" s="219" t="s">
        <v>290</v>
      </c>
      <c r="W494" s="223">
        <v>19.600000000000001</v>
      </c>
      <c r="X494" s="254">
        <f>Table2[[#This Row],[QUANTIDADE]]*Table2[[#This Row],[PREÇO UNITARIO]]</f>
        <v>19.600000000000001</v>
      </c>
      <c r="Y494" s="219"/>
      <c r="Z494" s="245">
        <f t="shared" si="14"/>
        <v>6</v>
      </c>
      <c r="AA494" s="219" t="s">
        <v>42</v>
      </c>
      <c r="AB494" s="17">
        <f t="shared" ca="1" si="17"/>
        <v>46235</v>
      </c>
      <c r="AC494" s="9">
        <f ca="1">_xlfn.DAYS(Table2[[#This Row],[HOJE]],Table2[[#This Row],[DATA PEDIDO HP]])</f>
        <v>50</v>
      </c>
      <c r="AD494" s="219" t="str">
        <f ca="1">IF(Table2[[#This Row],[STATUS2]]="ENTREGUE","ENTREGUE","")</f>
        <v/>
      </c>
      <c r="AE494" s="230" t="str">
        <f ca="1">IF(Table2[[#This Row],[HOLD]]&gt;30,"ATRASADO","NO PRAZO")</f>
        <v>ATRASADO</v>
      </c>
    </row>
    <row r="495" spans="1:31" ht="15" customHeight="1">
      <c r="A495" s="229" t="s">
        <v>1603</v>
      </c>
      <c r="B495" s="217">
        <v>46185</v>
      </c>
      <c r="C495" s="217">
        <v>46185</v>
      </c>
      <c r="D495" s="218" t="s">
        <v>1604</v>
      </c>
      <c r="E495" s="218" t="s">
        <v>154</v>
      </c>
      <c r="F495" s="218" t="s">
        <v>145</v>
      </c>
      <c r="G495" s="218">
        <v>48000044</v>
      </c>
      <c r="H495" s="218" t="s">
        <v>699</v>
      </c>
      <c r="I495" s="218" t="s">
        <v>700</v>
      </c>
      <c r="J495" s="218">
        <v>1</v>
      </c>
      <c r="K495" s="218" t="s">
        <v>37</v>
      </c>
      <c r="L495" s="218" t="s">
        <v>72</v>
      </c>
      <c r="M495" s="218" t="s">
        <v>73</v>
      </c>
      <c r="N495" s="218">
        <v>188738</v>
      </c>
      <c r="O495" s="219"/>
      <c r="P495" s="219"/>
      <c r="Q495" s="219">
        <v>1</v>
      </c>
      <c r="R495" s="219" t="s">
        <v>1605</v>
      </c>
      <c r="S495" s="220"/>
      <c r="T495" s="220">
        <v>46222</v>
      </c>
      <c r="U495" s="220">
        <v>46232</v>
      </c>
      <c r="V495" s="219" t="s">
        <v>290</v>
      </c>
      <c r="W495" s="223">
        <v>142.08000000000001</v>
      </c>
      <c r="X495" s="254">
        <f>Table2[[#This Row],[QUANTIDADE]]*Table2[[#This Row],[PREÇO UNITARIO]]</f>
        <v>142.08000000000001</v>
      </c>
      <c r="Y495" s="219"/>
      <c r="Z495" s="245">
        <f t="shared" si="14"/>
        <v>6</v>
      </c>
      <c r="AA495" s="237" t="s">
        <v>74</v>
      </c>
      <c r="AB495" s="17">
        <f t="shared" ca="1" si="17"/>
        <v>46235</v>
      </c>
      <c r="AC495" s="9">
        <f ca="1">_xlfn.DAYS(Table2[[#This Row],[HOJE]],Table2[[#This Row],[DATA PEDIDO HP]])</f>
        <v>50</v>
      </c>
      <c r="AD495" s="219" t="str">
        <f ca="1">IF(Table2[[#This Row],[STATUS2]]="ENTREGUE","ENTREGUE","")</f>
        <v/>
      </c>
      <c r="AE495" s="230" t="str">
        <f ca="1">IF(Table2[[#This Row],[HOLD]]&gt;30,"ATRASADO","NO PRAZO")</f>
        <v>ATRASADO</v>
      </c>
    </row>
    <row r="496" spans="1:31" ht="15" customHeight="1">
      <c r="A496" s="229" t="s">
        <v>1606</v>
      </c>
      <c r="B496" s="217">
        <v>46185</v>
      </c>
      <c r="C496" s="217">
        <v>46185</v>
      </c>
      <c r="D496" s="218" t="s">
        <v>1607</v>
      </c>
      <c r="E496" s="218" t="s">
        <v>191</v>
      </c>
      <c r="F496" s="218" t="s">
        <v>95</v>
      </c>
      <c r="G496" s="218">
        <v>60001111</v>
      </c>
      <c r="H496" s="218" t="s">
        <v>1154</v>
      </c>
      <c r="I496" s="218" t="s">
        <v>1608</v>
      </c>
      <c r="J496" s="218">
        <v>2</v>
      </c>
      <c r="K496" s="218" t="s">
        <v>37</v>
      </c>
      <c r="L496" s="218" t="s">
        <v>72</v>
      </c>
      <c r="M496" s="218" t="s">
        <v>39</v>
      </c>
      <c r="N496" s="218">
        <v>186791</v>
      </c>
      <c r="O496" s="219"/>
      <c r="P496" s="219"/>
      <c r="Q496" s="219">
        <v>2</v>
      </c>
      <c r="R496" s="219"/>
      <c r="S496" s="220">
        <v>46233</v>
      </c>
      <c r="T496" s="220">
        <v>46222</v>
      </c>
      <c r="U496" s="220">
        <v>46232</v>
      </c>
      <c r="V496" s="219" t="s">
        <v>290</v>
      </c>
      <c r="W496" s="223">
        <v>359.28</v>
      </c>
      <c r="X496" s="254">
        <f>Table2[[#This Row],[QUANTIDADE]]*Table2[[#This Row],[PREÇO UNITARIO]]</f>
        <v>718.56</v>
      </c>
      <c r="Y496" s="219"/>
      <c r="Z496" s="245">
        <f t="shared" si="14"/>
        <v>6</v>
      </c>
      <c r="AA496" s="219" t="s">
        <v>42</v>
      </c>
      <c r="AB496" s="17">
        <f t="shared" ca="1" si="17"/>
        <v>46235</v>
      </c>
      <c r="AC496" s="9">
        <f ca="1">_xlfn.DAYS(Table2[[#This Row],[HOJE]],Table2[[#This Row],[DATA PEDIDO HP]])</f>
        <v>50</v>
      </c>
      <c r="AD496" s="219" t="str">
        <f>IF(Table2[[#This Row],[STATUS2]]="ENTREGUE","ENTREGUE","")</f>
        <v>ENTREGUE</v>
      </c>
      <c r="AE496" s="219" t="s">
        <v>43</v>
      </c>
    </row>
    <row r="497" spans="1:31" ht="15" customHeight="1">
      <c r="A497" s="229" t="s">
        <v>1606</v>
      </c>
      <c r="B497" s="217">
        <v>46185</v>
      </c>
      <c r="C497" s="217">
        <v>46185</v>
      </c>
      <c r="D497" s="218" t="s">
        <v>1607</v>
      </c>
      <c r="E497" s="218" t="s">
        <v>191</v>
      </c>
      <c r="F497" s="218" t="s">
        <v>95</v>
      </c>
      <c r="G497" s="218">
        <v>60001111</v>
      </c>
      <c r="H497" s="218" t="s">
        <v>1609</v>
      </c>
      <c r="I497" s="218" t="s">
        <v>223</v>
      </c>
      <c r="J497" s="218">
        <v>2</v>
      </c>
      <c r="K497" s="218" t="s">
        <v>37</v>
      </c>
      <c r="L497" s="218" t="s">
        <v>72</v>
      </c>
      <c r="M497" s="218" t="s">
        <v>73</v>
      </c>
      <c r="N497" s="218">
        <v>186791</v>
      </c>
      <c r="O497" s="219"/>
      <c r="P497" s="219"/>
      <c r="Q497" s="219">
        <v>2</v>
      </c>
      <c r="R497" s="219"/>
      <c r="S497" s="220"/>
      <c r="T497" s="220">
        <v>46222</v>
      </c>
      <c r="U497" s="220">
        <v>46232</v>
      </c>
      <c r="V497" s="219" t="s">
        <v>290</v>
      </c>
      <c r="W497" s="223">
        <v>292.17</v>
      </c>
      <c r="X497" s="254">
        <f>Table2[[#This Row],[QUANTIDADE]]*Table2[[#This Row],[PREÇO UNITARIO]]</f>
        <v>584.34</v>
      </c>
      <c r="Y497" s="219"/>
      <c r="Z497" s="245">
        <f t="shared" si="14"/>
        <v>6</v>
      </c>
      <c r="AA497" s="219" t="s">
        <v>42</v>
      </c>
      <c r="AB497" s="17">
        <f t="shared" ca="1" si="17"/>
        <v>46235</v>
      </c>
      <c r="AC497" s="9">
        <f ca="1">_xlfn.DAYS(Table2[[#This Row],[HOJE]],Table2[[#This Row],[DATA PEDIDO HP]])</f>
        <v>50</v>
      </c>
      <c r="AD497" s="219" t="str">
        <f ca="1">IF(Table2[[#This Row],[STATUS2]]="ENTREGUE","ENTREGUE","")</f>
        <v/>
      </c>
      <c r="AE497" s="230" t="str">
        <f ca="1">IF(Table2[[#This Row],[HOLD]]&gt;30,"ATRASADO","NO PRAZO")</f>
        <v>ATRASADO</v>
      </c>
    </row>
    <row r="498" spans="1:31" ht="15" customHeight="1">
      <c r="A498" s="229" t="s">
        <v>1610</v>
      </c>
      <c r="B498" s="217">
        <v>46185</v>
      </c>
      <c r="C498" s="217">
        <v>46185</v>
      </c>
      <c r="D498" s="218" t="s">
        <v>1611</v>
      </c>
      <c r="E498" s="218" t="s">
        <v>33</v>
      </c>
      <c r="F498" s="218" t="s">
        <v>95</v>
      </c>
      <c r="G498" s="218">
        <v>60002095</v>
      </c>
      <c r="H498" s="218" t="s">
        <v>1612</v>
      </c>
      <c r="I498" s="218" t="s">
        <v>1613</v>
      </c>
      <c r="J498" s="218">
        <v>1</v>
      </c>
      <c r="K498" s="218" t="s">
        <v>37</v>
      </c>
      <c r="L498" s="218" t="s">
        <v>122</v>
      </c>
      <c r="M498" s="218" t="s">
        <v>39</v>
      </c>
      <c r="N498" s="218">
        <v>189068</v>
      </c>
      <c r="O498" s="219"/>
      <c r="P498" s="219"/>
      <c r="Q498" s="219">
        <v>0</v>
      </c>
      <c r="R498" s="219"/>
      <c r="S498" s="220"/>
      <c r="T498" s="220">
        <v>46222</v>
      </c>
      <c r="U498" s="220">
        <v>46232</v>
      </c>
      <c r="V498" s="219" t="s">
        <v>290</v>
      </c>
      <c r="W498" s="223">
        <v>123.54</v>
      </c>
      <c r="X498" s="254">
        <f>Table2[[#This Row],[QUANTIDADE]]*Table2[[#This Row],[PREÇO UNITARIO]]</f>
        <v>123.54</v>
      </c>
      <c r="Y498" s="219"/>
      <c r="Z498" s="245">
        <f t="shared" si="14"/>
        <v>6</v>
      </c>
      <c r="AA498" s="219" t="s">
        <v>42</v>
      </c>
      <c r="AB498" s="17">
        <f t="shared" ref="AB498:AB529" ca="1" si="18">TODAY()</f>
        <v>46235</v>
      </c>
      <c r="AC498" s="9">
        <f ca="1">_xlfn.DAYS(Table2[[#This Row],[HOJE]],Table2[[#This Row],[DATA PEDIDO HP]])</f>
        <v>50</v>
      </c>
      <c r="AD498" s="219" t="str">
        <f ca="1">IF(Table2[[#This Row],[STATUS2]]="ENTREGUE","ENTREGUE","")</f>
        <v/>
      </c>
      <c r="AE498" s="230" t="str">
        <f ca="1">IF(Table2[[#This Row],[HOLD]]&gt;30,"ATRASADO","NO PRAZO")</f>
        <v>ATRASADO</v>
      </c>
    </row>
    <row r="499" spans="1:31" ht="15" customHeight="1">
      <c r="A499" s="229" t="s">
        <v>1614</v>
      </c>
      <c r="B499" s="217">
        <v>46188</v>
      </c>
      <c r="C499" s="217">
        <v>46188</v>
      </c>
      <c r="D499" s="218" t="s">
        <v>1615</v>
      </c>
      <c r="E499" s="218" t="s">
        <v>345</v>
      </c>
      <c r="F499" s="218" t="s">
        <v>34</v>
      </c>
      <c r="G499" s="218">
        <v>50110229</v>
      </c>
      <c r="H499" s="218" t="s">
        <v>1616</v>
      </c>
      <c r="I499" s="218" t="s">
        <v>1617</v>
      </c>
      <c r="J499" s="218">
        <v>2</v>
      </c>
      <c r="K499" s="218" t="s">
        <v>37</v>
      </c>
      <c r="L499" s="218" t="s">
        <v>72</v>
      </c>
      <c r="M499" s="218" t="s">
        <v>73</v>
      </c>
      <c r="N499" s="218">
        <v>185570</v>
      </c>
      <c r="O499" s="219"/>
      <c r="P499" s="219"/>
      <c r="Q499" s="219">
        <v>2</v>
      </c>
      <c r="R499" s="219"/>
      <c r="S499" s="220"/>
      <c r="T499" s="220">
        <v>46222</v>
      </c>
      <c r="U499" s="220">
        <v>46232</v>
      </c>
      <c r="V499" s="219" t="s">
        <v>290</v>
      </c>
      <c r="W499" s="223">
        <v>50.63</v>
      </c>
      <c r="X499" s="254">
        <f>Table2[[#This Row],[QUANTIDADE]]*Table2[[#This Row],[PREÇO UNITARIO]]</f>
        <v>101.26</v>
      </c>
      <c r="Y499" s="219"/>
      <c r="Z499" s="245">
        <f t="shared" si="14"/>
        <v>6</v>
      </c>
      <c r="AA499" s="219" t="s">
        <v>42</v>
      </c>
      <c r="AB499" s="17">
        <f t="shared" ca="1" si="18"/>
        <v>46235</v>
      </c>
      <c r="AC499" s="9">
        <f ca="1">_xlfn.DAYS(Table2[[#This Row],[HOJE]],Table2[[#This Row],[DATA PEDIDO HP]])</f>
        <v>47</v>
      </c>
      <c r="AD499" s="219" t="str">
        <f ca="1">IF(Table2[[#This Row],[STATUS2]]="ENTREGUE","ENTREGUE","")</f>
        <v/>
      </c>
      <c r="AE499" s="230" t="str">
        <f ca="1">IF(Table2[[#This Row],[HOLD]]&gt;30,"ATRASADO","NO PRAZO")</f>
        <v>ATRASADO</v>
      </c>
    </row>
    <row r="500" spans="1:31" ht="15" customHeight="1">
      <c r="A500" s="229" t="s">
        <v>1614</v>
      </c>
      <c r="B500" s="217">
        <v>46188</v>
      </c>
      <c r="C500" s="217">
        <v>46188</v>
      </c>
      <c r="D500" s="218" t="s">
        <v>1615</v>
      </c>
      <c r="E500" s="218" t="s">
        <v>345</v>
      </c>
      <c r="F500" s="218" t="s">
        <v>34</v>
      </c>
      <c r="G500" s="218">
        <v>50110229</v>
      </c>
      <c r="H500" s="218" t="s">
        <v>1618</v>
      </c>
      <c r="I500" s="218" t="s">
        <v>83</v>
      </c>
      <c r="J500" s="218">
        <v>1</v>
      </c>
      <c r="K500" s="218" t="s">
        <v>37</v>
      </c>
      <c r="L500" s="218" t="s">
        <v>72</v>
      </c>
      <c r="M500" s="218" t="s">
        <v>73</v>
      </c>
      <c r="N500" s="218">
        <v>185570</v>
      </c>
      <c r="O500" s="219"/>
      <c r="P500" s="219"/>
      <c r="Q500" s="219">
        <v>1</v>
      </c>
      <c r="R500" s="219"/>
      <c r="S500" s="220"/>
      <c r="T500" s="220">
        <v>46222</v>
      </c>
      <c r="U500" s="220">
        <v>46232</v>
      </c>
      <c r="V500" s="219" t="s">
        <v>290</v>
      </c>
      <c r="W500" s="223">
        <v>19.600000000000001</v>
      </c>
      <c r="X500" s="254">
        <f>Table2[[#This Row],[QUANTIDADE]]*Table2[[#This Row],[PREÇO UNITARIO]]</f>
        <v>19.600000000000001</v>
      </c>
      <c r="Y500" s="219"/>
      <c r="Z500" s="245">
        <f t="shared" si="14"/>
        <v>6</v>
      </c>
      <c r="AA500" s="219" t="s">
        <v>42</v>
      </c>
      <c r="AB500" s="17">
        <f t="shared" ca="1" si="18"/>
        <v>46235</v>
      </c>
      <c r="AC500" s="9">
        <f ca="1">_xlfn.DAYS(Table2[[#This Row],[HOJE]],Table2[[#This Row],[DATA PEDIDO HP]])</f>
        <v>47</v>
      </c>
      <c r="AD500" s="219" t="str">
        <f ca="1">IF(Table2[[#This Row],[STATUS2]]="ENTREGUE","ENTREGUE","")</f>
        <v/>
      </c>
      <c r="AE500" s="230" t="str">
        <f ca="1">IF(Table2[[#This Row],[HOLD]]&gt;30,"ATRASADO","NO PRAZO")</f>
        <v>ATRASADO</v>
      </c>
    </row>
    <row r="501" spans="1:31" ht="15" customHeight="1">
      <c r="A501" s="229" t="s">
        <v>1619</v>
      </c>
      <c r="B501" s="217">
        <v>46188</v>
      </c>
      <c r="C501" s="217">
        <v>46188</v>
      </c>
      <c r="D501" s="218" t="s">
        <v>1620</v>
      </c>
      <c r="E501" s="218" t="s">
        <v>298</v>
      </c>
      <c r="F501" s="218" t="s">
        <v>34</v>
      </c>
      <c r="G501" s="218">
        <v>50110261</v>
      </c>
      <c r="H501" s="218" t="s">
        <v>110</v>
      </c>
      <c r="I501" s="218" t="s">
        <v>1621</v>
      </c>
      <c r="J501" s="218">
        <v>1</v>
      </c>
      <c r="K501" s="218" t="s">
        <v>37</v>
      </c>
      <c r="L501" s="218" t="s">
        <v>72</v>
      </c>
      <c r="M501" s="218" t="s">
        <v>73</v>
      </c>
      <c r="N501" s="218">
        <v>189003</v>
      </c>
      <c r="O501" s="219"/>
      <c r="P501" s="219"/>
      <c r="Q501" s="219">
        <v>1</v>
      </c>
      <c r="R501" s="219"/>
      <c r="S501" s="220"/>
      <c r="T501" s="220">
        <v>46222</v>
      </c>
      <c r="U501" s="220">
        <v>46232</v>
      </c>
      <c r="V501" s="219" t="s">
        <v>290</v>
      </c>
      <c r="W501" s="223">
        <v>898.2</v>
      </c>
      <c r="X501" s="254">
        <f>Table2[[#This Row],[QUANTIDADE]]*Table2[[#This Row],[PREÇO UNITARIO]]</f>
        <v>898.2</v>
      </c>
      <c r="Y501" s="219"/>
      <c r="Z501" s="245">
        <f t="shared" si="14"/>
        <v>6</v>
      </c>
      <c r="AA501" s="237" t="s">
        <v>74</v>
      </c>
      <c r="AB501" s="17">
        <f t="shared" ca="1" si="18"/>
        <v>46235</v>
      </c>
      <c r="AC501" s="9">
        <f ca="1">_xlfn.DAYS(Table2[[#This Row],[HOJE]],Table2[[#This Row],[DATA PEDIDO HP]])</f>
        <v>47</v>
      </c>
      <c r="AD501" s="219" t="str">
        <f ca="1">IF(Table2[[#This Row],[STATUS2]]="ENTREGUE","ENTREGUE","")</f>
        <v/>
      </c>
      <c r="AE501" s="230" t="str">
        <f ca="1">IF(Table2[[#This Row],[HOLD]]&gt;30,"ATRASADO","NO PRAZO")</f>
        <v>ATRASADO</v>
      </c>
    </row>
    <row r="502" spans="1:31" ht="15" customHeight="1">
      <c r="A502" s="229" t="s">
        <v>1619</v>
      </c>
      <c r="B502" s="217">
        <v>46188</v>
      </c>
      <c r="C502" s="217">
        <v>46188</v>
      </c>
      <c r="D502" s="218" t="s">
        <v>1620</v>
      </c>
      <c r="E502" s="218" t="s">
        <v>298</v>
      </c>
      <c r="F502" s="218" t="s">
        <v>34</v>
      </c>
      <c r="G502" s="218">
        <v>50110261</v>
      </c>
      <c r="H502" s="218" t="s">
        <v>1622</v>
      </c>
      <c r="I502" s="218" t="s">
        <v>1623</v>
      </c>
      <c r="J502" s="218">
        <v>1</v>
      </c>
      <c r="K502" s="218" t="s">
        <v>37</v>
      </c>
      <c r="L502" s="218" t="s">
        <v>72</v>
      </c>
      <c r="M502" s="218" t="s">
        <v>73</v>
      </c>
      <c r="N502" s="218">
        <v>189003</v>
      </c>
      <c r="O502" s="219"/>
      <c r="P502" s="219"/>
      <c r="Q502" s="219">
        <v>1</v>
      </c>
      <c r="R502" s="219"/>
      <c r="S502" s="220"/>
      <c r="T502" s="220">
        <v>46222</v>
      </c>
      <c r="U502" s="220">
        <v>46232</v>
      </c>
      <c r="V502" s="219" t="s">
        <v>290</v>
      </c>
      <c r="W502" s="223">
        <v>104.32</v>
      </c>
      <c r="X502" s="254">
        <f>Table2[[#This Row],[QUANTIDADE]]*Table2[[#This Row],[PREÇO UNITARIO]]</f>
        <v>104.32</v>
      </c>
      <c r="Y502" s="219"/>
      <c r="Z502" s="245">
        <f t="shared" si="14"/>
        <v>6</v>
      </c>
      <c r="AA502" s="237" t="s">
        <v>74</v>
      </c>
      <c r="AB502" s="17">
        <f t="shared" ca="1" si="18"/>
        <v>46235</v>
      </c>
      <c r="AC502" s="9">
        <f ca="1">_xlfn.DAYS(Table2[[#This Row],[HOJE]],Table2[[#This Row],[DATA PEDIDO HP]])</f>
        <v>47</v>
      </c>
      <c r="AD502" s="219" t="str">
        <f ca="1">IF(Table2[[#This Row],[STATUS2]]="ENTREGUE","ENTREGUE","")</f>
        <v/>
      </c>
      <c r="AE502" s="230" t="str">
        <f ca="1">IF(Table2[[#This Row],[HOLD]]&gt;30,"ATRASADO","NO PRAZO")</f>
        <v>ATRASADO</v>
      </c>
    </row>
    <row r="503" spans="1:31" ht="15" customHeight="1">
      <c r="A503" s="229" t="s">
        <v>1624</v>
      </c>
      <c r="B503" s="217">
        <v>46188</v>
      </c>
      <c r="C503" s="217">
        <v>46188</v>
      </c>
      <c r="D503" s="218" t="s">
        <v>1625</v>
      </c>
      <c r="E503" s="218" t="s">
        <v>154</v>
      </c>
      <c r="F503" s="218" t="s">
        <v>145</v>
      </c>
      <c r="G503" s="218">
        <v>48000044</v>
      </c>
      <c r="H503" s="218" t="s">
        <v>1626</v>
      </c>
      <c r="I503" s="218" t="s">
        <v>1627</v>
      </c>
      <c r="J503" s="218">
        <v>1</v>
      </c>
      <c r="K503" s="218" t="s">
        <v>37</v>
      </c>
      <c r="L503" s="218" t="s">
        <v>72</v>
      </c>
      <c r="M503" s="218" t="s">
        <v>73</v>
      </c>
      <c r="N503" s="218">
        <v>189035</v>
      </c>
      <c r="O503" s="219"/>
      <c r="P503" s="219"/>
      <c r="Q503" s="219">
        <v>1</v>
      </c>
      <c r="R503" s="219"/>
      <c r="S503" s="220"/>
      <c r="T503" s="220">
        <v>46222</v>
      </c>
      <c r="U503" s="220">
        <v>46232</v>
      </c>
      <c r="V503" s="219" t="s">
        <v>290</v>
      </c>
      <c r="W503" s="223">
        <v>10.62</v>
      </c>
      <c r="X503" s="254">
        <f>Table2[[#This Row],[QUANTIDADE]]*Table2[[#This Row],[PREÇO UNITARIO]]</f>
        <v>10.62</v>
      </c>
      <c r="Y503" s="219"/>
      <c r="Z503" s="245">
        <f t="shared" si="14"/>
        <v>6</v>
      </c>
      <c r="AA503" s="237" t="s">
        <v>74</v>
      </c>
      <c r="AB503" s="17">
        <f t="shared" ca="1" si="18"/>
        <v>46235</v>
      </c>
      <c r="AC503" s="9">
        <f ca="1">_xlfn.DAYS(Table2[[#This Row],[HOJE]],Table2[[#This Row],[DATA PEDIDO HP]])</f>
        <v>47</v>
      </c>
      <c r="AD503" s="219" t="str">
        <f ca="1">IF(Table2[[#This Row],[STATUS2]]="ENTREGUE","ENTREGUE","")</f>
        <v/>
      </c>
      <c r="AE503" s="230" t="str">
        <f ca="1">IF(Table2[[#This Row],[HOLD]]&gt;30,"ATRASADO","NO PRAZO")</f>
        <v>ATRASADO</v>
      </c>
    </row>
    <row r="504" spans="1:31" ht="15" customHeight="1">
      <c r="A504" s="229" t="s">
        <v>1624</v>
      </c>
      <c r="B504" s="217">
        <v>46188</v>
      </c>
      <c r="C504" s="217">
        <v>46188</v>
      </c>
      <c r="D504" s="218" t="s">
        <v>1625</v>
      </c>
      <c r="E504" s="218" t="s">
        <v>154</v>
      </c>
      <c r="F504" s="218" t="s">
        <v>145</v>
      </c>
      <c r="G504" s="218">
        <v>48000044</v>
      </c>
      <c r="H504" s="218" t="s">
        <v>1628</v>
      </c>
      <c r="I504" s="218" t="s">
        <v>1629</v>
      </c>
      <c r="J504" s="218">
        <v>1</v>
      </c>
      <c r="K504" s="218" t="s">
        <v>37</v>
      </c>
      <c r="L504" s="218" t="s">
        <v>72</v>
      </c>
      <c r="M504" s="218" t="s">
        <v>73</v>
      </c>
      <c r="N504" s="218">
        <v>189035</v>
      </c>
      <c r="O504" s="219"/>
      <c r="P504" s="219"/>
      <c r="Q504" s="219">
        <v>1</v>
      </c>
      <c r="R504" s="219"/>
      <c r="S504" s="220"/>
      <c r="T504" s="220">
        <v>46222</v>
      </c>
      <c r="U504" s="220">
        <v>46232</v>
      </c>
      <c r="V504" s="219" t="s">
        <v>290</v>
      </c>
      <c r="W504" s="223">
        <v>1.27</v>
      </c>
      <c r="X504" s="254">
        <f>Table2[[#This Row],[QUANTIDADE]]*Table2[[#This Row],[PREÇO UNITARIO]]</f>
        <v>1.27</v>
      </c>
      <c r="Y504" s="219"/>
      <c r="Z504" s="245">
        <f t="shared" si="14"/>
        <v>6</v>
      </c>
      <c r="AA504" s="237" t="s">
        <v>74</v>
      </c>
      <c r="AB504" s="17">
        <f t="shared" ca="1" si="18"/>
        <v>46235</v>
      </c>
      <c r="AC504" s="9">
        <f ca="1">_xlfn.DAYS(Table2[[#This Row],[HOJE]],Table2[[#This Row],[DATA PEDIDO HP]])</f>
        <v>47</v>
      </c>
      <c r="AD504" s="219" t="str">
        <f ca="1">IF(Table2[[#This Row],[STATUS2]]="ENTREGUE","ENTREGUE","")</f>
        <v/>
      </c>
      <c r="AE504" s="230" t="str">
        <f ca="1">IF(Table2[[#This Row],[HOLD]]&gt;30,"ATRASADO","NO PRAZO")</f>
        <v>ATRASADO</v>
      </c>
    </row>
    <row r="505" spans="1:31" ht="15" customHeight="1">
      <c r="A505" s="229" t="s">
        <v>1630</v>
      </c>
      <c r="B505" s="217">
        <v>46191</v>
      </c>
      <c r="C505" s="217">
        <v>46191</v>
      </c>
      <c r="D505" s="218" t="s">
        <v>1631</v>
      </c>
      <c r="E505" s="218" t="s">
        <v>33</v>
      </c>
      <c r="F505" s="218" t="s">
        <v>95</v>
      </c>
      <c r="G505" s="218">
        <v>60002095</v>
      </c>
      <c r="H505" s="218" t="s">
        <v>194</v>
      </c>
      <c r="I505" s="218" t="s">
        <v>1514</v>
      </c>
      <c r="J505" s="218">
        <v>1</v>
      </c>
      <c r="K505" s="218" t="s">
        <v>37</v>
      </c>
      <c r="L505" s="218" t="s">
        <v>122</v>
      </c>
      <c r="M505" s="218" t="s">
        <v>73</v>
      </c>
      <c r="N505" s="218">
        <v>186131</v>
      </c>
      <c r="O505" s="219"/>
      <c r="P505" s="219"/>
      <c r="Q505" s="219">
        <v>1</v>
      </c>
      <c r="R505" s="219"/>
      <c r="S505" s="220"/>
      <c r="T505" s="220">
        <v>46222</v>
      </c>
      <c r="U505" s="220">
        <v>46232</v>
      </c>
      <c r="V505" s="219" t="s">
        <v>290</v>
      </c>
      <c r="W505" s="223">
        <v>22.19</v>
      </c>
      <c r="X505" s="254">
        <f>Table2[[#This Row],[QUANTIDADE]]*Table2[[#This Row],[PREÇO UNITARIO]]</f>
        <v>22.19</v>
      </c>
      <c r="Y505" s="219"/>
      <c r="Z505" s="245">
        <f t="shared" si="14"/>
        <v>6</v>
      </c>
      <c r="AA505" s="219" t="s">
        <v>42</v>
      </c>
      <c r="AB505" s="17">
        <f t="shared" ca="1" si="18"/>
        <v>46235</v>
      </c>
      <c r="AC505" s="9">
        <f ca="1">_xlfn.DAYS(Table2[[#This Row],[HOJE]],Table2[[#This Row],[DATA PEDIDO HP]])</f>
        <v>44</v>
      </c>
      <c r="AD505" s="219" t="str">
        <f ca="1">IF(Table2[[#This Row],[STATUS2]]="ENTREGUE","ENTREGUE","")</f>
        <v/>
      </c>
      <c r="AE505" s="230" t="str">
        <f ca="1">IF(Table2[[#This Row],[HOLD]]&gt;30,"ATRASADO","NO PRAZO")</f>
        <v>ATRASADO</v>
      </c>
    </row>
    <row r="506" spans="1:31" ht="15" customHeight="1">
      <c r="A506" s="229" t="s">
        <v>1632</v>
      </c>
      <c r="B506" s="217">
        <v>46191</v>
      </c>
      <c r="C506" s="217">
        <v>46191</v>
      </c>
      <c r="D506" s="218" t="s">
        <v>1633</v>
      </c>
      <c r="E506" s="218" t="s">
        <v>345</v>
      </c>
      <c r="F506" s="218" t="s">
        <v>34</v>
      </c>
      <c r="G506" s="218">
        <v>50110229</v>
      </c>
      <c r="H506" s="218" t="s">
        <v>126</v>
      </c>
      <c r="I506" s="218" t="s">
        <v>675</v>
      </c>
      <c r="J506" s="218">
        <v>1</v>
      </c>
      <c r="K506" s="218" t="s">
        <v>37</v>
      </c>
      <c r="L506" s="218" t="s">
        <v>72</v>
      </c>
      <c r="M506" s="218" t="s">
        <v>81</v>
      </c>
      <c r="N506" s="218">
        <v>189959</v>
      </c>
      <c r="O506" s="219"/>
      <c r="P506" s="219"/>
      <c r="Q506" s="219">
        <v>1</v>
      </c>
      <c r="R506" s="219"/>
      <c r="S506" s="220"/>
      <c r="T506" s="220">
        <v>46222</v>
      </c>
      <c r="U506" s="220">
        <v>46232</v>
      </c>
      <c r="V506" s="219" t="s">
        <v>290</v>
      </c>
      <c r="W506" s="223">
        <v>790.42</v>
      </c>
      <c r="X506" s="254">
        <f>Table2[[#This Row],[QUANTIDADE]]*Table2[[#This Row],[PREÇO UNITARIO]]</f>
        <v>790.42</v>
      </c>
      <c r="Y506" s="219"/>
      <c r="Z506" s="245">
        <f t="shared" si="14"/>
        <v>6</v>
      </c>
      <c r="AA506" s="219" t="s">
        <v>42</v>
      </c>
      <c r="AB506" s="17">
        <f t="shared" ca="1" si="18"/>
        <v>46235</v>
      </c>
      <c r="AC506" s="9">
        <f ca="1">_xlfn.DAYS(Table2[[#This Row],[HOJE]],Table2[[#This Row],[DATA PEDIDO HP]])</f>
        <v>44</v>
      </c>
      <c r="AD506" s="219" t="str">
        <f ca="1">IF(Table2[[#This Row],[STATUS2]]="ENTREGUE","ENTREGUE","")</f>
        <v/>
      </c>
      <c r="AE506" s="230" t="str">
        <f ca="1">IF(Table2[[#This Row],[HOLD]]&gt;30,"ATRASADO","NO PRAZO")</f>
        <v>ATRASADO</v>
      </c>
    </row>
    <row r="507" spans="1:31" ht="15" customHeight="1">
      <c r="A507" s="229" t="s">
        <v>1634</v>
      </c>
      <c r="B507" s="217">
        <v>46191</v>
      </c>
      <c r="C507" s="217">
        <v>46191</v>
      </c>
      <c r="D507" s="218" t="s">
        <v>1635</v>
      </c>
      <c r="E507" s="218" t="s">
        <v>94</v>
      </c>
      <c r="F507" s="218" t="s">
        <v>95</v>
      </c>
      <c r="G507" s="218">
        <v>60002072</v>
      </c>
      <c r="H507" s="218" t="s">
        <v>96</v>
      </c>
      <c r="I507" s="218" t="s">
        <v>1636</v>
      </c>
      <c r="J507" s="218">
        <v>1</v>
      </c>
      <c r="K507" s="218" t="s">
        <v>37</v>
      </c>
      <c r="L507" s="218" t="s">
        <v>441</v>
      </c>
      <c r="M507" s="218" t="s">
        <v>39</v>
      </c>
      <c r="N507" s="218"/>
      <c r="O507" s="219"/>
      <c r="P507" s="219"/>
      <c r="Q507" s="219">
        <v>0</v>
      </c>
      <c r="R507" s="219"/>
      <c r="S507" s="220"/>
      <c r="T507" s="220">
        <v>46222</v>
      </c>
      <c r="U507" s="220">
        <v>46232</v>
      </c>
      <c r="V507" s="219" t="s">
        <v>290</v>
      </c>
      <c r="W507" s="223">
        <v>1533.55</v>
      </c>
      <c r="X507" s="254">
        <f>Table2[[#This Row],[QUANTIDADE]]*Table2[[#This Row],[PREÇO UNITARIO]]</f>
        <v>1533.55</v>
      </c>
      <c r="Y507" s="219"/>
      <c r="Z507" s="245">
        <f t="shared" si="14"/>
        <v>6</v>
      </c>
      <c r="AA507" s="219" t="s">
        <v>42</v>
      </c>
      <c r="AB507" s="17">
        <f t="shared" ca="1" si="18"/>
        <v>46235</v>
      </c>
      <c r="AC507" s="9">
        <f ca="1">_xlfn.DAYS(Table2[[#This Row],[HOJE]],Table2[[#This Row],[DATA PEDIDO HP]])</f>
        <v>44</v>
      </c>
      <c r="AD507" s="219" t="str">
        <f ca="1">IF(Table2[[#This Row],[STATUS2]]="ENTREGUE","ENTREGUE","")</f>
        <v/>
      </c>
      <c r="AE507" s="230" t="str">
        <f ca="1">IF(Table2[[#This Row],[HOLD]]&gt;30,"ATRASADO","NO PRAZO")</f>
        <v>ATRASADO</v>
      </c>
    </row>
    <row r="508" spans="1:31" ht="15" customHeight="1">
      <c r="A508" s="229" t="s">
        <v>1637</v>
      </c>
      <c r="B508" s="217">
        <v>46191</v>
      </c>
      <c r="C508" s="217">
        <v>46191</v>
      </c>
      <c r="D508" s="218" t="s">
        <v>1638</v>
      </c>
      <c r="E508" s="218" t="s">
        <v>94</v>
      </c>
      <c r="F508" s="218" t="s">
        <v>95</v>
      </c>
      <c r="G508" s="218">
        <v>60002072</v>
      </c>
      <c r="H508" s="218" t="s">
        <v>1639</v>
      </c>
      <c r="I508" s="218" t="s">
        <v>1640</v>
      </c>
      <c r="J508" s="218">
        <v>1</v>
      </c>
      <c r="K508" s="218" t="s">
        <v>37</v>
      </c>
      <c r="L508" s="218" t="s">
        <v>441</v>
      </c>
      <c r="M508" s="218" t="s">
        <v>73</v>
      </c>
      <c r="N508" s="218"/>
      <c r="O508" s="219"/>
      <c r="P508" s="219"/>
      <c r="Q508" s="219">
        <v>1</v>
      </c>
      <c r="R508" s="219"/>
      <c r="S508" s="220"/>
      <c r="T508" s="220">
        <v>46222</v>
      </c>
      <c r="U508" s="220">
        <v>46232</v>
      </c>
      <c r="V508" s="219" t="s">
        <v>290</v>
      </c>
      <c r="W508" s="223">
        <v>727.43</v>
      </c>
      <c r="X508" s="254">
        <f>Table2[[#This Row],[QUANTIDADE]]*Table2[[#This Row],[PREÇO UNITARIO]]</f>
        <v>727.43</v>
      </c>
      <c r="Y508" s="219"/>
      <c r="Z508" s="245">
        <f t="shared" si="14"/>
        <v>6</v>
      </c>
      <c r="AA508" s="237" t="s">
        <v>74</v>
      </c>
      <c r="AB508" s="17">
        <f t="shared" ca="1" si="18"/>
        <v>46235</v>
      </c>
      <c r="AC508" s="9">
        <f ca="1">_xlfn.DAYS(Table2[[#This Row],[HOJE]],Table2[[#This Row],[DATA PEDIDO HP]])</f>
        <v>44</v>
      </c>
      <c r="AD508" s="219" t="str">
        <f ca="1">IF(Table2[[#This Row],[STATUS2]]="ENTREGUE","ENTREGUE","")</f>
        <v/>
      </c>
      <c r="AE508" s="230" t="str">
        <f ca="1">IF(Table2[[#This Row],[HOLD]]&gt;30,"ATRASADO","NO PRAZO")</f>
        <v>ATRASADO</v>
      </c>
    </row>
    <row r="509" spans="1:31" ht="15" customHeight="1">
      <c r="A509" s="229" t="s">
        <v>1641</v>
      </c>
      <c r="B509" s="217">
        <v>46191</v>
      </c>
      <c r="C509" s="217">
        <v>46191</v>
      </c>
      <c r="D509" s="218" t="s">
        <v>1642</v>
      </c>
      <c r="E509" s="218" t="s">
        <v>191</v>
      </c>
      <c r="F509" s="218" t="s">
        <v>95</v>
      </c>
      <c r="G509" s="218">
        <v>60001111</v>
      </c>
      <c r="H509" s="218" t="s">
        <v>1111</v>
      </c>
      <c r="I509" s="218" t="s">
        <v>1112</v>
      </c>
      <c r="J509" s="218">
        <v>1</v>
      </c>
      <c r="K509" s="218" t="s">
        <v>37</v>
      </c>
      <c r="L509" s="218" t="s">
        <v>72</v>
      </c>
      <c r="M509" s="218" t="s">
        <v>81</v>
      </c>
      <c r="N509" s="218">
        <v>190256</v>
      </c>
      <c r="O509" s="219"/>
      <c r="P509" s="219"/>
      <c r="Q509" s="219">
        <v>1</v>
      </c>
      <c r="R509" s="219"/>
      <c r="S509" s="220">
        <v>46233</v>
      </c>
      <c r="T509" s="220">
        <v>46222</v>
      </c>
      <c r="U509" s="220">
        <v>46232</v>
      </c>
      <c r="V509" s="219" t="s">
        <v>290</v>
      </c>
      <c r="W509" s="223">
        <v>38.92</v>
      </c>
      <c r="X509" s="254">
        <f>Table2[[#This Row],[QUANTIDADE]]*Table2[[#This Row],[PREÇO UNITARIO]]</f>
        <v>38.92</v>
      </c>
      <c r="Y509" s="219"/>
      <c r="Z509" s="245">
        <f t="shared" si="14"/>
        <v>6</v>
      </c>
      <c r="AA509" s="219" t="s">
        <v>42</v>
      </c>
      <c r="AB509" s="17">
        <f t="shared" ca="1" si="18"/>
        <v>46235</v>
      </c>
      <c r="AC509" s="9">
        <f ca="1">_xlfn.DAYS(Table2[[#This Row],[HOJE]],Table2[[#This Row],[DATA PEDIDO HP]])</f>
        <v>44</v>
      </c>
      <c r="AD509" s="219" t="str">
        <f>IF(Table2[[#This Row],[STATUS2]]="ENTREGUE","ENTREGUE","")</f>
        <v>ENTREGUE</v>
      </c>
      <c r="AE509" s="219" t="s">
        <v>43</v>
      </c>
    </row>
    <row r="510" spans="1:31" ht="15" customHeight="1">
      <c r="A510" s="229" t="s">
        <v>1643</v>
      </c>
      <c r="B510" s="217">
        <v>46191</v>
      </c>
      <c r="C510" s="217">
        <v>46191</v>
      </c>
      <c r="D510" s="218" t="s">
        <v>1644</v>
      </c>
      <c r="E510" s="218" t="s">
        <v>125</v>
      </c>
      <c r="F510" s="218" t="s">
        <v>34</v>
      </c>
      <c r="G510" s="218">
        <v>50110193</v>
      </c>
      <c r="H510" s="218" t="s">
        <v>1645</v>
      </c>
      <c r="I510" s="218" t="s">
        <v>1646</v>
      </c>
      <c r="J510" s="218">
        <v>1</v>
      </c>
      <c r="K510" s="218" t="s">
        <v>37</v>
      </c>
      <c r="L510" s="218" t="s">
        <v>72</v>
      </c>
      <c r="M510" s="218" t="s">
        <v>81</v>
      </c>
      <c r="N510" s="218">
        <v>190124</v>
      </c>
      <c r="O510" s="219"/>
      <c r="P510" s="219"/>
      <c r="Q510" s="219">
        <v>1</v>
      </c>
      <c r="R510" s="219"/>
      <c r="S510" s="220"/>
      <c r="T510" s="220">
        <v>46222</v>
      </c>
      <c r="U510" s="220">
        <v>46232</v>
      </c>
      <c r="V510" s="219" t="s">
        <v>290</v>
      </c>
      <c r="W510" s="223">
        <v>22.44</v>
      </c>
      <c r="X510" s="254">
        <f>Table2[[#This Row],[QUANTIDADE]]*Table2[[#This Row],[PREÇO UNITARIO]]</f>
        <v>22.44</v>
      </c>
      <c r="Y510" s="219"/>
      <c r="Z510" s="245">
        <f t="shared" si="14"/>
        <v>6</v>
      </c>
      <c r="AA510" s="219" t="s">
        <v>42</v>
      </c>
      <c r="AB510" s="17">
        <f t="shared" ca="1" si="18"/>
        <v>46235</v>
      </c>
      <c r="AC510" s="9">
        <f ca="1">_xlfn.DAYS(Table2[[#This Row],[HOJE]],Table2[[#This Row],[DATA PEDIDO HP]])</f>
        <v>44</v>
      </c>
      <c r="AD510" s="219" t="str">
        <f ca="1">IF(Table2[[#This Row],[STATUS2]]="ENTREGUE","ENTREGUE","")</f>
        <v/>
      </c>
      <c r="AE510" s="230" t="str">
        <f ca="1">IF(Table2[[#This Row],[HOLD]]&gt;30,"ATRASADO","NO PRAZO")</f>
        <v>ATRASADO</v>
      </c>
    </row>
    <row r="511" spans="1:31" ht="15" customHeight="1">
      <c r="A511" s="229" t="s">
        <v>1647</v>
      </c>
      <c r="B511" s="217">
        <v>46192</v>
      </c>
      <c r="C511" s="217">
        <v>46192</v>
      </c>
      <c r="D511" s="218" t="s">
        <v>1648</v>
      </c>
      <c r="E511" s="218" t="s">
        <v>512</v>
      </c>
      <c r="F511" s="218" t="s">
        <v>145</v>
      </c>
      <c r="G511" s="218" t="s">
        <v>1649</v>
      </c>
      <c r="H511" s="218" t="s">
        <v>1650</v>
      </c>
      <c r="I511" s="218" t="s">
        <v>1651</v>
      </c>
      <c r="J511" s="218">
        <v>1</v>
      </c>
      <c r="K511" s="218" t="s">
        <v>37</v>
      </c>
      <c r="L511" s="218" t="s">
        <v>72</v>
      </c>
      <c r="M511" s="218" t="s">
        <v>73</v>
      </c>
      <c r="N511" s="218">
        <v>189630</v>
      </c>
      <c r="O511" s="219"/>
      <c r="P511" s="219"/>
      <c r="Q511" s="219">
        <v>1</v>
      </c>
      <c r="R511" s="219" t="s">
        <v>1652</v>
      </c>
      <c r="S511" s="220"/>
      <c r="T511" s="220">
        <v>46222</v>
      </c>
      <c r="U511" s="220">
        <v>46232</v>
      </c>
      <c r="V511" s="219" t="s">
        <v>290</v>
      </c>
      <c r="W511" s="223">
        <v>159.5</v>
      </c>
      <c r="X511" s="254">
        <f>Table2[[#This Row],[QUANTIDADE]]*Table2[[#This Row],[PREÇO UNITARIO]]</f>
        <v>159.5</v>
      </c>
      <c r="Y511" s="219"/>
      <c r="Z511" s="245">
        <f t="shared" si="14"/>
        <v>6</v>
      </c>
      <c r="AA511" s="237" t="s">
        <v>74</v>
      </c>
      <c r="AB511" s="17">
        <f t="shared" ca="1" si="18"/>
        <v>46235</v>
      </c>
      <c r="AC511" s="9">
        <f ca="1">_xlfn.DAYS(Table2[[#This Row],[HOJE]],Table2[[#This Row],[DATA PEDIDO HP]])</f>
        <v>43</v>
      </c>
      <c r="AD511" s="219" t="str">
        <f ca="1">IF(Table2[[#This Row],[STATUS2]]="ENTREGUE","ENTREGUE","")</f>
        <v/>
      </c>
      <c r="AE511" s="230" t="str">
        <f ca="1">IF(Table2[[#This Row],[HOLD]]&gt;30,"ATRASADO","NO PRAZO")</f>
        <v>ATRASADO</v>
      </c>
    </row>
    <row r="512" spans="1:31" ht="15" customHeight="1">
      <c r="A512" s="229" t="s">
        <v>1653</v>
      </c>
      <c r="B512" s="217">
        <v>46192</v>
      </c>
      <c r="C512" s="217">
        <v>46192</v>
      </c>
      <c r="D512" s="218" t="s">
        <v>1654</v>
      </c>
      <c r="E512" s="218" t="s">
        <v>327</v>
      </c>
      <c r="F512" s="218" t="s">
        <v>328</v>
      </c>
      <c r="G512" s="218">
        <v>50000260</v>
      </c>
      <c r="H512" s="218" t="s">
        <v>1655</v>
      </c>
      <c r="I512" s="218" t="s">
        <v>1656</v>
      </c>
      <c r="J512" s="218">
        <v>1</v>
      </c>
      <c r="K512" s="218" t="s">
        <v>37</v>
      </c>
      <c r="L512" s="218" t="s">
        <v>72</v>
      </c>
      <c r="M512" s="218" t="s">
        <v>73</v>
      </c>
      <c r="N512" s="218">
        <v>190455</v>
      </c>
      <c r="O512" s="219"/>
      <c r="P512" s="219"/>
      <c r="Q512" s="219">
        <v>1</v>
      </c>
      <c r="R512" s="219"/>
      <c r="S512" s="220"/>
      <c r="T512" s="220">
        <v>46222</v>
      </c>
      <c r="U512" s="220">
        <v>46232</v>
      </c>
      <c r="V512" s="219" t="s">
        <v>290</v>
      </c>
      <c r="W512" s="223">
        <v>11.43</v>
      </c>
      <c r="X512" s="254">
        <f>Table2[[#This Row],[QUANTIDADE]]*Table2[[#This Row],[PREÇO UNITARIO]]</f>
        <v>11.43</v>
      </c>
      <c r="Y512" s="219"/>
      <c r="Z512" s="245">
        <f t="shared" si="14"/>
        <v>6</v>
      </c>
      <c r="AA512" s="219" t="s">
        <v>42</v>
      </c>
      <c r="AB512" s="17">
        <f t="shared" ca="1" si="18"/>
        <v>46235</v>
      </c>
      <c r="AC512" s="9">
        <f ca="1">_xlfn.DAYS(Table2[[#This Row],[HOJE]],Table2[[#This Row],[DATA PEDIDO HP]])</f>
        <v>43</v>
      </c>
      <c r="AD512" s="219" t="str">
        <f ca="1">IF(Table2[[#This Row],[STATUS2]]="ENTREGUE","ENTREGUE","")</f>
        <v/>
      </c>
      <c r="AE512" s="230" t="str">
        <f ca="1">IF(Table2[[#This Row],[HOLD]]&gt;30,"ATRASADO","NO PRAZO")</f>
        <v>ATRASADO</v>
      </c>
    </row>
    <row r="513" spans="1:33" ht="15" customHeight="1">
      <c r="A513" s="229" t="s">
        <v>1657</v>
      </c>
      <c r="B513" s="217">
        <v>46192</v>
      </c>
      <c r="C513" s="217">
        <v>46192</v>
      </c>
      <c r="D513" s="218" t="s">
        <v>1658</v>
      </c>
      <c r="E513" s="218" t="s">
        <v>1322</v>
      </c>
      <c r="F513" s="218" t="s">
        <v>328</v>
      </c>
      <c r="G513" s="218">
        <v>50000202</v>
      </c>
      <c r="H513" s="218" t="s">
        <v>1659</v>
      </c>
      <c r="I513" s="218" t="s">
        <v>1660</v>
      </c>
      <c r="J513" s="218">
        <v>1</v>
      </c>
      <c r="K513" s="218" t="s">
        <v>37</v>
      </c>
      <c r="L513" s="218" t="s">
        <v>72</v>
      </c>
      <c r="M513" s="218" t="s">
        <v>73</v>
      </c>
      <c r="N513" s="218">
        <v>188906</v>
      </c>
      <c r="O513" s="219"/>
      <c r="P513" s="219"/>
      <c r="Q513" s="219">
        <v>1</v>
      </c>
      <c r="R513" s="219"/>
      <c r="S513" s="220"/>
      <c r="T513" s="220">
        <v>46222</v>
      </c>
      <c r="U513" s="220">
        <v>46232</v>
      </c>
      <c r="V513" s="219" t="s">
        <v>290</v>
      </c>
      <c r="W513" s="223">
        <v>724.73</v>
      </c>
      <c r="X513" s="254">
        <f>Table2[[#This Row],[QUANTIDADE]]*Table2[[#This Row],[PREÇO UNITARIO]]</f>
        <v>724.73</v>
      </c>
      <c r="Y513" s="219"/>
      <c r="Z513" s="245">
        <f t="shared" si="14"/>
        <v>6</v>
      </c>
      <c r="AA513" s="237" t="s">
        <v>74</v>
      </c>
      <c r="AB513" s="17">
        <f t="shared" ca="1" si="18"/>
        <v>46235</v>
      </c>
      <c r="AC513" s="9">
        <f ca="1">_xlfn.DAYS(Table2[[#This Row],[HOJE]],Table2[[#This Row],[DATA PEDIDO HP]])</f>
        <v>43</v>
      </c>
      <c r="AD513" s="219" t="str">
        <f ca="1">IF(Table2[[#This Row],[STATUS2]]="ENTREGUE","ENTREGUE","")</f>
        <v/>
      </c>
      <c r="AE513" s="230" t="str">
        <f ca="1">IF(Table2[[#This Row],[HOLD]]&gt;30,"ATRASADO","NO PRAZO")</f>
        <v>ATRASADO</v>
      </c>
    </row>
    <row r="514" spans="1:33" ht="15" customHeight="1">
      <c r="A514" s="229" t="s">
        <v>1661</v>
      </c>
      <c r="B514" s="217">
        <v>46195</v>
      </c>
      <c r="C514" s="217">
        <v>46195</v>
      </c>
      <c r="D514" s="218" t="s">
        <v>1662</v>
      </c>
      <c r="E514" s="218" t="s">
        <v>345</v>
      </c>
      <c r="F514" s="218" t="s">
        <v>34</v>
      </c>
      <c r="G514" s="218">
        <v>50110229</v>
      </c>
      <c r="H514" s="218" t="s">
        <v>335</v>
      </c>
      <c r="I514" s="218" t="s">
        <v>728</v>
      </c>
      <c r="J514" s="218">
        <v>1</v>
      </c>
      <c r="K514" s="218" t="s">
        <v>37</v>
      </c>
      <c r="L514" s="218" t="s">
        <v>72</v>
      </c>
      <c r="M514" s="218" t="s">
        <v>81</v>
      </c>
      <c r="N514" s="218">
        <v>190850</v>
      </c>
      <c r="O514" s="219"/>
      <c r="P514" s="219"/>
      <c r="Q514" s="219">
        <v>1</v>
      </c>
      <c r="R514" s="219"/>
      <c r="S514" s="220"/>
      <c r="T514" s="220">
        <v>46222</v>
      </c>
      <c r="U514" s="220">
        <v>46232</v>
      </c>
      <c r="V514" s="219" t="s">
        <v>290</v>
      </c>
      <c r="W514" s="223">
        <v>17.28</v>
      </c>
      <c r="X514" s="254">
        <f>Table2[[#This Row],[QUANTIDADE]]*Table2[[#This Row],[PREÇO UNITARIO]]</f>
        <v>17.28</v>
      </c>
      <c r="Y514" s="219"/>
      <c r="Z514" s="245">
        <f t="shared" ref="Z514:Z544" si="19">MONTH(B514)</f>
        <v>6</v>
      </c>
      <c r="AA514" s="219" t="s">
        <v>42</v>
      </c>
      <c r="AB514" s="17">
        <f t="shared" ca="1" si="18"/>
        <v>46235</v>
      </c>
      <c r="AC514" s="9">
        <f ca="1">_xlfn.DAYS(Table2[[#This Row],[HOJE]],Table2[[#This Row],[DATA PEDIDO HP]])</f>
        <v>40</v>
      </c>
      <c r="AD514" s="219" t="str">
        <f ca="1">IF(Table2[[#This Row],[STATUS2]]="ENTREGUE","ENTREGUE","")</f>
        <v/>
      </c>
      <c r="AE514" s="230" t="str">
        <f ca="1">IF(Table2[[#This Row],[HOLD]]&gt;30,"ATRASADO","NO PRAZO")</f>
        <v>ATRASADO</v>
      </c>
    </row>
    <row r="515" spans="1:33" ht="15" customHeight="1">
      <c r="A515" s="229" t="s">
        <v>1663</v>
      </c>
      <c r="B515" s="217">
        <v>46196</v>
      </c>
      <c r="C515" s="217">
        <v>46196</v>
      </c>
      <c r="D515" s="218" t="s">
        <v>1664</v>
      </c>
      <c r="E515" s="218" t="s">
        <v>541</v>
      </c>
      <c r="F515" s="218" t="s">
        <v>542</v>
      </c>
      <c r="G515" s="218">
        <v>61000037</v>
      </c>
      <c r="H515" s="218" t="s">
        <v>1335</v>
      </c>
      <c r="I515" s="218" t="s">
        <v>1336</v>
      </c>
      <c r="J515" s="218">
        <v>1</v>
      </c>
      <c r="K515" s="218" t="s">
        <v>37</v>
      </c>
      <c r="L515" s="218" t="s">
        <v>72</v>
      </c>
      <c r="M515" s="218" t="s">
        <v>73</v>
      </c>
      <c r="N515" s="218">
        <v>190388</v>
      </c>
      <c r="O515" s="219"/>
      <c r="P515" s="219"/>
      <c r="Q515" s="219">
        <v>1</v>
      </c>
      <c r="R515" s="219"/>
      <c r="S515" s="220"/>
      <c r="T515" s="220">
        <v>46222</v>
      </c>
      <c r="U515" s="220">
        <v>46232</v>
      </c>
      <c r="V515" s="219" t="s">
        <v>290</v>
      </c>
      <c r="W515" s="223">
        <v>21.59</v>
      </c>
      <c r="X515" s="254">
        <f>Table2[[#This Row],[QUANTIDADE]]*Table2[[#This Row],[PREÇO UNITARIO]]</f>
        <v>21.59</v>
      </c>
      <c r="Y515" s="219"/>
      <c r="Z515" s="245">
        <f t="shared" si="19"/>
        <v>6</v>
      </c>
      <c r="AA515" s="237" t="s">
        <v>74</v>
      </c>
      <c r="AB515" s="17">
        <f t="shared" ca="1" si="18"/>
        <v>46235</v>
      </c>
      <c r="AC515" s="9">
        <f ca="1">_xlfn.DAYS(Table2[[#This Row],[HOJE]],Table2[[#This Row],[DATA PEDIDO HP]])</f>
        <v>39</v>
      </c>
      <c r="AD515" s="219" t="str">
        <f ca="1">IF(Table2[[#This Row],[STATUS2]]="ENTREGUE","ENTREGUE","")</f>
        <v/>
      </c>
      <c r="AE515" s="230" t="str">
        <f ca="1">IF(Table2[[#This Row],[HOLD]]&gt;30,"ATRASADO","NO PRAZO")</f>
        <v>ATRASADO</v>
      </c>
    </row>
    <row r="516" spans="1:33" ht="15" customHeight="1">
      <c r="A516" s="229" t="s">
        <v>1665</v>
      </c>
      <c r="B516" s="217">
        <v>46196</v>
      </c>
      <c r="C516" s="217">
        <v>46196</v>
      </c>
      <c r="D516" s="218" t="s">
        <v>1666</v>
      </c>
      <c r="E516" s="218" t="s">
        <v>541</v>
      </c>
      <c r="F516" s="218" t="s">
        <v>542</v>
      </c>
      <c r="G516" s="218">
        <v>61000037</v>
      </c>
      <c r="H516" s="218" t="s">
        <v>1667</v>
      </c>
      <c r="I516" s="218" t="s">
        <v>1668</v>
      </c>
      <c r="J516" s="218">
        <v>1</v>
      </c>
      <c r="K516" s="218" t="s">
        <v>37</v>
      </c>
      <c r="L516" s="218" t="s">
        <v>72</v>
      </c>
      <c r="M516" s="218" t="s">
        <v>73</v>
      </c>
      <c r="N516" s="218">
        <v>189728</v>
      </c>
      <c r="O516" s="219"/>
      <c r="P516" s="219"/>
      <c r="Q516" s="219">
        <v>1</v>
      </c>
      <c r="R516" s="219"/>
      <c r="S516" s="220"/>
      <c r="T516" s="220">
        <v>46222</v>
      </c>
      <c r="U516" s="220">
        <v>46232</v>
      </c>
      <c r="V516" s="219" t="s">
        <v>290</v>
      </c>
      <c r="W516" s="223">
        <v>48.99</v>
      </c>
      <c r="X516" s="254">
        <f>Table2[[#This Row],[QUANTIDADE]]*Table2[[#This Row],[PREÇO UNITARIO]]</f>
        <v>48.99</v>
      </c>
      <c r="Y516" s="219"/>
      <c r="Z516" s="245">
        <f t="shared" si="19"/>
        <v>6</v>
      </c>
      <c r="AA516" s="237" t="s">
        <v>74</v>
      </c>
      <c r="AB516" s="17">
        <f t="shared" ca="1" si="18"/>
        <v>46235</v>
      </c>
      <c r="AC516" s="9">
        <f ca="1">_xlfn.DAYS(Table2[[#This Row],[HOJE]],Table2[[#This Row],[DATA PEDIDO HP]])</f>
        <v>39</v>
      </c>
      <c r="AD516" s="219" t="str">
        <f ca="1">IF(Table2[[#This Row],[STATUS2]]="ENTREGUE","ENTREGUE","")</f>
        <v/>
      </c>
      <c r="AE516" s="230" t="str">
        <f ca="1">IF(Table2[[#This Row],[HOLD]]&gt;30,"ATRASADO","NO PRAZO")</f>
        <v>ATRASADO</v>
      </c>
    </row>
    <row r="517" spans="1:33" ht="15" customHeight="1">
      <c r="A517" s="252" t="s">
        <v>1669</v>
      </c>
      <c r="B517" s="235">
        <v>46196</v>
      </c>
      <c r="C517" s="235">
        <v>46196</v>
      </c>
      <c r="D517" s="236" t="s">
        <v>1670</v>
      </c>
      <c r="E517" s="236" t="s">
        <v>154</v>
      </c>
      <c r="F517" s="236" t="s">
        <v>102</v>
      </c>
      <c r="G517" s="236">
        <v>51000174</v>
      </c>
      <c r="H517" s="236" t="s">
        <v>110</v>
      </c>
      <c r="I517" s="236" t="s">
        <v>606</v>
      </c>
      <c r="J517" s="236">
        <v>2</v>
      </c>
      <c r="K517" s="236" t="s">
        <v>37</v>
      </c>
      <c r="L517" s="236" t="s">
        <v>72</v>
      </c>
      <c r="M517" s="236" t="s">
        <v>73</v>
      </c>
      <c r="N517" s="236">
        <v>183590</v>
      </c>
      <c r="O517" s="237"/>
      <c r="P517" s="237"/>
      <c r="Q517" s="237">
        <v>2</v>
      </c>
      <c r="R517" s="237"/>
      <c r="S517" s="238"/>
      <c r="T517" s="220">
        <v>46222</v>
      </c>
      <c r="U517" s="220">
        <v>46232</v>
      </c>
      <c r="V517" s="237" t="s">
        <v>290</v>
      </c>
      <c r="W517" s="239">
        <v>898.2</v>
      </c>
      <c r="X517" s="255">
        <f>Table2[[#This Row],[QUANTIDADE]]*Table2[[#This Row],[PREÇO UNITARIO]]</f>
        <v>1796.4</v>
      </c>
      <c r="Y517" s="237"/>
      <c r="Z517" s="260">
        <f t="shared" si="19"/>
        <v>6</v>
      </c>
      <c r="AA517" s="237" t="s">
        <v>74</v>
      </c>
      <c r="AB517" s="17">
        <f t="shared" ca="1" si="18"/>
        <v>46235</v>
      </c>
      <c r="AC517" s="9">
        <f ca="1">_xlfn.DAYS(Table2[[#This Row],[HOJE]],Table2[[#This Row],[DATA PEDIDO HP]])</f>
        <v>39</v>
      </c>
      <c r="AD517" s="219" t="str">
        <f ca="1">IF(Table2[[#This Row],[STATUS2]]="ENTREGUE","ENTREGUE","")</f>
        <v/>
      </c>
      <c r="AE517" s="261" t="str">
        <f ca="1">IF(Table2[[#This Row],[HOLD]]&gt;30,"ATRASADO","NO PRAZO")</f>
        <v>ATRASADO</v>
      </c>
      <c r="AF517" s="262"/>
    </row>
    <row r="518" spans="1:33" ht="15" customHeight="1">
      <c r="A518" s="245" t="s">
        <v>1671</v>
      </c>
      <c r="B518" s="18">
        <v>46197</v>
      </c>
      <c r="C518" s="18">
        <v>46197</v>
      </c>
      <c r="D518" s="8" t="s">
        <v>1440</v>
      </c>
      <c r="E518" s="8" t="s">
        <v>745</v>
      </c>
      <c r="F518" s="8" t="s">
        <v>1441</v>
      </c>
      <c r="G518" s="8">
        <v>52010031</v>
      </c>
      <c r="H518" s="8" t="s">
        <v>1492</v>
      </c>
      <c r="I518" s="8" t="s">
        <v>1672</v>
      </c>
      <c r="J518" s="8">
        <v>1</v>
      </c>
      <c r="K518" s="8" t="s">
        <v>269</v>
      </c>
      <c r="L518" s="8" t="s">
        <v>1108</v>
      </c>
      <c r="M518" s="8" t="s">
        <v>73</v>
      </c>
      <c r="N518" s="8"/>
      <c r="O518" s="9"/>
      <c r="P518" s="9"/>
      <c r="Q518" s="9">
        <v>1</v>
      </c>
      <c r="R518" s="9"/>
      <c r="S518" s="17"/>
      <c r="T518" s="220">
        <v>46222</v>
      </c>
      <c r="U518" s="220">
        <v>46232</v>
      </c>
      <c r="V518" s="9" t="s">
        <v>290</v>
      </c>
      <c r="W518" s="257">
        <v>26.85</v>
      </c>
      <c r="X518" s="254">
        <f>Table2[[#This Row],[QUANTIDADE]]*Table2[[#This Row],[PREÇO UNITARIO]]</f>
        <v>26.85</v>
      </c>
      <c r="Y518" s="9"/>
      <c r="Z518" s="245">
        <f t="shared" si="19"/>
        <v>6</v>
      </c>
      <c r="AA518" s="219" t="s">
        <v>42</v>
      </c>
      <c r="AB518" s="17">
        <f t="shared" ca="1" si="18"/>
        <v>46235</v>
      </c>
      <c r="AC518" s="9">
        <f ca="1">_xlfn.DAYS(Table2[[#This Row],[HOJE]],Table2[[#This Row],[DATA PEDIDO HP]])</f>
        <v>38</v>
      </c>
      <c r="AD518" s="219" t="str">
        <f ca="1">IF(Table2[[#This Row],[STATUS2]]="ENTREGUE","ENTREGUE","")</f>
        <v/>
      </c>
      <c r="AE518" s="9" t="str">
        <f ca="1">IF(Table2[[#This Row],[HOLD]]&gt;30,"ATRASADO","NO PRAZO")</f>
        <v>ATRASADO</v>
      </c>
      <c r="AF518" s="197"/>
      <c r="AG518" s="259"/>
    </row>
    <row r="519" spans="1:33" ht="15" customHeight="1">
      <c r="A519" s="245" t="s">
        <v>1673</v>
      </c>
      <c r="B519" s="246">
        <v>46198</v>
      </c>
      <c r="C519" s="131">
        <v>46198</v>
      </c>
      <c r="D519" s="113" t="s">
        <v>1674</v>
      </c>
      <c r="E519" s="113" t="s">
        <v>345</v>
      </c>
      <c r="F519" s="113" t="s">
        <v>34</v>
      </c>
      <c r="G519" s="113">
        <v>50110229</v>
      </c>
      <c r="H519" s="113" t="s">
        <v>222</v>
      </c>
      <c r="I519" s="113" t="s">
        <v>223</v>
      </c>
      <c r="J519" s="113">
        <v>1</v>
      </c>
      <c r="K519" s="113" t="s">
        <v>37</v>
      </c>
      <c r="L519" s="113" t="s">
        <v>72</v>
      </c>
      <c r="M519" s="113" t="s">
        <v>73</v>
      </c>
      <c r="N519" s="113">
        <v>191345</v>
      </c>
      <c r="O519" s="245"/>
      <c r="P519" s="245"/>
      <c r="Q519" s="245">
        <v>1</v>
      </c>
      <c r="R519" s="245"/>
      <c r="S519" s="246"/>
      <c r="T519" s="220">
        <v>46222</v>
      </c>
      <c r="U519" s="220">
        <v>46232</v>
      </c>
      <c r="V519" s="245" t="s">
        <v>290</v>
      </c>
      <c r="W519" s="254">
        <v>207.82</v>
      </c>
      <c r="X519" s="254">
        <f>Table2[[#This Row],[QUANTIDADE]]*Table2[[#This Row],[PREÇO UNITARIO]]</f>
        <v>207.82</v>
      </c>
      <c r="Y519" s="245"/>
      <c r="Z519" s="9">
        <f t="shared" si="19"/>
        <v>6</v>
      </c>
      <c r="AA519" s="219" t="s">
        <v>42</v>
      </c>
      <c r="AB519" s="17">
        <f t="shared" ca="1" si="18"/>
        <v>46235</v>
      </c>
      <c r="AC519" s="9">
        <f ca="1">_xlfn.DAYS(Table2[[#This Row],[HOJE]],Table2[[#This Row],[DATA PEDIDO HP]])</f>
        <v>37</v>
      </c>
      <c r="AD519" s="219" t="str">
        <f ca="1">IF(Table2[[#This Row],[STATUS2]]="ENTREGUE","ENTREGUE","")</f>
        <v/>
      </c>
      <c r="AE519" s="9" t="str">
        <f ca="1">IF(Table2[[#This Row],[HOLD]]&gt;30,"ATRASADO","NO PRAZO")</f>
        <v>ATRASADO</v>
      </c>
      <c r="AF519" s="197"/>
      <c r="AG519" s="259"/>
    </row>
    <row r="520" spans="1:33" ht="15" customHeight="1">
      <c r="A520" s="245" t="s">
        <v>1675</v>
      </c>
      <c r="B520" s="246">
        <v>46198</v>
      </c>
      <c r="C520" s="131">
        <v>46198</v>
      </c>
      <c r="D520" s="113" t="s">
        <v>1676</v>
      </c>
      <c r="E520" s="113" t="s">
        <v>101</v>
      </c>
      <c r="F520" s="113" t="s">
        <v>102</v>
      </c>
      <c r="G520" s="113">
        <v>51000323</v>
      </c>
      <c r="H520" s="113" t="s">
        <v>1677</v>
      </c>
      <c r="I520" s="113" t="s">
        <v>1678</v>
      </c>
      <c r="J520" s="113">
        <v>1</v>
      </c>
      <c r="K520" s="113" t="s">
        <v>37</v>
      </c>
      <c r="L520" s="113" t="s">
        <v>1679</v>
      </c>
      <c r="M520" s="113" t="s">
        <v>73</v>
      </c>
      <c r="N520" s="113"/>
      <c r="O520" s="245"/>
      <c r="P520" s="245"/>
      <c r="Q520" s="245">
        <v>1</v>
      </c>
      <c r="R520" s="245"/>
      <c r="S520" s="246"/>
      <c r="T520" s="220">
        <v>46222</v>
      </c>
      <c r="U520" s="220">
        <v>46232</v>
      </c>
      <c r="V520" s="245" t="s">
        <v>290</v>
      </c>
      <c r="W520" s="254">
        <v>152.85</v>
      </c>
      <c r="X520" s="254">
        <f>Table2[[#This Row],[QUANTIDADE]]*Table2[[#This Row],[PREÇO UNITARIO]]</f>
        <v>152.85</v>
      </c>
      <c r="Y520" s="245"/>
      <c r="Z520" s="9">
        <f t="shared" si="19"/>
        <v>6</v>
      </c>
      <c r="AA520" s="219" t="s">
        <v>42</v>
      </c>
      <c r="AB520" s="17">
        <f t="shared" ca="1" si="18"/>
        <v>46235</v>
      </c>
      <c r="AC520" s="9">
        <f ca="1">_xlfn.DAYS(Table2[[#This Row],[HOJE]],Table2[[#This Row],[DATA PEDIDO HP]])</f>
        <v>37</v>
      </c>
      <c r="AD520" s="219" t="str">
        <f ca="1">IF(Table2[[#This Row],[STATUS2]]="ENTREGUE","ENTREGUE","")</f>
        <v/>
      </c>
      <c r="AE520" s="9" t="str">
        <f ca="1">IF(Table2[[#This Row],[HOLD]]&gt;30,"ATRASADO","NO PRAZO")</f>
        <v>ATRASADO</v>
      </c>
      <c r="AF520" s="197"/>
      <c r="AG520" s="259"/>
    </row>
    <row r="521" spans="1:33" ht="15" customHeight="1">
      <c r="A521" s="245" t="s">
        <v>1675</v>
      </c>
      <c r="B521" s="246">
        <v>46198</v>
      </c>
      <c r="C521" s="131">
        <v>46198</v>
      </c>
      <c r="D521" s="113" t="s">
        <v>1676</v>
      </c>
      <c r="E521" s="113" t="s">
        <v>101</v>
      </c>
      <c r="F521" s="113" t="s">
        <v>102</v>
      </c>
      <c r="G521" s="113">
        <v>51000323</v>
      </c>
      <c r="H521" s="113" t="s">
        <v>1680</v>
      </c>
      <c r="I521" s="113" t="s">
        <v>1681</v>
      </c>
      <c r="J521" s="113">
        <v>1</v>
      </c>
      <c r="K521" s="113" t="s">
        <v>37</v>
      </c>
      <c r="L521" s="113" t="s">
        <v>1679</v>
      </c>
      <c r="M521" s="113" t="s">
        <v>39</v>
      </c>
      <c r="N521" s="113"/>
      <c r="O521" s="245"/>
      <c r="P521" s="245"/>
      <c r="Q521" s="245">
        <v>1</v>
      </c>
      <c r="R521" s="245"/>
      <c r="S521" s="246"/>
      <c r="T521" s="220">
        <v>46222</v>
      </c>
      <c r="U521" s="220">
        <v>46232</v>
      </c>
      <c r="V521" s="245" t="s">
        <v>290</v>
      </c>
      <c r="W521" s="254">
        <v>125.76</v>
      </c>
      <c r="X521" s="254">
        <f>Table2[[#This Row],[QUANTIDADE]]*Table2[[#This Row],[PREÇO UNITARIO]]</f>
        <v>125.76</v>
      </c>
      <c r="Y521" s="245"/>
      <c r="Z521" s="9">
        <f t="shared" si="19"/>
        <v>6</v>
      </c>
      <c r="AA521" s="219" t="s">
        <v>42</v>
      </c>
      <c r="AB521" s="17">
        <f t="shared" ca="1" si="18"/>
        <v>46235</v>
      </c>
      <c r="AC521" s="9">
        <f ca="1">_xlfn.DAYS(Table2[[#This Row],[HOJE]],Table2[[#This Row],[DATA PEDIDO HP]])</f>
        <v>37</v>
      </c>
      <c r="AD521" s="219" t="str">
        <f ca="1">IF(Table2[[#This Row],[STATUS2]]="ENTREGUE","ENTREGUE","")</f>
        <v/>
      </c>
      <c r="AE521" s="9" t="str">
        <f ca="1">IF(Table2[[#This Row],[HOLD]]&gt;30,"ATRASADO","NO PRAZO")</f>
        <v>ATRASADO</v>
      </c>
      <c r="AF521" s="197"/>
      <c r="AG521" s="259"/>
    </row>
    <row r="522" spans="1:33" ht="15" customHeight="1">
      <c r="A522" s="245" t="s">
        <v>1682</v>
      </c>
      <c r="B522" s="246">
        <v>46198</v>
      </c>
      <c r="C522" s="131">
        <v>46188</v>
      </c>
      <c r="D522" s="113" t="s">
        <v>1683</v>
      </c>
      <c r="E522" s="113" t="s">
        <v>33</v>
      </c>
      <c r="F522" s="113" t="s">
        <v>95</v>
      </c>
      <c r="G522" s="113">
        <v>60002095</v>
      </c>
      <c r="H522" s="113" t="s">
        <v>517</v>
      </c>
      <c r="I522" s="113" t="s">
        <v>1157</v>
      </c>
      <c r="J522" s="113">
        <v>1</v>
      </c>
      <c r="K522" s="113" t="s">
        <v>37</v>
      </c>
      <c r="L522" s="113" t="s">
        <v>38</v>
      </c>
      <c r="M522" s="113" t="s">
        <v>73</v>
      </c>
      <c r="N522" s="113"/>
      <c r="O522" s="245"/>
      <c r="P522" s="245"/>
      <c r="Q522" s="245">
        <v>1</v>
      </c>
      <c r="R522" s="245"/>
      <c r="S522" s="246"/>
      <c r="T522" s="220">
        <v>46222</v>
      </c>
      <c r="U522" s="220">
        <v>46232</v>
      </c>
      <c r="V522" s="245" t="s">
        <v>290</v>
      </c>
      <c r="W522" s="254">
        <v>77.98</v>
      </c>
      <c r="X522" s="254">
        <f>Table2[[#This Row],[QUANTIDADE]]*Table2[[#This Row],[PREÇO UNITARIO]]</f>
        <v>77.98</v>
      </c>
      <c r="Y522" s="245"/>
      <c r="Z522" s="9">
        <f t="shared" si="19"/>
        <v>6</v>
      </c>
      <c r="AA522" s="219" t="s">
        <v>42</v>
      </c>
      <c r="AB522" s="17">
        <f t="shared" ca="1" si="18"/>
        <v>46235</v>
      </c>
      <c r="AC522" s="9">
        <f ca="1">_xlfn.DAYS(Table2[[#This Row],[HOJE]],Table2[[#This Row],[DATA PEDIDO HP]])</f>
        <v>37</v>
      </c>
      <c r="AD522" s="219" t="str">
        <f ca="1">IF(Table2[[#This Row],[STATUS2]]="ENTREGUE","ENTREGUE","")</f>
        <v/>
      </c>
      <c r="AE522" s="9" t="str">
        <f ca="1">IF(Table2[[#This Row],[HOLD]]&gt;30,"ATRASADO","NO PRAZO")</f>
        <v>ATRASADO</v>
      </c>
      <c r="AF522" s="197"/>
      <c r="AG522" s="259"/>
    </row>
    <row r="523" spans="1:33" ht="15" customHeight="1">
      <c r="A523" s="245" t="s">
        <v>1684</v>
      </c>
      <c r="B523" s="246">
        <v>46198</v>
      </c>
      <c r="C523" s="253">
        <v>46198</v>
      </c>
      <c r="D523" s="248" t="s">
        <v>1685</v>
      </c>
      <c r="E523" s="248" t="s">
        <v>33</v>
      </c>
      <c r="F523" s="248" t="s">
        <v>34</v>
      </c>
      <c r="G523" s="248">
        <v>50110372</v>
      </c>
      <c r="H523" s="248" t="s">
        <v>866</v>
      </c>
      <c r="I523" s="248" t="s">
        <v>1686</v>
      </c>
      <c r="J523" s="248">
        <v>1</v>
      </c>
      <c r="K523" s="248" t="s">
        <v>37</v>
      </c>
      <c r="L523" s="248" t="s">
        <v>72</v>
      </c>
      <c r="M523" s="248" t="s">
        <v>73</v>
      </c>
      <c r="N523" s="248">
        <v>190850</v>
      </c>
      <c r="O523" s="245"/>
      <c r="P523" s="245"/>
      <c r="Q523" s="245">
        <v>1</v>
      </c>
      <c r="R523" s="245"/>
      <c r="S523" s="246"/>
      <c r="T523" s="220">
        <v>46222</v>
      </c>
      <c r="U523" s="220">
        <v>46232</v>
      </c>
      <c r="V523" s="245" t="s">
        <v>290</v>
      </c>
      <c r="W523" s="254">
        <v>248.73</v>
      </c>
      <c r="X523" s="254">
        <f>Table2[[#This Row],[QUANTIDADE]]*Table2[[#This Row],[PREÇO UNITARIO]]</f>
        <v>248.73</v>
      </c>
      <c r="Y523" s="245"/>
      <c r="Z523" s="9">
        <f t="shared" si="19"/>
        <v>6</v>
      </c>
      <c r="AA523" s="219" t="s">
        <v>42</v>
      </c>
      <c r="AB523" s="17">
        <f t="shared" ca="1" si="18"/>
        <v>46235</v>
      </c>
      <c r="AC523" s="9">
        <f ca="1">_xlfn.DAYS(Table2[[#This Row],[HOJE]],Table2[[#This Row],[DATA PEDIDO HP]])</f>
        <v>37</v>
      </c>
      <c r="AD523" s="219" t="str">
        <f ca="1">IF(Table2[[#This Row],[STATUS2]]="ENTREGUE","ENTREGUE","")</f>
        <v/>
      </c>
      <c r="AE523" s="9" t="str">
        <f ca="1">IF(Table2[[#This Row],[HOLD]]&gt;30,"ATRASADO","NO PRAZO")</f>
        <v>ATRASADO</v>
      </c>
      <c r="AF523" s="197"/>
      <c r="AG523" s="259"/>
    </row>
    <row r="524" spans="1:33" ht="15" customHeight="1">
      <c r="A524" s="245" t="s">
        <v>1687</v>
      </c>
      <c r="B524" s="246">
        <v>46198</v>
      </c>
      <c r="C524" s="253">
        <v>46198</v>
      </c>
      <c r="D524" s="248" t="s">
        <v>1688</v>
      </c>
      <c r="E524" s="248" t="s">
        <v>570</v>
      </c>
      <c r="F524" s="248" t="s">
        <v>571</v>
      </c>
      <c r="G524" s="248">
        <v>50510045</v>
      </c>
      <c r="H524" s="248" t="s">
        <v>1689</v>
      </c>
      <c r="I524" s="248" t="s">
        <v>1690</v>
      </c>
      <c r="J524" s="248">
        <v>1</v>
      </c>
      <c r="K524" s="248" t="s">
        <v>37</v>
      </c>
      <c r="L524" s="248" t="s">
        <v>72</v>
      </c>
      <c r="M524" s="248" t="s">
        <v>73</v>
      </c>
      <c r="N524" s="248">
        <v>191015</v>
      </c>
      <c r="O524" s="245"/>
      <c r="P524" s="245"/>
      <c r="Q524" s="245">
        <v>1</v>
      </c>
      <c r="R524" s="245" t="s">
        <v>1691</v>
      </c>
      <c r="S524" s="246"/>
      <c r="T524" s="220">
        <v>46222</v>
      </c>
      <c r="U524" s="220">
        <v>46232</v>
      </c>
      <c r="V524" s="245" t="s">
        <v>290</v>
      </c>
      <c r="W524" s="254">
        <v>1845.54</v>
      </c>
      <c r="X524" s="254">
        <f>Table2[[#This Row],[QUANTIDADE]]*Table2[[#This Row],[PREÇO UNITARIO]]</f>
        <v>1845.54</v>
      </c>
      <c r="Y524" s="245"/>
      <c r="Z524" s="9">
        <f t="shared" si="19"/>
        <v>6</v>
      </c>
      <c r="AA524" s="219" t="s">
        <v>42</v>
      </c>
      <c r="AB524" s="17">
        <f t="shared" ca="1" si="18"/>
        <v>46235</v>
      </c>
      <c r="AC524" s="9">
        <f ca="1">_xlfn.DAYS(Table2[[#This Row],[HOJE]],Table2[[#This Row],[DATA PEDIDO HP]])</f>
        <v>37</v>
      </c>
      <c r="AD524" s="219" t="str">
        <f ca="1">IF(Table2[[#This Row],[STATUS2]]="ENTREGUE","ENTREGUE","")</f>
        <v/>
      </c>
      <c r="AE524" s="9" t="str">
        <f ca="1">IF(Table2[[#This Row],[HOLD]]&gt;30,"ATRASADO","NO PRAZO")</f>
        <v>ATRASADO</v>
      </c>
      <c r="AF524" s="197"/>
      <c r="AG524" s="259"/>
    </row>
    <row r="525" spans="1:33" ht="15" customHeight="1">
      <c r="A525" s="245" t="s">
        <v>1692</v>
      </c>
      <c r="B525" s="246">
        <v>46199</v>
      </c>
      <c r="C525" s="253">
        <v>46198</v>
      </c>
      <c r="D525" s="248" t="s">
        <v>1693</v>
      </c>
      <c r="E525" s="113" t="s">
        <v>101</v>
      </c>
      <c r="F525" s="113" t="s">
        <v>102</v>
      </c>
      <c r="G525" s="248">
        <v>51000323</v>
      </c>
      <c r="H525" s="248" t="s">
        <v>581</v>
      </c>
      <c r="I525" s="248" t="s">
        <v>1694</v>
      </c>
      <c r="J525" s="248">
        <v>1</v>
      </c>
      <c r="K525" s="113" t="s">
        <v>37</v>
      </c>
      <c r="L525" s="113" t="s">
        <v>1679</v>
      </c>
      <c r="M525" s="248" t="s">
        <v>39</v>
      </c>
      <c r="N525" s="113"/>
      <c r="O525" s="245"/>
      <c r="P525" s="245"/>
      <c r="Q525" s="245">
        <v>1</v>
      </c>
      <c r="R525" s="245"/>
      <c r="S525" s="246"/>
      <c r="T525" s="220">
        <v>46222</v>
      </c>
      <c r="U525" s="220">
        <v>46232</v>
      </c>
      <c r="V525" s="245" t="s">
        <v>290</v>
      </c>
      <c r="W525" s="254">
        <v>131.79</v>
      </c>
      <c r="X525" s="254">
        <f>Table2[[#This Row],[QUANTIDADE]]*Table2[[#This Row],[PREÇO UNITARIO]]</f>
        <v>131.79</v>
      </c>
      <c r="Y525" s="245"/>
      <c r="Z525" s="9">
        <f t="shared" si="19"/>
        <v>6</v>
      </c>
      <c r="AA525" s="219" t="s">
        <v>42</v>
      </c>
      <c r="AB525" s="17">
        <f t="shared" ca="1" si="18"/>
        <v>46235</v>
      </c>
      <c r="AC525" s="9">
        <f ca="1">_xlfn.DAYS(Table2[[#This Row],[HOJE]],Table2[[#This Row],[DATA PEDIDO HP]])</f>
        <v>36</v>
      </c>
      <c r="AD525" s="219" t="str">
        <f ca="1">IF(Table2[[#This Row],[STATUS2]]="ENTREGUE","ENTREGUE","")</f>
        <v/>
      </c>
      <c r="AE525" s="9" t="str">
        <f ca="1">IF(Table2[[#This Row],[HOLD]]&gt;30,"ATRASADO","NO PRAZO")</f>
        <v>ATRASADO</v>
      </c>
      <c r="AF525" s="197"/>
      <c r="AG525" s="259"/>
    </row>
    <row r="526" spans="1:33" ht="15" customHeight="1">
      <c r="A526" s="245" t="s">
        <v>1695</v>
      </c>
      <c r="B526" s="246">
        <v>46199</v>
      </c>
      <c r="C526" s="253">
        <v>46198</v>
      </c>
      <c r="D526" s="113" t="s">
        <v>1696</v>
      </c>
      <c r="E526" s="113" t="s">
        <v>101</v>
      </c>
      <c r="F526" s="113" t="s">
        <v>102</v>
      </c>
      <c r="G526" s="113">
        <v>51000323</v>
      </c>
      <c r="H526" s="113" t="s">
        <v>1397</v>
      </c>
      <c r="I526" s="113" t="s">
        <v>1697</v>
      </c>
      <c r="J526" s="113">
        <v>1</v>
      </c>
      <c r="K526" s="113" t="s">
        <v>37</v>
      </c>
      <c r="L526" s="113" t="s">
        <v>1679</v>
      </c>
      <c r="M526" s="113" t="s">
        <v>73</v>
      </c>
      <c r="N526" s="113"/>
      <c r="O526" s="245"/>
      <c r="P526" s="245"/>
      <c r="Q526" s="245">
        <v>1</v>
      </c>
      <c r="R526" s="245"/>
      <c r="S526" s="246"/>
      <c r="T526" s="220">
        <v>46222</v>
      </c>
      <c r="U526" s="220">
        <v>46232</v>
      </c>
      <c r="V526" s="245" t="s">
        <v>290</v>
      </c>
      <c r="W526" s="254">
        <v>145.35</v>
      </c>
      <c r="X526" s="254">
        <f>Table2[[#This Row],[QUANTIDADE]]*Table2[[#This Row],[PREÇO UNITARIO]]</f>
        <v>145.35</v>
      </c>
      <c r="Y526" s="245"/>
      <c r="Z526" s="9">
        <f t="shared" si="19"/>
        <v>6</v>
      </c>
      <c r="AA526" s="219" t="s">
        <v>42</v>
      </c>
      <c r="AB526" s="17">
        <f t="shared" ca="1" si="18"/>
        <v>46235</v>
      </c>
      <c r="AC526" s="9">
        <f ca="1">_xlfn.DAYS(Table2[[#This Row],[HOJE]],Table2[[#This Row],[DATA PEDIDO HP]])</f>
        <v>36</v>
      </c>
      <c r="AD526" s="219" t="str">
        <f ca="1">IF(Table2[[#This Row],[STATUS2]]="ENTREGUE","ENTREGUE","")</f>
        <v/>
      </c>
      <c r="AE526" s="9" t="str">
        <f ca="1">IF(Table2[[#This Row],[HOLD]]&gt;30,"ATRASADO","NO PRAZO")</f>
        <v>ATRASADO</v>
      </c>
      <c r="AF526" s="197"/>
      <c r="AG526" s="259"/>
    </row>
    <row r="527" spans="1:33" ht="15" customHeight="1">
      <c r="A527" s="245" t="s">
        <v>1698</v>
      </c>
      <c r="B527" s="246">
        <v>46199</v>
      </c>
      <c r="C527" s="253">
        <v>46198</v>
      </c>
      <c r="D527" s="113" t="s">
        <v>1699</v>
      </c>
      <c r="E527" s="113" t="s">
        <v>101</v>
      </c>
      <c r="F527" s="113" t="s">
        <v>102</v>
      </c>
      <c r="G527" s="113">
        <v>51000323</v>
      </c>
      <c r="H527" s="113" t="s">
        <v>1198</v>
      </c>
      <c r="I527" s="113" t="s">
        <v>1700</v>
      </c>
      <c r="J527" s="113">
        <v>2</v>
      </c>
      <c r="K527" s="113" t="s">
        <v>37</v>
      </c>
      <c r="L527" s="113" t="s">
        <v>1679</v>
      </c>
      <c r="M527" s="113" t="s">
        <v>39</v>
      </c>
      <c r="N527" s="113"/>
      <c r="O527" s="245"/>
      <c r="P527" s="245"/>
      <c r="Q527" s="245">
        <v>2</v>
      </c>
      <c r="R527" s="245" t="s">
        <v>1701</v>
      </c>
      <c r="S527" s="246"/>
      <c r="T527" s="220">
        <v>46222</v>
      </c>
      <c r="U527" s="220">
        <v>46232</v>
      </c>
      <c r="V527" s="245" t="s">
        <v>290</v>
      </c>
      <c r="W527" s="254">
        <v>253.13</v>
      </c>
      <c r="X527" s="254">
        <f>Table2[[#This Row],[QUANTIDADE]]*Table2[[#This Row],[PREÇO UNITARIO]]</f>
        <v>506.26</v>
      </c>
      <c r="Y527" s="245"/>
      <c r="Z527" s="9">
        <f t="shared" si="19"/>
        <v>6</v>
      </c>
      <c r="AA527" s="219" t="s">
        <v>42</v>
      </c>
      <c r="AB527" s="17">
        <f t="shared" ca="1" si="18"/>
        <v>46235</v>
      </c>
      <c r="AC527" s="9">
        <f ca="1">_xlfn.DAYS(Table2[[#This Row],[HOJE]],Table2[[#This Row],[DATA PEDIDO HP]])</f>
        <v>36</v>
      </c>
      <c r="AD527" s="219" t="str">
        <f ca="1">IF(Table2[[#This Row],[STATUS2]]="ENTREGUE","ENTREGUE","")</f>
        <v/>
      </c>
      <c r="AE527" s="9" t="str">
        <f ca="1">IF(Table2[[#This Row],[HOLD]]&gt;30,"ATRASADO","NO PRAZO")</f>
        <v>ATRASADO</v>
      </c>
      <c r="AF527" s="197"/>
      <c r="AG527" s="259"/>
    </row>
    <row r="528" spans="1:33" ht="15" customHeight="1">
      <c r="A528" s="245" t="s">
        <v>1702</v>
      </c>
      <c r="B528" s="246">
        <v>46199</v>
      </c>
      <c r="C528" s="253">
        <v>46198</v>
      </c>
      <c r="D528" s="113" t="s">
        <v>1703</v>
      </c>
      <c r="E528" s="113" t="s">
        <v>101</v>
      </c>
      <c r="F528" s="113" t="s">
        <v>102</v>
      </c>
      <c r="G528" s="113">
        <v>51000323</v>
      </c>
      <c r="H528" s="113" t="s">
        <v>47</v>
      </c>
      <c r="I528" s="113" t="s">
        <v>1704</v>
      </c>
      <c r="J528" s="113">
        <v>1</v>
      </c>
      <c r="K528" s="113" t="s">
        <v>37</v>
      </c>
      <c r="L528" s="113" t="s">
        <v>1679</v>
      </c>
      <c r="M528" s="113" t="s">
        <v>73</v>
      </c>
      <c r="N528" s="113"/>
      <c r="O528" s="245"/>
      <c r="P528" s="245"/>
      <c r="Q528" s="245">
        <v>1</v>
      </c>
      <c r="R528" s="245"/>
      <c r="S528" s="246"/>
      <c r="T528" s="220">
        <v>46222</v>
      </c>
      <c r="U528" s="220">
        <v>46232</v>
      </c>
      <c r="V528" s="245" t="s">
        <v>290</v>
      </c>
      <c r="W528" s="254">
        <v>244.96</v>
      </c>
      <c r="X528" s="254">
        <f>Table2[[#This Row],[QUANTIDADE]]*Table2[[#This Row],[PREÇO UNITARIO]]</f>
        <v>244.96</v>
      </c>
      <c r="Y528" s="245"/>
      <c r="Z528" s="9">
        <f t="shared" si="19"/>
        <v>6</v>
      </c>
      <c r="AA528" s="219" t="s">
        <v>42</v>
      </c>
      <c r="AB528" s="17">
        <f t="shared" ca="1" si="18"/>
        <v>46235</v>
      </c>
      <c r="AC528" s="9">
        <f ca="1">_xlfn.DAYS(Table2[[#This Row],[HOJE]],Table2[[#This Row],[DATA PEDIDO HP]])</f>
        <v>36</v>
      </c>
      <c r="AD528" s="219" t="str">
        <f ca="1">IF(Table2[[#This Row],[STATUS2]]="ENTREGUE","ENTREGUE","")</f>
        <v/>
      </c>
      <c r="AE528" s="9" t="str">
        <f ca="1">IF(Table2[[#This Row],[HOLD]]&gt;30,"ATRASADO","NO PRAZO")</f>
        <v>ATRASADO</v>
      </c>
      <c r="AF528" s="197"/>
      <c r="AG528" s="259"/>
    </row>
    <row r="529" spans="1:33" ht="15" customHeight="1">
      <c r="A529" s="245" t="s">
        <v>1702</v>
      </c>
      <c r="B529" s="246">
        <v>46199</v>
      </c>
      <c r="C529" s="253">
        <v>46198</v>
      </c>
      <c r="D529" s="113" t="s">
        <v>1703</v>
      </c>
      <c r="E529" s="113" t="s">
        <v>101</v>
      </c>
      <c r="F529" s="113" t="s">
        <v>102</v>
      </c>
      <c r="G529" s="113">
        <v>51000323</v>
      </c>
      <c r="H529" s="113" t="s">
        <v>1705</v>
      </c>
      <c r="I529" s="113" t="s">
        <v>1706</v>
      </c>
      <c r="J529" s="113">
        <v>1</v>
      </c>
      <c r="K529" s="113" t="s">
        <v>37</v>
      </c>
      <c r="L529" s="113" t="s">
        <v>1679</v>
      </c>
      <c r="M529" s="113" t="s">
        <v>81</v>
      </c>
      <c r="N529" s="113"/>
      <c r="O529" s="245"/>
      <c r="P529" s="245"/>
      <c r="Q529" s="245">
        <v>1</v>
      </c>
      <c r="R529" s="245"/>
      <c r="S529" s="246"/>
      <c r="T529" s="220">
        <v>46222</v>
      </c>
      <c r="U529" s="220">
        <v>46232</v>
      </c>
      <c r="V529" s="245" t="s">
        <v>290</v>
      </c>
      <c r="W529" s="254">
        <v>138.81</v>
      </c>
      <c r="X529" s="254">
        <f>Table2[[#This Row],[QUANTIDADE]]*Table2[[#This Row],[PREÇO UNITARIO]]</f>
        <v>138.81</v>
      </c>
      <c r="Y529" s="245"/>
      <c r="Z529" s="9">
        <f t="shared" si="19"/>
        <v>6</v>
      </c>
      <c r="AA529" s="219" t="s">
        <v>42</v>
      </c>
      <c r="AB529" s="17">
        <f t="shared" ca="1" si="18"/>
        <v>46235</v>
      </c>
      <c r="AC529" s="9">
        <f ca="1">_xlfn.DAYS(Table2[[#This Row],[HOJE]],Table2[[#This Row],[DATA PEDIDO HP]])</f>
        <v>36</v>
      </c>
      <c r="AD529" s="219" t="str">
        <f ca="1">IF(Table2[[#This Row],[STATUS2]]="ENTREGUE","ENTREGUE","")</f>
        <v/>
      </c>
      <c r="AE529" s="9" t="str">
        <f ca="1">IF(Table2[[#This Row],[HOLD]]&gt;30,"ATRASADO","NO PRAZO")</f>
        <v>ATRASADO</v>
      </c>
      <c r="AF529" s="197"/>
      <c r="AG529" s="259"/>
    </row>
    <row r="530" spans="1:33" ht="15" customHeight="1">
      <c r="A530" s="245" t="s">
        <v>1707</v>
      </c>
      <c r="B530" s="246">
        <v>46199</v>
      </c>
      <c r="C530" s="131">
        <v>46199</v>
      </c>
      <c r="D530" s="113" t="s">
        <v>1708</v>
      </c>
      <c r="E530" s="113" t="s">
        <v>88</v>
      </c>
      <c r="F530" s="113" t="s">
        <v>34</v>
      </c>
      <c r="G530" s="113">
        <v>50110057</v>
      </c>
      <c r="H530" s="113" t="s">
        <v>243</v>
      </c>
      <c r="I530" s="113" t="s">
        <v>244</v>
      </c>
      <c r="J530" s="113">
        <v>1</v>
      </c>
      <c r="K530" s="113" t="s">
        <v>37</v>
      </c>
      <c r="L530" s="113" t="s">
        <v>72</v>
      </c>
      <c r="M530" s="113" t="s">
        <v>73</v>
      </c>
      <c r="N530" s="113">
        <v>191048</v>
      </c>
      <c r="O530" s="245"/>
      <c r="P530" s="245"/>
      <c r="Q530" s="245">
        <v>1</v>
      </c>
      <c r="R530" s="245"/>
      <c r="S530" s="246"/>
      <c r="T530" s="220">
        <v>46222</v>
      </c>
      <c r="U530" s="220">
        <v>46232</v>
      </c>
      <c r="V530" s="245" t="s">
        <v>290</v>
      </c>
      <c r="W530" s="254">
        <v>354.38</v>
      </c>
      <c r="X530" s="254">
        <f>Table2[[#This Row],[QUANTIDADE]]*Table2[[#This Row],[PREÇO UNITARIO]]</f>
        <v>354.38</v>
      </c>
      <c r="Y530" s="245"/>
      <c r="Z530" s="9">
        <f t="shared" si="19"/>
        <v>6</v>
      </c>
      <c r="AA530" s="219" t="s">
        <v>42</v>
      </c>
      <c r="AB530" s="17">
        <f t="shared" ref="AB530:AB544" ca="1" si="20">TODAY()</f>
        <v>46235</v>
      </c>
      <c r="AC530" s="9">
        <f ca="1">_xlfn.DAYS(Table2[[#This Row],[HOJE]],Table2[[#This Row],[DATA PEDIDO HP]])</f>
        <v>36</v>
      </c>
      <c r="AD530" s="219" t="str">
        <f ca="1">IF(Table2[[#This Row],[STATUS2]]="ENTREGUE","ENTREGUE","")</f>
        <v/>
      </c>
      <c r="AE530" s="9" t="str">
        <f ca="1">IF(Table2[[#This Row],[HOLD]]&gt;30,"ATRASADO","NO PRAZO")</f>
        <v>ATRASADO</v>
      </c>
      <c r="AF530" s="197"/>
      <c r="AG530" s="259"/>
    </row>
    <row r="531" spans="1:33" ht="15" customHeight="1">
      <c r="A531" s="245" t="s">
        <v>1709</v>
      </c>
      <c r="B531" s="246">
        <v>46199</v>
      </c>
      <c r="C531" s="131">
        <v>46199</v>
      </c>
      <c r="D531" s="113" t="s">
        <v>1710</v>
      </c>
      <c r="E531" s="113" t="s">
        <v>1425</v>
      </c>
      <c r="F531" s="113" t="s">
        <v>328</v>
      </c>
      <c r="G531" s="113">
        <v>50000351</v>
      </c>
      <c r="H531" s="113" t="s">
        <v>1455</v>
      </c>
      <c r="I531" s="113" t="s">
        <v>1456</v>
      </c>
      <c r="J531" s="113">
        <v>1</v>
      </c>
      <c r="K531" s="113" t="s">
        <v>37</v>
      </c>
      <c r="L531" s="113" t="s">
        <v>72</v>
      </c>
      <c r="M531" s="113" t="s">
        <v>73</v>
      </c>
      <c r="N531" s="113">
        <v>190949</v>
      </c>
      <c r="O531" s="245"/>
      <c r="P531" s="245"/>
      <c r="Q531" s="245">
        <v>1</v>
      </c>
      <c r="R531" s="245"/>
      <c r="S531" s="246"/>
      <c r="T531" s="220">
        <v>46222</v>
      </c>
      <c r="U531" s="220">
        <v>46232</v>
      </c>
      <c r="V531" s="245" t="s">
        <v>290</v>
      </c>
      <c r="W531" s="254">
        <v>54.06</v>
      </c>
      <c r="X531" s="254">
        <f>Table2[[#This Row],[QUANTIDADE]]*Table2[[#This Row],[PREÇO UNITARIO]]</f>
        <v>54.06</v>
      </c>
      <c r="Y531" s="245"/>
      <c r="Z531" s="9">
        <f t="shared" si="19"/>
        <v>6</v>
      </c>
      <c r="AA531" s="219" t="s">
        <v>42</v>
      </c>
      <c r="AB531" s="17">
        <f t="shared" ca="1" si="20"/>
        <v>46235</v>
      </c>
      <c r="AC531" s="9">
        <f ca="1">_xlfn.DAYS(Table2[[#This Row],[HOJE]],Table2[[#This Row],[DATA PEDIDO HP]])</f>
        <v>36</v>
      </c>
      <c r="AD531" s="219" t="str">
        <f ca="1">IF(Table2[[#This Row],[STATUS2]]="ENTREGUE","ENTREGUE","")</f>
        <v/>
      </c>
      <c r="AE531" s="9" t="str">
        <f ca="1">IF(Table2[[#This Row],[HOLD]]&gt;30,"ATRASADO","NO PRAZO")</f>
        <v>ATRASADO</v>
      </c>
      <c r="AF531" s="197"/>
      <c r="AG531" s="259"/>
    </row>
    <row r="532" spans="1:33" ht="15" customHeight="1">
      <c r="A532" s="245" t="s">
        <v>1711</v>
      </c>
      <c r="B532" s="246">
        <v>46199</v>
      </c>
      <c r="C532" s="253">
        <v>46199</v>
      </c>
      <c r="D532" s="248" t="s">
        <v>1712</v>
      </c>
      <c r="E532" s="248" t="s">
        <v>1371</v>
      </c>
      <c r="F532" s="248" t="s">
        <v>242</v>
      </c>
      <c r="G532" s="248">
        <v>51100110</v>
      </c>
      <c r="H532" s="248" t="s">
        <v>1713</v>
      </c>
      <c r="I532" s="248" t="s">
        <v>1714</v>
      </c>
      <c r="J532" s="248">
        <v>1</v>
      </c>
      <c r="K532" s="248" t="s">
        <v>37</v>
      </c>
      <c r="L532" s="248" t="s">
        <v>72</v>
      </c>
      <c r="M532" s="248" t="s">
        <v>39</v>
      </c>
      <c r="N532" s="248">
        <v>190521</v>
      </c>
      <c r="O532" s="245"/>
      <c r="P532" s="245"/>
      <c r="Q532" s="245">
        <v>1</v>
      </c>
      <c r="R532" s="245"/>
      <c r="S532" s="246"/>
      <c r="T532" s="220">
        <v>46222</v>
      </c>
      <c r="U532" s="220">
        <v>46232</v>
      </c>
      <c r="V532" s="245" t="s">
        <v>290</v>
      </c>
      <c r="W532" s="254">
        <v>350.45</v>
      </c>
      <c r="X532" s="254">
        <f>Table2[[#This Row],[QUANTIDADE]]*Table2[[#This Row],[PREÇO UNITARIO]]</f>
        <v>350.45</v>
      </c>
      <c r="Y532" s="245"/>
      <c r="Z532" s="9">
        <f t="shared" si="19"/>
        <v>6</v>
      </c>
      <c r="AA532" s="237" t="s">
        <v>74</v>
      </c>
      <c r="AB532" s="17">
        <f t="shared" ca="1" si="20"/>
        <v>46235</v>
      </c>
      <c r="AC532" s="9">
        <f ca="1">_xlfn.DAYS(Table2[[#This Row],[HOJE]],Table2[[#This Row],[DATA PEDIDO HP]])</f>
        <v>36</v>
      </c>
      <c r="AD532" s="219" t="str">
        <f ca="1">IF(Table2[[#This Row],[STATUS2]]="ENTREGUE","ENTREGUE","")</f>
        <v/>
      </c>
      <c r="AE532" s="9" t="str">
        <f ca="1">IF(Table2[[#This Row],[HOLD]]&gt;30,"ATRASADO","NO PRAZO")</f>
        <v>ATRASADO</v>
      </c>
      <c r="AF532" s="197"/>
      <c r="AG532" s="259"/>
    </row>
    <row r="533" spans="1:33" ht="15" customHeight="1">
      <c r="A533" s="245" t="s">
        <v>1715</v>
      </c>
      <c r="B533" s="246">
        <v>46202</v>
      </c>
      <c r="C533" s="131">
        <v>46202</v>
      </c>
      <c r="D533" s="113" t="s">
        <v>1716</v>
      </c>
      <c r="E533" s="113" t="s">
        <v>94</v>
      </c>
      <c r="F533" s="113" t="s">
        <v>95</v>
      </c>
      <c r="G533" s="113">
        <v>60002072</v>
      </c>
      <c r="H533" s="113" t="s">
        <v>995</v>
      </c>
      <c r="I533" s="113" t="s">
        <v>996</v>
      </c>
      <c r="J533" s="113">
        <v>1</v>
      </c>
      <c r="K533" s="113" t="s">
        <v>37</v>
      </c>
      <c r="L533" s="113" t="s">
        <v>122</v>
      </c>
      <c r="M533" s="113" t="s">
        <v>73</v>
      </c>
      <c r="N533" s="113"/>
      <c r="O533" s="245"/>
      <c r="P533" s="245"/>
      <c r="Q533" s="245">
        <v>1</v>
      </c>
      <c r="R533" s="245"/>
      <c r="S533" s="246"/>
      <c r="T533" s="220">
        <v>46222</v>
      </c>
      <c r="U533" s="220">
        <v>46232</v>
      </c>
      <c r="V533" s="245" t="s">
        <v>290</v>
      </c>
      <c r="W533" s="254">
        <v>14.18</v>
      </c>
      <c r="X533" s="254">
        <f>Table2[[#This Row],[QUANTIDADE]]*Table2[[#This Row],[PREÇO UNITARIO]]</f>
        <v>14.18</v>
      </c>
      <c r="Y533" s="245"/>
      <c r="Z533" s="9">
        <f t="shared" si="19"/>
        <v>6</v>
      </c>
      <c r="AA533" s="237" t="s">
        <v>74</v>
      </c>
      <c r="AB533" s="17">
        <f t="shared" ca="1" si="20"/>
        <v>46235</v>
      </c>
      <c r="AC533" s="9">
        <f ca="1">_xlfn.DAYS(Table2[[#This Row],[HOJE]],Table2[[#This Row],[DATA PEDIDO HP]])</f>
        <v>33</v>
      </c>
      <c r="AD533" s="219" t="str">
        <f ca="1">IF(Table2[[#This Row],[STATUS2]]="ENTREGUE","ENTREGUE","")</f>
        <v/>
      </c>
      <c r="AE533" s="9" t="str">
        <f ca="1">IF(Table2[[#This Row],[HOLD]]&gt;30,"ATRASADO","NO PRAZO")</f>
        <v>ATRASADO</v>
      </c>
      <c r="AF533" s="197"/>
      <c r="AG533" s="259"/>
    </row>
    <row r="534" spans="1:33" ht="15" customHeight="1">
      <c r="A534" s="245" t="s">
        <v>1717</v>
      </c>
      <c r="B534" s="246">
        <v>46202</v>
      </c>
      <c r="C534" s="131">
        <v>46202</v>
      </c>
      <c r="D534" s="113" t="s">
        <v>1718</v>
      </c>
      <c r="E534" s="113" t="s">
        <v>33</v>
      </c>
      <c r="F534" s="113" t="s">
        <v>827</v>
      </c>
      <c r="G534" s="113">
        <v>60003096</v>
      </c>
      <c r="H534" s="113" t="s">
        <v>1719</v>
      </c>
      <c r="I534" s="113" t="s">
        <v>1720</v>
      </c>
      <c r="J534" s="113">
        <v>1</v>
      </c>
      <c r="K534" s="113" t="s">
        <v>37</v>
      </c>
      <c r="L534" s="113" t="s">
        <v>122</v>
      </c>
      <c r="M534" s="113" t="s">
        <v>73</v>
      </c>
      <c r="N534" s="113">
        <v>189101</v>
      </c>
      <c r="O534" s="245"/>
      <c r="P534" s="245"/>
      <c r="Q534" s="245">
        <v>1</v>
      </c>
      <c r="R534" s="245"/>
      <c r="S534" s="246"/>
      <c r="T534" s="220">
        <v>46222</v>
      </c>
      <c r="U534" s="220">
        <v>46232</v>
      </c>
      <c r="V534" s="245" t="s">
        <v>290</v>
      </c>
      <c r="W534" s="254">
        <v>272.51</v>
      </c>
      <c r="X534" s="254">
        <f>Table2[[#This Row],[QUANTIDADE]]*Table2[[#This Row],[PREÇO UNITARIO]]</f>
        <v>272.51</v>
      </c>
      <c r="Y534" s="245"/>
      <c r="Z534" s="9">
        <f t="shared" si="19"/>
        <v>6</v>
      </c>
      <c r="AA534" s="219" t="s">
        <v>42</v>
      </c>
      <c r="AB534" s="17">
        <f t="shared" ca="1" si="20"/>
        <v>46235</v>
      </c>
      <c r="AC534" s="9">
        <f ca="1">_xlfn.DAYS(Table2[[#This Row],[HOJE]],Table2[[#This Row],[DATA PEDIDO HP]])</f>
        <v>33</v>
      </c>
      <c r="AD534" s="219" t="str">
        <f ca="1">IF(Table2[[#This Row],[STATUS2]]="ENTREGUE","ENTREGUE","")</f>
        <v/>
      </c>
      <c r="AE534" s="9" t="str">
        <f ca="1">IF(Table2[[#This Row],[HOLD]]&gt;30,"ATRASADO","NO PRAZO")</f>
        <v>ATRASADO</v>
      </c>
      <c r="AF534" s="197"/>
      <c r="AG534" s="259"/>
    </row>
    <row r="535" spans="1:33" ht="15" customHeight="1">
      <c r="A535" s="245" t="s">
        <v>1717</v>
      </c>
      <c r="B535" s="246">
        <v>46202</v>
      </c>
      <c r="C535" s="131">
        <v>46202</v>
      </c>
      <c r="D535" s="113" t="s">
        <v>1718</v>
      </c>
      <c r="E535" s="113" t="s">
        <v>33</v>
      </c>
      <c r="F535" s="113" t="s">
        <v>827</v>
      </c>
      <c r="G535" s="113">
        <v>60003096</v>
      </c>
      <c r="H535" s="113" t="s">
        <v>1721</v>
      </c>
      <c r="I535" s="113" t="s">
        <v>1722</v>
      </c>
      <c r="J535" s="113">
        <v>1</v>
      </c>
      <c r="K535" s="113" t="s">
        <v>37</v>
      </c>
      <c r="L535" s="113" t="s">
        <v>122</v>
      </c>
      <c r="M535" s="113" t="s">
        <v>81</v>
      </c>
      <c r="N535" s="113">
        <v>189101</v>
      </c>
      <c r="O535" s="245"/>
      <c r="P535" s="245"/>
      <c r="Q535" s="245">
        <v>1</v>
      </c>
      <c r="R535" s="245"/>
      <c r="S535" s="246"/>
      <c r="T535" s="220">
        <v>46222</v>
      </c>
      <c r="U535" s="220">
        <v>46232</v>
      </c>
      <c r="V535" s="245" t="s">
        <v>290</v>
      </c>
      <c r="W535" s="254">
        <v>175.25</v>
      </c>
      <c r="X535" s="254">
        <f>Table2[[#This Row],[QUANTIDADE]]*Table2[[#This Row],[PREÇO UNITARIO]]</f>
        <v>175.25</v>
      </c>
      <c r="Y535" s="245"/>
      <c r="Z535" s="9">
        <f t="shared" si="19"/>
        <v>6</v>
      </c>
      <c r="AA535" s="219" t="s">
        <v>42</v>
      </c>
      <c r="AB535" s="17">
        <f t="shared" ca="1" si="20"/>
        <v>46235</v>
      </c>
      <c r="AC535" s="9">
        <f ca="1">_xlfn.DAYS(Table2[[#This Row],[HOJE]],Table2[[#This Row],[DATA PEDIDO HP]])</f>
        <v>33</v>
      </c>
      <c r="AD535" s="219" t="str">
        <f ca="1">IF(Table2[[#This Row],[STATUS2]]="ENTREGUE","ENTREGUE","")</f>
        <v/>
      </c>
      <c r="AE535" s="9" t="str">
        <f ca="1">IF(Table2[[#This Row],[HOLD]]&gt;30,"ATRASADO","NO PRAZO")</f>
        <v>ATRASADO</v>
      </c>
      <c r="AF535" s="197"/>
      <c r="AG535" s="259"/>
    </row>
    <row r="536" spans="1:33" ht="15" customHeight="1">
      <c r="A536" s="245" t="s">
        <v>1717</v>
      </c>
      <c r="B536" s="246">
        <v>46202</v>
      </c>
      <c r="C536" s="131">
        <v>46202</v>
      </c>
      <c r="D536" s="113" t="s">
        <v>1718</v>
      </c>
      <c r="E536" s="113" t="s">
        <v>33</v>
      </c>
      <c r="F536" s="113" t="s">
        <v>827</v>
      </c>
      <c r="G536" s="113">
        <v>60003096</v>
      </c>
      <c r="H536" s="113" t="s">
        <v>1723</v>
      </c>
      <c r="I536" s="113" t="s">
        <v>1724</v>
      </c>
      <c r="J536" s="113">
        <v>1</v>
      </c>
      <c r="K536" s="113" t="s">
        <v>37</v>
      </c>
      <c r="L536" s="113" t="s">
        <v>122</v>
      </c>
      <c r="M536" s="113" t="s">
        <v>39</v>
      </c>
      <c r="N536" s="113">
        <v>189101</v>
      </c>
      <c r="O536" s="245"/>
      <c r="P536" s="245"/>
      <c r="Q536" s="245">
        <v>1</v>
      </c>
      <c r="R536" s="245"/>
      <c r="S536" s="246"/>
      <c r="T536" s="220">
        <v>46222</v>
      </c>
      <c r="U536" s="220">
        <v>46232</v>
      </c>
      <c r="V536" s="245" t="s">
        <v>290</v>
      </c>
      <c r="W536" s="254">
        <v>29.4</v>
      </c>
      <c r="X536" s="254">
        <f>Table2[[#This Row],[QUANTIDADE]]*Table2[[#This Row],[PREÇO UNITARIO]]</f>
        <v>29.4</v>
      </c>
      <c r="Y536" s="245"/>
      <c r="Z536" s="9">
        <f t="shared" si="19"/>
        <v>6</v>
      </c>
      <c r="AA536" s="219" t="s">
        <v>42</v>
      </c>
      <c r="AB536" s="17">
        <f t="shared" ca="1" si="20"/>
        <v>46235</v>
      </c>
      <c r="AC536" s="9">
        <f ca="1">_xlfn.DAYS(Table2[[#This Row],[HOJE]],Table2[[#This Row],[DATA PEDIDO HP]])</f>
        <v>33</v>
      </c>
      <c r="AD536" s="219" t="str">
        <f ca="1">IF(Table2[[#This Row],[STATUS2]]="ENTREGUE","ENTREGUE","")</f>
        <v/>
      </c>
      <c r="AE536" s="9" t="str">
        <f ca="1">IF(Table2[[#This Row],[HOLD]]&gt;30,"ATRASADO","NO PRAZO")</f>
        <v>ATRASADO</v>
      </c>
      <c r="AF536" s="197"/>
      <c r="AG536" s="259"/>
    </row>
    <row r="537" spans="1:33" ht="15" customHeight="1">
      <c r="A537" s="245" t="s">
        <v>1725</v>
      </c>
      <c r="B537" s="246">
        <v>46202</v>
      </c>
      <c r="C537" s="131">
        <v>46202</v>
      </c>
      <c r="D537" s="248" t="s">
        <v>1726</v>
      </c>
      <c r="E537" s="218" t="s">
        <v>162</v>
      </c>
      <c r="F537" s="248" t="s">
        <v>182</v>
      </c>
      <c r="G537" s="248">
        <v>44000216</v>
      </c>
      <c r="H537" s="248" t="s">
        <v>1727</v>
      </c>
      <c r="I537" s="248" t="s">
        <v>1728</v>
      </c>
      <c r="J537" s="248">
        <v>1</v>
      </c>
      <c r="K537" s="248" t="s">
        <v>269</v>
      </c>
      <c r="L537" s="113" t="s">
        <v>1679</v>
      </c>
      <c r="M537" s="248" t="s">
        <v>39</v>
      </c>
      <c r="N537" s="113"/>
      <c r="O537" s="245"/>
      <c r="P537" s="245"/>
      <c r="Q537" s="245">
        <v>0</v>
      </c>
      <c r="R537" s="245"/>
      <c r="S537" s="246">
        <v>46219</v>
      </c>
      <c r="T537" s="246"/>
      <c r="U537" s="246"/>
      <c r="V537" s="245"/>
      <c r="W537" s="254">
        <v>26687.99</v>
      </c>
      <c r="X537" s="254">
        <f>Table2[[#This Row],[QUANTIDADE]]*Table2[[#This Row],[PREÇO UNITARIO]]</f>
        <v>26687.99</v>
      </c>
      <c r="Y537" s="245"/>
      <c r="Z537" s="9">
        <f t="shared" si="19"/>
        <v>6</v>
      </c>
      <c r="AA537" s="237" t="s">
        <v>74</v>
      </c>
      <c r="AB537" s="17">
        <f t="shared" ca="1" si="20"/>
        <v>46235</v>
      </c>
      <c r="AC537" s="9">
        <f ca="1">_xlfn.DAYS(Table2[[#This Row],[HOJE]],Table2[[#This Row],[DATA PEDIDO HP]])</f>
        <v>33</v>
      </c>
      <c r="AD537" s="219" t="str">
        <f ca="1">IF(Table2[[#This Row],[STATUS2]]="ENTREGUE","ENTREGUE","")</f>
        <v/>
      </c>
      <c r="AE537" s="9" t="str">
        <f ca="1">IF(Table2[[#This Row],[HOLD]]&gt;30,"ATRASADO","NO PRAZO")</f>
        <v>ATRASADO</v>
      </c>
      <c r="AF537" s="197"/>
      <c r="AG537" s="259"/>
    </row>
    <row r="538" spans="1:33" ht="15" customHeight="1">
      <c r="A538" s="245" t="s">
        <v>1729</v>
      </c>
      <c r="B538" s="246">
        <v>46203</v>
      </c>
      <c r="C538" s="131">
        <v>46202</v>
      </c>
      <c r="D538" s="113" t="s">
        <v>1730</v>
      </c>
      <c r="E538" s="113" t="s">
        <v>154</v>
      </c>
      <c r="F538" s="113" t="s">
        <v>145</v>
      </c>
      <c r="G538" s="113">
        <v>48000044</v>
      </c>
      <c r="H538" s="113" t="s">
        <v>1731</v>
      </c>
      <c r="I538" s="113" t="s">
        <v>1732</v>
      </c>
      <c r="J538" s="113">
        <v>1</v>
      </c>
      <c r="K538" s="113" t="s">
        <v>37</v>
      </c>
      <c r="L538" s="113" t="s">
        <v>72</v>
      </c>
      <c r="M538" s="113" t="s">
        <v>73</v>
      </c>
      <c r="N538" s="113">
        <v>191840</v>
      </c>
      <c r="O538" s="245"/>
      <c r="P538" s="245"/>
      <c r="Q538" s="245">
        <v>1</v>
      </c>
      <c r="R538" s="245"/>
      <c r="S538" s="246"/>
      <c r="T538" s="246"/>
      <c r="U538" s="246"/>
      <c r="V538" s="245"/>
      <c r="W538" s="254">
        <v>666.89</v>
      </c>
      <c r="X538" s="254">
        <f>Table2[[#This Row],[QUANTIDADE]]*Table2[[#This Row],[PREÇO UNITARIO]]</f>
        <v>666.89</v>
      </c>
      <c r="Y538" s="245"/>
      <c r="Z538" s="9">
        <f t="shared" si="19"/>
        <v>6</v>
      </c>
      <c r="AA538" s="237" t="s">
        <v>74</v>
      </c>
      <c r="AB538" s="17">
        <f t="shared" ca="1" si="20"/>
        <v>46235</v>
      </c>
      <c r="AC538" s="9">
        <f ca="1">_xlfn.DAYS(Table2[[#This Row],[HOJE]],Table2[[#This Row],[DATA PEDIDO HP]])</f>
        <v>32</v>
      </c>
      <c r="AD538" s="219" t="str">
        <f ca="1">IF(Table2[[#This Row],[STATUS2]]="ENTREGUE","ENTREGUE","")</f>
        <v/>
      </c>
      <c r="AE538" s="9" t="str">
        <f ca="1">IF(Table2[[#This Row],[HOLD]]&gt;30,"ATRASADO","NO PRAZO")</f>
        <v>ATRASADO</v>
      </c>
      <c r="AF538" s="197"/>
      <c r="AG538" s="259"/>
    </row>
    <row r="539" spans="1:33" ht="15" customHeight="1">
      <c r="A539" s="245" t="s">
        <v>1733</v>
      </c>
      <c r="B539" s="246">
        <v>46202</v>
      </c>
      <c r="C539" s="131">
        <v>46202</v>
      </c>
      <c r="D539" s="113" t="s">
        <v>1734</v>
      </c>
      <c r="E539" s="113" t="s">
        <v>1544</v>
      </c>
      <c r="F539" s="113" t="s">
        <v>140</v>
      </c>
      <c r="G539" s="113">
        <v>48300288</v>
      </c>
      <c r="H539" s="113" t="s">
        <v>1735</v>
      </c>
      <c r="I539" s="113" t="s">
        <v>1736</v>
      </c>
      <c r="J539" s="113">
        <v>1</v>
      </c>
      <c r="K539" s="113" t="s">
        <v>37</v>
      </c>
      <c r="L539" s="113" t="s">
        <v>72</v>
      </c>
      <c r="M539" s="113" t="s">
        <v>81</v>
      </c>
      <c r="N539" s="113">
        <v>191906</v>
      </c>
      <c r="O539" s="245"/>
      <c r="P539" s="245"/>
      <c r="Q539" s="245">
        <v>1</v>
      </c>
      <c r="R539" s="245"/>
      <c r="S539" s="246"/>
      <c r="T539" s="246"/>
      <c r="U539" s="246"/>
      <c r="V539" s="245"/>
      <c r="W539" s="254">
        <v>16.329999999999998</v>
      </c>
      <c r="X539" s="254">
        <f>Table2[[#This Row],[QUANTIDADE]]*Table2[[#This Row],[PREÇO UNITARIO]]</f>
        <v>16.329999999999998</v>
      </c>
      <c r="Y539" s="245"/>
      <c r="Z539" s="9">
        <f t="shared" si="19"/>
        <v>6</v>
      </c>
      <c r="AA539" s="237" t="s">
        <v>74</v>
      </c>
      <c r="AB539" s="17">
        <f t="shared" ca="1" si="20"/>
        <v>46235</v>
      </c>
      <c r="AC539" s="9">
        <f ca="1">_xlfn.DAYS(Table2[[#This Row],[HOJE]],Table2[[#This Row],[DATA PEDIDO HP]])</f>
        <v>33</v>
      </c>
      <c r="AD539" s="219" t="str">
        <f ca="1">IF(Table2[[#This Row],[STATUS2]]="ENTREGUE","ENTREGUE","")</f>
        <v/>
      </c>
      <c r="AE539" s="9" t="str">
        <f ca="1">IF(Table2[[#This Row],[HOLD]]&gt;30,"ATRASADO","NO PRAZO")</f>
        <v>ATRASADO</v>
      </c>
      <c r="AF539" s="197"/>
      <c r="AG539" s="259"/>
    </row>
    <row r="540" spans="1:33" ht="15" customHeight="1">
      <c r="A540" s="245" t="s">
        <v>1733</v>
      </c>
      <c r="B540" s="246">
        <v>46202</v>
      </c>
      <c r="C540" s="131">
        <v>46202</v>
      </c>
      <c r="D540" s="113" t="s">
        <v>1734</v>
      </c>
      <c r="E540" s="113" t="s">
        <v>1544</v>
      </c>
      <c r="F540" s="113" t="s">
        <v>140</v>
      </c>
      <c r="G540" s="113">
        <v>48300288</v>
      </c>
      <c r="H540" s="113" t="s">
        <v>1286</v>
      </c>
      <c r="I540" s="258" t="s">
        <v>1737</v>
      </c>
      <c r="J540" s="113">
        <v>1</v>
      </c>
      <c r="K540" s="113" t="s">
        <v>37</v>
      </c>
      <c r="L540" s="113" t="s">
        <v>72</v>
      </c>
      <c r="M540" s="113" t="s">
        <v>81</v>
      </c>
      <c r="N540" s="113">
        <v>191906</v>
      </c>
      <c r="O540" s="245"/>
      <c r="P540" s="245"/>
      <c r="Q540" s="245">
        <v>1</v>
      </c>
      <c r="R540" s="245"/>
      <c r="S540" s="246"/>
      <c r="T540" s="246"/>
      <c r="U540" s="246"/>
      <c r="V540" s="245"/>
      <c r="W540" s="254">
        <v>77.77</v>
      </c>
      <c r="X540" s="254">
        <f>Table2[[#This Row],[QUANTIDADE]]*Table2[[#This Row],[PREÇO UNITARIO]]</f>
        <v>77.77</v>
      </c>
      <c r="Y540" s="245"/>
      <c r="Z540" s="9">
        <f t="shared" si="19"/>
        <v>6</v>
      </c>
      <c r="AA540" s="237" t="s">
        <v>74</v>
      </c>
      <c r="AB540" s="17">
        <f t="shared" ca="1" si="20"/>
        <v>46235</v>
      </c>
      <c r="AC540" s="9">
        <f ca="1">_xlfn.DAYS(Table2[[#This Row],[HOJE]],Table2[[#This Row],[DATA PEDIDO HP]])</f>
        <v>33</v>
      </c>
      <c r="AD540" s="219" t="str">
        <f ca="1">IF(Table2[[#This Row],[STATUS2]]="ENTREGUE","ENTREGUE","")</f>
        <v/>
      </c>
      <c r="AE540" s="9" t="str">
        <f ca="1">IF(Table2[[#This Row],[HOLD]]&gt;30,"ATRASADO","NO PRAZO")</f>
        <v>ATRASADO</v>
      </c>
      <c r="AF540" s="197"/>
      <c r="AG540" s="259"/>
    </row>
    <row r="541" spans="1:33" ht="15" customHeight="1">
      <c r="A541" s="245" t="s">
        <v>1738</v>
      </c>
      <c r="B541" s="246">
        <v>46202</v>
      </c>
      <c r="C541" s="131">
        <v>46202</v>
      </c>
      <c r="D541" s="113" t="s">
        <v>1739</v>
      </c>
      <c r="E541" s="113" t="s">
        <v>1425</v>
      </c>
      <c r="F541" s="113" t="s">
        <v>328</v>
      </c>
      <c r="G541" s="113">
        <v>50000351</v>
      </c>
      <c r="H541" s="113" t="s">
        <v>430</v>
      </c>
      <c r="I541" s="113" t="s">
        <v>431</v>
      </c>
      <c r="J541" s="113">
        <v>1</v>
      </c>
      <c r="K541" s="113" t="s">
        <v>37</v>
      </c>
      <c r="L541" s="113" t="s">
        <v>72</v>
      </c>
      <c r="M541" s="113" t="s">
        <v>73</v>
      </c>
      <c r="N541" s="113">
        <v>192237</v>
      </c>
      <c r="O541" s="245"/>
      <c r="P541" s="245"/>
      <c r="Q541" s="245">
        <v>1</v>
      </c>
      <c r="R541" s="245"/>
      <c r="S541" s="246"/>
      <c r="T541" s="246"/>
      <c r="U541" s="246"/>
      <c r="V541" s="245"/>
      <c r="W541" s="254">
        <v>125.99</v>
      </c>
      <c r="X541" s="254">
        <f>Table2[[#This Row],[QUANTIDADE]]*Table2[[#This Row],[PREÇO UNITARIO]]</f>
        <v>125.99</v>
      </c>
      <c r="Y541" s="245"/>
      <c r="Z541" s="9">
        <f t="shared" si="19"/>
        <v>6</v>
      </c>
      <c r="AA541" s="219" t="s">
        <v>42</v>
      </c>
      <c r="AB541" s="17">
        <f t="shared" ca="1" si="20"/>
        <v>46235</v>
      </c>
      <c r="AC541" s="9">
        <f ca="1">_xlfn.DAYS(Table2[[#This Row],[HOJE]],Table2[[#This Row],[DATA PEDIDO HP]])</f>
        <v>33</v>
      </c>
      <c r="AD541" s="219" t="str">
        <f ca="1">IF(Table2[[#This Row],[STATUS2]]="ENTREGUE","ENTREGUE","")</f>
        <v/>
      </c>
      <c r="AE541" s="9" t="str">
        <f ca="1">IF(Table2[[#This Row],[HOLD]]&gt;30,"ATRASADO","NO PRAZO")</f>
        <v>ATRASADO</v>
      </c>
      <c r="AF541" s="197"/>
      <c r="AG541" s="259"/>
    </row>
    <row r="542" spans="1:33" ht="15" customHeight="1">
      <c r="A542" s="245" t="s">
        <v>1740</v>
      </c>
      <c r="B542" s="246">
        <v>46202</v>
      </c>
      <c r="C542" s="253">
        <v>46202</v>
      </c>
      <c r="D542" s="248" t="s">
        <v>1741</v>
      </c>
      <c r="E542" s="248" t="s">
        <v>191</v>
      </c>
      <c r="F542" s="248" t="s">
        <v>95</v>
      </c>
      <c r="G542" s="248">
        <v>60001111</v>
      </c>
      <c r="H542" s="248" t="s">
        <v>958</v>
      </c>
      <c r="I542" s="248" t="s">
        <v>959</v>
      </c>
      <c r="J542" s="248">
        <v>1</v>
      </c>
      <c r="K542" s="248" t="s">
        <v>37</v>
      </c>
      <c r="L542" s="248" t="s">
        <v>122</v>
      </c>
      <c r="M542" s="248" t="s">
        <v>73</v>
      </c>
      <c r="N542" s="248">
        <v>192040</v>
      </c>
      <c r="O542" s="245"/>
      <c r="P542" s="245"/>
      <c r="Q542" s="245">
        <v>1</v>
      </c>
      <c r="R542" s="245" t="s">
        <v>960</v>
      </c>
      <c r="S542" s="246"/>
      <c r="T542" s="246"/>
      <c r="U542" s="246"/>
      <c r="V542" s="245"/>
      <c r="W542" s="257">
        <v>4693.03</v>
      </c>
      <c r="X542" s="254">
        <f>Table2[[#This Row],[QUANTIDADE]]*Table2[[#This Row],[PREÇO UNITARIO]]</f>
        <v>4693.03</v>
      </c>
      <c r="Y542" s="245"/>
      <c r="Z542" s="9">
        <f t="shared" si="19"/>
        <v>6</v>
      </c>
      <c r="AA542" s="219" t="s">
        <v>42</v>
      </c>
      <c r="AB542" s="17">
        <f t="shared" ca="1" si="20"/>
        <v>46235</v>
      </c>
      <c r="AC542" s="9">
        <f ca="1">_xlfn.DAYS(Table2[[#This Row],[HOJE]],Table2[[#This Row],[DATA PEDIDO HP]])</f>
        <v>33</v>
      </c>
      <c r="AD542" s="219" t="str">
        <f ca="1">IF(Table2[[#This Row],[STATUS2]]="ENTREGUE","ENTREGUE","")</f>
        <v/>
      </c>
      <c r="AE542" s="9" t="str">
        <f ca="1">IF(Table2[[#This Row],[HOLD]]&gt;30,"ATRASADO","NO PRAZO")</f>
        <v>ATRASADO</v>
      </c>
      <c r="AF542" s="197"/>
      <c r="AG542" s="259"/>
    </row>
    <row r="543" spans="1:33" ht="15" customHeight="1">
      <c r="A543" s="245" t="s">
        <v>1742</v>
      </c>
      <c r="B543" s="246">
        <v>46203</v>
      </c>
      <c r="C543" s="235">
        <v>46202</v>
      </c>
      <c r="D543" s="236" t="s">
        <v>1743</v>
      </c>
      <c r="E543" s="236" t="s">
        <v>345</v>
      </c>
      <c r="F543" s="236" t="s">
        <v>34</v>
      </c>
      <c r="G543" s="236">
        <v>50110229</v>
      </c>
      <c r="H543" s="236" t="s">
        <v>1326</v>
      </c>
      <c r="I543" s="236" t="s">
        <v>1744</v>
      </c>
      <c r="J543" s="236">
        <v>1</v>
      </c>
      <c r="K543" s="236" t="s">
        <v>37</v>
      </c>
      <c r="L543" s="236" t="s">
        <v>72</v>
      </c>
      <c r="M543" s="236" t="s">
        <v>81</v>
      </c>
      <c r="N543" s="236">
        <v>192236</v>
      </c>
      <c r="O543" s="237"/>
      <c r="P543" s="237"/>
      <c r="Q543" s="237"/>
      <c r="R543" s="237"/>
      <c r="S543" s="238"/>
      <c r="T543" s="238"/>
      <c r="U543" s="238"/>
      <c r="V543" s="237"/>
      <c r="W543" s="239">
        <v>91.76</v>
      </c>
      <c r="X543" s="239">
        <f>Table2[[#This Row],[QUANTIDADE]]*Table2[[#This Row],[PREÇO UNITARIO]]</f>
        <v>91.76</v>
      </c>
      <c r="Y543" s="237"/>
      <c r="Z543" s="237">
        <f t="shared" si="19"/>
        <v>6</v>
      </c>
      <c r="AA543" s="219" t="s">
        <v>42</v>
      </c>
      <c r="AB543" s="238">
        <f t="shared" ca="1" si="20"/>
        <v>46235</v>
      </c>
      <c r="AC543" s="237">
        <f ca="1">_xlfn.DAYS(Table2[[#This Row],[HOJE]],Table2[[#This Row],[DATA PEDIDO HP]])</f>
        <v>32</v>
      </c>
      <c r="AD543" s="237" t="str">
        <f ca="1">IF(Table2[[#This Row],[STATUS2]]="ENTREGUE","ENTREGUE","")</f>
        <v/>
      </c>
      <c r="AE543" s="261" t="str">
        <f ca="1">IF(Table2[[#This Row],[HOLD]]&gt;30,"ATRASADO","NO PRAZO")</f>
        <v>ATRASADO</v>
      </c>
      <c r="AF543" s="256"/>
    </row>
    <row r="544" spans="1:33" ht="15" customHeight="1">
      <c r="A544" s="245" t="s">
        <v>1745</v>
      </c>
      <c r="B544" s="246">
        <v>46203</v>
      </c>
      <c r="C544" s="235">
        <v>46202</v>
      </c>
      <c r="D544" s="236" t="s">
        <v>1746</v>
      </c>
      <c r="E544" s="236" t="s">
        <v>69</v>
      </c>
      <c r="F544" s="236" t="s">
        <v>34</v>
      </c>
      <c r="G544" s="236">
        <v>50200095</v>
      </c>
      <c r="H544" s="236" t="s">
        <v>1326</v>
      </c>
      <c r="I544" s="236" t="s">
        <v>1747</v>
      </c>
      <c r="J544" s="236">
        <v>1</v>
      </c>
      <c r="K544" s="236" t="s">
        <v>37</v>
      </c>
      <c r="L544" s="236" t="s">
        <v>72</v>
      </c>
      <c r="M544" s="236" t="s">
        <v>73</v>
      </c>
      <c r="N544" s="236">
        <v>192042</v>
      </c>
      <c r="O544" s="237"/>
      <c r="P544" s="237"/>
      <c r="Q544" s="237"/>
      <c r="R544" s="237"/>
      <c r="S544" s="238"/>
      <c r="T544" s="238"/>
      <c r="U544" s="238"/>
      <c r="V544" s="237"/>
      <c r="W544" s="239">
        <v>91.76</v>
      </c>
      <c r="X544" s="239">
        <f>Table2[[#This Row],[QUANTIDADE]]*Table2[[#This Row],[PREÇO UNITARIO]]</f>
        <v>91.76</v>
      </c>
      <c r="Y544" s="237"/>
      <c r="Z544" s="237">
        <f t="shared" si="19"/>
        <v>6</v>
      </c>
      <c r="AA544" s="237" t="s">
        <v>74</v>
      </c>
      <c r="AB544" s="238">
        <f t="shared" ca="1" si="20"/>
        <v>46235</v>
      </c>
      <c r="AC544" s="237">
        <f ca="1">_xlfn.DAYS(Table2[[#This Row],[HOJE]],Table2[[#This Row],[DATA PEDIDO HP]])</f>
        <v>32</v>
      </c>
      <c r="AD544" s="237" t="str">
        <f ca="1">IF(Table2[[#This Row],[STATUS2]]="ENTREGUE","ENTREGUE","")</f>
        <v/>
      </c>
      <c r="AE544" s="261" t="str">
        <f ca="1">IF(Table2[[#This Row],[HOLD]]&gt;30,"ATRASADO","NO PRAZO")</f>
        <v>ATRASADO</v>
      </c>
    </row>
    <row r="545" spans="1:31" ht="15" customHeight="1">
      <c r="A545" s="245" t="s">
        <v>1748</v>
      </c>
      <c r="B545" s="246">
        <v>46203</v>
      </c>
      <c r="C545" s="235">
        <v>46203</v>
      </c>
      <c r="D545" s="236" t="s">
        <v>1749</v>
      </c>
      <c r="E545" s="236" t="s">
        <v>613</v>
      </c>
      <c r="F545" s="236" t="s">
        <v>135</v>
      </c>
      <c r="G545" s="236">
        <v>48500271</v>
      </c>
      <c r="H545" s="236" t="s">
        <v>1750</v>
      </c>
      <c r="I545" s="236" t="s">
        <v>1751</v>
      </c>
      <c r="J545" s="236">
        <v>1</v>
      </c>
      <c r="K545" s="236" t="s">
        <v>37</v>
      </c>
      <c r="L545" s="236" t="s">
        <v>72</v>
      </c>
      <c r="M545" s="236" t="s">
        <v>39</v>
      </c>
      <c r="N545" s="236">
        <v>189170</v>
      </c>
      <c r="O545" s="237"/>
      <c r="P545" s="237"/>
      <c r="Q545" s="237"/>
      <c r="R545" s="237"/>
      <c r="S545" s="238"/>
      <c r="T545" s="238"/>
      <c r="U545" s="238"/>
      <c r="V545" s="237"/>
      <c r="W545" s="239">
        <v>150.81</v>
      </c>
      <c r="X545" s="239">
        <f>Table2[[#This Row],[QUANTIDADE]]*Table2[[#This Row],[PREÇO UNITARIO]]</f>
        <v>150.81</v>
      </c>
      <c r="Y545" s="237"/>
      <c r="Z545" s="237">
        <f t="shared" ref="Z545:Z567" si="21">MONTH(B545)</f>
        <v>6</v>
      </c>
      <c r="AA545" s="237" t="s">
        <v>74</v>
      </c>
      <c r="AB545" s="238">
        <f t="shared" ref="AB545:AB608" ca="1" si="22">TODAY()</f>
        <v>46235</v>
      </c>
      <c r="AC545" s="237">
        <f ca="1">_xlfn.DAYS(Table2[[#This Row],[HOJE]],Table2[[#This Row],[DATA PEDIDO HP]])</f>
        <v>32</v>
      </c>
      <c r="AD545" s="237" t="str">
        <f ca="1">IF(Table2[[#This Row],[STATUS2]]="ENTREGUE","ENTREGUE","")</f>
        <v/>
      </c>
      <c r="AE545" s="261" t="str">
        <f ca="1">IF(Table2[[#This Row],[HOLD]]&gt;30,"ATRASADO","NO PRAZO")</f>
        <v>ATRASADO</v>
      </c>
    </row>
    <row r="546" spans="1:31" ht="15" customHeight="1">
      <c r="A546" s="245" t="s">
        <v>1748</v>
      </c>
      <c r="B546" s="246">
        <v>46203</v>
      </c>
      <c r="C546" s="235">
        <v>46203</v>
      </c>
      <c r="D546" s="236" t="s">
        <v>1749</v>
      </c>
      <c r="E546" s="236" t="s">
        <v>613</v>
      </c>
      <c r="F546" s="236" t="s">
        <v>135</v>
      </c>
      <c r="G546" s="236">
        <v>48500271</v>
      </c>
      <c r="H546" s="236" t="s">
        <v>1752</v>
      </c>
      <c r="I546" s="236" t="s">
        <v>1753</v>
      </c>
      <c r="J546" s="236">
        <v>1</v>
      </c>
      <c r="K546" s="236" t="s">
        <v>37</v>
      </c>
      <c r="L546" s="236" t="s">
        <v>72</v>
      </c>
      <c r="M546" s="236" t="s">
        <v>73</v>
      </c>
      <c r="N546" s="236">
        <v>189170</v>
      </c>
      <c r="O546" s="237"/>
      <c r="P546" s="237"/>
      <c r="Q546" s="237"/>
      <c r="R546" s="237"/>
      <c r="S546" s="238"/>
      <c r="T546" s="238"/>
      <c r="U546" s="238"/>
      <c r="V546" s="237"/>
      <c r="W546" s="239">
        <v>407.36</v>
      </c>
      <c r="X546" s="239">
        <f>Table2[[#This Row],[QUANTIDADE]]*Table2[[#This Row],[PREÇO UNITARIO]]</f>
        <v>407.36</v>
      </c>
      <c r="Y546" s="237"/>
      <c r="Z546" s="237">
        <f t="shared" si="21"/>
        <v>6</v>
      </c>
      <c r="AA546" s="237" t="s">
        <v>74</v>
      </c>
      <c r="AB546" s="238">
        <f t="shared" ca="1" si="22"/>
        <v>46235</v>
      </c>
      <c r="AC546" s="237">
        <f ca="1">_xlfn.DAYS(Table2[[#This Row],[HOJE]],Table2[[#This Row],[DATA PEDIDO HP]])</f>
        <v>32</v>
      </c>
      <c r="AD546" s="237" t="str">
        <f ca="1">IF(Table2[[#This Row],[STATUS2]]="ENTREGUE","ENTREGUE","")</f>
        <v/>
      </c>
      <c r="AE546" s="261" t="str">
        <f ca="1">IF(Table2[[#This Row],[HOLD]]&gt;30,"ATRASADO","NO PRAZO")</f>
        <v>ATRASADO</v>
      </c>
    </row>
    <row r="547" spans="1:31" ht="15" customHeight="1">
      <c r="A547" s="245" t="s">
        <v>1748</v>
      </c>
      <c r="B547" s="246">
        <v>46203</v>
      </c>
      <c r="C547" s="235">
        <v>46203</v>
      </c>
      <c r="D547" s="236" t="s">
        <v>1749</v>
      </c>
      <c r="E547" s="236" t="s">
        <v>613</v>
      </c>
      <c r="F547" s="236" t="s">
        <v>135</v>
      </c>
      <c r="G547" s="236">
        <v>48500271</v>
      </c>
      <c r="H547" s="236" t="s">
        <v>1754</v>
      </c>
      <c r="I547" s="236" t="s">
        <v>1755</v>
      </c>
      <c r="J547" s="236">
        <v>1</v>
      </c>
      <c r="K547" s="236" t="s">
        <v>37</v>
      </c>
      <c r="L547" s="236" t="s">
        <v>72</v>
      </c>
      <c r="M547" s="236" t="s">
        <v>73</v>
      </c>
      <c r="N547" s="236">
        <v>189170</v>
      </c>
      <c r="O547" s="237"/>
      <c r="P547" s="237"/>
      <c r="Q547" s="237"/>
      <c r="R547" s="237"/>
      <c r="S547" s="238"/>
      <c r="T547" s="238"/>
      <c r="U547" s="238"/>
      <c r="V547" s="237"/>
      <c r="W547" s="239">
        <v>407.36</v>
      </c>
      <c r="X547" s="239">
        <f>Table2[[#This Row],[QUANTIDADE]]*Table2[[#This Row],[PREÇO UNITARIO]]</f>
        <v>407.36</v>
      </c>
      <c r="Y547" s="237"/>
      <c r="Z547" s="237">
        <f t="shared" si="21"/>
        <v>6</v>
      </c>
      <c r="AA547" s="237" t="s">
        <v>74</v>
      </c>
      <c r="AB547" s="238">
        <f t="shared" ca="1" si="22"/>
        <v>46235</v>
      </c>
      <c r="AC547" s="237">
        <f ca="1">_xlfn.DAYS(Table2[[#This Row],[HOJE]],Table2[[#This Row],[DATA PEDIDO HP]])</f>
        <v>32</v>
      </c>
      <c r="AD547" s="237" t="str">
        <f ca="1">IF(Table2[[#This Row],[STATUS2]]="ENTREGUE","ENTREGUE","")</f>
        <v/>
      </c>
      <c r="AE547" s="261" t="str">
        <f ca="1">IF(Table2[[#This Row],[HOLD]]&gt;30,"ATRASADO","NO PRAZO")</f>
        <v>ATRASADO</v>
      </c>
    </row>
    <row r="548" spans="1:31" ht="15" customHeight="1">
      <c r="A548" s="245" t="s">
        <v>1756</v>
      </c>
      <c r="B548" s="246">
        <v>46203</v>
      </c>
      <c r="C548" s="235">
        <v>46203</v>
      </c>
      <c r="D548" s="236" t="s">
        <v>1757</v>
      </c>
      <c r="E548" s="236" t="s">
        <v>915</v>
      </c>
      <c r="F548" s="236" t="s">
        <v>242</v>
      </c>
      <c r="G548" s="236">
        <v>51100064</v>
      </c>
      <c r="H548" s="236" t="s">
        <v>1282</v>
      </c>
      <c r="I548" s="236" t="s">
        <v>1283</v>
      </c>
      <c r="J548" s="236">
        <v>1</v>
      </c>
      <c r="K548" s="236" t="s">
        <v>37</v>
      </c>
      <c r="L548" s="236" t="s">
        <v>72</v>
      </c>
      <c r="M548" s="236" t="s">
        <v>81</v>
      </c>
      <c r="N548" s="236">
        <v>191478</v>
      </c>
      <c r="O548" s="237"/>
      <c r="P548" s="237"/>
      <c r="Q548" s="237"/>
      <c r="R548" s="237"/>
      <c r="S548" s="238"/>
      <c r="T548" s="238"/>
      <c r="U548" s="238"/>
      <c r="V548" s="237"/>
      <c r="W548" s="239">
        <v>426.62</v>
      </c>
      <c r="X548" s="239">
        <f>Table2[[#This Row],[QUANTIDADE]]*Table2[[#This Row],[PREÇO UNITARIO]]</f>
        <v>426.62</v>
      </c>
      <c r="Y548" s="237"/>
      <c r="Z548" s="237">
        <f t="shared" si="21"/>
        <v>6</v>
      </c>
      <c r="AA548" s="237" t="s">
        <v>74</v>
      </c>
      <c r="AB548" s="238">
        <f t="shared" ca="1" si="22"/>
        <v>46235</v>
      </c>
      <c r="AC548" s="237">
        <f ca="1">_xlfn.DAYS(Table2[[#This Row],[HOJE]],Table2[[#This Row],[DATA PEDIDO HP]])</f>
        <v>32</v>
      </c>
      <c r="AD548" s="237" t="str">
        <f ca="1">IF(Table2[[#This Row],[STATUS2]]="ENTREGUE","ENTREGUE","")</f>
        <v/>
      </c>
      <c r="AE548" s="261" t="str">
        <f ca="1">IF(Table2[[#This Row],[HOLD]]&gt;30,"ATRASADO","NO PRAZO")</f>
        <v>ATRASADO</v>
      </c>
    </row>
    <row r="549" spans="1:31" ht="15" customHeight="1">
      <c r="A549" s="245" t="s">
        <v>1758</v>
      </c>
      <c r="B549" s="246">
        <v>46203</v>
      </c>
      <c r="C549" s="235">
        <v>46203</v>
      </c>
      <c r="D549" s="236" t="s">
        <v>1759</v>
      </c>
      <c r="E549" s="236" t="s">
        <v>704</v>
      </c>
      <c r="F549" s="236" t="s">
        <v>145</v>
      </c>
      <c r="G549" s="236">
        <v>48000482</v>
      </c>
      <c r="H549" s="236" t="s">
        <v>803</v>
      </c>
      <c r="I549" s="236" t="s">
        <v>804</v>
      </c>
      <c r="J549" s="236">
        <v>1</v>
      </c>
      <c r="K549" s="236" t="s">
        <v>37</v>
      </c>
      <c r="L549" s="236" t="s">
        <v>72</v>
      </c>
      <c r="M549" s="236" t="s">
        <v>73</v>
      </c>
      <c r="N549" s="236">
        <v>190421</v>
      </c>
      <c r="O549" s="237"/>
      <c r="P549" s="237"/>
      <c r="Q549" s="237"/>
      <c r="R549" s="237"/>
      <c r="S549" s="238"/>
      <c r="T549" s="238"/>
      <c r="U549" s="238"/>
      <c r="V549" s="237"/>
      <c r="W549" s="239">
        <v>882.69</v>
      </c>
      <c r="X549" s="239">
        <f>Table2[[#This Row],[QUANTIDADE]]*Table2[[#This Row],[PREÇO UNITARIO]]</f>
        <v>882.69</v>
      </c>
      <c r="Y549" s="237"/>
      <c r="Z549" s="237">
        <f t="shared" si="21"/>
        <v>6</v>
      </c>
      <c r="AA549" s="237" t="s">
        <v>74</v>
      </c>
      <c r="AB549" s="238">
        <f t="shared" ca="1" si="22"/>
        <v>46235</v>
      </c>
      <c r="AC549" s="237">
        <f ca="1">_xlfn.DAYS(Table2[[#This Row],[HOJE]],Table2[[#This Row],[DATA PEDIDO HP]])</f>
        <v>32</v>
      </c>
      <c r="AD549" s="237" t="str">
        <f ca="1">IF(Table2[[#This Row],[STATUS2]]="ENTREGUE","ENTREGUE","")</f>
        <v/>
      </c>
      <c r="AE549" s="261" t="str">
        <f ca="1">IF(Table2[[#This Row],[HOLD]]&gt;30,"ATRASADO","NO PRAZO")</f>
        <v>ATRASADO</v>
      </c>
    </row>
    <row r="550" spans="1:31" ht="15" customHeight="1">
      <c r="A550" s="245" t="s">
        <v>1760</v>
      </c>
      <c r="B550" s="246">
        <v>46203</v>
      </c>
      <c r="C550" s="235">
        <v>46203</v>
      </c>
      <c r="D550" s="236" t="s">
        <v>1761</v>
      </c>
      <c r="E550" s="236" t="s">
        <v>777</v>
      </c>
      <c r="F550" s="236" t="s">
        <v>140</v>
      </c>
      <c r="G550" s="236">
        <v>48300253</v>
      </c>
      <c r="H550" s="236" t="s">
        <v>450</v>
      </c>
      <c r="I550" s="236" t="s">
        <v>451</v>
      </c>
      <c r="J550" s="236">
        <v>1</v>
      </c>
      <c r="K550" s="236" t="s">
        <v>37</v>
      </c>
      <c r="L550" s="236" t="s">
        <v>72</v>
      </c>
      <c r="M550" s="236" t="s">
        <v>73</v>
      </c>
      <c r="N550" s="236">
        <v>189431</v>
      </c>
      <c r="O550" s="237"/>
      <c r="P550" s="237"/>
      <c r="Q550" s="237"/>
      <c r="R550" s="237"/>
      <c r="S550" s="238"/>
      <c r="T550" s="238"/>
      <c r="U550" s="238"/>
      <c r="V550" s="237"/>
      <c r="W550" s="239">
        <v>641.55999999999995</v>
      </c>
      <c r="X550" s="239">
        <f>Table2[[#This Row],[QUANTIDADE]]*Table2[[#This Row],[PREÇO UNITARIO]]</f>
        <v>641.55999999999995</v>
      </c>
      <c r="Y550" s="237"/>
      <c r="Z550" s="237">
        <f t="shared" si="21"/>
        <v>6</v>
      </c>
      <c r="AA550" s="237" t="s">
        <v>74</v>
      </c>
      <c r="AB550" s="238">
        <f t="shared" ca="1" si="22"/>
        <v>46235</v>
      </c>
      <c r="AC550" s="237">
        <f ca="1">_xlfn.DAYS(Table2[[#This Row],[HOJE]],Table2[[#This Row],[DATA PEDIDO HP]])</f>
        <v>32</v>
      </c>
      <c r="AD550" s="237" t="str">
        <f ca="1">IF(Table2[[#This Row],[STATUS2]]="ENTREGUE","ENTREGUE","")</f>
        <v/>
      </c>
      <c r="AE550" s="261" t="str">
        <f ca="1">IF(Table2[[#This Row],[HOLD]]&gt;30,"ATRASADO","NO PRAZO")</f>
        <v>ATRASADO</v>
      </c>
    </row>
    <row r="551" spans="1:31" ht="15" customHeight="1">
      <c r="A551" s="245" t="s">
        <v>1760</v>
      </c>
      <c r="B551" s="246">
        <v>46203</v>
      </c>
      <c r="C551" s="235">
        <v>46203</v>
      </c>
      <c r="D551" s="236" t="s">
        <v>1761</v>
      </c>
      <c r="E551" s="236" t="s">
        <v>777</v>
      </c>
      <c r="F551" s="236" t="s">
        <v>140</v>
      </c>
      <c r="G551" s="236">
        <v>48300253</v>
      </c>
      <c r="H551" s="236" t="s">
        <v>1762</v>
      </c>
      <c r="I551" s="236" t="s">
        <v>1763</v>
      </c>
      <c r="J551" s="236">
        <v>2</v>
      </c>
      <c r="K551" s="236" t="s">
        <v>37</v>
      </c>
      <c r="L551" s="236" t="s">
        <v>72</v>
      </c>
      <c r="M551" s="236" t="s">
        <v>73</v>
      </c>
      <c r="N551" s="236">
        <v>189431</v>
      </c>
      <c r="O551" s="237"/>
      <c r="P551" s="237"/>
      <c r="Q551" s="237"/>
      <c r="R551" s="237"/>
      <c r="S551" s="238"/>
      <c r="T551" s="238"/>
      <c r="U551" s="238"/>
      <c r="V551" s="237"/>
      <c r="W551" s="239">
        <v>882.69</v>
      </c>
      <c r="X551" s="239">
        <f>Table2[[#This Row],[QUANTIDADE]]*Table2[[#This Row],[PREÇO UNITARIO]]</f>
        <v>1765.38</v>
      </c>
      <c r="Y551" s="237"/>
      <c r="Z551" s="237">
        <f t="shared" si="21"/>
        <v>6</v>
      </c>
      <c r="AA551" s="237" t="s">
        <v>74</v>
      </c>
      <c r="AB551" s="238">
        <f t="shared" ca="1" si="22"/>
        <v>46235</v>
      </c>
      <c r="AC551" s="237">
        <f ca="1">_xlfn.DAYS(Table2[[#This Row],[HOJE]],Table2[[#This Row],[DATA PEDIDO HP]])</f>
        <v>32</v>
      </c>
      <c r="AD551" s="237" t="str">
        <f ca="1">IF(Table2[[#This Row],[STATUS2]]="ENTREGUE","ENTREGUE","")</f>
        <v/>
      </c>
      <c r="AE551" s="261" t="str">
        <f ca="1">IF(Table2[[#This Row],[HOLD]]&gt;30,"ATRASADO","NO PRAZO")</f>
        <v>ATRASADO</v>
      </c>
    </row>
    <row r="552" spans="1:31" ht="15" customHeight="1">
      <c r="A552" s="245" t="s">
        <v>1764</v>
      </c>
      <c r="B552" s="246">
        <v>46204</v>
      </c>
      <c r="C552" s="235">
        <v>46204</v>
      </c>
      <c r="D552" s="236" t="s">
        <v>1765</v>
      </c>
      <c r="E552" s="236" t="s">
        <v>1544</v>
      </c>
      <c r="F552" s="236" t="s">
        <v>140</v>
      </c>
      <c r="G552" s="236">
        <v>48300288</v>
      </c>
      <c r="H552" s="218" t="s">
        <v>1766</v>
      </c>
      <c r="I552" s="236" t="s">
        <v>1767</v>
      </c>
      <c r="J552" s="236">
        <v>1</v>
      </c>
      <c r="K552" s="236" t="s">
        <v>37</v>
      </c>
      <c r="L552" s="236" t="s">
        <v>122</v>
      </c>
      <c r="M552" s="236" t="s">
        <v>73</v>
      </c>
      <c r="N552" s="236">
        <v>192566</v>
      </c>
      <c r="O552" s="237"/>
      <c r="P552" s="237"/>
      <c r="Q552" s="237">
        <v>1</v>
      </c>
      <c r="R552" s="237"/>
      <c r="S552" s="238"/>
      <c r="T552" s="238"/>
      <c r="U552" s="238"/>
      <c r="V552" s="237"/>
      <c r="W552" s="239">
        <v>50.89</v>
      </c>
      <c r="X552" s="239">
        <f>Table2[[#This Row],[QUANTIDADE]]*Table2[[#This Row],[PREÇO UNITARIO]]</f>
        <v>50.89</v>
      </c>
      <c r="Y552" s="237"/>
      <c r="Z552" s="237">
        <f t="shared" si="21"/>
        <v>7</v>
      </c>
      <c r="AA552" s="237" t="s">
        <v>74</v>
      </c>
      <c r="AB552" s="238">
        <f t="shared" ca="1" si="22"/>
        <v>46235</v>
      </c>
      <c r="AC552" s="237">
        <f ca="1">_xlfn.DAYS(Table2[[#This Row],[HOJE]],Table2[[#This Row],[DATA PEDIDO HP]])</f>
        <v>31</v>
      </c>
      <c r="AD552" s="237" t="str">
        <f ca="1">IF(Table2[[#This Row],[STATUS2]]="ENTREGUE","ENTREGUE","")</f>
        <v/>
      </c>
      <c r="AE552" s="261" t="str">
        <f ca="1">IF(Table2[[#This Row],[HOLD]]&gt;30,"ATRASADO","NO PRAZO")</f>
        <v>ATRASADO</v>
      </c>
    </row>
    <row r="553" spans="1:31" ht="15" customHeight="1">
      <c r="A553" s="245" t="s">
        <v>1768</v>
      </c>
      <c r="B553" s="246">
        <v>46205</v>
      </c>
      <c r="C553" s="235">
        <v>46205</v>
      </c>
      <c r="D553" s="236" t="s">
        <v>1769</v>
      </c>
      <c r="E553" s="236" t="s">
        <v>88</v>
      </c>
      <c r="F553" s="236" t="s">
        <v>34</v>
      </c>
      <c r="G553" s="236">
        <v>50110057</v>
      </c>
      <c r="H553" s="218" t="s">
        <v>791</v>
      </c>
      <c r="I553" s="236" t="s">
        <v>792</v>
      </c>
      <c r="J553" s="236">
        <v>1</v>
      </c>
      <c r="K553" s="236" t="s">
        <v>37</v>
      </c>
      <c r="L553" s="236" t="s">
        <v>72</v>
      </c>
      <c r="M553" s="236" t="s">
        <v>73</v>
      </c>
      <c r="N553" s="236">
        <v>192269</v>
      </c>
      <c r="O553" s="237"/>
      <c r="P553" s="237"/>
      <c r="Q553" s="237">
        <v>1</v>
      </c>
      <c r="R553" s="237"/>
      <c r="S553" s="238"/>
      <c r="T553" s="238"/>
      <c r="U553" s="238"/>
      <c r="V553" s="237"/>
      <c r="W553" s="239">
        <v>1012.39</v>
      </c>
      <c r="X553" s="239">
        <f>Table2[[#This Row],[QUANTIDADE]]*Table2[[#This Row],[PREÇO UNITARIO]]</f>
        <v>1012.39</v>
      </c>
      <c r="Y553" s="237"/>
      <c r="Z553" s="237">
        <f t="shared" si="21"/>
        <v>7</v>
      </c>
      <c r="AA553" s="219" t="s">
        <v>42</v>
      </c>
      <c r="AB553" s="238">
        <f t="shared" ca="1" si="22"/>
        <v>46235</v>
      </c>
      <c r="AC553" s="237">
        <f ca="1">_xlfn.DAYS(Table2[[#This Row],[HOJE]],Table2[[#This Row],[DATA PEDIDO HP]])</f>
        <v>30</v>
      </c>
      <c r="AD553" s="237" t="str">
        <f ca="1">IF(Table2[[#This Row],[STATUS2]]="ENTREGUE","ENTREGUE","")</f>
        <v/>
      </c>
      <c r="AE553" s="261" t="str">
        <f ca="1">IF(Table2[[#This Row],[HOLD]]&gt;30,"ATRASADO","NO PRAZO")</f>
        <v>NO PRAZO</v>
      </c>
    </row>
    <row r="554" spans="1:31" ht="15" customHeight="1">
      <c r="A554" s="245" t="s">
        <v>1770</v>
      </c>
      <c r="B554" s="246">
        <v>46206</v>
      </c>
      <c r="C554" s="235">
        <v>46206</v>
      </c>
      <c r="D554" s="236" t="s">
        <v>1771</v>
      </c>
      <c r="E554" s="236" t="s">
        <v>125</v>
      </c>
      <c r="F554" s="236" t="s">
        <v>34</v>
      </c>
      <c r="G554" s="236">
        <v>50110193</v>
      </c>
      <c r="H554" s="218" t="s">
        <v>335</v>
      </c>
      <c r="I554" s="236" t="s">
        <v>336</v>
      </c>
      <c r="J554" s="236">
        <v>1</v>
      </c>
      <c r="K554" s="236" t="s">
        <v>37</v>
      </c>
      <c r="L554" s="236" t="s">
        <v>122</v>
      </c>
      <c r="M554" s="236" t="s">
        <v>81</v>
      </c>
      <c r="N554" s="236">
        <v>193061</v>
      </c>
      <c r="O554" s="237"/>
      <c r="P554" s="237"/>
      <c r="Q554" s="237">
        <v>1</v>
      </c>
      <c r="R554" s="237"/>
      <c r="S554" s="238"/>
      <c r="T554" s="238"/>
      <c r="U554" s="238"/>
      <c r="V554" s="237"/>
      <c r="W554" s="239">
        <v>17.28</v>
      </c>
      <c r="X554" s="239">
        <f>Table2[[#This Row],[QUANTIDADE]]*Table2[[#This Row],[PREÇO UNITARIO]]</f>
        <v>17.28</v>
      </c>
      <c r="Y554" s="237"/>
      <c r="Z554" s="237">
        <f t="shared" si="21"/>
        <v>7</v>
      </c>
      <c r="AA554" s="219" t="s">
        <v>42</v>
      </c>
      <c r="AB554" s="238">
        <f t="shared" ca="1" si="22"/>
        <v>46235</v>
      </c>
      <c r="AC554" s="237">
        <f ca="1">_xlfn.DAYS(Table2[[#This Row],[HOJE]],Table2[[#This Row],[DATA PEDIDO HP]])</f>
        <v>29</v>
      </c>
      <c r="AD554" s="237" t="str">
        <f ca="1">IF(Table2[[#This Row],[STATUS2]]="ENTREGUE","ENTREGUE","")</f>
        <v/>
      </c>
      <c r="AE554" s="261" t="str">
        <f ca="1">IF(Table2[[#This Row],[HOLD]]&gt;30,"ATRASADO","NO PRAZO")</f>
        <v>NO PRAZO</v>
      </c>
    </row>
    <row r="555" spans="1:31" ht="15" customHeight="1">
      <c r="A555" s="245" t="s">
        <v>1772</v>
      </c>
      <c r="B555" s="246">
        <v>46206</v>
      </c>
      <c r="C555" s="235">
        <v>46206</v>
      </c>
      <c r="D555" s="236" t="s">
        <v>1773</v>
      </c>
      <c r="E555" s="236" t="s">
        <v>327</v>
      </c>
      <c r="F555" s="236" t="s">
        <v>328</v>
      </c>
      <c r="G555" s="236">
        <v>50000260</v>
      </c>
      <c r="H555" s="218" t="s">
        <v>1701</v>
      </c>
      <c r="I555" s="236" t="s">
        <v>1774</v>
      </c>
      <c r="J555" s="236">
        <v>1</v>
      </c>
      <c r="K555" s="236" t="s">
        <v>37</v>
      </c>
      <c r="L555" s="236" t="s">
        <v>1372</v>
      </c>
      <c r="M555" s="236" t="s">
        <v>73</v>
      </c>
      <c r="N555" s="236">
        <v>192599</v>
      </c>
      <c r="O555" s="237"/>
      <c r="P555" s="237"/>
      <c r="Q555" s="237">
        <v>1</v>
      </c>
      <c r="R555" s="237"/>
      <c r="S555" s="238"/>
      <c r="T555" s="238"/>
      <c r="U555" s="238"/>
      <c r="V555" s="237"/>
      <c r="W555" s="239">
        <v>253.13</v>
      </c>
      <c r="X555" s="239">
        <f>Table2[[#This Row],[QUANTIDADE]]*Table2[[#This Row],[PREÇO UNITARIO]]</f>
        <v>253.13</v>
      </c>
      <c r="Y555" s="237"/>
      <c r="Z555" s="237">
        <f t="shared" si="21"/>
        <v>7</v>
      </c>
      <c r="AA555" s="219" t="s">
        <v>42</v>
      </c>
      <c r="AB555" s="238">
        <f t="shared" ca="1" si="22"/>
        <v>46235</v>
      </c>
      <c r="AC555" s="237">
        <f ca="1">_xlfn.DAYS(Table2[[#This Row],[HOJE]],Table2[[#This Row],[DATA PEDIDO HP]])</f>
        <v>29</v>
      </c>
      <c r="AD555" s="237" t="str">
        <f ca="1">IF(Table2[[#This Row],[STATUS2]]="ENTREGUE","ENTREGUE","")</f>
        <v/>
      </c>
      <c r="AE555" s="261" t="str">
        <f ca="1">IF(Table2[[#This Row],[HOLD]]&gt;30,"ATRASADO","NO PRAZO")</f>
        <v>NO PRAZO</v>
      </c>
    </row>
    <row r="556" spans="1:31" ht="15" customHeight="1">
      <c r="A556" s="245" t="s">
        <v>1775</v>
      </c>
      <c r="B556" s="235">
        <v>46209</v>
      </c>
      <c r="C556" s="235">
        <v>46209</v>
      </c>
      <c r="D556" s="236" t="s">
        <v>1776</v>
      </c>
      <c r="E556" s="236" t="s">
        <v>191</v>
      </c>
      <c r="F556" s="236" t="s">
        <v>95</v>
      </c>
      <c r="G556" s="236">
        <v>60001111</v>
      </c>
      <c r="H556" s="218" t="s">
        <v>82</v>
      </c>
      <c r="I556" s="236" t="s">
        <v>974</v>
      </c>
      <c r="J556" s="236">
        <v>1</v>
      </c>
      <c r="K556" s="236" t="s">
        <v>37</v>
      </c>
      <c r="L556" s="236" t="s">
        <v>122</v>
      </c>
      <c r="M556" s="236" t="s">
        <v>81</v>
      </c>
      <c r="N556" s="236">
        <v>193457</v>
      </c>
      <c r="O556" s="237"/>
      <c r="P556" s="237"/>
      <c r="Q556" s="237">
        <v>1</v>
      </c>
      <c r="R556" s="237"/>
      <c r="S556" s="238">
        <v>46233</v>
      </c>
      <c r="T556" s="238"/>
      <c r="U556" s="238"/>
      <c r="V556" s="237"/>
      <c r="W556" s="239">
        <v>19.600000000000001</v>
      </c>
      <c r="X556" s="239">
        <f>Table2[[#This Row],[QUANTIDADE]]*Table2[[#This Row],[PREÇO UNITARIO]]</f>
        <v>19.600000000000001</v>
      </c>
      <c r="Y556" s="237"/>
      <c r="Z556" s="237">
        <f t="shared" si="21"/>
        <v>7</v>
      </c>
      <c r="AA556" s="219" t="s">
        <v>42</v>
      </c>
      <c r="AB556" s="238">
        <f t="shared" ca="1" si="22"/>
        <v>46235</v>
      </c>
      <c r="AC556" s="237">
        <f ca="1">_xlfn.DAYS(Table2[[#This Row],[HOJE]],Table2[[#This Row],[DATA PEDIDO HP]])</f>
        <v>26</v>
      </c>
      <c r="AD556" s="237" t="str">
        <f>IF(Table2[[#This Row],[STATUS2]]="ENTREGUE","ENTREGUE","")</f>
        <v>ENTREGUE</v>
      </c>
      <c r="AE556" s="219" t="s">
        <v>43</v>
      </c>
    </row>
    <row r="557" spans="1:31" ht="15" customHeight="1">
      <c r="A557" s="245" t="s">
        <v>1777</v>
      </c>
      <c r="B557" s="235">
        <v>46209</v>
      </c>
      <c r="C557" s="235">
        <v>46209</v>
      </c>
      <c r="D557" s="236" t="s">
        <v>1778</v>
      </c>
      <c r="E557" s="236" t="s">
        <v>162</v>
      </c>
      <c r="F557" s="236" t="s">
        <v>140</v>
      </c>
      <c r="G557" s="236">
        <v>48300315</v>
      </c>
      <c r="H557" s="218" t="s">
        <v>705</v>
      </c>
      <c r="I557" s="236" t="s">
        <v>817</v>
      </c>
      <c r="J557" s="236">
        <v>1</v>
      </c>
      <c r="K557" s="236" t="s">
        <v>37</v>
      </c>
      <c r="L557" s="236" t="s">
        <v>72</v>
      </c>
      <c r="M557" s="236" t="s">
        <v>73</v>
      </c>
      <c r="N557" s="236">
        <v>192600</v>
      </c>
      <c r="O557" s="237"/>
      <c r="P557" s="237"/>
      <c r="Q557" s="237">
        <v>1</v>
      </c>
      <c r="R557" s="237"/>
      <c r="S557" s="238"/>
      <c r="T557" s="238"/>
      <c r="U557" s="238"/>
      <c r="V557" s="237"/>
      <c r="W557" s="239">
        <v>167.85</v>
      </c>
      <c r="X557" s="239">
        <f>Table2[[#This Row],[QUANTIDADE]]*Table2[[#This Row],[PREÇO UNITARIO]]</f>
        <v>167.85</v>
      </c>
      <c r="Y557" s="237"/>
      <c r="Z557" s="237">
        <f t="shared" si="21"/>
        <v>7</v>
      </c>
      <c r="AA557" s="237" t="s">
        <v>74</v>
      </c>
      <c r="AB557" s="238">
        <f t="shared" ca="1" si="22"/>
        <v>46235</v>
      </c>
      <c r="AC557" s="237">
        <f ca="1">_xlfn.DAYS(Table2[[#This Row],[HOJE]],Table2[[#This Row],[DATA PEDIDO HP]])</f>
        <v>26</v>
      </c>
      <c r="AD557" s="237" t="str">
        <f ca="1">IF(Table2[[#This Row],[STATUS2]]="ENTREGUE","ENTREGUE","")</f>
        <v/>
      </c>
      <c r="AE557" s="261" t="str">
        <f ca="1">IF(Table2[[#This Row],[HOLD]]&gt;30,"ATRASADO","NO PRAZO")</f>
        <v>NO PRAZO</v>
      </c>
    </row>
    <row r="558" spans="1:31" ht="15" customHeight="1">
      <c r="A558" s="245" t="s">
        <v>1779</v>
      </c>
      <c r="B558" s="235">
        <v>46209</v>
      </c>
      <c r="C558" s="235">
        <v>46209</v>
      </c>
      <c r="D558" s="236" t="s">
        <v>1780</v>
      </c>
      <c r="E558" s="236" t="s">
        <v>345</v>
      </c>
      <c r="F558" s="236" t="s">
        <v>34</v>
      </c>
      <c r="G558" s="236">
        <v>50110229</v>
      </c>
      <c r="H558" s="218" t="s">
        <v>299</v>
      </c>
      <c r="I558" s="236" t="s">
        <v>300</v>
      </c>
      <c r="J558" s="236">
        <v>1</v>
      </c>
      <c r="K558" s="236" t="s">
        <v>37</v>
      </c>
      <c r="L558" s="236" t="s">
        <v>72</v>
      </c>
      <c r="M558" s="236" t="s">
        <v>73</v>
      </c>
      <c r="N558" s="236">
        <v>193424</v>
      </c>
      <c r="O558" s="237"/>
      <c r="P558" s="237"/>
      <c r="Q558" s="237">
        <v>1</v>
      </c>
      <c r="R558" s="237"/>
      <c r="S558" s="238"/>
      <c r="T558" s="238"/>
      <c r="U558" s="238"/>
      <c r="V558" s="237"/>
      <c r="W558" s="239">
        <v>32.659999999999997</v>
      </c>
      <c r="X558" s="239">
        <f>Table2[[#This Row],[QUANTIDADE]]*Table2[[#This Row],[PREÇO UNITARIO]]</f>
        <v>32.659999999999997</v>
      </c>
      <c r="Y558" s="237"/>
      <c r="Z558" s="237">
        <f t="shared" si="21"/>
        <v>7</v>
      </c>
      <c r="AA558" s="219" t="s">
        <v>42</v>
      </c>
      <c r="AB558" s="238">
        <f t="shared" ca="1" si="22"/>
        <v>46235</v>
      </c>
      <c r="AC558" s="237">
        <f ca="1">_xlfn.DAYS(Table2[[#This Row],[HOJE]],Table2[[#This Row],[DATA PEDIDO HP]])</f>
        <v>26</v>
      </c>
      <c r="AD558" s="237" t="str">
        <f ca="1">IF(Table2[[#This Row],[STATUS2]]="ENTREGUE","ENTREGUE","")</f>
        <v/>
      </c>
      <c r="AE558" s="261" t="str">
        <f ca="1">IF(Table2[[#This Row],[HOLD]]&gt;30,"ATRASADO","NO PRAZO")</f>
        <v>NO PRAZO</v>
      </c>
    </row>
    <row r="559" spans="1:31" ht="15" customHeight="1">
      <c r="A559" s="245" t="s">
        <v>1781</v>
      </c>
      <c r="B559" s="235">
        <v>46209</v>
      </c>
      <c r="C559" s="235">
        <v>46209</v>
      </c>
      <c r="D559" s="236" t="s">
        <v>1782</v>
      </c>
      <c r="E559" s="236" t="s">
        <v>191</v>
      </c>
      <c r="F559" s="236" t="s">
        <v>827</v>
      </c>
      <c r="G559" s="236">
        <v>60003071</v>
      </c>
      <c r="H559" s="218" t="s">
        <v>1783</v>
      </c>
      <c r="I559" s="236" t="s">
        <v>1784</v>
      </c>
      <c r="J559" s="236">
        <v>1</v>
      </c>
      <c r="K559" s="236" t="s">
        <v>37</v>
      </c>
      <c r="L559" s="236" t="s">
        <v>122</v>
      </c>
      <c r="M559" s="236" t="s">
        <v>81</v>
      </c>
      <c r="N559" s="236">
        <v>193558</v>
      </c>
      <c r="O559" s="237"/>
      <c r="P559" s="237"/>
      <c r="Q559" s="237">
        <v>1</v>
      </c>
      <c r="R559" s="237"/>
      <c r="S559" s="238"/>
      <c r="T559" s="238"/>
      <c r="U559" s="238"/>
      <c r="V559" s="237"/>
      <c r="W559" s="239">
        <v>104.52</v>
      </c>
      <c r="X559" s="239">
        <f>Table2[[#This Row],[QUANTIDADE]]*Table2[[#This Row],[PREÇO UNITARIO]]</f>
        <v>104.52</v>
      </c>
      <c r="Y559" s="237"/>
      <c r="Z559" s="237">
        <f t="shared" si="21"/>
        <v>7</v>
      </c>
      <c r="AA559" s="219" t="s">
        <v>42</v>
      </c>
      <c r="AB559" s="238">
        <f t="shared" ca="1" si="22"/>
        <v>46235</v>
      </c>
      <c r="AC559" s="237">
        <f ca="1">_xlfn.DAYS(Table2[[#This Row],[HOJE]],Table2[[#This Row],[DATA PEDIDO HP]])</f>
        <v>26</v>
      </c>
      <c r="AD559" s="237" t="str">
        <f ca="1">IF(Table2[[#This Row],[STATUS2]]="ENTREGUE","ENTREGUE","")</f>
        <v/>
      </c>
      <c r="AE559" s="261" t="str">
        <f ca="1">IF(Table2[[#This Row],[HOLD]]&gt;30,"ATRASADO","NO PRAZO")</f>
        <v>NO PRAZO</v>
      </c>
    </row>
    <row r="560" spans="1:31" ht="15" customHeight="1">
      <c r="A560" s="245" t="s">
        <v>1785</v>
      </c>
      <c r="B560" s="235">
        <v>46210</v>
      </c>
      <c r="C560" s="235">
        <v>46210</v>
      </c>
      <c r="D560" s="236" t="s">
        <v>1786</v>
      </c>
      <c r="E560" s="236" t="s">
        <v>101</v>
      </c>
      <c r="F560" s="236" t="s">
        <v>102</v>
      </c>
      <c r="G560" s="236">
        <v>51000323</v>
      </c>
      <c r="H560" s="218" t="s">
        <v>1787</v>
      </c>
      <c r="I560" s="236" t="s">
        <v>1788</v>
      </c>
      <c r="J560" s="236">
        <v>1</v>
      </c>
      <c r="K560" s="236" t="s">
        <v>37</v>
      </c>
      <c r="L560" s="236" t="s">
        <v>72</v>
      </c>
      <c r="M560" s="236" t="s">
        <v>73</v>
      </c>
      <c r="N560" s="236">
        <v>193490</v>
      </c>
      <c r="O560" s="237"/>
      <c r="P560" s="237"/>
      <c r="Q560" s="237">
        <v>1</v>
      </c>
      <c r="R560" s="237"/>
      <c r="S560" s="238"/>
      <c r="T560" s="238"/>
      <c r="U560" s="238"/>
      <c r="V560" s="237"/>
      <c r="W560" s="239">
        <v>754.63</v>
      </c>
      <c r="X560" s="239">
        <f>Table2[[#This Row],[QUANTIDADE]]*Table2[[#This Row],[PREÇO UNITARIO]]</f>
        <v>754.63</v>
      </c>
      <c r="Y560" s="237"/>
      <c r="Z560" s="237">
        <f t="shared" si="21"/>
        <v>7</v>
      </c>
      <c r="AA560" s="219" t="s">
        <v>42</v>
      </c>
      <c r="AB560" s="238">
        <f t="shared" ca="1" si="22"/>
        <v>46235</v>
      </c>
      <c r="AC560" s="237">
        <f ca="1">_xlfn.DAYS(Table2[[#This Row],[HOJE]],Table2[[#This Row],[DATA PEDIDO HP]])</f>
        <v>25</v>
      </c>
      <c r="AD560" s="237" t="str">
        <f ca="1">IF(Table2[[#This Row],[STATUS2]]="ENTREGUE","ENTREGUE","")</f>
        <v/>
      </c>
      <c r="AE560" s="261" t="str">
        <f ca="1">IF(Table2[[#This Row],[HOLD]]&gt;30,"ATRASADO","NO PRAZO")</f>
        <v>NO PRAZO</v>
      </c>
    </row>
    <row r="561" spans="1:31" ht="15" customHeight="1">
      <c r="A561" s="245" t="s">
        <v>1789</v>
      </c>
      <c r="B561" s="235">
        <v>46210</v>
      </c>
      <c r="C561" s="235">
        <v>46210</v>
      </c>
      <c r="D561" s="236" t="s">
        <v>1790</v>
      </c>
      <c r="E561" s="236" t="s">
        <v>345</v>
      </c>
      <c r="F561" s="236" t="s">
        <v>34</v>
      </c>
      <c r="G561" s="236">
        <v>50110229</v>
      </c>
      <c r="H561" s="218" t="s">
        <v>1022</v>
      </c>
      <c r="I561" s="236" t="s">
        <v>1296</v>
      </c>
      <c r="J561" s="236">
        <v>1</v>
      </c>
      <c r="K561" s="236" t="s">
        <v>37</v>
      </c>
      <c r="L561" s="236" t="s">
        <v>72</v>
      </c>
      <c r="M561" s="236" t="s">
        <v>81</v>
      </c>
      <c r="N561" s="236">
        <v>193689</v>
      </c>
      <c r="O561" s="237"/>
      <c r="P561" s="237"/>
      <c r="Q561" s="237">
        <v>1</v>
      </c>
      <c r="R561" s="237"/>
      <c r="S561" s="238"/>
      <c r="T561" s="238"/>
      <c r="U561" s="238"/>
      <c r="V561" s="237"/>
      <c r="W561" s="239">
        <v>24.5</v>
      </c>
      <c r="X561" s="239">
        <f>Table2[[#This Row],[QUANTIDADE]]*Table2[[#This Row],[PREÇO UNITARIO]]</f>
        <v>24.5</v>
      </c>
      <c r="Y561" s="237"/>
      <c r="Z561" s="237">
        <f t="shared" si="21"/>
        <v>7</v>
      </c>
      <c r="AA561" s="219" t="s">
        <v>42</v>
      </c>
      <c r="AB561" s="238">
        <f t="shared" ca="1" si="22"/>
        <v>46235</v>
      </c>
      <c r="AC561" s="237">
        <f ca="1">_xlfn.DAYS(Table2[[#This Row],[HOJE]],Table2[[#This Row],[DATA PEDIDO HP]])</f>
        <v>25</v>
      </c>
      <c r="AD561" s="237" t="str">
        <f ca="1">IF(Table2[[#This Row],[STATUS2]]="ENTREGUE","ENTREGUE","")</f>
        <v/>
      </c>
      <c r="AE561" s="261" t="str">
        <f ca="1">IF(Table2[[#This Row],[HOLD]]&gt;30,"ATRASADO","NO PRAZO")</f>
        <v>NO PRAZO</v>
      </c>
    </row>
    <row r="562" spans="1:31" ht="15" customHeight="1">
      <c r="A562" s="245" t="s">
        <v>1791</v>
      </c>
      <c r="B562" s="235">
        <v>46210</v>
      </c>
      <c r="C562" s="235">
        <v>46210</v>
      </c>
      <c r="D562" s="236" t="s">
        <v>1792</v>
      </c>
      <c r="E562" s="236" t="s">
        <v>154</v>
      </c>
      <c r="F562" s="236" t="s">
        <v>145</v>
      </c>
      <c r="G562" s="236">
        <v>48000044</v>
      </c>
      <c r="H562" s="218" t="s">
        <v>452</v>
      </c>
      <c r="I562" s="236" t="s">
        <v>453</v>
      </c>
      <c r="J562" s="236">
        <v>1</v>
      </c>
      <c r="K562" s="236" t="s">
        <v>37</v>
      </c>
      <c r="L562" s="236" t="s">
        <v>72</v>
      </c>
      <c r="M562" s="236" t="s">
        <v>73</v>
      </c>
      <c r="N562" s="236">
        <v>193754</v>
      </c>
      <c r="O562" s="237"/>
      <c r="P562" s="237"/>
      <c r="Q562" s="237">
        <v>1</v>
      </c>
      <c r="R562" s="237"/>
      <c r="S562" s="238"/>
      <c r="T562" s="238"/>
      <c r="U562" s="238"/>
      <c r="V562" s="237"/>
      <c r="W562" s="239">
        <v>17.96</v>
      </c>
      <c r="X562" s="239">
        <f>Table2[[#This Row],[QUANTIDADE]]*Table2[[#This Row],[PREÇO UNITARIO]]</f>
        <v>17.96</v>
      </c>
      <c r="Y562" s="237"/>
      <c r="Z562" s="237">
        <f t="shared" si="21"/>
        <v>7</v>
      </c>
      <c r="AA562" s="237" t="s">
        <v>74</v>
      </c>
      <c r="AB562" s="238">
        <f t="shared" ca="1" si="22"/>
        <v>46235</v>
      </c>
      <c r="AC562" s="237">
        <f ca="1">_xlfn.DAYS(Table2[[#This Row],[HOJE]],Table2[[#This Row],[DATA PEDIDO HP]])</f>
        <v>25</v>
      </c>
      <c r="AD562" s="237" t="str">
        <f ca="1">IF(Table2[[#This Row],[STATUS2]]="ENTREGUE","ENTREGUE","")</f>
        <v/>
      </c>
      <c r="AE562" s="261" t="str">
        <f ca="1">IF(Table2[[#This Row],[HOLD]]&gt;30,"ATRASADO","NO PRAZO")</f>
        <v>NO PRAZO</v>
      </c>
    </row>
    <row r="563" spans="1:31" ht="15" customHeight="1">
      <c r="A563" s="245" t="s">
        <v>1793</v>
      </c>
      <c r="B563" s="235">
        <v>46211</v>
      </c>
      <c r="C563" s="235">
        <v>46211</v>
      </c>
      <c r="D563" s="236" t="s">
        <v>1794</v>
      </c>
      <c r="E563" s="236" t="s">
        <v>1795</v>
      </c>
      <c r="F563" s="236" t="s">
        <v>1796</v>
      </c>
      <c r="G563" s="236">
        <v>48500669</v>
      </c>
      <c r="H563" s="218" t="s">
        <v>1727</v>
      </c>
      <c r="I563" s="236" t="s">
        <v>1728</v>
      </c>
      <c r="J563" s="236">
        <v>1</v>
      </c>
      <c r="K563" s="236" t="s">
        <v>37</v>
      </c>
      <c r="L563" s="236" t="s">
        <v>1797</v>
      </c>
      <c r="M563" s="236" t="s">
        <v>39</v>
      </c>
      <c r="N563" s="236"/>
      <c r="O563" s="237"/>
      <c r="P563" s="237"/>
      <c r="Q563" s="237">
        <v>0</v>
      </c>
      <c r="R563" s="237"/>
      <c r="S563" s="238"/>
      <c r="T563" s="238"/>
      <c r="U563" s="238"/>
      <c r="V563" s="237"/>
      <c r="W563" s="239">
        <v>26687.99</v>
      </c>
      <c r="X563" s="239">
        <f>Table2[[#This Row],[QUANTIDADE]]*Table2[[#This Row],[PREÇO UNITARIO]]</f>
        <v>26687.99</v>
      </c>
      <c r="Y563" s="237"/>
      <c r="Z563" s="237">
        <f t="shared" si="21"/>
        <v>7</v>
      </c>
      <c r="AA563" s="219" t="s">
        <v>42</v>
      </c>
      <c r="AB563" s="238">
        <f t="shared" ca="1" si="22"/>
        <v>46235</v>
      </c>
      <c r="AC563" s="237">
        <f ca="1">_xlfn.DAYS(Table2[[#This Row],[HOJE]],Table2[[#This Row],[DATA PEDIDO HP]])</f>
        <v>24</v>
      </c>
      <c r="AD563" s="237" t="str">
        <f ca="1">IF(Table2[[#This Row],[STATUS2]]="ENTREGUE","ENTREGUE","")</f>
        <v/>
      </c>
      <c r="AE563" s="261" t="str">
        <f ca="1">IF(Table2[[#This Row],[HOLD]]&gt;30,"ATRASADO","NO PRAZO")</f>
        <v>NO PRAZO</v>
      </c>
    </row>
    <row r="564" spans="1:31" ht="15" customHeight="1">
      <c r="A564" s="245" t="s">
        <v>1798</v>
      </c>
      <c r="B564" s="235">
        <v>46211</v>
      </c>
      <c r="C564" s="235">
        <v>46211</v>
      </c>
      <c r="D564" s="236" t="s">
        <v>1799</v>
      </c>
      <c r="E564" s="236" t="s">
        <v>570</v>
      </c>
      <c r="F564" s="236" t="s">
        <v>571</v>
      </c>
      <c r="G564" s="236">
        <v>50510045</v>
      </c>
      <c r="H564" s="218" t="s">
        <v>335</v>
      </c>
      <c r="I564" s="236" t="s">
        <v>728</v>
      </c>
      <c r="J564" s="236">
        <v>1</v>
      </c>
      <c r="K564" s="236" t="s">
        <v>37</v>
      </c>
      <c r="L564" s="236" t="s">
        <v>122</v>
      </c>
      <c r="M564" s="236" t="s">
        <v>73</v>
      </c>
      <c r="N564" s="236">
        <v>193853</v>
      </c>
      <c r="O564" s="237"/>
      <c r="P564" s="237"/>
      <c r="Q564" s="237">
        <v>1</v>
      </c>
      <c r="R564" s="237"/>
      <c r="S564" s="238"/>
      <c r="T564" s="238"/>
      <c r="U564" s="238"/>
      <c r="V564" s="237"/>
      <c r="W564" s="239">
        <v>17.28</v>
      </c>
      <c r="X564" s="239">
        <f>Table2[[#This Row],[QUANTIDADE]]*Table2[[#This Row],[PREÇO UNITARIO]]</f>
        <v>17.28</v>
      </c>
      <c r="Y564" s="237"/>
      <c r="Z564" s="237">
        <f t="shared" si="21"/>
        <v>7</v>
      </c>
      <c r="AA564" s="219" t="s">
        <v>42</v>
      </c>
      <c r="AB564" s="238">
        <f t="shared" ca="1" si="22"/>
        <v>46235</v>
      </c>
      <c r="AC564" s="237">
        <f ca="1">_xlfn.DAYS(Table2[[#This Row],[HOJE]],Table2[[#This Row],[DATA PEDIDO HP]])</f>
        <v>24</v>
      </c>
      <c r="AD564" s="237" t="str">
        <f ca="1">IF(Table2[[#This Row],[STATUS2]]="ENTREGUE","ENTREGUE","")</f>
        <v/>
      </c>
      <c r="AE564" s="261" t="str">
        <f ca="1">IF(Table2[[#This Row],[HOLD]]&gt;30,"ATRASADO","NO PRAZO")</f>
        <v>NO PRAZO</v>
      </c>
    </row>
    <row r="565" spans="1:31" ht="15" customHeight="1">
      <c r="A565" s="245" t="s">
        <v>1800</v>
      </c>
      <c r="B565" s="235">
        <v>46211</v>
      </c>
      <c r="C565" s="235">
        <v>46211</v>
      </c>
      <c r="D565" s="236" t="s">
        <v>1801</v>
      </c>
      <c r="E565" s="236" t="s">
        <v>69</v>
      </c>
      <c r="F565" s="236" t="s">
        <v>34</v>
      </c>
      <c r="G565" s="236">
        <v>50200095</v>
      </c>
      <c r="H565" s="218" t="s">
        <v>360</v>
      </c>
      <c r="I565" s="236" t="s">
        <v>1486</v>
      </c>
      <c r="J565" s="236">
        <v>1</v>
      </c>
      <c r="K565" s="236" t="s">
        <v>37</v>
      </c>
      <c r="L565" s="236" t="s">
        <v>122</v>
      </c>
      <c r="M565" s="236" t="s">
        <v>39</v>
      </c>
      <c r="N565" s="236">
        <v>193919</v>
      </c>
      <c r="O565" s="237"/>
      <c r="P565" s="237"/>
      <c r="Q565" s="237">
        <v>0</v>
      </c>
      <c r="R565" s="237" t="s">
        <v>362</v>
      </c>
      <c r="S565" s="238"/>
      <c r="T565" s="238"/>
      <c r="U565" s="238"/>
      <c r="V565" s="237"/>
      <c r="W565" s="239">
        <v>255.99</v>
      </c>
      <c r="X565" s="239">
        <f>Table2[[#This Row],[QUANTIDADE]]*Table2[[#This Row],[PREÇO UNITARIO]]</f>
        <v>255.99</v>
      </c>
      <c r="Y565" s="237"/>
      <c r="Z565" s="237">
        <f t="shared" si="21"/>
        <v>7</v>
      </c>
      <c r="AA565" s="237" t="s">
        <v>74</v>
      </c>
      <c r="AB565" s="238">
        <f t="shared" ca="1" si="22"/>
        <v>46235</v>
      </c>
      <c r="AC565" s="237">
        <f ca="1">_xlfn.DAYS(Table2[[#This Row],[HOJE]],Table2[[#This Row],[DATA PEDIDO HP]])</f>
        <v>24</v>
      </c>
      <c r="AD565" s="237" t="str">
        <f ca="1">IF(Table2[[#This Row],[STATUS2]]="ENTREGUE","ENTREGUE","")</f>
        <v/>
      </c>
      <c r="AE565" s="261" t="str">
        <f ca="1">IF(Table2[[#This Row],[HOLD]]&gt;30,"ATRASADO","NO PRAZO")</f>
        <v>NO PRAZO</v>
      </c>
    </row>
    <row r="566" spans="1:31" ht="15" customHeight="1">
      <c r="A566" s="245" t="s">
        <v>1802</v>
      </c>
      <c r="B566" s="235">
        <v>46211</v>
      </c>
      <c r="C566" s="235">
        <v>46211</v>
      </c>
      <c r="D566" s="236" t="s">
        <v>1803</v>
      </c>
      <c r="E566" s="236" t="s">
        <v>154</v>
      </c>
      <c r="F566" s="236" t="s">
        <v>145</v>
      </c>
      <c r="G566" s="236">
        <v>48000044</v>
      </c>
      <c r="H566" s="218" t="s">
        <v>1804</v>
      </c>
      <c r="I566" s="236" t="s">
        <v>1805</v>
      </c>
      <c r="J566" s="236">
        <v>1</v>
      </c>
      <c r="K566" s="236" t="s">
        <v>37</v>
      </c>
      <c r="L566" s="236" t="s">
        <v>72</v>
      </c>
      <c r="M566" s="236" t="s">
        <v>73</v>
      </c>
      <c r="N566" s="236">
        <v>193857</v>
      </c>
      <c r="O566" s="237"/>
      <c r="P566" s="237"/>
      <c r="Q566" s="237">
        <v>1</v>
      </c>
      <c r="R566" s="237"/>
      <c r="S566" s="238"/>
      <c r="T566" s="238"/>
      <c r="U566" s="238"/>
      <c r="V566" s="237"/>
      <c r="W566" s="239">
        <v>17.96</v>
      </c>
      <c r="X566" s="239">
        <f>Table2[[#This Row],[QUANTIDADE]]*Table2[[#This Row],[PREÇO UNITARIO]]</f>
        <v>17.96</v>
      </c>
      <c r="Y566" s="237"/>
      <c r="Z566" s="237">
        <f t="shared" si="21"/>
        <v>7</v>
      </c>
      <c r="AA566" s="237" t="s">
        <v>74</v>
      </c>
      <c r="AB566" s="238">
        <f t="shared" ca="1" si="22"/>
        <v>46235</v>
      </c>
      <c r="AC566" s="237">
        <f ca="1">_xlfn.DAYS(Table2[[#This Row],[HOJE]],Table2[[#This Row],[DATA PEDIDO HP]])</f>
        <v>24</v>
      </c>
      <c r="AD566" s="237" t="str">
        <f ca="1">IF(Table2[[#This Row],[STATUS2]]="ENTREGUE","ENTREGUE","")</f>
        <v/>
      </c>
      <c r="AE566" s="261" t="str">
        <f ca="1">IF(Table2[[#This Row],[HOLD]]&gt;30,"ATRASADO","NO PRAZO")</f>
        <v>NO PRAZO</v>
      </c>
    </row>
    <row r="567" spans="1:31" ht="15" customHeight="1">
      <c r="A567" s="245" t="s">
        <v>1806</v>
      </c>
      <c r="B567" s="238">
        <v>46216</v>
      </c>
      <c r="C567" s="235">
        <v>46213</v>
      </c>
      <c r="D567" s="236"/>
      <c r="E567" s="236" t="s">
        <v>292</v>
      </c>
      <c r="F567" s="236"/>
      <c r="G567" s="236"/>
      <c r="H567" s="218" t="s">
        <v>1807</v>
      </c>
      <c r="I567" s="236" t="s">
        <v>1808</v>
      </c>
      <c r="J567" s="236">
        <v>3</v>
      </c>
      <c r="K567" s="236" t="s">
        <v>37</v>
      </c>
      <c r="L567" s="236"/>
      <c r="M567" s="236" t="s">
        <v>1809</v>
      </c>
      <c r="N567" s="236"/>
      <c r="O567" s="237"/>
      <c r="P567" s="237"/>
      <c r="Q567" s="237">
        <v>3</v>
      </c>
      <c r="R567" s="237"/>
      <c r="S567" s="238"/>
      <c r="T567" s="238"/>
      <c r="U567" s="238"/>
      <c r="V567" s="237"/>
      <c r="W567" s="239">
        <v>212.3</v>
      </c>
      <c r="X567" s="239">
        <f>Table2[[#This Row],[QUANTIDADE]]*Table2[[#This Row],[PREÇO UNITARIO]]</f>
        <v>636.90000000000009</v>
      </c>
      <c r="Y567" s="237" t="s">
        <v>1810</v>
      </c>
      <c r="Z567" s="237">
        <f t="shared" si="21"/>
        <v>7</v>
      </c>
      <c r="AA567" s="237" t="s">
        <v>42</v>
      </c>
      <c r="AB567" s="238">
        <f t="shared" ca="1" si="22"/>
        <v>46235</v>
      </c>
      <c r="AC567" s="237">
        <f ca="1">_xlfn.DAYS(Table2[[#This Row],[HOJE]],Table2[[#This Row],[DATA PEDIDO HP]])</f>
        <v>19</v>
      </c>
      <c r="AD567" s="237" t="str">
        <f ca="1">IF(Table2[[#This Row],[STATUS2]]="ENTREGUE","ENTREGUE","")</f>
        <v/>
      </c>
      <c r="AE567" s="261" t="str">
        <f ca="1">IF(Table2[[#This Row],[HOLD]]&gt;30,"ATRASADO","NO PRAZO")</f>
        <v>NO PRAZO</v>
      </c>
    </row>
    <row r="568" spans="1:31" ht="15" customHeight="1">
      <c r="A568" s="245" t="s">
        <v>1811</v>
      </c>
      <c r="B568" s="238">
        <v>46216</v>
      </c>
      <c r="C568" s="235">
        <v>46216</v>
      </c>
      <c r="D568" s="236" t="s">
        <v>1812</v>
      </c>
      <c r="E568" s="236" t="s">
        <v>69</v>
      </c>
      <c r="F568" s="236" t="s">
        <v>34</v>
      </c>
      <c r="G568" s="236">
        <v>50200095</v>
      </c>
      <c r="H568" s="218" t="s">
        <v>335</v>
      </c>
      <c r="I568" s="236" t="s">
        <v>336</v>
      </c>
      <c r="J568" s="236">
        <v>1</v>
      </c>
      <c r="K568" s="236" t="s">
        <v>37</v>
      </c>
      <c r="L568" s="236" t="s">
        <v>122</v>
      </c>
      <c r="M568" s="236" t="s">
        <v>73</v>
      </c>
      <c r="N568" s="236">
        <v>194118</v>
      </c>
      <c r="O568" s="237"/>
      <c r="P568" s="237"/>
      <c r="Q568" s="237">
        <v>1</v>
      </c>
      <c r="R568" s="237"/>
      <c r="S568" s="238"/>
      <c r="T568" s="238"/>
      <c r="U568" s="238"/>
      <c r="V568" s="237"/>
      <c r="W568" s="239">
        <v>17.28</v>
      </c>
      <c r="X568" s="239">
        <f>Table2[[#This Row],[QUANTIDADE]]*Table2[[#This Row],[PREÇO UNITARIO]]</f>
        <v>17.28</v>
      </c>
      <c r="Y568" s="237"/>
      <c r="Z568" s="237">
        <f t="shared" ref="Z568:Z572" si="23">MONTH(B568)</f>
        <v>7</v>
      </c>
      <c r="AA568" s="237" t="s">
        <v>74</v>
      </c>
      <c r="AB568" s="238">
        <f t="shared" ca="1" si="22"/>
        <v>46235</v>
      </c>
      <c r="AC568" s="237">
        <f ca="1">_xlfn.DAYS(Table2[[#This Row],[HOJE]],Table2[[#This Row],[DATA PEDIDO HP]])</f>
        <v>19</v>
      </c>
      <c r="AD568" s="237" t="str">
        <f ca="1">IF(Table2[[#This Row],[STATUS2]]="ENTREGUE","ENTREGUE","")</f>
        <v/>
      </c>
      <c r="AE568" s="261" t="str">
        <f ca="1">IF(Table2[[#This Row],[HOLD]]&gt;30,"ATRASADO","NO PRAZO")</f>
        <v>NO PRAZO</v>
      </c>
    </row>
    <row r="569" spans="1:31" ht="15" customHeight="1">
      <c r="A569" s="245" t="s">
        <v>1813</v>
      </c>
      <c r="B569" s="238">
        <v>46217</v>
      </c>
      <c r="C569" s="235">
        <v>46213</v>
      </c>
      <c r="D569" s="236" t="s">
        <v>1814</v>
      </c>
      <c r="E569" s="236" t="s">
        <v>101</v>
      </c>
      <c r="F569" s="236" t="s">
        <v>102</v>
      </c>
      <c r="G569" s="236">
        <v>51000316</v>
      </c>
      <c r="H569" s="218" t="s">
        <v>1815</v>
      </c>
      <c r="I569" s="236" t="s">
        <v>1816</v>
      </c>
      <c r="J569" s="236">
        <v>1</v>
      </c>
      <c r="K569" s="236" t="s">
        <v>37</v>
      </c>
      <c r="L569" s="236" t="s">
        <v>1372</v>
      </c>
      <c r="M569" s="236" t="s">
        <v>1435</v>
      </c>
      <c r="N569" s="236">
        <v>193493</v>
      </c>
      <c r="O569" s="237"/>
      <c r="P569" s="237"/>
      <c r="Q569" s="237">
        <v>1</v>
      </c>
      <c r="R569" s="237"/>
      <c r="S569" s="238"/>
      <c r="T569" s="238"/>
      <c r="U569" s="238"/>
      <c r="V569" s="237"/>
      <c r="W569" s="239">
        <v>293.95999999999998</v>
      </c>
      <c r="X569" s="239">
        <f>Table2[[#This Row],[QUANTIDADE]]*Table2[[#This Row],[PREÇO UNITARIO]]</f>
        <v>293.95999999999998</v>
      </c>
      <c r="Y569" s="237"/>
      <c r="Z569" s="237">
        <f t="shared" si="23"/>
        <v>7</v>
      </c>
      <c r="AA569" s="237" t="s">
        <v>42</v>
      </c>
      <c r="AB569" s="238">
        <f t="shared" ca="1" si="22"/>
        <v>46235</v>
      </c>
      <c r="AC569" s="237">
        <f ca="1">_xlfn.DAYS(Table2[[#This Row],[HOJE]],Table2[[#This Row],[DATA PEDIDO HP]])</f>
        <v>18</v>
      </c>
      <c r="AD569" s="237" t="str">
        <f ca="1">IF(Table2[[#This Row],[STATUS2]]="ENTREGUE","ENTREGUE","")</f>
        <v/>
      </c>
      <c r="AE569" s="261" t="str">
        <f ca="1">IF(Table2[[#This Row],[HOLD]]&gt;30,"ATRASADO","NO PRAZO")</f>
        <v>NO PRAZO</v>
      </c>
    </row>
    <row r="570" spans="1:31" ht="15" customHeight="1">
      <c r="A570" s="245" t="s">
        <v>1817</v>
      </c>
      <c r="B570" s="238">
        <v>46217</v>
      </c>
      <c r="C570" s="235">
        <v>46213</v>
      </c>
      <c r="D570" s="236" t="s">
        <v>1818</v>
      </c>
      <c r="E570" s="236" t="s">
        <v>101</v>
      </c>
      <c r="F570" s="236" t="s">
        <v>102</v>
      </c>
      <c r="G570" s="236">
        <v>51000316</v>
      </c>
      <c r="H570" s="218" t="s">
        <v>1819</v>
      </c>
      <c r="I570" s="236" t="s">
        <v>1820</v>
      </c>
      <c r="J570" s="236">
        <v>1</v>
      </c>
      <c r="K570" s="236" t="s">
        <v>37</v>
      </c>
      <c r="L570" s="236" t="s">
        <v>1372</v>
      </c>
      <c r="M570" s="236" t="s">
        <v>1435</v>
      </c>
      <c r="N570" s="236">
        <v>193493</v>
      </c>
      <c r="O570" s="237"/>
      <c r="P570" s="237"/>
      <c r="Q570" s="237">
        <v>1</v>
      </c>
      <c r="R570" s="237"/>
      <c r="S570" s="238"/>
      <c r="T570" s="238"/>
      <c r="U570" s="238"/>
      <c r="V570" s="237"/>
      <c r="W570" s="239">
        <v>163.31</v>
      </c>
      <c r="X570" s="239">
        <f>Table2[[#This Row],[QUANTIDADE]]*Table2[[#This Row],[PREÇO UNITARIO]]</f>
        <v>163.31</v>
      </c>
      <c r="Y570" s="237"/>
      <c r="Z570" s="237">
        <f t="shared" si="23"/>
        <v>7</v>
      </c>
      <c r="AA570" s="237" t="s">
        <v>42</v>
      </c>
      <c r="AB570" s="238">
        <f t="shared" ca="1" si="22"/>
        <v>46235</v>
      </c>
      <c r="AC570" s="237">
        <f ca="1">_xlfn.DAYS(Table2[[#This Row],[HOJE]],Table2[[#This Row],[DATA PEDIDO HP]])</f>
        <v>18</v>
      </c>
      <c r="AD570" s="237" t="str">
        <f ca="1">IF(Table2[[#This Row],[STATUS2]]="ENTREGUE","ENTREGUE","")</f>
        <v/>
      </c>
      <c r="AE570" s="261" t="str">
        <f ca="1">IF(Table2[[#This Row],[HOLD]]&gt;30,"ATRASADO","NO PRAZO")</f>
        <v>NO PRAZO</v>
      </c>
    </row>
    <row r="571" spans="1:31" ht="15" customHeight="1">
      <c r="A571" s="245" t="s">
        <v>1821</v>
      </c>
      <c r="B571" s="238">
        <v>46217</v>
      </c>
      <c r="C571" s="235">
        <v>46213</v>
      </c>
      <c r="D571" s="236" t="s">
        <v>1822</v>
      </c>
      <c r="E571" s="236" t="s">
        <v>101</v>
      </c>
      <c r="F571" s="236" t="s">
        <v>102</v>
      </c>
      <c r="G571" s="236">
        <v>51000316</v>
      </c>
      <c r="H571" s="218" t="s">
        <v>1823</v>
      </c>
      <c r="I571" s="236" t="s">
        <v>1824</v>
      </c>
      <c r="J571" s="236">
        <v>2</v>
      </c>
      <c r="K571" s="236" t="s">
        <v>37</v>
      </c>
      <c r="L571" s="236" t="s">
        <v>1372</v>
      </c>
      <c r="M571" s="236" t="s">
        <v>1435</v>
      </c>
      <c r="N571" s="236">
        <v>193493</v>
      </c>
      <c r="O571" s="237"/>
      <c r="P571" s="237"/>
      <c r="Q571" s="237">
        <v>2</v>
      </c>
      <c r="R571" s="237" t="s">
        <v>1825</v>
      </c>
      <c r="S571" s="238"/>
      <c r="T571" s="238"/>
      <c r="U571" s="238"/>
      <c r="V571" s="237"/>
      <c r="W571" s="239">
        <v>32.659999999999997</v>
      </c>
      <c r="X571" s="239">
        <f>Table2[[#This Row],[QUANTIDADE]]*Table2[[#This Row],[PREÇO UNITARIO]]</f>
        <v>65.319999999999993</v>
      </c>
      <c r="Y571" s="237"/>
      <c r="Z571" s="237">
        <f t="shared" si="23"/>
        <v>7</v>
      </c>
      <c r="AA571" s="237" t="s">
        <v>42</v>
      </c>
      <c r="AB571" s="238">
        <f t="shared" ca="1" si="22"/>
        <v>46235</v>
      </c>
      <c r="AC571" s="237">
        <f ca="1">_xlfn.DAYS(Table2[[#This Row],[HOJE]],Table2[[#This Row],[DATA PEDIDO HP]])</f>
        <v>18</v>
      </c>
      <c r="AD571" s="237" t="str">
        <f ca="1">IF(Table2[[#This Row],[STATUS2]]="ENTREGUE","ENTREGUE","")</f>
        <v/>
      </c>
      <c r="AE571" s="261" t="str">
        <f ca="1">IF(Table2[[#This Row],[HOLD]]&gt;30,"ATRASADO","NO PRAZO")</f>
        <v>NO PRAZO</v>
      </c>
    </row>
    <row r="572" spans="1:31" ht="15" customHeight="1">
      <c r="A572" s="245" t="s">
        <v>1826</v>
      </c>
      <c r="B572" s="238">
        <v>46217</v>
      </c>
      <c r="C572" s="235">
        <v>46213</v>
      </c>
      <c r="D572" s="236" t="s">
        <v>1827</v>
      </c>
      <c r="E572" s="236" t="s">
        <v>101</v>
      </c>
      <c r="F572" s="236" t="s">
        <v>102</v>
      </c>
      <c r="G572" s="236">
        <v>51000316</v>
      </c>
      <c r="H572" s="218" t="s">
        <v>1828</v>
      </c>
      <c r="I572" s="236" t="s">
        <v>1491</v>
      </c>
      <c r="J572" s="236">
        <v>1</v>
      </c>
      <c r="K572" s="236" t="s">
        <v>37</v>
      </c>
      <c r="L572" s="236" t="s">
        <v>1372</v>
      </c>
      <c r="M572" s="236" t="s">
        <v>1435</v>
      </c>
      <c r="N572" s="236">
        <v>193493</v>
      </c>
      <c r="O572" s="237"/>
      <c r="P572" s="237"/>
      <c r="Q572" s="237">
        <v>1</v>
      </c>
      <c r="R572" s="237" t="s">
        <v>1829</v>
      </c>
      <c r="S572" s="238"/>
      <c r="T572" s="238"/>
      <c r="U572" s="238"/>
      <c r="V572" s="237"/>
      <c r="W572" s="239">
        <v>216.38</v>
      </c>
      <c r="X572" s="239">
        <f>Table2[[#This Row],[QUANTIDADE]]*Table2[[#This Row],[PREÇO UNITARIO]]</f>
        <v>216.38</v>
      </c>
      <c r="Y572" s="237"/>
      <c r="Z572" s="237">
        <f t="shared" si="23"/>
        <v>7</v>
      </c>
      <c r="AA572" s="237" t="s">
        <v>42</v>
      </c>
      <c r="AB572" s="238">
        <f t="shared" ca="1" si="22"/>
        <v>46235</v>
      </c>
      <c r="AC572" s="237">
        <f ca="1">_xlfn.DAYS(Table2[[#This Row],[HOJE]],Table2[[#This Row],[DATA PEDIDO HP]])</f>
        <v>18</v>
      </c>
      <c r="AD572" s="237" t="str">
        <f ca="1">IF(Table2[[#This Row],[STATUS2]]="ENTREGUE","ENTREGUE","")</f>
        <v/>
      </c>
      <c r="AE572" s="261" t="str">
        <f ca="1">IF(Table2[[#This Row],[HOLD]]&gt;30,"ATRASADO","NO PRAZO")</f>
        <v>NO PRAZO</v>
      </c>
    </row>
    <row r="573" spans="1:31" ht="15" customHeight="1">
      <c r="A573" s="245" t="s">
        <v>1830</v>
      </c>
      <c r="B573" s="238">
        <v>46217</v>
      </c>
      <c r="C573" s="235">
        <v>46213</v>
      </c>
      <c r="D573" s="236" t="s">
        <v>1831</v>
      </c>
      <c r="E573" s="236" t="s">
        <v>101</v>
      </c>
      <c r="F573" s="236" t="s">
        <v>102</v>
      </c>
      <c r="G573" s="236">
        <v>51000316</v>
      </c>
      <c r="H573" s="218" t="s">
        <v>1701</v>
      </c>
      <c r="I573" s="236" t="s">
        <v>1832</v>
      </c>
      <c r="J573" s="236">
        <v>2</v>
      </c>
      <c r="K573" s="236" t="s">
        <v>37</v>
      </c>
      <c r="L573" s="236" t="s">
        <v>1372</v>
      </c>
      <c r="M573" s="236" t="s">
        <v>1435</v>
      </c>
      <c r="N573" s="236">
        <v>193493</v>
      </c>
      <c r="O573" s="237"/>
      <c r="P573" s="237"/>
      <c r="Q573" s="237">
        <v>2</v>
      </c>
      <c r="R573" s="237"/>
      <c r="S573" s="238"/>
      <c r="T573" s="238"/>
      <c r="U573" s="238"/>
      <c r="V573" s="237"/>
      <c r="W573" s="239">
        <v>253.13</v>
      </c>
      <c r="X573" s="239">
        <f>Table2[[#This Row],[QUANTIDADE]]*Table2[[#This Row],[PREÇO UNITARIO]]</f>
        <v>506.26</v>
      </c>
      <c r="Y573" s="237"/>
      <c r="Z573" s="237">
        <f t="shared" ref="Z573:Z589" si="24">MONTH(B573)</f>
        <v>7</v>
      </c>
      <c r="AA573" s="237" t="s">
        <v>42</v>
      </c>
      <c r="AB573" s="238">
        <f t="shared" ca="1" si="22"/>
        <v>46235</v>
      </c>
      <c r="AC573" s="237">
        <f ca="1">_xlfn.DAYS(Table2[[#This Row],[HOJE]],Table2[[#This Row],[DATA PEDIDO HP]])</f>
        <v>18</v>
      </c>
      <c r="AD573" s="237" t="str">
        <f ca="1">IF(Table2[[#This Row],[STATUS2]]="ENTREGUE","ENTREGUE","")</f>
        <v/>
      </c>
      <c r="AE573" s="261" t="str">
        <f ca="1">IF(Table2[[#This Row],[HOLD]]&gt;30,"ATRASADO","NO PRAZO")</f>
        <v>NO PRAZO</v>
      </c>
    </row>
    <row r="574" spans="1:31" ht="15" customHeight="1">
      <c r="A574" s="245" t="s">
        <v>1833</v>
      </c>
      <c r="B574" s="238">
        <v>46217</v>
      </c>
      <c r="C574" s="235">
        <v>46213</v>
      </c>
      <c r="D574" s="236" t="s">
        <v>1834</v>
      </c>
      <c r="E574" s="236" t="s">
        <v>101</v>
      </c>
      <c r="F574" s="236" t="s">
        <v>102</v>
      </c>
      <c r="G574" s="236">
        <v>51000316</v>
      </c>
      <c r="H574" s="218" t="s">
        <v>1835</v>
      </c>
      <c r="I574" s="236" t="s">
        <v>1027</v>
      </c>
      <c r="J574" s="236">
        <v>1</v>
      </c>
      <c r="K574" s="236" t="s">
        <v>37</v>
      </c>
      <c r="L574" s="236" t="s">
        <v>1372</v>
      </c>
      <c r="M574" s="236" t="s">
        <v>1435</v>
      </c>
      <c r="N574" s="236">
        <v>193493</v>
      </c>
      <c r="O574" s="237"/>
      <c r="P574" s="237"/>
      <c r="Q574" s="237">
        <v>1</v>
      </c>
      <c r="R574" s="237"/>
      <c r="S574" s="238"/>
      <c r="T574" s="238"/>
      <c r="U574" s="238"/>
      <c r="V574" s="237"/>
      <c r="W574" s="239">
        <v>635.59</v>
      </c>
      <c r="X574" s="239">
        <f>Table2[[#This Row],[QUANTIDADE]]*Table2[[#This Row],[PREÇO UNITARIO]]</f>
        <v>635.59</v>
      </c>
      <c r="Y574" s="237"/>
      <c r="Z574" s="237">
        <f t="shared" si="24"/>
        <v>7</v>
      </c>
      <c r="AA574" s="219" t="s">
        <v>42</v>
      </c>
      <c r="AB574" s="238">
        <f t="shared" ca="1" si="22"/>
        <v>46235</v>
      </c>
      <c r="AC574" s="237">
        <f ca="1">_xlfn.DAYS(Table2[[#This Row],[HOJE]],Table2[[#This Row],[DATA PEDIDO HP]])</f>
        <v>18</v>
      </c>
      <c r="AD574" s="237" t="str">
        <f ca="1">IF(Table2[[#This Row],[STATUS2]]="ENTREGUE","ENTREGUE","")</f>
        <v/>
      </c>
      <c r="AE574" s="261" t="str">
        <f ca="1">IF(Table2[[#This Row],[HOLD]]&gt;30,"ATRASADO","NO PRAZO")</f>
        <v>NO PRAZO</v>
      </c>
    </row>
    <row r="575" spans="1:31" ht="15" customHeight="1">
      <c r="A575" s="245" t="s">
        <v>1836</v>
      </c>
      <c r="B575" s="238">
        <v>46217</v>
      </c>
      <c r="C575" s="235">
        <v>46217</v>
      </c>
      <c r="D575" s="236" t="s">
        <v>1837</v>
      </c>
      <c r="E575" s="236" t="s">
        <v>191</v>
      </c>
      <c r="F575" s="236" t="s">
        <v>827</v>
      </c>
      <c r="G575" s="236">
        <v>60003096</v>
      </c>
      <c r="H575" s="218" t="s">
        <v>1838</v>
      </c>
      <c r="I575" s="236" t="s">
        <v>1839</v>
      </c>
      <c r="J575" s="236">
        <v>1</v>
      </c>
      <c r="K575" s="236" t="s">
        <v>37</v>
      </c>
      <c r="L575" s="236" t="s">
        <v>122</v>
      </c>
      <c r="M575" s="236" t="s">
        <v>73</v>
      </c>
      <c r="N575" s="236">
        <v>194449</v>
      </c>
      <c r="O575" s="237"/>
      <c r="P575" s="237"/>
      <c r="Q575" s="237">
        <v>1</v>
      </c>
      <c r="R575" s="237"/>
      <c r="S575" s="238"/>
      <c r="T575" s="238"/>
      <c r="U575" s="238"/>
      <c r="V575" s="237"/>
      <c r="W575" s="239">
        <v>9479.24</v>
      </c>
      <c r="X575" s="239">
        <f>Table2[[#This Row],[QUANTIDADE]]*Table2[[#This Row],[PREÇO UNITARIO]]</f>
        <v>9479.24</v>
      </c>
      <c r="Y575" s="237"/>
      <c r="Z575" s="237">
        <f t="shared" si="24"/>
        <v>7</v>
      </c>
      <c r="AA575" s="219" t="s">
        <v>42</v>
      </c>
      <c r="AB575" s="238">
        <f t="shared" ca="1" si="22"/>
        <v>46235</v>
      </c>
      <c r="AC575" s="237">
        <f ca="1">_xlfn.DAYS(Table2[[#This Row],[HOJE]],Table2[[#This Row],[DATA PEDIDO HP]])</f>
        <v>18</v>
      </c>
      <c r="AD575" s="237" t="str">
        <f ca="1">IF(Table2[[#This Row],[STATUS2]]="ENTREGUE","ENTREGUE","")</f>
        <v/>
      </c>
      <c r="AE575" s="261" t="str">
        <f ca="1">IF(Table2[[#This Row],[HOLD]]&gt;30,"ATRASADO","NO PRAZO")</f>
        <v>NO PRAZO</v>
      </c>
    </row>
    <row r="576" spans="1:31" ht="15" customHeight="1">
      <c r="A576" s="245" t="s">
        <v>1840</v>
      </c>
      <c r="B576" s="238">
        <v>46217</v>
      </c>
      <c r="C576" s="235">
        <v>46217</v>
      </c>
      <c r="D576" s="236" t="s">
        <v>1841</v>
      </c>
      <c r="E576" s="236" t="s">
        <v>101</v>
      </c>
      <c r="F576" s="236" t="s">
        <v>102</v>
      </c>
      <c r="G576" s="236">
        <v>51000323</v>
      </c>
      <c r="H576" s="218" t="s">
        <v>527</v>
      </c>
      <c r="I576" s="236" t="s">
        <v>1842</v>
      </c>
      <c r="J576" s="236">
        <v>1</v>
      </c>
      <c r="K576" s="236" t="s">
        <v>37</v>
      </c>
      <c r="L576" s="236" t="s">
        <v>122</v>
      </c>
      <c r="M576" s="236" t="s">
        <v>81</v>
      </c>
      <c r="N576" s="236">
        <v>194744</v>
      </c>
      <c r="O576" s="237"/>
      <c r="P576" s="237"/>
      <c r="Q576" s="237">
        <v>1</v>
      </c>
      <c r="R576" s="237"/>
      <c r="S576" s="238"/>
      <c r="T576" s="238"/>
      <c r="U576" s="238"/>
      <c r="V576" s="237"/>
      <c r="W576" s="239">
        <v>47.36</v>
      </c>
      <c r="X576" s="239">
        <f>Table2[[#This Row],[QUANTIDADE]]*Table2[[#This Row],[PREÇO UNITARIO]]</f>
        <v>47.36</v>
      </c>
      <c r="Y576" s="237"/>
      <c r="Z576" s="237">
        <f t="shared" si="24"/>
        <v>7</v>
      </c>
      <c r="AA576" s="219" t="s">
        <v>42</v>
      </c>
      <c r="AB576" s="238">
        <f t="shared" ca="1" si="22"/>
        <v>46235</v>
      </c>
      <c r="AC576" s="237">
        <f ca="1">_xlfn.DAYS(Table2[[#This Row],[HOJE]],Table2[[#This Row],[DATA PEDIDO HP]])</f>
        <v>18</v>
      </c>
      <c r="AD576" s="237" t="str">
        <f ca="1">IF(Table2[[#This Row],[STATUS2]]="ENTREGUE","ENTREGUE","")</f>
        <v/>
      </c>
      <c r="AE576" s="261" t="str">
        <f ca="1">IF(Table2[[#This Row],[HOLD]]&gt;30,"ATRASADO","NO PRAZO")</f>
        <v>NO PRAZO</v>
      </c>
    </row>
    <row r="577" spans="1:31" ht="15" customHeight="1">
      <c r="A577" s="245" t="s">
        <v>1843</v>
      </c>
      <c r="B577" s="238">
        <v>46217</v>
      </c>
      <c r="C577" s="217">
        <v>46217</v>
      </c>
      <c r="D577" s="218" t="s">
        <v>1844</v>
      </c>
      <c r="E577" s="218" t="s">
        <v>191</v>
      </c>
      <c r="F577" s="218" t="s">
        <v>95</v>
      </c>
      <c r="G577" s="218">
        <v>60001111</v>
      </c>
      <c r="H577" s="218" t="s">
        <v>403</v>
      </c>
      <c r="I577" s="218" t="s">
        <v>404</v>
      </c>
      <c r="J577" s="218">
        <v>1</v>
      </c>
      <c r="K577" s="218" t="s">
        <v>37</v>
      </c>
      <c r="L577" s="218" t="s">
        <v>122</v>
      </c>
      <c r="M577" s="218" t="s">
        <v>73</v>
      </c>
      <c r="N577" s="218">
        <v>194645</v>
      </c>
      <c r="O577" s="237"/>
      <c r="P577" s="237"/>
      <c r="Q577" s="237">
        <v>1</v>
      </c>
      <c r="R577" s="237"/>
      <c r="S577" s="238"/>
      <c r="T577" s="238"/>
      <c r="U577" s="238"/>
      <c r="V577" s="237"/>
      <c r="W577" s="239">
        <v>317.92</v>
      </c>
      <c r="X577" s="239">
        <f>Table2[[#This Row],[QUANTIDADE]]*Table2[[#This Row],[PREÇO UNITARIO]]</f>
        <v>317.92</v>
      </c>
      <c r="Y577" s="237"/>
      <c r="Z577" s="237">
        <f t="shared" si="24"/>
        <v>7</v>
      </c>
      <c r="AA577" s="219" t="s">
        <v>42</v>
      </c>
      <c r="AB577" s="238">
        <f t="shared" ca="1" si="22"/>
        <v>46235</v>
      </c>
      <c r="AC577" s="237">
        <f ca="1">_xlfn.DAYS(Table2[[#This Row],[HOJE]],Table2[[#This Row],[DATA PEDIDO HP]])</f>
        <v>18</v>
      </c>
      <c r="AD577" s="237" t="str">
        <f ca="1">IF(Table2[[#This Row],[STATUS2]]="ENTREGUE","ENTREGUE","")</f>
        <v/>
      </c>
      <c r="AE577" s="261" t="str">
        <f ca="1">IF(Table2[[#This Row],[HOLD]]&gt;30,"ATRASADO","NO PRAZO")</f>
        <v>NO PRAZO</v>
      </c>
    </row>
    <row r="578" spans="1:31" ht="15" customHeight="1">
      <c r="A578" s="245" t="s">
        <v>1843</v>
      </c>
      <c r="B578" s="238">
        <v>46217</v>
      </c>
      <c r="C578" s="217">
        <v>46217</v>
      </c>
      <c r="D578" s="218" t="s">
        <v>1844</v>
      </c>
      <c r="E578" s="218" t="s">
        <v>191</v>
      </c>
      <c r="F578" s="218" t="s">
        <v>95</v>
      </c>
      <c r="G578" s="218">
        <v>60001111</v>
      </c>
      <c r="H578" s="218" t="s">
        <v>405</v>
      </c>
      <c r="I578" s="218" t="s">
        <v>406</v>
      </c>
      <c r="J578" s="218">
        <v>2</v>
      </c>
      <c r="K578" s="218" t="s">
        <v>37</v>
      </c>
      <c r="L578" s="218" t="s">
        <v>122</v>
      </c>
      <c r="M578" s="218" t="s">
        <v>73</v>
      </c>
      <c r="N578" s="218">
        <v>194645</v>
      </c>
      <c r="O578" s="237"/>
      <c r="P578" s="237"/>
      <c r="Q578" s="237">
        <v>2</v>
      </c>
      <c r="R578" s="237"/>
      <c r="S578" s="238"/>
      <c r="T578" s="238"/>
      <c r="U578" s="238"/>
      <c r="V578" s="237"/>
      <c r="W578" s="239">
        <v>305.67</v>
      </c>
      <c r="X578" s="239">
        <f>Table2[[#This Row],[QUANTIDADE]]*Table2[[#This Row],[PREÇO UNITARIO]]</f>
        <v>611.34</v>
      </c>
      <c r="Y578" s="237"/>
      <c r="Z578" s="237">
        <f t="shared" si="24"/>
        <v>7</v>
      </c>
      <c r="AA578" s="219" t="s">
        <v>42</v>
      </c>
      <c r="AB578" s="238">
        <f t="shared" ca="1" si="22"/>
        <v>46235</v>
      </c>
      <c r="AC578" s="237">
        <f ca="1">_xlfn.DAYS(Table2[[#This Row],[HOJE]],Table2[[#This Row],[DATA PEDIDO HP]])</f>
        <v>18</v>
      </c>
      <c r="AD578" s="237" t="str">
        <f ca="1">IF(Table2[[#This Row],[STATUS2]]="ENTREGUE","ENTREGUE","")</f>
        <v/>
      </c>
      <c r="AE578" s="261" t="str">
        <f ca="1">IF(Table2[[#This Row],[HOLD]]&gt;30,"ATRASADO","NO PRAZO")</f>
        <v>NO PRAZO</v>
      </c>
    </row>
    <row r="579" spans="1:31" ht="15" customHeight="1">
      <c r="A579" s="245" t="s">
        <v>1843</v>
      </c>
      <c r="B579" s="238">
        <v>46217</v>
      </c>
      <c r="C579" s="217">
        <v>46217</v>
      </c>
      <c r="D579" s="218" t="s">
        <v>1844</v>
      </c>
      <c r="E579" s="218" t="s">
        <v>191</v>
      </c>
      <c r="F579" s="218" t="s">
        <v>95</v>
      </c>
      <c r="G579" s="218">
        <v>60001111</v>
      </c>
      <c r="H579" s="218" t="s">
        <v>1845</v>
      </c>
      <c r="I579" s="218" t="s">
        <v>1846</v>
      </c>
      <c r="J579" s="218">
        <v>2</v>
      </c>
      <c r="K579" s="218" t="s">
        <v>37</v>
      </c>
      <c r="L579" s="218" t="s">
        <v>122</v>
      </c>
      <c r="M579" s="218" t="s">
        <v>39</v>
      </c>
      <c r="N579" s="218">
        <v>194645</v>
      </c>
      <c r="O579" s="237"/>
      <c r="P579" s="237"/>
      <c r="Q579" s="237">
        <v>0</v>
      </c>
      <c r="R579" s="237"/>
      <c r="S579" s="238"/>
      <c r="T579" s="238"/>
      <c r="U579" s="238"/>
      <c r="V579" s="237"/>
      <c r="W579" s="239">
        <v>48.64</v>
      </c>
      <c r="X579" s="239">
        <f>Table2[[#This Row],[QUANTIDADE]]*Table2[[#This Row],[PREÇO UNITARIO]]</f>
        <v>97.28</v>
      </c>
      <c r="Y579" s="237"/>
      <c r="Z579" s="237">
        <f t="shared" si="24"/>
        <v>7</v>
      </c>
      <c r="AA579" s="219" t="s">
        <v>42</v>
      </c>
      <c r="AB579" s="238">
        <f t="shared" ca="1" si="22"/>
        <v>46235</v>
      </c>
      <c r="AC579" s="237">
        <f ca="1">_xlfn.DAYS(Table2[[#This Row],[HOJE]],Table2[[#This Row],[DATA PEDIDO HP]])</f>
        <v>18</v>
      </c>
      <c r="AD579" s="237" t="str">
        <f ca="1">IF(Table2[[#This Row],[STATUS2]]="ENTREGUE","ENTREGUE","")</f>
        <v/>
      </c>
      <c r="AE579" s="261" t="str">
        <f ca="1">IF(Table2[[#This Row],[HOLD]]&gt;30,"ATRASADO","NO PRAZO")</f>
        <v>NO PRAZO</v>
      </c>
    </row>
    <row r="580" spans="1:31" ht="15" customHeight="1">
      <c r="A580" s="245" t="s">
        <v>1847</v>
      </c>
      <c r="B580" s="238">
        <v>46218</v>
      </c>
      <c r="C580" s="217">
        <v>46218</v>
      </c>
      <c r="D580" s="218" t="s">
        <v>1848</v>
      </c>
      <c r="E580" s="218" t="s">
        <v>915</v>
      </c>
      <c r="F580" s="218" t="s">
        <v>1347</v>
      </c>
      <c r="G580" s="218">
        <v>48700059</v>
      </c>
      <c r="H580" s="218" t="s">
        <v>1849</v>
      </c>
      <c r="I580" s="218" t="s">
        <v>1850</v>
      </c>
      <c r="J580" s="218">
        <v>1</v>
      </c>
      <c r="K580" s="218" t="s">
        <v>37</v>
      </c>
      <c r="L580" s="218" t="s">
        <v>72</v>
      </c>
      <c r="M580" s="218" t="s">
        <v>73</v>
      </c>
      <c r="N580" s="218">
        <v>190883</v>
      </c>
      <c r="O580" s="237"/>
      <c r="P580" s="237"/>
      <c r="Q580" s="237">
        <v>1</v>
      </c>
      <c r="R580" s="237"/>
      <c r="S580" s="238"/>
      <c r="T580" s="238"/>
      <c r="U580" s="238"/>
      <c r="V580" s="237"/>
      <c r="W580" s="239">
        <v>79.989999999999995</v>
      </c>
      <c r="X580" s="239">
        <f>Table2[[#This Row],[QUANTIDADE]]*Table2[[#This Row],[PREÇO UNITARIO]]</f>
        <v>79.989999999999995</v>
      </c>
      <c r="Y580" s="237"/>
      <c r="Z580" s="237">
        <f t="shared" si="24"/>
        <v>7</v>
      </c>
      <c r="AA580" s="237" t="s">
        <v>74</v>
      </c>
      <c r="AB580" s="238">
        <f t="shared" ca="1" si="22"/>
        <v>46235</v>
      </c>
      <c r="AC580" s="237">
        <f ca="1">_xlfn.DAYS(Table2[[#This Row],[HOJE]],Table2[[#This Row],[DATA PEDIDO HP]])</f>
        <v>17</v>
      </c>
      <c r="AD580" s="237" t="str">
        <f ca="1">IF(Table2[[#This Row],[STATUS2]]="ENTREGUE","ENTREGUE","")</f>
        <v/>
      </c>
      <c r="AE580" s="261" t="str">
        <f ca="1">IF(Table2[[#This Row],[HOLD]]&gt;30,"ATRASADO","NO PRAZO")</f>
        <v>NO PRAZO</v>
      </c>
    </row>
    <row r="581" spans="1:31" ht="15" customHeight="1">
      <c r="A581" s="245" t="s">
        <v>1851</v>
      </c>
      <c r="B581" s="238">
        <v>46218</v>
      </c>
      <c r="C581" s="217">
        <v>46218</v>
      </c>
      <c r="D581" s="218" t="s">
        <v>1852</v>
      </c>
      <c r="E581" s="218" t="s">
        <v>125</v>
      </c>
      <c r="F581" s="218" t="s">
        <v>34</v>
      </c>
      <c r="G581" s="218">
        <v>50110193</v>
      </c>
      <c r="H581" s="218" t="s">
        <v>362</v>
      </c>
      <c r="I581" s="218" t="s">
        <v>1853</v>
      </c>
      <c r="J581" s="218">
        <v>1</v>
      </c>
      <c r="K581" s="218" t="s">
        <v>37</v>
      </c>
      <c r="L581" s="218" t="s">
        <v>72</v>
      </c>
      <c r="M581" s="218" t="s">
        <v>73</v>
      </c>
      <c r="N581" s="218">
        <v>194349</v>
      </c>
      <c r="O581" s="237"/>
      <c r="P581" s="237"/>
      <c r="Q581" s="237">
        <v>1</v>
      </c>
      <c r="R581" s="237"/>
      <c r="S581" s="238"/>
      <c r="T581" s="238"/>
      <c r="U581" s="238"/>
      <c r="V581" s="237"/>
      <c r="W581" s="239">
        <v>255.99</v>
      </c>
      <c r="X581" s="239">
        <f>Table2[[#This Row],[QUANTIDADE]]*Table2[[#This Row],[PREÇO UNITARIO]]</f>
        <v>255.99</v>
      </c>
      <c r="Y581" s="237"/>
      <c r="Z581" s="237">
        <f t="shared" si="24"/>
        <v>7</v>
      </c>
      <c r="AA581" s="219" t="s">
        <v>42</v>
      </c>
      <c r="AB581" s="238">
        <f t="shared" ca="1" si="22"/>
        <v>46235</v>
      </c>
      <c r="AC581" s="237">
        <f ca="1">_xlfn.DAYS(Table2[[#This Row],[HOJE]],Table2[[#This Row],[DATA PEDIDO HP]])</f>
        <v>17</v>
      </c>
      <c r="AD581" s="237" t="str">
        <f ca="1">IF(Table2[[#This Row],[STATUS2]]="ENTREGUE","ENTREGUE","")</f>
        <v/>
      </c>
      <c r="AE581" s="261" t="str">
        <f ca="1">IF(Table2[[#This Row],[HOLD]]&gt;30,"ATRASADO","NO PRAZO")</f>
        <v>NO PRAZO</v>
      </c>
    </row>
    <row r="582" spans="1:31" ht="15" customHeight="1">
      <c r="A582" s="245" t="s">
        <v>1854</v>
      </c>
      <c r="B582" s="238">
        <v>46218</v>
      </c>
      <c r="C582" s="235">
        <v>46218</v>
      </c>
      <c r="D582" s="236" t="s">
        <v>1855</v>
      </c>
      <c r="E582" s="236" t="s">
        <v>154</v>
      </c>
      <c r="F582" s="236" t="s">
        <v>145</v>
      </c>
      <c r="G582" s="236">
        <v>48000044</v>
      </c>
      <c r="H582" s="218" t="s">
        <v>1856</v>
      </c>
      <c r="I582" s="236" t="s">
        <v>1857</v>
      </c>
      <c r="J582" s="236">
        <v>2</v>
      </c>
      <c r="K582" s="236" t="s">
        <v>37</v>
      </c>
      <c r="L582" s="236" t="s">
        <v>72</v>
      </c>
      <c r="M582" s="236" t="s">
        <v>73</v>
      </c>
      <c r="N582" s="236">
        <v>194154</v>
      </c>
      <c r="O582" s="237"/>
      <c r="P582" s="237"/>
      <c r="Q582" s="237">
        <v>2</v>
      </c>
      <c r="R582" s="237"/>
      <c r="S582" s="238"/>
      <c r="T582" s="238"/>
      <c r="U582" s="238"/>
      <c r="V582" s="237"/>
      <c r="W582" s="239">
        <v>106.97</v>
      </c>
      <c r="X582" s="239">
        <f>Table2[[#This Row],[QUANTIDADE]]*Table2[[#This Row],[PREÇO UNITARIO]]</f>
        <v>213.94</v>
      </c>
      <c r="Y582" s="237"/>
      <c r="Z582" s="237">
        <f t="shared" si="24"/>
        <v>7</v>
      </c>
      <c r="AA582" s="237" t="s">
        <v>74</v>
      </c>
      <c r="AB582" s="238">
        <f t="shared" ca="1" si="22"/>
        <v>46235</v>
      </c>
      <c r="AC582" s="237">
        <f ca="1">_xlfn.DAYS(Table2[[#This Row],[HOJE]],Table2[[#This Row],[DATA PEDIDO HP]])</f>
        <v>17</v>
      </c>
      <c r="AD582" s="237" t="str">
        <f ca="1">IF(Table2[[#This Row],[STATUS2]]="ENTREGUE","ENTREGUE","")</f>
        <v/>
      </c>
      <c r="AE582" s="261" t="str">
        <f ca="1">IF(Table2[[#This Row],[HOLD]]&gt;30,"ATRASADO","NO PRAZO")</f>
        <v>NO PRAZO</v>
      </c>
    </row>
    <row r="583" spans="1:31" ht="15" customHeight="1">
      <c r="A583" s="245" t="s">
        <v>1858</v>
      </c>
      <c r="B583" s="238">
        <v>46218</v>
      </c>
      <c r="C583" s="235">
        <v>46218</v>
      </c>
      <c r="D583" s="236" t="s">
        <v>1859</v>
      </c>
      <c r="E583" s="236" t="s">
        <v>33</v>
      </c>
      <c r="F583" s="236" t="s">
        <v>34</v>
      </c>
      <c r="G583" s="236">
        <v>50110372</v>
      </c>
      <c r="H583" s="218" t="s">
        <v>299</v>
      </c>
      <c r="I583" s="236" t="s">
        <v>1860</v>
      </c>
      <c r="J583" s="236">
        <v>1</v>
      </c>
      <c r="K583" s="236" t="s">
        <v>37</v>
      </c>
      <c r="L583" s="236" t="s">
        <v>122</v>
      </c>
      <c r="M583" s="236" t="s">
        <v>73</v>
      </c>
      <c r="N583" s="236">
        <v>194975</v>
      </c>
      <c r="O583" s="237"/>
      <c r="P583" s="237"/>
      <c r="Q583" s="237">
        <v>1</v>
      </c>
      <c r="R583" s="237"/>
      <c r="S583" s="238"/>
      <c r="T583" s="238"/>
      <c r="U583" s="238"/>
      <c r="V583" s="237"/>
      <c r="W583" s="239">
        <v>32.659999999999997</v>
      </c>
      <c r="X583" s="239">
        <f>Table2[[#This Row],[QUANTIDADE]]*Table2[[#This Row],[PREÇO UNITARIO]]</f>
        <v>32.659999999999997</v>
      </c>
      <c r="Y583" s="237"/>
      <c r="Z583" s="237">
        <f t="shared" si="24"/>
        <v>7</v>
      </c>
      <c r="AA583" s="219" t="s">
        <v>42</v>
      </c>
      <c r="AB583" s="238">
        <f t="shared" ca="1" si="22"/>
        <v>46235</v>
      </c>
      <c r="AC583" s="237">
        <f ca="1">_xlfn.DAYS(Table2[[#This Row],[HOJE]],Table2[[#This Row],[DATA PEDIDO HP]])</f>
        <v>17</v>
      </c>
      <c r="AD583" s="237" t="str">
        <f ca="1">IF(Table2[[#This Row],[STATUS2]]="ENTREGUE","ENTREGUE","")</f>
        <v/>
      </c>
      <c r="AE583" s="261" t="str">
        <f ca="1">IF(Table2[[#This Row],[HOLD]]&gt;30,"ATRASADO","NO PRAZO")</f>
        <v>NO PRAZO</v>
      </c>
    </row>
    <row r="584" spans="1:31" ht="15" customHeight="1">
      <c r="A584" s="245" t="s">
        <v>1861</v>
      </c>
      <c r="B584" s="238">
        <v>46218</v>
      </c>
      <c r="C584" s="235">
        <v>46209</v>
      </c>
      <c r="D584" s="236" t="s">
        <v>1862</v>
      </c>
      <c r="E584" s="236" t="s">
        <v>570</v>
      </c>
      <c r="F584" s="236" t="s">
        <v>571</v>
      </c>
      <c r="G584" s="236">
        <v>50510045</v>
      </c>
      <c r="H584" s="218" t="s">
        <v>885</v>
      </c>
      <c r="I584" s="236" t="s">
        <v>1863</v>
      </c>
      <c r="J584" s="236">
        <v>1</v>
      </c>
      <c r="K584" s="236" t="s">
        <v>37</v>
      </c>
      <c r="L584" s="236" t="s">
        <v>38</v>
      </c>
      <c r="M584" s="236" t="s">
        <v>73</v>
      </c>
      <c r="N584" s="236">
        <v>193326</v>
      </c>
      <c r="O584" s="237"/>
      <c r="P584" s="237"/>
      <c r="Q584" s="237">
        <v>1</v>
      </c>
      <c r="R584" s="237"/>
      <c r="S584" s="238"/>
      <c r="T584" s="238"/>
      <c r="U584" s="238"/>
      <c r="V584" s="237"/>
      <c r="W584" s="239">
        <v>1207.54</v>
      </c>
      <c r="X584" s="239">
        <f>Table2[[#This Row],[QUANTIDADE]]*Table2[[#This Row],[PREÇO UNITARIO]]</f>
        <v>1207.54</v>
      </c>
      <c r="Y584" s="237"/>
      <c r="Z584" s="237">
        <f t="shared" si="24"/>
        <v>7</v>
      </c>
      <c r="AA584" s="219" t="s">
        <v>42</v>
      </c>
      <c r="AB584" s="238">
        <f t="shared" ca="1" si="22"/>
        <v>46235</v>
      </c>
      <c r="AC584" s="237">
        <f ca="1">_xlfn.DAYS(Table2[[#This Row],[HOJE]],Table2[[#This Row],[DATA PEDIDO HP]])</f>
        <v>17</v>
      </c>
      <c r="AD584" s="237" t="str">
        <f ca="1">IF(Table2[[#This Row],[STATUS2]]="ENTREGUE","ENTREGUE","")</f>
        <v/>
      </c>
      <c r="AE584" s="261" t="str">
        <f ca="1">IF(Table2[[#This Row],[HOLD]]&gt;30,"ATRASADO","NO PRAZO")</f>
        <v>NO PRAZO</v>
      </c>
    </row>
    <row r="585" spans="1:31" ht="15" customHeight="1">
      <c r="A585" s="245" t="s">
        <v>1864</v>
      </c>
      <c r="B585" s="238">
        <v>46219</v>
      </c>
      <c r="C585" s="235">
        <v>46219</v>
      </c>
      <c r="D585" s="236" t="s">
        <v>1865</v>
      </c>
      <c r="E585" s="236" t="s">
        <v>125</v>
      </c>
      <c r="F585" s="236" t="s">
        <v>34</v>
      </c>
      <c r="G585" s="236">
        <v>50110193</v>
      </c>
      <c r="H585" s="218" t="s">
        <v>430</v>
      </c>
      <c r="I585" s="236" t="s">
        <v>431</v>
      </c>
      <c r="J585" s="236">
        <v>1</v>
      </c>
      <c r="K585" s="236" t="s">
        <v>37</v>
      </c>
      <c r="L585" s="236" t="s">
        <v>72</v>
      </c>
      <c r="M585" s="236" t="s">
        <v>73</v>
      </c>
      <c r="N585" s="236">
        <v>195107</v>
      </c>
      <c r="O585" s="237"/>
      <c r="P585" s="237"/>
      <c r="Q585" s="237">
        <v>1</v>
      </c>
      <c r="R585" s="237"/>
      <c r="S585" s="238"/>
      <c r="T585" s="238"/>
      <c r="U585" s="238"/>
      <c r="V585" s="237"/>
      <c r="W585" s="239">
        <v>125.99</v>
      </c>
      <c r="X585" s="239">
        <f>Table2[[#This Row],[QUANTIDADE]]*Table2[[#This Row],[PREÇO UNITARIO]]</f>
        <v>125.99</v>
      </c>
      <c r="Y585" s="237"/>
      <c r="Z585" s="237">
        <f t="shared" si="24"/>
        <v>7</v>
      </c>
      <c r="AA585" s="219" t="s">
        <v>42</v>
      </c>
      <c r="AB585" s="238">
        <f t="shared" ca="1" si="22"/>
        <v>46235</v>
      </c>
      <c r="AC585" s="237">
        <f ca="1">_xlfn.DAYS(Table2[[#This Row],[HOJE]],Table2[[#This Row],[DATA PEDIDO HP]])</f>
        <v>16</v>
      </c>
      <c r="AD585" s="237" t="str">
        <f ca="1">IF(Table2[[#This Row],[STATUS2]]="ENTREGUE","ENTREGUE","")</f>
        <v/>
      </c>
      <c r="AE585" s="261" t="str">
        <f ca="1">IF(Table2[[#This Row],[HOLD]]&gt;30,"ATRASADO","NO PRAZO")</f>
        <v>NO PRAZO</v>
      </c>
    </row>
    <row r="586" spans="1:31" ht="15" customHeight="1">
      <c r="A586" s="245" t="s">
        <v>1866</v>
      </c>
      <c r="B586" s="238">
        <v>46219</v>
      </c>
      <c r="C586" s="235">
        <v>46219</v>
      </c>
      <c r="D586" s="236" t="s">
        <v>1867</v>
      </c>
      <c r="E586" s="236" t="s">
        <v>101</v>
      </c>
      <c r="F586" s="236" t="s">
        <v>102</v>
      </c>
      <c r="G586" s="236">
        <v>51000136</v>
      </c>
      <c r="H586" s="218" t="s">
        <v>335</v>
      </c>
      <c r="I586" s="236" t="s">
        <v>728</v>
      </c>
      <c r="J586" s="236">
        <v>1</v>
      </c>
      <c r="K586" s="236" t="s">
        <v>37</v>
      </c>
      <c r="L586" s="236" t="s">
        <v>72</v>
      </c>
      <c r="M586" s="236" t="s">
        <v>73</v>
      </c>
      <c r="N586" s="236">
        <v>194678</v>
      </c>
      <c r="O586" s="237"/>
      <c r="P586" s="237"/>
      <c r="Q586" s="237">
        <v>1</v>
      </c>
      <c r="R586" s="237"/>
      <c r="S586" s="238"/>
      <c r="T586" s="238"/>
      <c r="U586" s="238"/>
      <c r="V586" s="237"/>
      <c r="W586" s="239">
        <v>17.28</v>
      </c>
      <c r="X586" s="239">
        <f>Table2[[#This Row],[QUANTIDADE]]*Table2[[#This Row],[PREÇO UNITARIO]]</f>
        <v>17.28</v>
      </c>
      <c r="Y586" s="237"/>
      <c r="Z586" s="237">
        <f t="shared" si="24"/>
        <v>7</v>
      </c>
      <c r="AA586" s="219" t="s">
        <v>42</v>
      </c>
      <c r="AB586" s="238">
        <f t="shared" ca="1" si="22"/>
        <v>46235</v>
      </c>
      <c r="AC586" s="237">
        <f ca="1">_xlfn.DAYS(Table2[[#This Row],[HOJE]],Table2[[#This Row],[DATA PEDIDO HP]])</f>
        <v>16</v>
      </c>
      <c r="AD586" s="237" t="str">
        <f ca="1">IF(Table2[[#This Row],[STATUS2]]="ENTREGUE","ENTREGUE","")</f>
        <v/>
      </c>
      <c r="AE586" s="261" t="str">
        <f ca="1">IF(Table2[[#This Row],[HOLD]]&gt;30,"ATRASADO","NO PRAZO")</f>
        <v>NO PRAZO</v>
      </c>
    </row>
    <row r="587" spans="1:31" ht="15" customHeight="1">
      <c r="A587" s="245" t="s">
        <v>1868</v>
      </c>
      <c r="B587" s="238">
        <v>46219</v>
      </c>
      <c r="C587" s="235">
        <v>46219</v>
      </c>
      <c r="D587" s="236" t="s">
        <v>1869</v>
      </c>
      <c r="E587" s="236" t="s">
        <v>33</v>
      </c>
      <c r="F587" s="236" t="s">
        <v>95</v>
      </c>
      <c r="G587" s="236">
        <v>60002095</v>
      </c>
      <c r="H587" s="236" t="s">
        <v>1055</v>
      </c>
      <c r="I587" s="236" t="s">
        <v>1056</v>
      </c>
      <c r="J587" s="236">
        <v>1</v>
      </c>
      <c r="K587" s="236" t="s">
        <v>37</v>
      </c>
      <c r="L587" s="236" t="s">
        <v>72</v>
      </c>
      <c r="M587" s="236" t="s">
        <v>73</v>
      </c>
      <c r="N587" s="236">
        <v>195437</v>
      </c>
      <c r="O587" s="237"/>
      <c r="P587" s="237"/>
      <c r="Q587" s="237">
        <v>1</v>
      </c>
      <c r="R587" s="237"/>
      <c r="S587" s="238"/>
      <c r="T587" s="238"/>
      <c r="U587" s="238"/>
      <c r="V587" s="237"/>
      <c r="W587" s="239">
        <v>44.09</v>
      </c>
      <c r="X587" s="239">
        <f>Table2[[#This Row],[QUANTIDADE]]*Table2[[#This Row],[PREÇO UNITARIO]]</f>
        <v>44.09</v>
      </c>
      <c r="Y587" s="237"/>
      <c r="Z587" s="237">
        <f t="shared" si="24"/>
        <v>7</v>
      </c>
      <c r="AA587" s="219" t="s">
        <v>42</v>
      </c>
      <c r="AB587" s="238">
        <f t="shared" ca="1" si="22"/>
        <v>46235</v>
      </c>
      <c r="AC587" s="237">
        <f ca="1">_xlfn.DAYS(Table2[[#This Row],[HOJE]],Table2[[#This Row],[DATA PEDIDO HP]])</f>
        <v>16</v>
      </c>
      <c r="AD587" s="237" t="str">
        <f ca="1">IF(Table2[[#This Row],[STATUS2]]="ENTREGUE","ENTREGUE","")</f>
        <v/>
      </c>
      <c r="AE587" s="261" t="str">
        <f ca="1">IF(Table2[[#This Row],[HOLD]]&gt;30,"ATRASADO","NO PRAZO")</f>
        <v>NO PRAZO</v>
      </c>
    </row>
    <row r="588" spans="1:31" ht="15" customHeight="1">
      <c r="A588" s="245" t="s">
        <v>1870</v>
      </c>
      <c r="B588" s="238">
        <v>46219</v>
      </c>
      <c r="C588" s="235">
        <v>46219</v>
      </c>
      <c r="D588" s="236" t="s">
        <v>1871</v>
      </c>
      <c r="E588" s="236" t="s">
        <v>125</v>
      </c>
      <c r="F588" s="236" t="s">
        <v>34</v>
      </c>
      <c r="G588" s="236">
        <v>50110193</v>
      </c>
      <c r="H588" s="236" t="s">
        <v>1872</v>
      </c>
      <c r="I588" s="236" t="s">
        <v>1873</v>
      </c>
      <c r="J588" s="236">
        <v>1</v>
      </c>
      <c r="K588" s="236" t="s">
        <v>37</v>
      </c>
      <c r="L588" s="236" t="s">
        <v>72</v>
      </c>
      <c r="M588" s="236" t="s">
        <v>73</v>
      </c>
      <c r="N588" s="236">
        <v>194349</v>
      </c>
      <c r="O588" s="237"/>
      <c r="P588" s="237"/>
      <c r="Q588" s="237">
        <v>1</v>
      </c>
      <c r="R588" s="237"/>
      <c r="S588" s="238"/>
      <c r="T588" s="238"/>
      <c r="U588" s="238"/>
      <c r="V588" s="237"/>
      <c r="W588" s="239">
        <v>11.43</v>
      </c>
      <c r="X588" s="239">
        <f>Table2[[#This Row],[QUANTIDADE]]*Table2[[#This Row],[PREÇO UNITARIO]]</f>
        <v>11.43</v>
      </c>
      <c r="Y588" s="237"/>
      <c r="Z588" s="237">
        <f t="shared" si="24"/>
        <v>7</v>
      </c>
      <c r="AA588" s="219" t="s">
        <v>42</v>
      </c>
      <c r="AB588" s="238">
        <f t="shared" ca="1" si="22"/>
        <v>46235</v>
      </c>
      <c r="AC588" s="237">
        <f ca="1">_xlfn.DAYS(Table2[[#This Row],[HOJE]],Table2[[#This Row],[DATA PEDIDO HP]])</f>
        <v>16</v>
      </c>
      <c r="AD588" s="237" t="str">
        <f ca="1">IF(Table2[[#This Row],[STATUS2]]="ENTREGUE","ENTREGUE","")</f>
        <v/>
      </c>
      <c r="AE588" s="261" t="str">
        <f ca="1">IF(Table2[[#This Row],[HOLD]]&gt;30,"ATRASADO","NO PRAZO")</f>
        <v>NO PRAZO</v>
      </c>
    </row>
    <row r="589" spans="1:31" ht="15" customHeight="1">
      <c r="A589" s="245" t="s">
        <v>1874</v>
      </c>
      <c r="B589" s="238">
        <v>46220</v>
      </c>
      <c r="C589" s="235">
        <v>46220</v>
      </c>
      <c r="D589" s="236" t="s">
        <v>1875</v>
      </c>
      <c r="E589" s="236" t="s">
        <v>125</v>
      </c>
      <c r="F589" s="236" t="s">
        <v>34</v>
      </c>
      <c r="G589" s="236">
        <v>50110193</v>
      </c>
      <c r="H589" s="236" t="s">
        <v>1876</v>
      </c>
      <c r="I589" s="236" t="s">
        <v>1877</v>
      </c>
      <c r="J589" s="236">
        <v>1</v>
      </c>
      <c r="K589" s="236" t="s">
        <v>37</v>
      </c>
      <c r="L589" s="236" t="s">
        <v>122</v>
      </c>
      <c r="M589" s="236" t="s">
        <v>39</v>
      </c>
      <c r="N589" s="236">
        <v>195668</v>
      </c>
      <c r="O589" s="237"/>
      <c r="P589" s="237"/>
      <c r="Q589" s="237">
        <v>0</v>
      </c>
      <c r="R589" s="237"/>
      <c r="S589" s="238"/>
      <c r="T589" s="238"/>
      <c r="U589" s="238"/>
      <c r="V589" s="237"/>
      <c r="W589" s="239">
        <v>15.06</v>
      </c>
      <c r="X589" s="239">
        <f>Table2[[#This Row],[QUANTIDADE]]*Table2[[#This Row],[PREÇO UNITARIO]]</f>
        <v>15.06</v>
      </c>
      <c r="Y589" s="237"/>
      <c r="Z589" s="237">
        <f t="shared" si="24"/>
        <v>7</v>
      </c>
      <c r="AA589" s="219" t="s">
        <v>42</v>
      </c>
      <c r="AB589" s="238">
        <f t="shared" ca="1" si="22"/>
        <v>46235</v>
      </c>
      <c r="AC589" s="237">
        <f ca="1">_xlfn.DAYS(Table2[[#This Row],[HOJE]],Table2[[#This Row],[DATA PEDIDO HP]])</f>
        <v>15</v>
      </c>
      <c r="AD589" s="237" t="str">
        <f ca="1">IF(Table2[[#This Row],[STATUS2]]="ENTREGUE","ENTREGUE","")</f>
        <v/>
      </c>
      <c r="AE589" s="261" t="str">
        <f ca="1">IF(Table2[[#This Row],[HOLD]]&gt;30,"ATRASADO","NO PRAZO")</f>
        <v>NO PRAZO</v>
      </c>
    </row>
    <row r="590" spans="1:31" ht="15" customHeight="1">
      <c r="A590" s="245" t="s">
        <v>1878</v>
      </c>
      <c r="B590" s="235">
        <v>46223</v>
      </c>
      <c r="C590" s="235">
        <v>46223</v>
      </c>
      <c r="D590" s="236" t="s">
        <v>1879</v>
      </c>
      <c r="E590" s="236" t="s">
        <v>191</v>
      </c>
      <c r="F590" s="236" t="s">
        <v>95</v>
      </c>
      <c r="G590" s="236">
        <v>60001111</v>
      </c>
      <c r="H590" s="236" t="s">
        <v>1880</v>
      </c>
      <c r="I590" s="236" t="s">
        <v>1881</v>
      </c>
      <c r="J590" s="236">
        <v>1</v>
      </c>
      <c r="K590" s="236" t="s">
        <v>37</v>
      </c>
      <c r="L590" s="236" t="s">
        <v>122</v>
      </c>
      <c r="M590" s="236" t="s">
        <v>73</v>
      </c>
      <c r="N590" s="236">
        <v>195899</v>
      </c>
      <c r="O590" s="237"/>
      <c r="P590" s="237"/>
      <c r="Q590" s="237">
        <v>1</v>
      </c>
      <c r="R590" s="237"/>
      <c r="S590" s="238"/>
      <c r="T590" s="238"/>
      <c r="U590" s="238"/>
      <c r="V590" s="237"/>
      <c r="W590" s="239">
        <v>40.83</v>
      </c>
      <c r="X590" s="239">
        <f>Table2[[#This Row],[QUANTIDADE]]*Table2[[#This Row],[PREÇO UNITARIO]]</f>
        <v>40.83</v>
      </c>
      <c r="Y590" s="237"/>
      <c r="Z590" s="237">
        <f t="shared" ref="Z590:Z597" si="25">MONTH(B590)</f>
        <v>7</v>
      </c>
      <c r="AA590" s="219" t="s">
        <v>42</v>
      </c>
      <c r="AB590" s="238">
        <f t="shared" ca="1" si="22"/>
        <v>46235</v>
      </c>
      <c r="AC590" s="237">
        <f ca="1">_xlfn.DAYS(Table2[[#This Row],[HOJE]],Table2[[#This Row],[DATA PEDIDO HP]])</f>
        <v>12</v>
      </c>
      <c r="AD590" s="237" t="str">
        <f ca="1">IF(Table2[[#This Row],[STATUS2]]="ENTREGUE","ENTREGUE","")</f>
        <v/>
      </c>
      <c r="AE590" s="261" t="str">
        <f ca="1">IF(Table2[[#This Row],[HOLD]]&gt;30,"ATRASADO","NO PRAZO")</f>
        <v>NO PRAZO</v>
      </c>
    </row>
    <row r="591" spans="1:31" ht="15" customHeight="1">
      <c r="A591" s="245" t="s">
        <v>1882</v>
      </c>
      <c r="B591" s="235">
        <v>46223</v>
      </c>
      <c r="C591" s="235">
        <v>46223</v>
      </c>
      <c r="D591" s="236" t="s">
        <v>1883</v>
      </c>
      <c r="E591" s="236" t="s">
        <v>33</v>
      </c>
      <c r="F591" s="236" t="s">
        <v>95</v>
      </c>
      <c r="G591" s="236">
        <v>60002095</v>
      </c>
      <c r="H591" s="236" t="s">
        <v>1174</v>
      </c>
      <c r="I591" s="236" t="s">
        <v>1175</v>
      </c>
      <c r="J591" s="236">
        <v>1</v>
      </c>
      <c r="K591" s="236" t="s">
        <v>37</v>
      </c>
      <c r="L591" s="236" t="s">
        <v>122</v>
      </c>
      <c r="M591" s="236" t="s">
        <v>73</v>
      </c>
      <c r="N591" s="236">
        <v>195702</v>
      </c>
      <c r="O591" s="237"/>
      <c r="P591" s="237"/>
      <c r="Q591" s="237">
        <v>1</v>
      </c>
      <c r="R591" s="245"/>
      <c r="S591" s="238"/>
      <c r="T591" s="238"/>
      <c r="U591" s="238"/>
      <c r="V591" s="237"/>
      <c r="W591" s="239">
        <v>107.78</v>
      </c>
      <c r="X591" s="239">
        <f>Table2[[#This Row],[QUANTIDADE]]*Table2[[#This Row],[PREÇO UNITARIO]]</f>
        <v>107.78</v>
      </c>
      <c r="Y591" s="237"/>
      <c r="Z591" s="237">
        <f t="shared" si="25"/>
        <v>7</v>
      </c>
      <c r="AA591" s="219" t="s">
        <v>42</v>
      </c>
      <c r="AB591" s="238">
        <f t="shared" ca="1" si="22"/>
        <v>46235</v>
      </c>
      <c r="AC591" s="237">
        <f ca="1">_xlfn.DAYS(Table2[[#This Row],[HOJE]],Table2[[#This Row],[DATA PEDIDO HP]])</f>
        <v>12</v>
      </c>
      <c r="AD591" s="237" t="str">
        <f ca="1">IF(Table2[[#This Row],[STATUS2]]="ENTREGUE","ENTREGUE","")</f>
        <v/>
      </c>
      <c r="AE591" s="261" t="str">
        <f ca="1">IF(Table2[[#This Row],[HOLD]]&gt;30,"ATRASADO","NO PRAZO")</f>
        <v>NO PRAZO</v>
      </c>
    </row>
    <row r="592" spans="1:31" ht="15" customHeight="1">
      <c r="A592" s="245" t="s">
        <v>1884</v>
      </c>
      <c r="B592" s="235">
        <v>46225</v>
      </c>
      <c r="C592" s="235">
        <v>46225</v>
      </c>
      <c r="D592" s="236" t="s">
        <v>1885</v>
      </c>
      <c r="E592" s="236" t="s">
        <v>191</v>
      </c>
      <c r="F592" s="236" t="s">
        <v>95</v>
      </c>
      <c r="G592" s="236">
        <v>60001111</v>
      </c>
      <c r="H592" s="236" t="s">
        <v>1886</v>
      </c>
      <c r="I592" s="236" t="s">
        <v>1887</v>
      </c>
      <c r="J592" s="236">
        <v>1</v>
      </c>
      <c r="K592" s="236" t="s">
        <v>37</v>
      </c>
      <c r="L592" s="236" t="s">
        <v>72</v>
      </c>
      <c r="M592" s="236" t="s">
        <v>73</v>
      </c>
      <c r="N592" s="236">
        <v>195768</v>
      </c>
      <c r="O592" s="237"/>
      <c r="P592" s="237"/>
      <c r="Q592" s="237">
        <v>1</v>
      </c>
      <c r="R592" s="237"/>
      <c r="S592" s="238"/>
      <c r="T592" s="238"/>
      <c r="U592" s="238"/>
      <c r="V592" s="237"/>
      <c r="W592" s="239">
        <v>195.66</v>
      </c>
      <c r="X592" s="239">
        <f>Table2[[#This Row],[QUANTIDADE]]*Table2[[#This Row],[PREÇO UNITARIO]]</f>
        <v>195.66</v>
      </c>
      <c r="Y592" s="237"/>
      <c r="Z592" s="237">
        <f t="shared" si="25"/>
        <v>7</v>
      </c>
      <c r="AA592" s="219" t="s">
        <v>42</v>
      </c>
      <c r="AB592" s="238">
        <f t="shared" ca="1" si="22"/>
        <v>46235</v>
      </c>
      <c r="AC592" s="237">
        <f ca="1">_xlfn.DAYS(Table2[[#This Row],[HOJE]],Table2[[#This Row],[DATA PEDIDO HP]])</f>
        <v>10</v>
      </c>
      <c r="AD592" s="237" t="str">
        <f ca="1">IF(Table2[[#This Row],[STATUS2]]="ENTREGUE","ENTREGUE","")</f>
        <v/>
      </c>
      <c r="AE592" s="261" t="str">
        <f ca="1">IF(Table2[[#This Row],[HOLD]]&gt;30,"ATRASADO","NO PRAZO")</f>
        <v>NO PRAZO</v>
      </c>
    </row>
    <row r="593" spans="1:31" ht="15" customHeight="1">
      <c r="A593" s="245" t="s">
        <v>1888</v>
      </c>
      <c r="B593" s="235">
        <v>46225</v>
      </c>
      <c r="C593" s="235">
        <v>46225</v>
      </c>
      <c r="D593" s="236" t="s">
        <v>1889</v>
      </c>
      <c r="E593" s="236" t="s">
        <v>88</v>
      </c>
      <c r="F593" s="236" t="s">
        <v>34</v>
      </c>
      <c r="G593" s="236">
        <v>50110057</v>
      </c>
      <c r="H593" s="236" t="s">
        <v>629</v>
      </c>
      <c r="I593" s="236" t="s">
        <v>1086</v>
      </c>
      <c r="J593" s="236">
        <v>1</v>
      </c>
      <c r="K593" s="236" t="s">
        <v>37</v>
      </c>
      <c r="L593" s="236" t="s">
        <v>72</v>
      </c>
      <c r="M593" s="236" t="s">
        <v>73</v>
      </c>
      <c r="N593" s="236">
        <v>196232</v>
      </c>
      <c r="O593" s="237"/>
      <c r="P593" s="237"/>
      <c r="Q593" s="237">
        <v>1</v>
      </c>
      <c r="R593" s="237"/>
      <c r="S593" s="238"/>
      <c r="T593" s="238"/>
      <c r="U593" s="238"/>
      <c r="V593" s="237"/>
      <c r="W593" s="239">
        <v>19.600000000000001</v>
      </c>
      <c r="X593" s="239">
        <f>Table2[[#This Row],[QUANTIDADE]]*Table2[[#This Row],[PREÇO UNITARIO]]</f>
        <v>19.600000000000001</v>
      </c>
      <c r="Y593" s="237"/>
      <c r="Z593" s="237">
        <f t="shared" si="25"/>
        <v>7</v>
      </c>
      <c r="AA593" s="219" t="s">
        <v>42</v>
      </c>
      <c r="AB593" s="238">
        <f t="shared" ca="1" si="22"/>
        <v>46235</v>
      </c>
      <c r="AC593" s="237">
        <f ca="1">_xlfn.DAYS(Table2[[#This Row],[HOJE]],Table2[[#This Row],[DATA PEDIDO HP]])</f>
        <v>10</v>
      </c>
      <c r="AD593" s="237" t="str">
        <f ca="1">IF(Table2[[#This Row],[STATUS2]]="ENTREGUE","ENTREGUE","")</f>
        <v/>
      </c>
      <c r="AE593" s="261" t="str">
        <f ca="1">IF(Table2[[#This Row],[HOLD]]&gt;30,"ATRASADO","NO PRAZO")</f>
        <v>NO PRAZO</v>
      </c>
    </row>
    <row r="594" spans="1:31" ht="15" customHeight="1">
      <c r="A594" s="245" t="s">
        <v>1890</v>
      </c>
      <c r="B594" s="235">
        <v>46225</v>
      </c>
      <c r="C594" s="235">
        <v>46225</v>
      </c>
      <c r="D594" s="236" t="s">
        <v>1891</v>
      </c>
      <c r="E594" s="236" t="s">
        <v>134</v>
      </c>
      <c r="F594" s="236" t="s">
        <v>145</v>
      </c>
      <c r="G594" s="236">
        <v>48000432</v>
      </c>
      <c r="H594" s="236" t="s">
        <v>1650</v>
      </c>
      <c r="I594" s="236" t="s">
        <v>1892</v>
      </c>
      <c r="J594" s="236">
        <v>1</v>
      </c>
      <c r="K594" s="236" t="s">
        <v>37</v>
      </c>
      <c r="L594" s="236" t="s">
        <v>72</v>
      </c>
      <c r="M594" s="236" t="s">
        <v>81</v>
      </c>
      <c r="N594" s="236">
        <v>194447</v>
      </c>
      <c r="O594" s="237"/>
      <c r="P594" s="237"/>
      <c r="Q594" s="237">
        <v>1</v>
      </c>
      <c r="R594" s="237" t="s">
        <v>1652</v>
      </c>
      <c r="S594" s="238"/>
      <c r="T594" s="238"/>
      <c r="U594" s="238"/>
      <c r="V594" s="237"/>
      <c r="W594" s="239">
        <v>159.5</v>
      </c>
      <c r="X594" s="239">
        <f>Table2[[#This Row],[QUANTIDADE]]*Table2[[#This Row],[PREÇO UNITARIO]]</f>
        <v>159.5</v>
      </c>
      <c r="Y594" s="237"/>
      <c r="Z594" s="237">
        <f t="shared" si="25"/>
        <v>7</v>
      </c>
      <c r="AA594" s="237" t="s">
        <v>74</v>
      </c>
      <c r="AB594" s="238">
        <f t="shared" ca="1" si="22"/>
        <v>46235</v>
      </c>
      <c r="AC594" s="237">
        <f ca="1">_xlfn.DAYS(Table2[[#This Row],[HOJE]],Table2[[#This Row],[DATA PEDIDO HP]])</f>
        <v>10</v>
      </c>
      <c r="AD594" s="237" t="str">
        <f ca="1">IF(Table2[[#This Row],[STATUS2]]="ENTREGUE","ENTREGUE","")</f>
        <v/>
      </c>
      <c r="AE594" s="261" t="str">
        <f ca="1">IF(Table2[[#This Row],[HOLD]]&gt;30,"ATRASADO","NO PRAZO")</f>
        <v>NO PRAZO</v>
      </c>
    </row>
    <row r="595" spans="1:31" ht="15" customHeight="1">
      <c r="A595" s="245" t="s">
        <v>1893</v>
      </c>
      <c r="B595" s="235">
        <v>46225</v>
      </c>
      <c r="C595" s="235">
        <v>46225</v>
      </c>
      <c r="D595" s="236" t="s">
        <v>1894</v>
      </c>
      <c r="E595" s="236" t="s">
        <v>154</v>
      </c>
      <c r="F595" s="236" t="s">
        <v>102</v>
      </c>
      <c r="G595" s="236">
        <v>51000174</v>
      </c>
      <c r="H595" s="236" t="s">
        <v>1895</v>
      </c>
      <c r="I595" s="236" t="s">
        <v>1896</v>
      </c>
      <c r="J595" s="236">
        <v>1</v>
      </c>
      <c r="K595" s="236" t="s">
        <v>37</v>
      </c>
      <c r="L595" s="236" t="s">
        <v>72</v>
      </c>
      <c r="M595" s="236" t="s">
        <v>73</v>
      </c>
      <c r="N595" s="236">
        <v>195767</v>
      </c>
      <c r="O595" s="237"/>
      <c r="P595" s="237"/>
      <c r="Q595" s="237">
        <v>1</v>
      </c>
      <c r="R595" s="237"/>
      <c r="S595" s="238"/>
      <c r="T595" s="238"/>
      <c r="U595" s="238"/>
      <c r="V595" s="237"/>
      <c r="W595" s="239">
        <v>48.76</v>
      </c>
      <c r="X595" s="239">
        <f>Table2[[#This Row],[QUANTIDADE]]*Table2[[#This Row],[PREÇO UNITARIO]]</f>
        <v>48.76</v>
      </c>
      <c r="Y595" s="237"/>
      <c r="Z595" s="237">
        <f t="shared" si="25"/>
        <v>7</v>
      </c>
      <c r="AA595" s="237" t="s">
        <v>74</v>
      </c>
      <c r="AB595" s="238">
        <f t="shared" ca="1" si="22"/>
        <v>46235</v>
      </c>
      <c r="AC595" s="237">
        <f ca="1">_xlfn.DAYS(Table2[[#This Row],[HOJE]],Table2[[#This Row],[DATA PEDIDO HP]])</f>
        <v>10</v>
      </c>
      <c r="AD595" s="237" t="str">
        <f ca="1">IF(Table2[[#This Row],[STATUS2]]="ENTREGUE","ENTREGUE","")</f>
        <v/>
      </c>
      <c r="AE595" s="261" t="str">
        <f ca="1">IF(Table2[[#This Row],[HOLD]]&gt;30,"ATRASADO","NO PRAZO")</f>
        <v>NO PRAZO</v>
      </c>
    </row>
    <row r="596" spans="1:31" ht="15" customHeight="1">
      <c r="A596" s="245" t="s">
        <v>1893</v>
      </c>
      <c r="B596" s="235">
        <v>46225</v>
      </c>
      <c r="C596" s="235">
        <v>46225</v>
      </c>
      <c r="D596" s="236" t="s">
        <v>1894</v>
      </c>
      <c r="E596" s="236" t="s">
        <v>154</v>
      </c>
      <c r="F596" s="236" t="s">
        <v>102</v>
      </c>
      <c r="G596" s="236">
        <v>51000174</v>
      </c>
      <c r="H596" s="236" t="s">
        <v>426</v>
      </c>
      <c r="I596" s="236" t="s">
        <v>427</v>
      </c>
      <c r="J596" s="236">
        <v>1</v>
      </c>
      <c r="K596" s="236" t="s">
        <v>37</v>
      </c>
      <c r="L596" s="236" t="s">
        <v>72</v>
      </c>
      <c r="M596" s="236" t="s">
        <v>73</v>
      </c>
      <c r="N596" s="236">
        <v>195767</v>
      </c>
      <c r="O596" s="237"/>
      <c r="P596" s="237"/>
      <c r="Q596" s="237">
        <v>1</v>
      </c>
      <c r="R596" s="237"/>
      <c r="S596" s="238"/>
      <c r="T596" s="238"/>
      <c r="U596" s="238"/>
      <c r="V596" s="237"/>
      <c r="W596" s="239">
        <v>16.329999999999998</v>
      </c>
      <c r="X596" s="239">
        <f>Table2[[#This Row],[QUANTIDADE]]*Table2[[#This Row],[PREÇO UNITARIO]]</f>
        <v>16.329999999999998</v>
      </c>
      <c r="Y596" s="237"/>
      <c r="Z596" s="237">
        <f t="shared" si="25"/>
        <v>7</v>
      </c>
      <c r="AA596" s="237" t="s">
        <v>74</v>
      </c>
      <c r="AB596" s="238">
        <f t="shared" ca="1" si="22"/>
        <v>46235</v>
      </c>
      <c r="AC596" s="237">
        <f ca="1">_xlfn.DAYS(Table2[[#This Row],[HOJE]],Table2[[#This Row],[DATA PEDIDO HP]])</f>
        <v>10</v>
      </c>
      <c r="AD596" s="237" t="str">
        <f ca="1">IF(Table2[[#This Row],[STATUS2]]="ENTREGUE","ENTREGUE","")</f>
        <v/>
      </c>
      <c r="AE596" s="261" t="str">
        <f ca="1">IF(Table2[[#This Row],[HOLD]]&gt;30,"ATRASADO","NO PRAZO")</f>
        <v>NO PRAZO</v>
      </c>
    </row>
    <row r="597" spans="1:31" ht="15" customHeight="1">
      <c r="A597" s="245" t="s">
        <v>1897</v>
      </c>
      <c r="B597" s="235">
        <v>46225</v>
      </c>
      <c r="C597" s="235">
        <v>46225</v>
      </c>
      <c r="D597" s="236" t="s">
        <v>1898</v>
      </c>
      <c r="E597" s="236" t="s">
        <v>101</v>
      </c>
      <c r="F597" s="236" t="s">
        <v>102</v>
      </c>
      <c r="G597" s="236">
        <v>51000136</v>
      </c>
      <c r="H597" s="236" t="s">
        <v>1899</v>
      </c>
      <c r="I597" s="236" t="s">
        <v>1900</v>
      </c>
      <c r="J597" s="236">
        <v>1</v>
      </c>
      <c r="K597" s="236" t="s">
        <v>37</v>
      </c>
      <c r="L597" s="236" t="s">
        <v>122</v>
      </c>
      <c r="M597" s="236" t="s">
        <v>73</v>
      </c>
      <c r="N597" s="236">
        <v>196328</v>
      </c>
      <c r="O597" s="237"/>
      <c r="P597" s="237"/>
      <c r="Q597" s="237">
        <v>1</v>
      </c>
      <c r="R597" s="237"/>
      <c r="S597" s="238"/>
      <c r="T597" s="238"/>
      <c r="U597" s="238"/>
      <c r="V597" s="237"/>
      <c r="W597" s="239">
        <v>24.06</v>
      </c>
      <c r="X597" s="239">
        <f>Table2[[#This Row],[QUANTIDADE]]*Table2[[#This Row],[PREÇO UNITARIO]]</f>
        <v>24.06</v>
      </c>
      <c r="Y597" s="237"/>
      <c r="Z597" s="237">
        <f t="shared" si="25"/>
        <v>7</v>
      </c>
      <c r="AA597" s="219" t="s">
        <v>42</v>
      </c>
      <c r="AB597" s="238">
        <f t="shared" ca="1" si="22"/>
        <v>46235</v>
      </c>
      <c r="AC597" s="237">
        <f ca="1">_xlfn.DAYS(Table2[[#This Row],[HOJE]],Table2[[#This Row],[DATA PEDIDO HP]])</f>
        <v>10</v>
      </c>
      <c r="AD597" s="237" t="str">
        <f ca="1">IF(Table2[[#This Row],[STATUS2]]="ENTREGUE","ENTREGUE","")</f>
        <v/>
      </c>
      <c r="AE597" s="261" t="str">
        <f ca="1">IF(Table2[[#This Row],[HOLD]]&gt;30,"ATRASADO","NO PRAZO")</f>
        <v>NO PRAZO</v>
      </c>
    </row>
    <row r="598" spans="1:31" ht="15" customHeight="1">
      <c r="A598" s="245" t="s">
        <v>1901</v>
      </c>
      <c r="B598" s="235">
        <v>46226</v>
      </c>
      <c r="C598" s="235">
        <v>46225</v>
      </c>
      <c r="D598" s="236" t="s">
        <v>1902</v>
      </c>
      <c r="E598" s="236" t="s">
        <v>434</v>
      </c>
      <c r="F598" s="236" t="s">
        <v>1903</v>
      </c>
      <c r="G598" s="236">
        <v>50300141</v>
      </c>
      <c r="H598" s="236" t="s">
        <v>1904</v>
      </c>
      <c r="I598" s="236" t="s">
        <v>1905</v>
      </c>
      <c r="J598" s="236">
        <v>1</v>
      </c>
      <c r="K598" s="236" t="s">
        <v>37</v>
      </c>
      <c r="L598" s="236" t="s">
        <v>122</v>
      </c>
      <c r="M598" s="236" t="s">
        <v>73</v>
      </c>
      <c r="N598" s="236">
        <v>196526</v>
      </c>
      <c r="O598" s="237"/>
      <c r="P598" s="237"/>
      <c r="Q598" s="237">
        <v>1</v>
      </c>
      <c r="R598" s="237"/>
      <c r="S598" s="238"/>
      <c r="T598" s="238"/>
      <c r="U598" s="238"/>
      <c r="V598" s="237"/>
      <c r="W598" s="239">
        <v>425.36</v>
      </c>
      <c r="X598" s="239">
        <f>Table2[[#This Row],[QUANTIDADE]]*Table2[[#This Row],[PREÇO UNITARIO]]</f>
        <v>425.36</v>
      </c>
      <c r="Y598" s="237"/>
      <c r="Z598" s="237">
        <f t="shared" ref="Z598:Z603" si="26">MONTH(B598)</f>
        <v>7</v>
      </c>
      <c r="AA598" s="237" t="s">
        <v>74</v>
      </c>
      <c r="AB598" s="238">
        <f t="shared" ca="1" si="22"/>
        <v>46235</v>
      </c>
      <c r="AC598" s="237">
        <f ca="1">_xlfn.DAYS(Table2[[#This Row],[HOJE]],Table2[[#This Row],[DATA PEDIDO HP]])</f>
        <v>9</v>
      </c>
      <c r="AD598" s="237" t="str">
        <f ca="1">IF(Table2[[#This Row],[STATUS2]]="ENTREGUE","ENTREGUE","")</f>
        <v/>
      </c>
      <c r="AE598" s="261" t="str">
        <f ca="1">IF(Table2[[#This Row],[HOLD]]&gt;30,"ATRASADO","NO PRAZO")</f>
        <v>NO PRAZO</v>
      </c>
    </row>
    <row r="599" spans="1:31" ht="15" customHeight="1">
      <c r="A599" s="245" t="s">
        <v>1901</v>
      </c>
      <c r="B599" s="235">
        <v>46226</v>
      </c>
      <c r="C599" s="235">
        <v>46225</v>
      </c>
      <c r="D599" s="236" t="s">
        <v>1902</v>
      </c>
      <c r="E599" s="236" t="s">
        <v>434</v>
      </c>
      <c r="F599" s="236" t="s">
        <v>1903</v>
      </c>
      <c r="G599" s="236">
        <v>50300141</v>
      </c>
      <c r="H599" s="236" t="s">
        <v>82</v>
      </c>
      <c r="I599" s="236" t="s">
        <v>974</v>
      </c>
      <c r="J599" s="236">
        <v>1</v>
      </c>
      <c r="K599" s="236" t="s">
        <v>37</v>
      </c>
      <c r="L599" s="236" t="s">
        <v>122</v>
      </c>
      <c r="M599" s="236" t="s">
        <v>73</v>
      </c>
      <c r="N599" s="236">
        <v>196526</v>
      </c>
      <c r="O599" s="237"/>
      <c r="P599" s="237"/>
      <c r="Q599" s="237">
        <v>1</v>
      </c>
      <c r="R599" s="237"/>
      <c r="S599" s="238"/>
      <c r="T599" s="238"/>
      <c r="U599" s="238"/>
      <c r="V599" s="237"/>
      <c r="W599" s="239">
        <v>19.600000000000001</v>
      </c>
      <c r="X599" s="239">
        <f>Table2[[#This Row],[QUANTIDADE]]*Table2[[#This Row],[PREÇO UNITARIO]]</f>
        <v>19.600000000000001</v>
      </c>
      <c r="Y599" s="237"/>
      <c r="Z599" s="237">
        <f t="shared" si="26"/>
        <v>7</v>
      </c>
      <c r="AA599" s="237" t="s">
        <v>74</v>
      </c>
      <c r="AB599" s="238">
        <f t="shared" ca="1" si="22"/>
        <v>46235</v>
      </c>
      <c r="AC599" s="237">
        <f ca="1">_xlfn.DAYS(Table2[[#This Row],[HOJE]],Table2[[#This Row],[DATA PEDIDO HP]])</f>
        <v>9</v>
      </c>
      <c r="AD599" s="237" t="str">
        <f ca="1">IF(Table2[[#This Row],[STATUS2]]="ENTREGUE","ENTREGUE","")</f>
        <v/>
      </c>
      <c r="AE599" s="261" t="str">
        <f ca="1">IF(Table2[[#This Row],[HOLD]]&gt;30,"ATRASADO","NO PRAZO")</f>
        <v>NO PRAZO</v>
      </c>
    </row>
    <row r="600" spans="1:31" ht="15" customHeight="1">
      <c r="A600" s="245" t="s">
        <v>1906</v>
      </c>
      <c r="B600" s="235">
        <v>46226</v>
      </c>
      <c r="C600" s="235">
        <v>46226</v>
      </c>
      <c r="D600" s="236" t="s">
        <v>1907</v>
      </c>
      <c r="E600" s="236" t="s">
        <v>345</v>
      </c>
      <c r="F600" s="236" t="s">
        <v>34</v>
      </c>
      <c r="G600" s="236">
        <v>50110229</v>
      </c>
      <c r="H600" s="236" t="s">
        <v>472</v>
      </c>
      <c r="I600" s="236" t="s">
        <v>1908</v>
      </c>
      <c r="J600" s="236">
        <v>1</v>
      </c>
      <c r="K600" s="236" t="s">
        <v>37</v>
      </c>
      <c r="L600" s="236" t="s">
        <v>72</v>
      </c>
      <c r="M600" s="236" t="s">
        <v>81</v>
      </c>
      <c r="N600" s="236">
        <v>196694</v>
      </c>
      <c r="O600" s="237"/>
      <c r="P600" s="237"/>
      <c r="Q600" s="237">
        <v>1</v>
      </c>
      <c r="R600" s="237"/>
      <c r="S600" s="238"/>
      <c r="T600" s="238"/>
      <c r="U600" s="238"/>
      <c r="V600" s="237"/>
      <c r="W600" s="239">
        <v>6.9</v>
      </c>
      <c r="X600" s="239">
        <f>Table2[[#This Row],[QUANTIDADE]]*Table2[[#This Row],[PREÇO UNITARIO]]</f>
        <v>6.9</v>
      </c>
      <c r="Y600" s="237"/>
      <c r="Z600" s="237">
        <f t="shared" si="26"/>
        <v>7</v>
      </c>
      <c r="AA600" s="219" t="s">
        <v>42</v>
      </c>
      <c r="AB600" s="238">
        <f t="shared" ca="1" si="22"/>
        <v>46235</v>
      </c>
      <c r="AC600" s="237">
        <f ca="1">_xlfn.DAYS(Table2[[#This Row],[HOJE]],Table2[[#This Row],[DATA PEDIDO HP]])</f>
        <v>9</v>
      </c>
      <c r="AD600" s="237" t="str">
        <f ca="1">IF(Table2[[#This Row],[STATUS2]]="ENTREGUE","ENTREGUE","")</f>
        <v/>
      </c>
      <c r="AE600" s="261" t="str">
        <f ca="1">IF(Table2[[#This Row],[HOLD]]&gt;30,"ATRASADO","NO PRAZO")</f>
        <v>NO PRAZO</v>
      </c>
    </row>
    <row r="601" spans="1:31" ht="15" customHeight="1">
      <c r="A601" s="245" t="s">
        <v>1909</v>
      </c>
      <c r="B601" s="235">
        <v>46227</v>
      </c>
      <c r="C601" s="235">
        <v>46227</v>
      </c>
      <c r="D601" s="236" t="s">
        <v>1910</v>
      </c>
      <c r="E601" s="236" t="s">
        <v>101</v>
      </c>
      <c r="F601" s="236" t="s">
        <v>102</v>
      </c>
      <c r="G601" s="236">
        <v>51000323</v>
      </c>
      <c r="H601" s="236" t="s">
        <v>335</v>
      </c>
      <c r="I601" s="236" t="s">
        <v>336</v>
      </c>
      <c r="J601" s="236">
        <v>1</v>
      </c>
      <c r="K601" s="236" t="s">
        <v>37</v>
      </c>
      <c r="L601" s="236" t="s">
        <v>122</v>
      </c>
      <c r="M601" s="236" t="s">
        <v>81</v>
      </c>
      <c r="N601" s="236">
        <v>196890</v>
      </c>
      <c r="O601" s="237"/>
      <c r="P601" s="237"/>
      <c r="Q601" s="237">
        <v>1</v>
      </c>
      <c r="R601" s="237"/>
      <c r="S601" s="238"/>
      <c r="T601" s="238"/>
      <c r="U601" s="238"/>
      <c r="V601" s="237"/>
      <c r="W601" s="239">
        <v>17.28</v>
      </c>
      <c r="X601" s="239">
        <f>Table2[[#This Row],[QUANTIDADE]]*Table2[[#This Row],[PREÇO UNITARIO]]</f>
        <v>17.28</v>
      </c>
      <c r="Y601" s="237"/>
      <c r="Z601" s="237">
        <f t="shared" si="26"/>
        <v>7</v>
      </c>
      <c r="AA601" s="219" t="s">
        <v>42</v>
      </c>
      <c r="AB601" s="238">
        <f t="shared" ca="1" si="22"/>
        <v>46235</v>
      </c>
      <c r="AC601" s="237">
        <f ca="1">_xlfn.DAYS(Table2[[#This Row],[HOJE]],Table2[[#This Row],[DATA PEDIDO HP]])</f>
        <v>8</v>
      </c>
      <c r="AD601" s="237" t="str">
        <f ca="1">IF(Table2[[#This Row],[STATUS2]]="ENTREGUE","ENTREGUE","")</f>
        <v/>
      </c>
      <c r="AE601" s="261" t="str">
        <f ca="1">IF(Table2[[#This Row],[HOLD]]&gt;30,"ATRASADO","NO PRAZO")</f>
        <v>NO PRAZO</v>
      </c>
    </row>
    <row r="602" spans="1:31" ht="15" customHeight="1">
      <c r="A602" s="245" t="s">
        <v>1911</v>
      </c>
      <c r="B602" s="235">
        <v>46228</v>
      </c>
      <c r="C602" s="235">
        <v>46229</v>
      </c>
      <c r="D602" s="236" t="s">
        <v>1912</v>
      </c>
      <c r="E602" s="236" t="s">
        <v>570</v>
      </c>
      <c r="F602" s="236" t="s">
        <v>334</v>
      </c>
      <c r="G602" s="236">
        <v>50510045</v>
      </c>
      <c r="H602" s="236" t="s">
        <v>927</v>
      </c>
      <c r="I602" s="236" t="s">
        <v>1913</v>
      </c>
      <c r="J602" s="236">
        <v>1</v>
      </c>
      <c r="K602" s="236" t="s">
        <v>269</v>
      </c>
      <c r="L602" s="236" t="s">
        <v>441</v>
      </c>
      <c r="M602" s="236" t="s">
        <v>39</v>
      </c>
      <c r="N602" s="236">
        <v>195771</v>
      </c>
      <c r="O602" s="237"/>
      <c r="P602" s="237"/>
      <c r="Q602" s="237">
        <v>0</v>
      </c>
      <c r="R602" s="237"/>
      <c r="S602" s="238"/>
      <c r="T602" s="238"/>
      <c r="U602" s="238"/>
      <c r="V602" s="237"/>
      <c r="W602" s="239">
        <v>1244.42</v>
      </c>
      <c r="X602" s="239">
        <f>Table2[[#This Row],[QUANTIDADE]]*Table2[[#This Row],[PREÇO UNITARIO]]</f>
        <v>1244.42</v>
      </c>
      <c r="Y602" s="237"/>
      <c r="Z602" s="237">
        <f t="shared" si="26"/>
        <v>7</v>
      </c>
      <c r="AA602" s="219" t="s">
        <v>42</v>
      </c>
      <c r="AB602" s="238">
        <f t="shared" ca="1" si="22"/>
        <v>46235</v>
      </c>
      <c r="AC602" s="237">
        <f ca="1">_xlfn.DAYS(Table2[[#This Row],[HOJE]],Table2[[#This Row],[DATA PEDIDO HP]])</f>
        <v>7</v>
      </c>
      <c r="AD602" s="237" t="str">
        <f ca="1">IF(Table2[[#This Row],[STATUS2]]="ENTREGUE","ENTREGUE","")</f>
        <v/>
      </c>
      <c r="AE602" s="261" t="str">
        <f ca="1">IF(Table2[[#This Row],[HOLD]]&gt;30,"ATRASADO","NO PRAZO")</f>
        <v>NO PRAZO</v>
      </c>
    </row>
    <row r="603" spans="1:31" ht="15" customHeight="1">
      <c r="A603" s="245" t="s">
        <v>1914</v>
      </c>
      <c r="B603" s="235">
        <v>46232</v>
      </c>
      <c r="C603" s="235">
        <v>46230</v>
      </c>
      <c r="D603" s="236" t="s">
        <v>1915</v>
      </c>
      <c r="E603" s="236" t="s">
        <v>154</v>
      </c>
      <c r="F603" s="236" t="s">
        <v>102</v>
      </c>
      <c r="G603" s="236">
        <v>51000174</v>
      </c>
      <c r="H603" s="236" t="s">
        <v>1916</v>
      </c>
      <c r="I603" s="236" t="s">
        <v>1917</v>
      </c>
      <c r="J603" s="236">
        <v>1</v>
      </c>
      <c r="K603" s="236" t="s">
        <v>37</v>
      </c>
      <c r="L603" s="236" t="s">
        <v>38</v>
      </c>
      <c r="M603" s="236" t="s">
        <v>39</v>
      </c>
      <c r="N603" s="236">
        <v>195305</v>
      </c>
      <c r="O603" s="237"/>
      <c r="P603" s="237"/>
      <c r="Q603" s="237">
        <v>0</v>
      </c>
      <c r="R603" s="237"/>
      <c r="S603" s="238"/>
      <c r="T603" s="238"/>
      <c r="U603" s="238"/>
      <c r="V603" s="237"/>
      <c r="W603" s="239">
        <v>1820.9</v>
      </c>
      <c r="X603" s="239">
        <f>Table2[[#This Row],[QUANTIDADE]]*Table2[[#This Row],[PREÇO UNITARIO]]</f>
        <v>1820.9</v>
      </c>
      <c r="Y603" s="237"/>
      <c r="Z603" s="237">
        <f t="shared" si="26"/>
        <v>7</v>
      </c>
      <c r="AA603" s="237" t="s">
        <v>74</v>
      </c>
      <c r="AB603" s="238">
        <f t="shared" ca="1" si="22"/>
        <v>46235</v>
      </c>
      <c r="AC603" s="237">
        <f ca="1">_xlfn.DAYS(Table2[[#This Row],[HOJE]],Table2[[#This Row],[DATA PEDIDO HP]])</f>
        <v>3</v>
      </c>
      <c r="AD603" s="237" t="str">
        <f ca="1">IF(Table2[[#This Row],[STATUS2]]="ENTREGUE","ENTREGUE","")</f>
        <v/>
      </c>
      <c r="AE603" s="261" t="str">
        <f ca="1">IF(Table2[[#This Row],[HOLD]]&gt;30,"ATRASADO","NO PRAZO")</f>
        <v>NO PRAZO</v>
      </c>
    </row>
    <row r="604" spans="1:31" ht="15" customHeight="1">
      <c r="A604" s="245" t="s">
        <v>1918</v>
      </c>
      <c r="B604" s="235">
        <v>46231</v>
      </c>
      <c r="C604" s="235">
        <v>46230</v>
      </c>
      <c r="D604" s="236" t="s">
        <v>1919</v>
      </c>
      <c r="E604" s="236" t="s">
        <v>327</v>
      </c>
      <c r="F604" s="236" t="s">
        <v>328</v>
      </c>
      <c r="G604" s="236">
        <v>50000260</v>
      </c>
      <c r="H604" s="236" t="s">
        <v>1920</v>
      </c>
      <c r="I604" s="236" t="s">
        <v>1921</v>
      </c>
      <c r="J604" s="236">
        <v>1</v>
      </c>
      <c r="K604" s="236" t="s">
        <v>37</v>
      </c>
      <c r="L604" s="236" t="s">
        <v>38</v>
      </c>
      <c r="M604" s="236" t="s">
        <v>39</v>
      </c>
      <c r="N604" s="236">
        <v>196295</v>
      </c>
      <c r="O604" s="237"/>
      <c r="P604" s="237"/>
      <c r="Q604" s="237">
        <v>0</v>
      </c>
      <c r="R604" s="237" t="s">
        <v>1922</v>
      </c>
      <c r="S604" s="238"/>
      <c r="T604" s="238"/>
      <c r="U604" s="238"/>
      <c r="V604" s="237"/>
      <c r="W604" s="239">
        <v>639.37</v>
      </c>
      <c r="X604" s="239">
        <f>Table2[[#This Row],[QUANTIDADE]]*Table2[[#This Row],[PREÇO UNITARIO]]</f>
        <v>639.37</v>
      </c>
      <c r="Y604" s="237"/>
      <c r="Z604" s="237">
        <f t="shared" ref="Z604:Z620" si="27">MONTH(B604)</f>
        <v>7</v>
      </c>
      <c r="AA604" s="219" t="s">
        <v>42</v>
      </c>
      <c r="AB604" s="238">
        <f t="shared" ca="1" si="22"/>
        <v>46235</v>
      </c>
      <c r="AC604" s="237">
        <f ca="1">_xlfn.DAYS(Table2[[#This Row],[HOJE]],Table2[[#This Row],[DATA PEDIDO HP]])</f>
        <v>4</v>
      </c>
      <c r="AD604" s="237" t="str">
        <f ca="1">IF(Table2[[#This Row],[STATUS2]]="ENTREGUE","ENTREGUE","")</f>
        <v/>
      </c>
      <c r="AE604" s="261" t="str">
        <f ca="1">IF(Table2[[#This Row],[HOLD]]&gt;30,"ATRASADO","NO PRAZO")</f>
        <v>NO PRAZO</v>
      </c>
    </row>
    <row r="605" spans="1:31" ht="15" customHeight="1">
      <c r="A605" s="245" t="s">
        <v>1918</v>
      </c>
      <c r="B605" s="235">
        <v>46231</v>
      </c>
      <c r="C605" s="235">
        <v>46230</v>
      </c>
      <c r="D605" s="236" t="s">
        <v>1919</v>
      </c>
      <c r="E605" s="236" t="s">
        <v>327</v>
      </c>
      <c r="F605" s="236" t="s">
        <v>328</v>
      </c>
      <c r="G605" s="236">
        <v>50000260</v>
      </c>
      <c r="H605" s="236" t="s">
        <v>329</v>
      </c>
      <c r="I605" s="236" t="s">
        <v>1923</v>
      </c>
      <c r="J605" s="236">
        <v>1</v>
      </c>
      <c r="K605" s="236" t="s">
        <v>37</v>
      </c>
      <c r="L605" s="236" t="s">
        <v>38</v>
      </c>
      <c r="M605" s="236" t="s">
        <v>73</v>
      </c>
      <c r="N605" s="236">
        <v>196295</v>
      </c>
      <c r="O605" s="237"/>
      <c r="P605" s="237"/>
      <c r="Q605" s="237">
        <v>0</v>
      </c>
      <c r="R605" s="237"/>
      <c r="S605" s="238"/>
      <c r="T605" s="238"/>
      <c r="U605" s="238"/>
      <c r="V605" s="237"/>
      <c r="W605" s="239">
        <v>49.81</v>
      </c>
      <c r="X605" s="239">
        <f>Table2[[#This Row],[QUANTIDADE]]*Table2[[#This Row],[PREÇO UNITARIO]]</f>
        <v>49.81</v>
      </c>
      <c r="Y605" s="237"/>
      <c r="Z605" s="237">
        <f t="shared" si="27"/>
        <v>7</v>
      </c>
      <c r="AA605" s="219" t="s">
        <v>42</v>
      </c>
      <c r="AB605" s="238">
        <f t="shared" ca="1" si="22"/>
        <v>46235</v>
      </c>
      <c r="AC605" s="237">
        <f ca="1">_xlfn.DAYS(Table2[[#This Row],[HOJE]],Table2[[#This Row],[DATA PEDIDO HP]])</f>
        <v>4</v>
      </c>
      <c r="AD605" s="237" t="str">
        <f ca="1">IF(Table2[[#This Row],[STATUS2]]="ENTREGUE","ENTREGUE","")</f>
        <v/>
      </c>
      <c r="AE605" s="261" t="str">
        <f ca="1">IF(Table2[[#This Row],[HOLD]]&gt;30,"ATRASADO","NO PRAZO")</f>
        <v>NO PRAZO</v>
      </c>
    </row>
    <row r="606" spans="1:31" ht="15" customHeight="1">
      <c r="A606" s="245" t="s">
        <v>1918</v>
      </c>
      <c r="B606" s="235">
        <v>46231</v>
      </c>
      <c r="C606" s="235">
        <v>46230</v>
      </c>
      <c r="D606" s="236" t="s">
        <v>1919</v>
      </c>
      <c r="E606" s="236" t="s">
        <v>327</v>
      </c>
      <c r="F606" s="236" t="s">
        <v>328</v>
      </c>
      <c r="G606" s="236">
        <v>50000260</v>
      </c>
      <c r="H606" s="236" t="s">
        <v>79</v>
      </c>
      <c r="I606" s="236" t="s">
        <v>970</v>
      </c>
      <c r="J606" s="236">
        <v>1</v>
      </c>
      <c r="K606" s="236" t="s">
        <v>37</v>
      </c>
      <c r="L606" s="236" t="s">
        <v>38</v>
      </c>
      <c r="M606" s="236" t="s">
        <v>73</v>
      </c>
      <c r="N606" s="236">
        <v>196295</v>
      </c>
      <c r="O606" s="237"/>
      <c r="P606" s="237"/>
      <c r="Q606" s="237">
        <v>0</v>
      </c>
      <c r="R606" s="237"/>
      <c r="S606" s="238"/>
      <c r="T606" s="238"/>
      <c r="U606" s="238"/>
      <c r="V606" s="237"/>
      <c r="W606" s="239">
        <v>42.46</v>
      </c>
      <c r="X606" s="239">
        <f>Table2[[#This Row],[QUANTIDADE]]*Table2[[#This Row],[PREÇO UNITARIO]]</f>
        <v>42.46</v>
      </c>
      <c r="Y606" s="237"/>
      <c r="Z606" s="237">
        <f t="shared" si="27"/>
        <v>7</v>
      </c>
      <c r="AA606" s="219" t="s">
        <v>42</v>
      </c>
      <c r="AB606" s="238">
        <f t="shared" ca="1" si="22"/>
        <v>46235</v>
      </c>
      <c r="AC606" s="237">
        <f ca="1">_xlfn.DAYS(Table2[[#This Row],[HOJE]],Table2[[#This Row],[DATA PEDIDO HP]])</f>
        <v>4</v>
      </c>
      <c r="AD606" s="237" t="str">
        <f ca="1">IF(Table2[[#This Row],[STATUS2]]="ENTREGUE","ENTREGUE","")</f>
        <v/>
      </c>
      <c r="AE606" s="261" t="str">
        <f ca="1">IF(Table2[[#This Row],[HOLD]]&gt;30,"ATRASADO","NO PRAZO")</f>
        <v>NO PRAZO</v>
      </c>
    </row>
    <row r="607" spans="1:31" ht="15" customHeight="1">
      <c r="A607" s="245" t="s">
        <v>1918</v>
      </c>
      <c r="B607" s="235">
        <v>46231</v>
      </c>
      <c r="C607" s="235">
        <v>46230</v>
      </c>
      <c r="D607" s="236" t="s">
        <v>1919</v>
      </c>
      <c r="E607" s="236" t="s">
        <v>327</v>
      </c>
      <c r="F607" s="236" t="s">
        <v>328</v>
      </c>
      <c r="G607" s="236">
        <v>50000260</v>
      </c>
      <c r="H607" s="236" t="s">
        <v>82</v>
      </c>
      <c r="I607" s="236" t="s">
        <v>974</v>
      </c>
      <c r="J607" s="236">
        <v>1</v>
      </c>
      <c r="K607" s="236" t="s">
        <v>37</v>
      </c>
      <c r="L607" s="236" t="s">
        <v>38</v>
      </c>
      <c r="M607" s="236" t="s">
        <v>73</v>
      </c>
      <c r="N607" s="236">
        <v>196295</v>
      </c>
      <c r="O607" s="237"/>
      <c r="P607" s="237"/>
      <c r="Q607" s="237">
        <v>0</v>
      </c>
      <c r="R607" s="237"/>
      <c r="S607" s="238"/>
      <c r="T607" s="238"/>
      <c r="U607" s="238"/>
      <c r="V607" s="237"/>
      <c r="W607" s="239">
        <v>19.600000000000001</v>
      </c>
      <c r="X607" s="239">
        <f>Table2[[#This Row],[QUANTIDADE]]*Table2[[#This Row],[PREÇO UNITARIO]]</f>
        <v>19.600000000000001</v>
      </c>
      <c r="Y607" s="237"/>
      <c r="Z607" s="237">
        <f t="shared" si="27"/>
        <v>7</v>
      </c>
      <c r="AA607" s="219" t="s">
        <v>42</v>
      </c>
      <c r="AB607" s="238">
        <f t="shared" ca="1" si="22"/>
        <v>46235</v>
      </c>
      <c r="AC607" s="237">
        <f ca="1">_xlfn.DAYS(Table2[[#This Row],[HOJE]],Table2[[#This Row],[DATA PEDIDO HP]])</f>
        <v>4</v>
      </c>
      <c r="AD607" s="237" t="str">
        <f ca="1">IF(Table2[[#This Row],[STATUS2]]="ENTREGUE","ENTREGUE","")</f>
        <v/>
      </c>
      <c r="AE607" s="261" t="str">
        <f ca="1">IF(Table2[[#This Row],[HOLD]]&gt;30,"ATRASADO","NO PRAZO")</f>
        <v>NO PRAZO</v>
      </c>
    </row>
    <row r="608" spans="1:31" ht="14.45" customHeight="1">
      <c r="A608" s="245" t="s">
        <v>1918</v>
      </c>
      <c r="B608" s="235">
        <v>46231</v>
      </c>
      <c r="C608" s="235">
        <v>46230</v>
      </c>
      <c r="D608" s="236" t="s">
        <v>1919</v>
      </c>
      <c r="E608" s="236" t="s">
        <v>327</v>
      </c>
      <c r="F608" s="236" t="s">
        <v>328</v>
      </c>
      <c r="G608" s="236">
        <v>50000260</v>
      </c>
      <c r="H608" s="236" t="s">
        <v>1924</v>
      </c>
      <c r="I608" s="236" t="s">
        <v>1925</v>
      </c>
      <c r="J608" s="236">
        <v>1</v>
      </c>
      <c r="K608" s="236" t="s">
        <v>37</v>
      </c>
      <c r="L608" s="236" t="s">
        <v>38</v>
      </c>
      <c r="M608" s="236" t="s">
        <v>39</v>
      </c>
      <c r="N608" s="236">
        <v>196295</v>
      </c>
      <c r="O608" s="237"/>
      <c r="P608" s="237"/>
      <c r="Q608" s="237">
        <v>0</v>
      </c>
      <c r="R608" s="237"/>
      <c r="S608" s="238"/>
      <c r="T608" s="238"/>
      <c r="U608" s="238"/>
      <c r="V608" s="237"/>
      <c r="W608" s="239">
        <v>39.19</v>
      </c>
      <c r="X608" s="239">
        <f>Table2[[#This Row],[QUANTIDADE]]*Table2[[#This Row],[PREÇO UNITARIO]]</f>
        <v>39.19</v>
      </c>
      <c r="Y608" s="237"/>
      <c r="Z608" s="237">
        <f t="shared" si="27"/>
        <v>7</v>
      </c>
      <c r="AA608" s="219" t="s">
        <v>42</v>
      </c>
      <c r="AB608" s="238">
        <f t="shared" ca="1" si="22"/>
        <v>46235</v>
      </c>
      <c r="AC608" s="237">
        <f ca="1">_xlfn.DAYS(Table2[[#This Row],[HOJE]],Table2[[#This Row],[DATA PEDIDO HP]])</f>
        <v>4</v>
      </c>
      <c r="AD608" s="237" t="str">
        <f ca="1">IF(Table2[[#This Row],[STATUS2]]="ENTREGUE","ENTREGUE","")</f>
        <v/>
      </c>
      <c r="AE608" s="261" t="str">
        <f ca="1">IF(Table2[[#This Row],[HOLD]]&gt;30,"ATRASADO","NO PRAZO")</f>
        <v>NO PRAZO</v>
      </c>
    </row>
    <row r="609" spans="1:40" ht="15" customHeight="1">
      <c r="A609" s="245" t="s">
        <v>1918</v>
      </c>
      <c r="B609" s="235">
        <v>46231</v>
      </c>
      <c r="C609" s="235">
        <v>46230</v>
      </c>
      <c r="D609" s="236" t="s">
        <v>1919</v>
      </c>
      <c r="E609" s="236" t="s">
        <v>327</v>
      </c>
      <c r="F609" s="236" t="s">
        <v>328</v>
      </c>
      <c r="G609" s="236">
        <v>50000260</v>
      </c>
      <c r="H609" s="236" t="s">
        <v>1494</v>
      </c>
      <c r="I609" s="236" t="s">
        <v>1926</v>
      </c>
      <c r="J609" s="236">
        <v>1</v>
      </c>
      <c r="K609" s="236" t="s">
        <v>37</v>
      </c>
      <c r="L609" s="236" t="s">
        <v>38</v>
      </c>
      <c r="M609" s="236" t="s">
        <v>39</v>
      </c>
      <c r="N609" s="236">
        <v>196295</v>
      </c>
      <c r="O609" s="237"/>
      <c r="P609" s="237"/>
      <c r="Q609" s="237">
        <v>0</v>
      </c>
      <c r="R609" s="237"/>
      <c r="S609" s="238"/>
      <c r="T609" s="238"/>
      <c r="U609" s="238"/>
      <c r="V609" s="237"/>
      <c r="W609" s="239">
        <v>20</v>
      </c>
      <c r="X609" s="239">
        <f>Table2[[#This Row],[QUANTIDADE]]*Table2[[#This Row],[PREÇO UNITARIO]]</f>
        <v>20</v>
      </c>
      <c r="Y609" s="237"/>
      <c r="Z609" s="237">
        <f t="shared" si="27"/>
        <v>7</v>
      </c>
      <c r="AA609" s="219" t="s">
        <v>42</v>
      </c>
      <c r="AB609" s="238">
        <f t="shared" ref="AB609:AB624" ca="1" si="28">TODAY()</f>
        <v>46235</v>
      </c>
      <c r="AC609" s="237">
        <f ca="1">_xlfn.DAYS(Table2[[#This Row],[HOJE]],Table2[[#This Row],[DATA PEDIDO HP]])</f>
        <v>4</v>
      </c>
      <c r="AD609" s="237" t="str">
        <f ca="1">IF(Table2[[#This Row],[STATUS2]]="ENTREGUE","ENTREGUE","")</f>
        <v/>
      </c>
      <c r="AE609" s="261" t="str">
        <f ca="1">IF(Table2[[#This Row],[HOLD]]&gt;30,"ATRASADO","NO PRAZO")</f>
        <v>NO PRAZO</v>
      </c>
    </row>
    <row r="610" spans="1:40" ht="15" customHeight="1">
      <c r="A610" s="245" t="s">
        <v>1918</v>
      </c>
      <c r="B610" s="235">
        <v>46231</v>
      </c>
      <c r="C610" s="235">
        <v>46230</v>
      </c>
      <c r="D610" s="236" t="s">
        <v>1919</v>
      </c>
      <c r="E610" s="236" t="s">
        <v>327</v>
      </c>
      <c r="F610" s="236" t="s">
        <v>328</v>
      </c>
      <c r="G610" s="236">
        <v>50000260</v>
      </c>
      <c r="H610" s="236" t="s">
        <v>1927</v>
      </c>
      <c r="I610" s="236" t="s">
        <v>1928</v>
      </c>
      <c r="J610" s="236">
        <v>1</v>
      </c>
      <c r="K610" s="236" t="s">
        <v>37</v>
      </c>
      <c r="L610" s="236" t="s">
        <v>38</v>
      </c>
      <c r="M610" s="236" t="s">
        <v>39</v>
      </c>
      <c r="N610" s="236">
        <v>196295</v>
      </c>
      <c r="O610" s="237"/>
      <c r="P610" s="237"/>
      <c r="Q610" s="237">
        <v>0</v>
      </c>
      <c r="R610" s="237" t="s">
        <v>110</v>
      </c>
      <c r="S610" s="238"/>
      <c r="T610" s="238"/>
      <c r="U610" s="238"/>
      <c r="V610" s="237"/>
      <c r="W610" s="239">
        <v>898.2</v>
      </c>
      <c r="X610" s="239">
        <f>Table2[[#This Row],[QUANTIDADE]]*Table2[[#This Row],[PREÇO UNITARIO]]</f>
        <v>898.2</v>
      </c>
      <c r="Y610" s="237"/>
      <c r="Z610" s="237">
        <f t="shared" si="27"/>
        <v>7</v>
      </c>
      <c r="AA610" s="219" t="s">
        <v>42</v>
      </c>
      <c r="AB610" s="238">
        <f t="shared" ca="1" si="28"/>
        <v>46235</v>
      </c>
      <c r="AC610" s="237">
        <f ca="1">_xlfn.DAYS(Table2[[#This Row],[HOJE]],Table2[[#This Row],[DATA PEDIDO HP]])</f>
        <v>4</v>
      </c>
      <c r="AD610" s="237" t="str">
        <f ca="1">IF(Table2[[#This Row],[STATUS2]]="ENTREGUE","ENTREGUE","")</f>
        <v/>
      </c>
      <c r="AE610" s="261" t="str">
        <f ca="1">IF(Table2[[#This Row],[HOLD]]&gt;30,"ATRASADO","NO PRAZO")</f>
        <v>NO PRAZO</v>
      </c>
    </row>
    <row r="611" spans="1:40" ht="15" customHeight="1">
      <c r="A611" s="245" t="s">
        <v>1918</v>
      </c>
      <c r="B611" s="235">
        <v>46231</v>
      </c>
      <c r="C611" s="235">
        <v>46230</v>
      </c>
      <c r="D611" s="236" t="s">
        <v>1919</v>
      </c>
      <c r="E611" s="236" t="s">
        <v>327</v>
      </c>
      <c r="F611" s="236" t="s">
        <v>328</v>
      </c>
      <c r="G611" s="236">
        <v>50000260</v>
      </c>
      <c r="H611" s="236" t="s">
        <v>1929</v>
      </c>
      <c r="I611" s="236" t="s">
        <v>1930</v>
      </c>
      <c r="J611" s="236">
        <v>1</v>
      </c>
      <c r="K611" s="236" t="s">
        <v>37</v>
      </c>
      <c r="L611" s="236" t="s">
        <v>38</v>
      </c>
      <c r="M611" s="236" t="s">
        <v>39</v>
      </c>
      <c r="N611" s="236">
        <v>196295</v>
      </c>
      <c r="O611" s="237"/>
      <c r="P611" s="237"/>
      <c r="Q611" s="237">
        <v>0</v>
      </c>
      <c r="R611" s="237" t="s">
        <v>1931</v>
      </c>
      <c r="S611" s="238"/>
      <c r="T611" s="238"/>
      <c r="U611" s="238"/>
      <c r="V611" s="237"/>
      <c r="W611" s="239">
        <v>105.01</v>
      </c>
      <c r="X611" s="239">
        <f>Table2[[#This Row],[QUANTIDADE]]*Table2[[#This Row],[PREÇO UNITARIO]]</f>
        <v>105.01</v>
      </c>
      <c r="Y611" s="237"/>
      <c r="Z611" s="237">
        <f t="shared" si="27"/>
        <v>7</v>
      </c>
      <c r="AA611" s="219" t="s">
        <v>42</v>
      </c>
      <c r="AB611" s="238">
        <f t="shared" ca="1" si="28"/>
        <v>46235</v>
      </c>
      <c r="AC611" s="237">
        <f ca="1">_xlfn.DAYS(Table2[[#This Row],[HOJE]],Table2[[#This Row],[DATA PEDIDO HP]])</f>
        <v>4</v>
      </c>
      <c r="AD611" s="237" t="str">
        <f ca="1">IF(Table2[[#This Row],[STATUS2]]="ENTREGUE","ENTREGUE","")</f>
        <v/>
      </c>
      <c r="AE611" s="261" t="str">
        <f ca="1">IF(Table2[[#This Row],[HOLD]]&gt;30,"ATRASADO","NO PRAZO")</f>
        <v>NO PRAZO</v>
      </c>
    </row>
    <row r="612" spans="1:40" ht="15" customHeight="1">
      <c r="A612" s="245" t="s">
        <v>1918</v>
      </c>
      <c r="B612" s="235">
        <v>46231</v>
      </c>
      <c r="C612" s="235">
        <v>46230</v>
      </c>
      <c r="D612" s="236" t="s">
        <v>1919</v>
      </c>
      <c r="E612" s="236" t="s">
        <v>327</v>
      </c>
      <c r="F612" s="236" t="s">
        <v>328</v>
      </c>
      <c r="G612" s="236">
        <v>50000260</v>
      </c>
      <c r="H612" s="236" t="s">
        <v>1455</v>
      </c>
      <c r="I612" s="236" t="s">
        <v>1456</v>
      </c>
      <c r="J612" s="236">
        <v>1</v>
      </c>
      <c r="K612" s="236" t="s">
        <v>37</v>
      </c>
      <c r="L612" s="236" t="s">
        <v>38</v>
      </c>
      <c r="M612" s="236" t="s">
        <v>73</v>
      </c>
      <c r="N612" s="236">
        <v>196295</v>
      </c>
      <c r="O612" s="237"/>
      <c r="P612" s="237"/>
      <c r="Q612" s="237">
        <v>0</v>
      </c>
      <c r="R612" s="237"/>
      <c r="S612" s="238"/>
      <c r="T612" s="238"/>
      <c r="U612" s="238"/>
      <c r="V612" s="237"/>
      <c r="W612" s="239">
        <v>54.06</v>
      </c>
      <c r="X612" s="239">
        <f>Table2[[#This Row],[QUANTIDADE]]*Table2[[#This Row],[PREÇO UNITARIO]]</f>
        <v>54.06</v>
      </c>
      <c r="Y612" s="237"/>
      <c r="Z612" s="237">
        <f t="shared" si="27"/>
        <v>7</v>
      </c>
      <c r="AA612" s="219" t="s">
        <v>42</v>
      </c>
      <c r="AB612" s="238">
        <f t="shared" ca="1" si="28"/>
        <v>46235</v>
      </c>
      <c r="AC612" s="237">
        <f ca="1">_xlfn.DAYS(Table2[[#This Row],[HOJE]],Table2[[#This Row],[DATA PEDIDO HP]])</f>
        <v>4</v>
      </c>
      <c r="AD612" s="237" t="str">
        <f ca="1">IF(Table2[[#This Row],[STATUS2]]="ENTREGUE","ENTREGUE","")</f>
        <v/>
      </c>
      <c r="AE612" s="261" t="str">
        <f ca="1">IF(Table2[[#This Row],[HOLD]]&gt;30,"ATRASADO","NO PRAZO")</f>
        <v>NO PRAZO</v>
      </c>
    </row>
    <row r="613" spans="1:40" ht="15" customHeight="1">
      <c r="A613" s="245" t="s">
        <v>1918</v>
      </c>
      <c r="B613" s="235">
        <v>46231</v>
      </c>
      <c r="C613" s="235">
        <v>46230</v>
      </c>
      <c r="D613" s="236" t="s">
        <v>1919</v>
      </c>
      <c r="E613" s="236" t="s">
        <v>327</v>
      </c>
      <c r="F613" s="236" t="s">
        <v>328</v>
      </c>
      <c r="G613" s="236">
        <v>50000260</v>
      </c>
      <c r="H613" s="236" t="s">
        <v>1932</v>
      </c>
      <c r="I613" s="236" t="s">
        <v>1933</v>
      </c>
      <c r="J613" s="236">
        <v>1</v>
      </c>
      <c r="K613" s="236" t="s">
        <v>37</v>
      </c>
      <c r="L613" s="236" t="s">
        <v>38</v>
      </c>
      <c r="M613" s="236" t="s">
        <v>39</v>
      </c>
      <c r="N613" s="236">
        <v>196295</v>
      </c>
      <c r="O613" s="237"/>
      <c r="P613" s="237"/>
      <c r="Q613" s="237">
        <v>0</v>
      </c>
      <c r="R613" s="237"/>
      <c r="S613" s="238"/>
      <c r="T613" s="238"/>
      <c r="U613" s="238"/>
      <c r="V613" s="237"/>
      <c r="W613" s="239">
        <v>502.4</v>
      </c>
      <c r="X613" s="239">
        <f>Table2[[#This Row],[QUANTIDADE]]*Table2[[#This Row],[PREÇO UNITARIO]]</f>
        <v>502.4</v>
      </c>
      <c r="Y613" s="237"/>
      <c r="Z613" s="237">
        <f t="shared" si="27"/>
        <v>7</v>
      </c>
      <c r="AA613" s="219" t="s">
        <v>42</v>
      </c>
      <c r="AB613" s="238">
        <f t="shared" ca="1" si="28"/>
        <v>46235</v>
      </c>
      <c r="AC613" s="237">
        <f ca="1">_xlfn.DAYS(Table2[[#This Row],[HOJE]],Table2[[#This Row],[DATA PEDIDO HP]])</f>
        <v>4</v>
      </c>
      <c r="AD613" s="237" t="str">
        <f ca="1">IF(Table2[[#This Row],[STATUS2]]="ENTREGUE","ENTREGUE","")</f>
        <v/>
      </c>
      <c r="AE613" s="261" t="str">
        <f ca="1">IF(Table2[[#This Row],[HOLD]]&gt;30,"ATRASADO","NO PRAZO")</f>
        <v>NO PRAZO</v>
      </c>
    </row>
    <row r="614" spans="1:40" ht="15" customHeight="1">
      <c r="A614" s="245" t="s">
        <v>1918</v>
      </c>
      <c r="B614" s="235">
        <v>46231</v>
      </c>
      <c r="C614" s="235">
        <v>46230</v>
      </c>
      <c r="D614" s="236" t="s">
        <v>1919</v>
      </c>
      <c r="E614" s="236" t="s">
        <v>327</v>
      </c>
      <c r="F614" s="236" t="s">
        <v>328</v>
      </c>
      <c r="G614" s="236">
        <v>50000260</v>
      </c>
      <c r="H614" s="236" t="s">
        <v>1017</v>
      </c>
      <c r="I614" s="236" t="s">
        <v>1934</v>
      </c>
      <c r="J614" s="236">
        <v>1</v>
      </c>
      <c r="K614" s="236" t="s">
        <v>37</v>
      </c>
      <c r="L614" s="236" t="s">
        <v>38</v>
      </c>
      <c r="M614" s="236" t="s">
        <v>39</v>
      </c>
      <c r="N614" s="236">
        <v>196295</v>
      </c>
      <c r="O614" s="237"/>
      <c r="P614" s="237"/>
      <c r="Q614" s="237">
        <v>0</v>
      </c>
      <c r="R614" s="237"/>
      <c r="S614" s="238"/>
      <c r="T614" s="238"/>
      <c r="U614" s="238"/>
      <c r="V614" s="237"/>
      <c r="W614" s="239">
        <v>16.02</v>
      </c>
      <c r="X614" s="239">
        <f>Table2[[#This Row],[QUANTIDADE]]*Table2[[#This Row],[PREÇO UNITARIO]]</f>
        <v>16.02</v>
      </c>
      <c r="Y614" s="237"/>
      <c r="Z614" s="237">
        <f t="shared" si="27"/>
        <v>7</v>
      </c>
      <c r="AA614" s="219" t="s">
        <v>42</v>
      </c>
      <c r="AB614" s="238">
        <f t="shared" ca="1" si="28"/>
        <v>46235</v>
      </c>
      <c r="AC614" s="237">
        <f ca="1">_xlfn.DAYS(Table2[[#This Row],[HOJE]],Table2[[#This Row],[DATA PEDIDO HP]])</f>
        <v>4</v>
      </c>
      <c r="AD614" s="237" t="str">
        <f ca="1">IF(Table2[[#This Row],[STATUS2]]="ENTREGUE","ENTREGUE","")</f>
        <v/>
      </c>
      <c r="AE614" s="261" t="str">
        <f ca="1">IF(Table2[[#This Row],[HOLD]]&gt;30,"ATRASADO","NO PRAZO")</f>
        <v>NO PRAZO</v>
      </c>
    </row>
    <row r="615" spans="1:40" ht="15" customHeight="1">
      <c r="A615" s="245" t="s">
        <v>1935</v>
      </c>
      <c r="B615" s="235">
        <v>46231</v>
      </c>
      <c r="C615" s="235">
        <v>46230</v>
      </c>
      <c r="D615" s="236" t="s">
        <v>1936</v>
      </c>
      <c r="E615" s="236" t="s">
        <v>1371</v>
      </c>
      <c r="F615" s="236" t="s">
        <v>242</v>
      </c>
      <c r="G615" s="236">
        <v>51100110</v>
      </c>
      <c r="H615" s="236" t="s">
        <v>1937</v>
      </c>
      <c r="I615" s="236" t="s">
        <v>1938</v>
      </c>
      <c r="J615" s="236">
        <v>1</v>
      </c>
      <c r="K615" s="236" t="s">
        <v>37</v>
      </c>
      <c r="L615" s="236" t="s">
        <v>38</v>
      </c>
      <c r="M615" s="236" t="s">
        <v>39</v>
      </c>
      <c r="N615" s="236">
        <v>195503</v>
      </c>
      <c r="O615" s="237"/>
      <c r="P615" s="237"/>
      <c r="Q615" s="237">
        <v>0</v>
      </c>
      <c r="R615" s="237" t="s">
        <v>1939</v>
      </c>
      <c r="S615" s="238"/>
      <c r="T615" s="238"/>
      <c r="U615" s="238"/>
      <c r="V615" s="237"/>
      <c r="W615" s="239">
        <v>265.92</v>
      </c>
      <c r="X615" s="239">
        <f>Table2[[#This Row],[QUANTIDADE]]*Table2[[#This Row],[PREÇO UNITARIO]]</f>
        <v>265.92</v>
      </c>
      <c r="Y615" s="237"/>
      <c r="Z615" s="237">
        <f t="shared" si="27"/>
        <v>7</v>
      </c>
      <c r="AA615" s="237" t="s">
        <v>74</v>
      </c>
      <c r="AB615" s="238">
        <f t="shared" ca="1" si="28"/>
        <v>46235</v>
      </c>
      <c r="AC615" s="237">
        <f ca="1">_xlfn.DAYS(Table2[[#This Row],[HOJE]],Table2[[#This Row],[DATA PEDIDO HP]])</f>
        <v>4</v>
      </c>
      <c r="AD615" s="237" t="str">
        <f ca="1">IF(Table2[[#This Row],[STATUS2]]="ENTREGUE","ENTREGUE","")</f>
        <v/>
      </c>
      <c r="AE615" s="261" t="str">
        <f ca="1">IF(Table2[[#This Row],[HOLD]]&gt;30,"ATRASADO","NO PRAZO")</f>
        <v>NO PRAZO</v>
      </c>
    </row>
    <row r="616" spans="1:40" ht="15" customHeight="1">
      <c r="A616" s="245" t="s">
        <v>1940</v>
      </c>
      <c r="B616" s="235">
        <v>46231</v>
      </c>
      <c r="C616" s="235">
        <v>46230</v>
      </c>
      <c r="D616" s="236" t="s">
        <v>1941</v>
      </c>
      <c r="E616" s="236" t="s">
        <v>101</v>
      </c>
      <c r="F616" s="236" t="s">
        <v>102</v>
      </c>
      <c r="G616" s="236">
        <v>51000323</v>
      </c>
      <c r="H616" s="236" t="s">
        <v>243</v>
      </c>
      <c r="I616" s="236" t="s">
        <v>1942</v>
      </c>
      <c r="J616" s="236">
        <v>1</v>
      </c>
      <c r="K616" s="236" t="s">
        <v>37</v>
      </c>
      <c r="L616" s="236" t="s">
        <v>122</v>
      </c>
      <c r="M616" s="236" t="s">
        <v>81</v>
      </c>
      <c r="N616" s="236">
        <v>197531</v>
      </c>
      <c r="O616" s="237"/>
      <c r="P616" s="237"/>
      <c r="Q616" s="237">
        <v>1</v>
      </c>
      <c r="R616" s="237"/>
      <c r="S616" s="238"/>
      <c r="T616" s="238"/>
      <c r="U616" s="238"/>
      <c r="V616" s="237"/>
      <c r="W616" s="239">
        <v>354.38</v>
      </c>
      <c r="X616" s="239">
        <f>Table2[[#This Row],[QUANTIDADE]]*Table2[[#This Row],[PREÇO UNITARIO]]</f>
        <v>354.38</v>
      </c>
      <c r="Y616" s="237"/>
      <c r="Z616" s="237">
        <f t="shared" si="27"/>
        <v>7</v>
      </c>
      <c r="AA616" s="219" t="s">
        <v>42</v>
      </c>
      <c r="AB616" s="238">
        <f t="shared" ca="1" si="28"/>
        <v>46235</v>
      </c>
      <c r="AC616" s="237">
        <f ca="1">_xlfn.DAYS(Table2[[#This Row],[HOJE]],Table2[[#This Row],[DATA PEDIDO HP]])</f>
        <v>4</v>
      </c>
      <c r="AD616" s="237" t="str">
        <f ca="1">IF(Table2[[#This Row],[STATUS2]]="ENTREGUE","ENTREGUE","")</f>
        <v/>
      </c>
      <c r="AE616" s="261" t="str">
        <f ca="1">IF(Table2[[#This Row],[HOLD]]&gt;30,"ATRASADO","NO PRAZO")</f>
        <v>NO PRAZO</v>
      </c>
    </row>
    <row r="617" spans="1:40" ht="15" customHeight="1">
      <c r="A617" s="245" t="s">
        <v>1943</v>
      </c>
      <c r="B617" s="235">
        <v>46231</v>
      </c>
      <c r="C617" s="235">
        <v>46231</v>
      </c>
      <c r="D617" s="236" t="s">
        <v>1944</v>
      </c>
      <c r="E617" s="236" t="s">
        <v>1945</v>
      </c>
      <c r="F617" s="236" t="s">
        <v>34</v>
      </c>
      <c r="G617" s="236">
        <v>50110057</v>
      </c>
      <c r="H617" s="236" t="s">
        <v>1946</v>
      </c>
      <c r="I617" s="236" t="s">
        <v>1947</v>
      </c>
      <c r="J617" s="236">
        <v>1</v>
      </c>
      <c r="K617" s="236" t="s">
        <v>269</v>
      </c>
      <c r="L617" s="236" t="s">
        <v>785</v>
      </c>
      <c r="M617" s="236" t="s">
        <v>1948</v>
      </c>
      <c r="N617" s="236">
        <v>196692</v>
      </c>
      <c r="O617" s="237"/>
      <c r="P617" s="237"/>
      <c r="Q617" s="237">
        <v>1</v>
      </c>
      <c r="R617" s="237" t="s">
        <v>1949</v>
      </c>
      <c r="S617" s="238"/>
      <c r="T617" s="238"/>
      <c r="U617" s="238"/>
      <c r="V617" s="237"/>
      <c r="W617" s="239">
        <v>280.89</v>
      </c>
      <c r="X617" s="239">
        <f>Table2[[#This Row],[QUANTIDADE]]*Table2[[#This Row],[PREÇO UNITARIO]]</f>
        <v>280.89</v>
      </c>
      <c r="Y617" s="237"/>
      <c r="Z617" s="237">
        <f t="shared" si="27"/>
        <v>7</v>
      </c>
      <c r="AA617" s="219" t="s">
        <v>42</v>
      </c>
      <c r="AB617" s="238">
        <f t="shared" ca="1" si="28"/>
        <v>46235</v>
      </c>
      <c r="AC617" s="237">
        <f ca="1">_xlfn.DAYS(Table2[[#This Row],[HOJE]],Table2[[#This Row],[DATA PEDIDO HP]])</f>
        <v>4</v>
      </c>
      <c r="AD617" s="237" t="str">
        <f ca="1">IF(Table2[[#This Row],[STATUS2]]="ENTREGUE","ENTREGUE","")</f>
        <v/>
      </c>
      <c r="AE617" s="261" t="str">
        <f ca="1">IF(Table2[[#This Row],[HOLD]]&gt;30,"ATRASADO","NO PRAZO")</f>
        <v>NO PRAZO</v>
      </c>
    </row>
    <row r="618" spans="1:40" ht="15" customHeight="1">
      <c r="A618" s="245" t="s">
        <v>1943</v>
      </c>
      <c r="B618" s="235">
        <v>46231</v>
      </c>
      <c r="C618" s="235">
        <v>46231</v>
      </c>
      <c r="D618" s="236" t="s">
        <v>1944</v>
      </c>
      <c r="E618" s="236" t="s">
        <v>1945</v>
      </c>
      <c r="F618" s="236" t="s">
        <v>34</v>
      </c>
      <c r="G618" s="236">
        <v>50110057</v>
      </c>
      <c r="H618" s="236" t="s">
        <v>517</v>
      </c>
      <c r="I618" s="236" t="s">
        <v>1950</v>
      </c>
      <c r="J618" s="236">
        <v>1</v>
      </c>
      <c r="K618" s="236" t="s">
        <v>37</v>
      </c>
      <c r="L618" s="236" t="s">
        <v>785</v>
      </c>
      <c r="M618" s="236" t="s">
        <v>1948</v>
      </c>
      <c r="N618" s="236">
        <v>196692</v>
      </c>
      <c r="O618" s="237"/>
      <c r="P618" s="237"/>
      <c r="Q618" s="237">
        <v>1</v>
      </c>
      <c r="R618" s="237"/>
      <c r="S618" s="238"/>
      <c r="T618" s="238"/>
      <c r="U618" s="238"/>
      <c r="V618" s="237"/>
      <c r="W618" s="239">
        <v>77.98</v>
      </c>
      <c r="X618" s="239">
        <f>Table2[[#This Row],[QUANTIDADE]]*Table2[[#This Row],[PREÇO UNITARIO]]</f>
        <v>77.98</v>
      </c>
      <c r="Y618" s="237"/>
      <c r="Z618" s="237">
        <f t="shared" si="27"/>
        <v>7</v>
      </c>
      <c r="AA618" s="219" t="s">
        <v>42</v>
      </c>
      <c r="AB618" s="238">
        <f t="shared" ca="1" si="28"/>
        <v>46235</v>
      </c>
      <c r="AC618" s="237">
        <f ca="1">_xlfn.DAYS(Table2[[#This Row],[HOJE]],Table2[[#This Row],[DATA PEDIDO HP]])</f>
        <v>4</v>
      </c>
      <c r="AD618" s="237" t="str">
        <f ca="1">IF(Table2[[#This Row],[STATUS2]]="ENTREGUE","ENTREGUE","")</f>
        <v/>
      </c>
      <c r="AE618" s="261" t="str">
        <f ca="1">IF(Table2[[#This Row],[HOLD]]&gt;30,"ATRASADO","NO PRAZO")</f>
        <v>NO PRAZO</v>
      </c>
    </row>
    <row r="619" spans="1:40" ht="15" customHeight="1">
      <c r="A619" s="245" t="s">
        <v>1943</v>
      </c>
      <c r="B619" s="235">
        <v>46231</v>
      </c>
      <c r="C619" s="235">
        <v>46231</v>
      </c>
      <c r="D619" s="236" t="s">
        <v>1944</v>
      </c>
      <c r="E619" s="236" t="s">
        <v>1945</v>
      </c>
      <c r="F619" s="236" t="s">
        <v>34</v>
      </c>
      <c r="G619" s="236">
        <v>50110057</v>
      </c>
      <c r="H619" s="236" t="s">
        <v>405</v>
      </c>
      <c r="I619" s="236" t="s">
        <v>406</v>
      </c>
      <c r="J619" s="236">
        <v>3</v>
      </c>
      <c r="K619" s="236" t="s">
        <v>37</v>
      </c>
      <c r="L619" s="236" t="s">
        <v>785</v>
      </c>
      <c r="M619" s="236" t="s">
        <v>1948</v>
      </c>
      <c r="N619" s="236">
        <v>196692</v>
      </c>
      <c r="O619" s="237"/>
      <c r="P619" s="237"/>
      <c r="Q619" s="236">
        <v>3</v>
      </c>
      <c r="R619" s="237"/>
      <c r="S619" s="238"/>
      <c r="T619" s="238"/>
      <c r="U619" s="238"/>
      <c r="V619" s="237"/>
      <c r="W619" s="239">
        <v>305.67</v>
      </c>
      <c r="X619" s="239">
        <f>Table2[[#This Row],[QUANTIDADE]]*Table2[[#This Row],[PREÇO UNITARIO]]</f>
        <v>917.01</v>
      </c>
      <c r="Y619" s="237"/>
      <c r="Z619" s="237">
        <f t="shared" si="27"/>
        <v>7</v>
      </c>
      <c r="AA619" s="219" t="s">
        <v>42</v>
      </c>
      <c r="AB619" s="238">
        <f t="shared" ca="1" si="28"/>
        <v>46235</v>
      </c>
      <c r="AC619" s="237">
        <f ca="1">_xlfn.DAYS(Table2[[#This Row],[HOJE]],Table2[[#This Row],[DATA PEDIDO HP]])</f>
        <v>4</v>
      </c>
      <c r="AD619" s="237" t="str">
        <f ca="1">IF(Table2[[#This Row],[STATUS2]]="ENTREGUE","ENTREGUE","")</f>
        <v/>
      </c>
      <c r="AE619" s="261" t="str">
        <f ca="1">IF(Table2[[#This Row],[HOLD]]&gt;30,"ATRASADO","NO PRAZO")</f>
        <v>NO PRAZO</v>
      </c>
    </row>
    <row r="620" spans="1:40" ht="15" customHeight="1">
      <c r="A620" s="285" t="s">
        <v>1951</v>
      </c>
      <c r="B620" s="282">
        <v>46232</v>
      </c>
      <c r="C620" s="282">
        <v>46232</v>
      </c>
      <c r="D620" s="283" t="s">
        <v>1952</v>
      </c>
      <c r="E620" s="283" t="s">
        <v>191</v>
      </c>
      <c r="F620" s="283" t="s">
        <v>827</v>
      </c>
      <c r="G620" s="283">
        <v>60003071</v>
      </c>
      <c r="H620" s="283" t="s">
        <v>523</v>
      </c>
      <c r="I620" s="283" t="s">
        <v>1000</v>
      </c>
      <c r="J620" s="283">
        <v>1</v>
      </c>
      <c r="K620" s="283" t="s">
        <v>37</v>
      </c>
      <c r="L620" s="283" t="s">
        <v>122</v>
      </c>
      <c r="M620" s="283" t="s">
        <v>81</v>
      </c>
      <c r="N620" s="283">
        <v>198176</v>
      </c>
      <c r="O620" s="237"/>
      <c r="P620" s="237"/>
      <c r="Q620" s="237">
        <v>1</v>
      </c>
      <c r="R620" s="237"/>
      <c r="S620" s="238"/>
      <c r="T620" s="238"/>
      <c r="U620" s="238"/>
      <c r="V620" s="237"/>
      <c r="W620" s="239">
        <v>475.51</v>
      </c>
      <c r="X620" s="239">
        <f>Table2[[#This Row],[QUANTIDADE]]*Table2[[#This Row],[PREÇO UNITARIO]]</f>
        <v>475.51</v>
      </c>
      <c r="Y620" s="237"/>
      <c r="Z620" s="237">
        <f t="shared" si="27"/>
        <v>7</v>
      </c>
      <c r="AA620" s="219" t="s">
        <v>42</v>
      </c>
      <c r="AB620" s="238">
        <f t="shared" ca="1" si="28"/>
        <v>46235</v>
      </c>
      <c r="AC620" s="237">
        <f ca="1">_xlfn.DAYS(Table2[[#This Row],[HOJE]],Table2[[#This Row],[DATA PEDIDO HP]])</f>
        <v>3</v>
      </c>
      <c r="AD620" s="237" t="str">
        <f ca="1">IF(Table2[[#This Row],[STATUS2]]="ENTREGUE","ENTREGUE","")</f>
        <v/>
      </c>
      <c r="AE620" s="261" t="str">
        <f ca="1">IF(Table2[[#This Row],[HOLD]]&gt;30,"ATRASADO","NO PRAZO")</f>
        <v>NO PRAZO</v>
      </c>
    </row>
    <row r="621" spans="1:40" ht="15" customHeight="1">
      <c r="A621" s="278" t="s">
        <v>1953</v>
      </c>
      <c r="B621" s="279">
        <v>46233</v>
      </c>
      <c r="C621" s="279">
        <v>46233</v>
      </c>
      <c r="D621" s="280" t="s">
        <v>1954</v>
      </c>
      <c r="E621" s="280" t="s">
        <v>33</v>
      </c>
      <c r="F621" s="280" t="s">
        <v>95</v>
      </c>
      <c r="G621" s="280">
        <v>60002095</v>
      </c>
      <c r="H621" s="280" t="s">
        <v>173</v>
      </c>
      <c r="I621" s="280" t="s">
        <v>1375</v>
      </c>
      <c r="J621" s="280">
        <v>7</v>
      </c>
      <c r="K621" s="280" t="s">
        <v>37</v>
      </c>
      <c r="L621" s="280" t="s">
        <v>122</v>
      </c>
      <c r="M621" s="286" t="s">
        <v>73</v>
      </c>
      <c r="N621" s="280">
        <v>198341</v>
      </c>
      <c r="O621" s="287"/>
      <c r="P621" s="287"/>
      <c r="Q621" s="287">
        <v>7</v>
      </c>
      <c r="R621" s="287"/>
      <c r="S621" s="281"/>
      <c r="T621" s="281"/>
      <c r="U621" s="281"/>
      <c r="V621" s="287"/>
      <c r="W621" s="288">
        <v>32.79</v>
      </c>
      <c r="X621" s="288">
        <f>Table2[[#This Row],[QUANTIDADE]]*Table2[[#This Row],[PREÇO UNITARIO]]</f>
        <v>229.53</v>
      </c>
      <c r="Y621" s="287"/>
      <c r="Z621" s="287">
        <f t="shared" ref="Z621:Z622" si="29">MONTH(B621)</f>
        <v>7</v>
      </c>
      <c r="AA621" s="219" t="s">
        <v>42</v>
      </c>
      <c r="AB621" s="281">
        <f t="shared" ca="1" si="28"/>
        <v>46235</v>
      </c>
      <c r="AC621" s="287">
        <f ca="1">_xlfn.DAYS(Table2[[#This Row],[HOJE]],Table2[[#This Row],[DATA PEDIDO HP]])</f>
        <v>2</v>
      </c>
      <c r="AD621" s="287" t="str">
        <f ca="1">IF(Table2[[#This Row],[STATUS2]]="ENTREGUE","ENTREGUE","")</f>
        <v/>
      </c>
      <c r="AE621" s="289" t="str">
        <f ca="1">IF(Table2[[#This Row],[HOLD]]&gt;30,"ATRASADO","NO PRAZO")</f>
        <v>NO PRAZO</v>
      </c>
      <c r="AF621" s="290"/>
      <c r="AG621" s="290"/>
      <c r="AH621" s="290"/>
      <c r="AI621" s="290"/>
      <c r="AJ621" s="290"/>
      <c r="AK621" s="290"/>
      <c r="AL621" s="290"/>
      <c r="AM621" s="290"/>
      <c r="AN621" s="290"/>
    </row>
    <row r="622" spans="1:40" ht="15" customHeight="1">
      <c r="A622" s="278" t="s">
        <v>1955</v>
      </c>
      <c r="B622" s="279">
        <v>46233</v>
      </c>
      <c r="C622" s="279">
        <v>46233</v>
      </c>
      <c r="D622" s="280" t="s">
        <v>1956</v>
      </c>
      <c r="E622" s="280" t="s">
        <v>162</v>
      </c>
      <c r="F622" s="280" t="s">
        <v>186</v>
      </c>
      <c r="G622" s="280">
        <v>44000216</v>
      </c>
      <c r="H622" s="280" t="s">
        <v>1735</v>
      </c>
      <c r="I622" s="280" t="s">
        <v>1957</v>
      </c>
      <c r="J622" s="280">
        <v>1</v>
      </c>
      <c r="K622" s="280" t="s">
        <v>37</v>
      </c>
      <c r="L622" s="280" t="s">
        <v>72</v>
      </c>
      <c r="M622" s="286" t="s">
        <v>81</v>
      </c>
      <c r="N622" s="280">
        <v>198440</v>
      </c>
      <c r="O622" s="287"/>
      <c r="P622" s="287"/>
      <c r="Q622" s="237">
        <v>1</v>
      </c>
      <c r="R622" s="287"/>
      <c r="S622" s="281"/>
      <c r="T622" s="281"/>
      <c r="U622" s="281"/>
      <c r="V622" s="287"/>
      <c r="W622" s="288">
        <v>130.65</v>
      </c>
      <c r="X622" s="288">
        <f>Table2[[#This Row],[QUANTIDADE]]*Table2[[#This Row],[PREÇO UNITARIO]]</f>
        <v>130.65</v>
      </c>
      <c r="Y622" s="287"/>
      <c r="Z622" s="287">
        <f t="shared" si="29"/>
        <v>7</v>
      </c>
      <c r="AA622" s="237" t="s">
        <v>74</v>
      </c>
      <c r="AB622" s="281">
        <f t="shared" ca="1" si="28"/>
        <v>46235</v>
      </c>
      <c r="AC622" s="287">
        <f ca="1">_xlfn.DAYS(Table2[[#This Row],[HOJE]],Table2[[#This Row],[DATA PEDIDO HP]])</f>
        <v>2</v>
      </c>
      <c r="AD622" s="287" t="str">
        <f ca="1">IF(Table2[[#This Row],[STATUS2]]="ENTREGUE","ENTREGUE","")</f>
        <v/>
      </c>
      <c r="AE622" s="289" t="str">
        <f ca="1">IF(Table2[[#This Row],[HOLD]]&gt;30,"ATRASADO","NO PRAZO")</f>
        <v>NO PRAZO</v>
      </c>
      <c r="AF622" s="290"/>
      <c r="AG622" s="290"/>
      <c r="AH622" s="290"/>
      <c r="AI622" s="290"/>
      <c r="AJ622" s="290"/>
      <c r="AK622" s="290"/>
      <c r="AL622" s="290"/>
      <c r="AM622" s="290"/>
      <c r="AN622" s="290"/>
    </row>
    <row r="623" spans="1:40" ht="15" customHeight="1">
      <c r="A623" s="278" t="s">
        <v>1958</v>
      </c>
      <c r="B623" s="279">
        <v>46233</v>
      </c>
      <c r="C623" s="279">
        <v>46233</v>
      </c>
      <c r="D623" s="280" t="s">
        <v>1959</v>
      </c>
      <c r="E623" s="280" t="s">
        <v>134</v>
      </c>
      <c r="F623" s="280" t="s">
        <v>135</v>
      </c>
      <c r="G623" s="280">
        <v>48500783</v>
      </c>
      <c r="H623" s="280" t="s">
        <v>1467</v>
      </c>
      <c r="I623" s="280" t="s">
        <v>1960</v>
      </c>
      <c r="J623" s="280">
        <v>1</v>
      </c>
      <c r="K623" s="280" t="s">
        <v>37</v>
      </c>
      <c r="L623" s="280" t="s">
        <v>72</v>
      </c>
      <c r="M623" s="286" t="s">
        <v>81</v>
      </c>
      <c r="N623" s="280">
        <v>194183</v>
      </c>
      <c r="O623" s="287"/>
      <c r="P623" s="287"/>
      <c r="Q623" s="237">
        <v>1</v>
      </c>
      <c r="R623" s="287"/>
      <c r="S623" s="281"/>
      <c r="T623" s="281"/>
      <c r="U623" s="281"/>
      <c r="V623" s="287"/>
      <c r="W623" s="288">
        <v>274.36</v>
      </c>
      <c r="X623" s="288">
        <f>Table2[[#This Row],[QUANTIDADE]]*Table2[[#This Row],[PREÇO UNITARIO]]</f>
        <v>274.36</v>
      </c>
      <c r="Y623" s="287"/>
      <c r="Z623" s="287">
        <f t="shared" ref="Z623:Z624" si="30">MONTH(B623)</f>
        <v>7</v>
      </c>
      <c r="AA623" s="237" t="s">
        <v>74</v>
      </c>
      <c r="AB623" s="281">
        <f t="shared" ca="1" si="28"/>
        <v>46235</v>
      </c>
      <c r="AC623" s="287">
        <f ca="1">_xlfn.DAYS(Table2[[#This Row],[HOJE]],Table2[[#This Row],[DATA PEDIDO HP]])</f>
        <v>2</v>
      </c>
      <c r="AD623" s="287" t="str">
        <f ca="1">IF(Table2[[#This Row],[STATUS2]]="ENTREGUE","ENTREGUE","")</f>
        <v/>
      </c>
      <c r="AE623" s="289" t="str">
        <f ca="1">IF(Table2[[#This Row],[HOLD]]&gt;30,"ATRASADO","NO PRAZO")</f>
        <v>NO PRAZO</v>
      </c>
      <c r="AF623" s="290"/>
      <c r="AG623" s="290"/>
      <c r="AH623" s="290"/>
      <c r="AI623" s="290"/>
      <c r="AJ623" s="290"/>
      <c r="AK623" s="290"/>
      <c r="AL623" s="290"/>
      <c r="AM623" s="290"/>
      <c r="AN623" s="290"/>
    </row>
    <row r="624" spans="1:40" ht="15" customHeight="1">
      <c r="A624" s="278" t="s">
        <v>1961</v>
      </c>
      <c r="B624" s="279">
        <v>46233</v>
      </c>
      <c r="C624" s="279">
        <v>46233</v>
      </c>
      <c r="D624" s="280" t="s">
        <v>1962</v>
      </c>
      <c r="E624" s="280" t="s">
        <v>298</v>
      </c>
      <c r="F624" s="280" t="s">
        <v>34</v>
      </c>
      <c r="G624" s="280">
        <v>50110261</v>
      </c>
      <c r="H624" s="280" t="s">
        <v>335</v>
      </c>
      <c r="I624" s="280" t="s">
        <v>1963</v>
      </c>
      <c r="J624" s="280">
        <v>1</v>
      </c>
      <c r="K624" s="280" t="s">
        <v>37</v>
      </c>
      <c r="L624" s="280" t="s">
        <v>72</v>
      </c>
      <c r="M624" s="286" t="s">
        <v>73</v>
      </c>
      <c r="N624" s="280">
        <v>196400</v>
      </c>
      <c r="O624" s="287"/>
      <c r="P624" s="287"/>
      <c r="Q624" s="287">
        <v>1</v>
      </c>
      <c r="R624" s="287"/>
      <c r="S624" s="281"/>
      <c r="T624" s="281"/>
      <c r="U624" s="281"/>
      <c r="V624" s="287"/>
      <c r="W624" s="288">
        <v>17.28</v>
      </c>
      <c r="X624" s="288">
        <f>Table2[[#This Row],[QUANTIDADE]]*Table2[[#This Row],[PREÇO UNITARIO]]</f>
        <v>17.28</v>
      </c>
      <c r="Y624" s="287"/>
      <c r="Z624" s="287">
        <f t="shared" si="30"/>
        <v>7</v>
      </c>
      <c r="AA624" s="237" t="s">
        <v>74</v>
      </c>
      <c r="AB624" s="281">
        <f t="shared" ca="1" si="28"/>
        <v>46235</v>
      </c>
      <c r="AC624" s="287">
        <f ca="1">_xlfn.DAYS(Table2[[#This Row],[HOJE]],Table2[[#This Row],[DATA PEDIDO HP]])</f>
        <v>2</v>
      </c>
      <c r="AD624" s="287" t="str">
        <f ca="1">IF(Table2[[#This Row],[STATUS2]]="ENTREGUE","ENTREGUE","")</f>
        <v/>
      </c>
      <c r="AE624" s="289" t="str">
        <f ca="1">IF(Table2[[#This Row],[HOLD]]&gt;30,"ATRASADO","NO PRAZO")</f>
        <v>NO PRAZO</v>
      </c>
      <c r="AF624" s="290"/>
      <c r="AG624" s="290"/>
      <c r="AH624" s="290"/>
      <c r="AI624" s="290"/>
      <c r="AJ624" s="290"/>
      <c r="AK624" s="290"/>
      <c r="AL624" s="290"/>
      <c r="AM624" s="290"/>
      <c r="AN624" s="290"/>
    </row>
    <row r="625" spans="1:40" ht="15" customHeight="1">
      <c r="A625" s="278" t="s">
        <v>1964</v>
      </c>
      <c r="B625" s="279">
        <v>46233</v>
      </c>
      <c r="C625" s="279">
        <v>46233</v>
      </c>
      <c r="D625" s="280" t="s">
        <v>1965</v>
      </c>
      <c r="E625" s="280" t="s">
        <v>33</v>
      </c>
      <c r="F625" s="280" t="s">
        <v>95</v>
      </c>
      <c r="G625" s="280">
        <v>60002095</v>
      </c>
      <c r="H625" s="280" t="s">
        <v>1966</v>
      </c>
      <c r="I625" s="280" t="s">
        <v>1967</v>
      </c>
      <c r="J625" s="280">
        <v>2</v>
      </c>
      <c r="K625" s="280" t="s">
        <v>37</v>
      </c>
      <c r="L625" s="280" t="s">
        <v>122</v>
      </c>
      <c r="M625" s="286" t="s">
        <v>39</v>
      </c>
      <c r="N625" s="280">
        <v>198506</v>
      </c>
      <c r="O625" s="287"/>
      <c r="P625" s="287"/>
      <c r="Q625" s="237">
        <v>0</v>
      </c>
      <c r="R625" s="287"/>
      <c r="S625" s="281"/>
      <c r="T625" s="281"/>
      <c r="U625" s="281"/>
      <c r="V625" s="287"/>
      <c r="W625" s="288">
        <v>105.83</v>
      </c>
      <c r="X625" s="288">
        <f>Table2[[#This Row],[QUANTIDADE]]*Table2[[#This Row],[PREÇO UNITARIO]]</f>
        <v>211.66</v>
      </c>
      <c r="Y625" s="287"/>
      <c r="Z625" s="287">
        <f>MONTH(B625)</f>
        <v>7</v>
      </c>
      <c r="AA625" s="219" t="s">
        <v>42</v>
      </c>
      <c r="AB625" s="281">
        <f ca="1">TODAY()</f>
        <v>46235</v>
      </c>
      <c r="AC625" s="287">
        <f ca="1">_xlfn.DAYS(Table2[[#This Row],[HOJE]],Table2[[#This Row],[DATA PEDIDO HP]])</f>
        <v>2</v>
      </c>
      <c r="AD625" s="287" t="str">
        <f ca="1">IF(Table2[[#This Row],[STATUS2]]="ENTREGUE","ENTREGUE","")</f>
        <v/>
      </c>
      <c r="AE625" s="289" t="str">
        <f ca="1">IF(Table2[[#This Row],[HOLD]]&gt;30,"ATRASADO","NO PRAZO")</f>
        <v>NO PRAZO</v>
      </c>
      <c r="AF625" s="290"/>
      <c r="AG625" s="290"/>
      <c r="AH625" s="290"/>
      <c r="AI625" s="290"/>
      <c r="AJ625" s="290"/>
      <c r="AK625" s="290"/>
      <c r="AL625" s="290"/>
      <c r="AM625" s="290"/>
      <c r="AN625" s="290"/>
    </row>
    <row r="626" spans="1:40" ht="15" customHeight="1">
      <c r="A626" s="278" t="s">
        <v>1968</v>
      </c>
      <c r="B626" s="279">
        <v>46234</v>
      </c>
      <c r="C626" s="279">
        <v>46234</v>
      </c>
      <c r="D626" s="280" t="s">
        <v>1969</v>
      </c>
      <c r="E626" s="280" t="s">
        <v>191</v>
      </c>
      <c r="F626" s="280" t="s">
        <v>95</v>
      </c>
      <c r="G626" s="280">
        <v>60001111</v>
      </c>
      <c r="H626" s="280" t="s">
        <v>1970</v>
      </c>
      <c r="I626" s="280" t="s">
        <v>1784</v>
      </c>
      <c r="J626" s="280">
        <v>1</v>
      </c>
      <c r="K626" s="280" t="s">
        <v>37</v>
      </c>
      <c r="L626" s="280" t="s">
        <v>122</v>
      </c>
      <c r="M626" s="286" t="s">
        <v>73</v>
      </c>
      <c r="N626" s="280">
        <v>198671</v>
      </c>
      <c r="O626" s="287"/>
      <c r="P626" s="287"/>
      <c r="Q626" s="287">
        <v>1</v>
      </c>
      <c r="R626" s="287"/>
      <c r="S626" s="281"/>
      <c r="T626" s="281"/>
      <c r="U626" s="281"/>
      <c r="V626" s="287"/>
      <c r="W626" s="288">
        <v>104.52</v>
      </c>
      <c r="X626" s="288">
        <f>Table2[[#This Row],[QUANTIDADE]]*Table2[[#This Row],[PREÇO UNITARIO]]</f>
        <v>104.52</v>
      </c>
      <c r="Y626" s="287"/>
      <c r="Z626" s="287">
        <f>MONTH(B626)</f>
        <v>7</v>
      </c>
      <c r="AA626" s="219" t="s">
        <v>42</v>
      </c>
      <c r="AB626" s="281">
        <f ca="1">TODAY()</f>
        <v>46235</v>
      </c>
      <c r="AC626" s="287">
        <f ca="1">_xlfn.DAYS(Table2[[#This Row],[HOJE]],Table2[[#This Row],[DATA PEDIDO HP]])</f>
        <v>1</v>
      </c>
      <c r="AD626" s="287" t="str">
        <f ca="1">IF(Table2[[#This Row],[STATUS2]]="ENTREGUE","ENTREGUE","")</f>
        <v/>
      </c>
      <c r="AE626" s="289" t="str">
        <f ca="1">IF(Table2[[#This Row],[HOLD]]&gt;30,"ATRASADO","NO PRAZO")</f>
        <v>NO PRAZO</v>
      </c>
      <c r="AF626" s="290"/>
      <c r="AG626" s="290"/>
      <c r="AH626" s="290"/>
      <c r="AI626" s="290"/>
      <c r="AJ626" s="290"/>
      <c r="AK626" s="290"/>
      <c r="AL626" s="290"/>
      <c r="AM626" s="290"/>
      <c r="AN626" s="290"/>
    </row>
    <row r="627" spans="1:40" ht="15" customHeight="1">
      <c r="A627" s="277"/>
      <c r="B627" s="220"/>
      <c r="C627" s="217"/>
      <c r="D627" s="218"/>
      <c r="E627" s="218"/>
      <c r="F627" s="218"/>
      <c r="G627" s="218"/>
      <c r="H627" s="236" t="s">
        <v>1971</v>
      </c>
      <c r="I627" s="218"/>
      <c r="J627" s="218"/>
      <c r="K627" s="218"/>
      <c r="L627" s="218"/>
      <c r="M627" s="218"/>
      <c r="N627" s="218"/>
      <c r="O627" s="219"/>
      <c r="P627" s="219"/>
      <c r="Q627" s="219"/>
      <c r="R627" s="219"/>
      <c r="S627" s="220"/>
      <c r="T627" s="220"/>
      <c r="U627" s="220"/>
      <c r="V627" s="219"/>
      <c r="W627" s="223"/>
      <c r="X627" s="223">
        <f>Table2[[#This Row],[QUANTIDADE]]*Table2[[#This Row],[PREÇO UNITARIO]]</f>
        <v>0</v>
      </c>
      <c r="Y627" s="219"/>
      <c r="Z627" s="219">
        <f t="shared" ref="Z627:Z665" si="31">MONTH(B627)</f>
        <v>1</v>
      </c>
      <c r="AA627" s="219"/>
      <c r="AB627" s="220">
        <f t="shared" ref="AB627:AB665" ca="1" si="32">TODAY()</f>
        <v>46235</v>
      </c>
      <c r="AC627" s="219">
        <f ca="1">_xlfn.DAYS(Table2[[#This Row],[HOJE]],Table2[[#This Row],[DATA PEDIDO HP]])</f>
        <v>46235</v>
      </c>
      <c r="AD627" s="219" t="str">
        <f ca="1">IF(Table2[[#This Row],[STATUS2]]="ENTREGUE","ENTREGUE","")</f>
        <v/>
      </c>
      <c r="AE627" s="230" t="str">
        <f ca="1">IF(Table2[[#This Row],[HOLD]]&gt;30,"ATRASADO","NO PRAZO")</f>
        <v>ATRASADO</v>
      </c>
    </row>
    <row r="628" spans="1:40" ht="15" customHeight="1">
      <c r="A628" s="277"/>
      <c r="B628" s="220"/>
      <c r="C628" s="217"/>
      <c r="D628" s="218"/>
      <c r="E628" s="218"/>
      <c r="F628" s="218"/>
      <c r="G628" s="218"/>
      <c r="H628" s="236"/>
      <c r="I628" s="218"/>
      <c r="J628" s="218"/>
      <c r="K628" s="218"/>
      <c r="L628" s="218"/>
      <c r="M628" s="218"/>
      <c r="N628" s="218"/>
      <c r="O628" s="219"/>
      <c r="P628" s="219"/>
      <c r="Q628" s="219"/>
      <c r="R628" s="219"/>
      <c r="S628" s="220"/>
      <c r="T628" s="220"/>
      <c r="U628" s="220"/>
      <c r="V628" s="219"/>
      <c r="W628" s="223"/>
      <c r="X628" s="223">
        <f>Table2[[#This Row],[QUANTIDADE]]*Table2[[#This Row],[PREÇO UNITARIO]]</f>
        <v>0</v>
      </c>
      <c r="Y628" s="219"/>
      <c r="Z628" s="219">
        <f t="shared" si="31"/>
        <v>1</v>
      </c>
      <c r="AA628" s="219"/>
      <c r="AB628" s="220">
        <f t="shared" ca="1" si="32"/>
        <v>46235</v>
      </c>
      <c r="AC628" s="219">
        <f ca="1">_xlfn.DAYS(Table2[[#This Row],[HOJE]],Table2[[#This Row],[DATA PEDIDO HP]])</f>
        <v>46235</v>
      </c>
      <c r="AD628" s="219" t="str">
        <f ca="1">IF(Table2[[#This Row],[STATUS2]]="ENTREGUE","ENTREGUE","")</f>
        <v/>
      </c>
      <c r="AE628" s="230" t="str">
        <f ca="1">IF(Table2[[#This Row],[HOLD]]&gt;30,"ATRASADO","NO PRAZO")</f>
        <v>ATRASADO</v>
      </c>
    </row>
    <row r="629" spans="1:40" ht="15" customHeight="1">
      <c r="A629" s="277"/>
      <c r="B629" s="220"/>
      <c r="C629" s="217"/>
      <c r="D629" s="218"/>
      <c r="E629" s="218"/>
      <c r="F629" s="218"/>
      <c r="G629" s="218"/>
      <c r="H629" s="236"/>
      <c r="I629" s="218"/>
      <c r="J629" s="218"/>
      <c r="K629" s="218"/>
      <c r="L629" s="218"/>
      <c r="M629" s="218"/>
      <c r="N629" s="218"/>
      <c r="O629" s="219"/>
      <c r="P629" s="219"/>
      <c r="Q629" s="219"/>
      <c r="R629" s="219"/>
      <c r="S629" s="220"/>
      <c r="T629" s="220"/>
      <c r="U629" s="220"/>
      <c r="V629" s="219"/>
      <c r="W629" s="223"/>
      <c r="X629" s="223">
        <f>Table2[[#This Row],[QUANTIDADE]]*Table2[[#This Row],[PREÇO UNITARIO]]</f>
        <v>0</v>
      </c>
      <c r="Y629" s="219"/>
      <c r="Z629" s="219">
        <f t="shared" si="31"/>
        <v>1</v>
      </c>
      <c r="AA629" s="219"/>
      <c r="AB629" s="220">
        <f t="shared" ca="1" si="32"/>
        <v>46235</v>
      </c>
      <c r="AC629" s="219">
        <f ca="1">_xlfn.DAYS(Table2[[#This Row],[HOJE]],Table2[[#This Row],[DATA PEDIDO HP]])</f>
        <v>46235</v>
      </c>
      <c r="AD629" s="219" t="str">
        <f ca="1">IF(Table2[[#This Row],[STATUS2]]="ENTREGUE","ENTREGUE","")</f>
        <v/>
      </c>
      <c r="AE629" s="230" t="str">
        <f ca="1">IF(Table2[[#This Row],[HOLD]]&gt;30,"ATRASADO","NO PRAZO")</f>
        <v>ATRASADO</v>
      </c>
    </row>
    <row r="630" spans="1:40" ht="15" customHeight="1">
      <c r="A630" s="277"/>
      <c r="B630" s="220"/>
      <c r="C630" s="217"/>
      <c r="D630" s="218"/>
      <c r="E630" s="218"/>
      <c r="F630" s="218"/>
      <c r="G630" s="218"/>
      <c r="H630" s="236"/>
      <c r="I630" s="218"/>
      <c r="J630" s="218"/>
      <c r="K630" s="218"/>
      <c r="L630" s="218"/>
      <c r="M630" s="218"/>
      <c r="N630" s="218"/>
      <c r="O630" s="219"/>
      <c r="P630" s="219"/>
      <c r="Q630" s="219"/>
      <c r="R630" s="219"/>
      <c r="S630" s="220"/>
      <c r="T630" s="220"/>
      <c r="U630" s="220"/>
      <c r="V630" s="219"/>
      <c r="W630" s="223"/>
      <c r="X630" s="223">
        <f>Table2[[#This Row],[QUANTIDADE]]*Table2[[#This Row],[PREÇO UNITARIO]]</f>
        <v>0</v>
      </c>
      <c r="Y630" s="219"/>
      <c r="Z630" s="219">
        <f t="shared" si="31"/>
        <v>1</v>
      </c>
      <c r="AA630" s="219"/>
      <c r="AB630" s="220">
        <f t="shared" ca="1" si="32"/>
        <v>46235</v>
      </c>
      <c r="AC630" s="219">
        <f ca="1">_xlfn.DAYS(Table2[[#This Row],[HOJE]],Table2[[#This Row],[DATA PEDIDO HP]])</f>
        <v>46235</v>
      </c>
      <c r="AD630" s="219" t="str">
        <f ca="1">IF(Table2[[#This Row],[STATUS2]]="ENTREGUE","ENTREGUE","")</f>
        <v/>
      </c>
      <c r="AE630" s="230" t="str">
        <f ca="1">IF(Table2[[#This Row],[HOLD]]&gt;30,"ATRASADO","NO PRAZO")</f>
        <v>ATRASADO</v>
      </c>
    </row>
    <row r="631" spans="1:40" ht="15" customHeight="1">
      <c r="A631" s="277"/>
      <c r="B631" s="220"/>
      <c r="C631" s="217"/>
      <c r="D631" s="218"/>
      <c r="E631" s="218"/>
      <c r="F631" s="218"/>
      <c r="G631" s="218"/>
      <c r="H631" s="236"/>
      <c r="I631" s="218"/>
      <c r="J631" s="218"/>
      <c r="K631" s="218"/>
      <c r="L631" s="218"/>
      <c r="M631" s="218"/>
      <c r="N631" s="218"/>
      <c r="O631" s="219"/>
      <c r="P631" s="219"/>
      <c r="Q631" s="219"/>
      <c r="R631" s="219"/>
      <c r="S631" s="220"/>
      <c r="T631" s="220"/>
      <c r="U631" s="220"/>
      <c r="V631" s="219"/>
      <c r="W631" s="223"/>
      <c r="X631" s="223">
        <f>Table2[[#This Row],[QUANTIDADE]]*Table2[[#This Row],[PREÇO UNITARIO]]</f>
        <v>0</v>
      </c>
      <c r="Y631" s="219"/>
      <c r="Z631" s="219">
        <f t="shared" si="31"/>
        <v>1</v>
      </c>
      <c r="AA631" s="219"/>
      <c r="AB631" s="220">
        <f t="shared" ca="1" si="32"/>
        <v>46235</v>
      </c>
      <c r="AC631" s="219">
        <f ca="1">_xlfn.DAYS(Table2[[#This Row],[HOJE]],Table2[[#This Row],[DATA PEDIDO HP]])</f>
        <v>46235</v>
      </c>
      <c r="AD631" s="219" t="str">
        <f ca="1">IF(Table2[[#This Row],[STATUS2]]="ENTREGUE","ENTREGUE","")</f>
        <v/>
      </c>
      <c r="AE631" s="230" t="str">
        <f ca="1">IF(Table2[[#This Row],[HOLD]]&gt;30,"ATRASADO","NO PRAZO")</f>
        <v>ATRASADO</v>
      </c>
    </row>
    <row r="632" spans="1:40" ht="15" customHeight="1">
      <c r="A632" s="277"/>
      <c r="B632" s="220"/>
      <c r="C632" s="217"/>
      <c r="D632" s="218"/>
      <c r="E632" s="218"/>
      <c r="F632" s="218"/>
      <c r="G632" s="218"/>
      <c r="H632" s="236"/>
      <c r="I632" s="218"/>
      <c r="J632" s="218"/>
      <c r="K632" s="218"/>
      <c r="L632" s="218"/>
      <c r="M632" s="218"/>
      <c r="N632" s="218"/>
      <c r="O632" s="219"/>
      <c r="P632" s="219"/>
      <c r="Q632" s="219"/>
      <c r="R632" s="219"/>
      <c r="S632" s="220"/>
      <c r="T632" s="220"/>
      <c r="U632" s="220"/>
      <c r="V632" s="219"/>
      <c r="W632" s="223"/>
      <c r="X632" s="223">
        <f>Table2[[#This Row],[QUANTIDADE]]*Table2[[#This Row],[PREÇO UNITARIO]]</f>
        <v>0</v>
      </c>
      <c r="Y632" s="219"/>
      <c r="Z632" s="219">
        <f t="shared" si="31"/>
        <v>1</v>
      </c>
      <c r="AA632" s="219"/>
      <c r="AB632" s="220">
        <f t="shared" ca="1" si="32"/>
        <v>46235</v>
      </c>
      <c r="AC632" s="219">
        <f ca="1">_xlfn.DAYS(Table2[[#This Row],[HOJE]],Table2[[#This Row],[DATA PEDIDO HP]])</f>
        <v>46235</v>
      </c>
      <c r="AD632" s="219" t="str">
        <f ca="1">IF(Table2[[#This Row],[STATUS2]]="ENTREGUE","ENTREGUE","")</f>
        <v/>
      </c>
      <c r="AE632" s="230" t="str">
        <f ca="1">IF(Table2[[#This Row],[HOLD]]&gt;30,"ATRASADO","NO PRAZO")</f>
        <v>ATRASADO</v>
      </c>
    </row>
    <row r="633" spans="1:40" ht="15" customHeight="1">
      <c r="A633" s="277"/>
      <c r="B633" s="220"/>
      <c r="C633" s="217"/>
      <c r="D633" s="218"/>
      <c r="E633" s="218"/>
      <c r="F633" s="218"/>
      <c r="G633" s="218"/>
      <c r="H633" s="236"/>
      <c r="I633" s="218"/>
      <c r="J633" s="218"/>
      <c r="K633" s="218"/>
      <c r="L633" s="218"/>
      <c r="M633" s="218"/>
      <c r="N633" s="218"/>
      <c r="O633" s="219"/>
      <c r="P633" s="219"/>
      <c r="Q633" s="219"/>
      <c r="R633" s="219"/>
      <c r="S633" s="220"/>
      <c r="T633" s="220"/>
      <c r="U633" s="220"/>
      <c r="V633" s="219"/>
      <c r="W633" s="223"/>
      <c r="X633" s="223">
        <f>Table2[[#This Row],[QUANTIDADE]]*Table2[[#This Row],[PREÇO UNITARIO]]</f>
        <v>0</v>
      </c>
      <c r="Y633" s="219"/>
      <c r="Z633" s="219">
        <f t="shared" si="31"/>
        <v>1</v>
      </c>
      <c r="AA633" s="219"/>
      <c r="AB633" s="220">
        <f t="shared" ca="1" si="32"/>
        <v>46235</v>
      </c>
      <c r="AC633" s="219">
        <f ca="1">_xlfn.DAYS(Table2[[#This Row],[HOJE]],Table2[[#This Row],[DATA PEDIDO HP]])</f>
        <v>46235</v>
      </c>
      <c r="AD633" s="219" t="str">
        <f ca="1">IF(Table2[[#This Row],[STATUS2]]="ENTREGUE","ENTREGUE","")</f>
        <v/>
      </c>
      <c r="AE633" s="230" t="str">
        <f ca="1">IF(Table2[[#This Row],[HOLD]]&gt;30,"ATRASADO","NO PRAZO")</f>
        <v>ATRASADO</v>
      </c>
    </row>
    <row r="634" spans="1:40" ht="15" customHeight="1">
      <c r="A634" s="277"/>
      <c r="B634" s="220"/>
      <c r="C634" s="217"/>
      <c r="D634" s="218"/>
      <c r="E634" s="218"/>
      <c r="F634" s="218"/>
      <c r="G634" s="218"/>
      <c r="H634" s="236"/>
      <c r="I634" s="218"/>
      <c r="J634" s="218"/>
      <c r="K634" s="218"/>
      <c r="L634" s="218"/>
      <c r="M634" s="218"/>
      <c r="N634" s="218"/>
      <c r="O634" s="219"/>
      <c r="P634" s="219"/>
      <c r="Q634" s="219"/>
      <c r="R634" s="219"/>
      <c r="S634" s="220"/>
      <c r="T634" s="220"/>
      <c r="U634" s="220"/>
      <c r="V634" s="219"/>
      <c r="W634" s="223"/>
      <c r="X634" s="223">
        <f>Table2[[#This Row],[QUANTIDADE]]*Table2[[#This Row],[PREÇO UNITARIO]]</f>
        <v>0</v>
      </c>
      <c r="Y634" s="219"/>
      <c r="Z634" s="219">
        <f t="shared" si="31"/>
        <v>1</v>
      </c>
      <c r="AA634" s="219"/>
      <c r="AB634" s="220">
        <f t="shared" ca="1" si="32"/>
        <v>46235</v>
      </c>
      <c r="AC634" s="219">
        <f ca="1">_xlfn.DAYS(Table2[[#This Row],[HOJE]],Table2[[#This Row],[DATA PEDIDO HP]])</f>
        <v>46235</v>
      </c>
      <c r="AD634" s="219" t="str">
        <f ca="1">IF(Table2[[#This Row],[STATUS2]]="ENTREGUE","ENTREGUE","")</f>
        <v/>
      </c>
      <c r="AE634" s="230" t="str">
        <f ca="1">IF(Table2[[#This Row],[HOLD]]&gt;30,"ATRASADO","NO PRAZO")</f>
        <v>ATRASADO</v>
      </c>
    </row>
    <row r="635" spans="1:40" ht="15" customHeight="1">
      <c r="A635" s="277"/>
      <c r="B635" s="220"/>
      <c r="C635" s="217"/>
      <c r="D635" s="218"/>
      <c r="E635" s="218"/>
      <c r="F635" s="218"/>
      <c r="G635" s="218"/>
      <c r="H635" s="236"/>
      <c r="I635" s="218"/>
      <c r="J635" s="218"/>
      <c r="K635" s="218"/>
      <c r="L635" s="218"/>
      <c r="M635" s="218"/>
      <c r="N635" s="218"/>
      <c r="O635" s="219"/>
      <c r="P635" s="219"/>
      <c r="Q635" s="219"/>
      <c r="R635" s="219"/>
      <c r="S635" s="220"/>
      <c r="T635" s="220"/>
      <c r="U635" s="220"/>
      <c r="V635" s="219"/>
      <c r="W635" s="223"/>
      <c r="X635" s="223">
        <f>Table2[[#This Row],[QUANTIDADE]]*Table2[[#This Row],[PREÇO UNITARIO]]</f>
        <v>0</v>
      </c>
      <c r="Y635" s="219"/>
      <c r="Z635" s="219">
        <f t="shared" si="31"/>
        <v>1</v>
      </c>
      <c r="AA635" s="219"/>
      <c r="AB635" s="220">
        <f t="shared" ca="1" si="32"/>
        <v>46235</v>
      </c>
      <c r="AC635" s="219">
        <f ca="1">_xlfn.DAYS(Table2[[#This Row],[HOJE]],Table2[[#This Row],[DATA PEDIDO HP]])</f>
        <v>46235</v>
      </c>
      <c r="AD635" s="219" t="str">
        <f ca="1">IF(Table2[[#This Row],[STATUS2]]="ENTREGUE","ENTREGUE","")</f>
        <v/>
      </c>
      <c r="AE635" s="230" t="str">
        <f ca="1">IF(Table2[[#This Row],[HOLD]]&gt;30,"ATRASADO","NO PRAZO")</f>
        <v>ATRASADO</v>
      </c>
    </row>
    <row r="636" spans="1:40" ht="15" customHeight="1">
      <c r="A636" s="277"/>
      <c r="B636" s="220"/>
      <c r="C636" s="217"/>
      <c r="D636" s="218"/>
      <c r="E636" s="218"/>
      <c r="F636" s="218"/>
      <c r="G636" s="218"/>
      <c r="H636" s="236"/>
      <c r="I636" s="218"/>
      <c r="J636" s="218"/>
      <c r="K636" s="218"/>
      <c r="L636" s="218"/>
      <c r="M636" s="218"/>
      <c r="N636" s="218"/>
      <c r="O636" s="219"/>
      <c r="P636" s="219"/>
      <c r="Q636" s="219"/>
      <c r="R636" s="219"/>
      <c r="S636" s="220"/>
      <c r="T636" s="220"/>
      <c r="U636" s="220"/>
      <c r="V636" s="219"/>
      <c r="W636" s="223"/>
      <c r="X636" s="223">
        <f>Table2[[#This Row],[QUANTIDADE]]*Table2[[#This Row],[PREÇO UNITARIO]]</f>
        <v>0</v>
      </c>
      <c r="Y636" s="219"/>
      <c r="Z636" s="219">
        <f t="shared" si="31"/>
        <v>1</v>
      </c>
      <c r="AA636" s="219"/>
      <c r="AB636" s="220">
        <f t="shared" ca="1" si="32"/>
        <v>46235</v>
      </c>
      <c r="AC636" s="219">
        <f ca="1">_xlfn.DAYS(Table2[[#This Row],[HOJE]],Table2[[#This Row],[DATA PEDIDO HP]])</f>
        <v>46235</v>
      </c>
      <c r="AD636" s="219" t="str">
        <f ca="1">IF(Table2[[#This Row],[STATUS2]]="ENTREGUE","ENTREGUE","")</f>
        <v/>
      </c>
      <c r="AE636" s="230" t="str">
        <f ca="1">IF(Table2[[#This Row],[HOLD]]&gt;30,"ATRASADO","NO PRAZO")</f>
        <v>ATRASADO</v>
      </c>
    </row>
    <row r="637" spans="1:40" ht="15" customHeight="1">
      <c r="A637" s="277"/>
      <c r="B637" s="220"/>
      <c r="C637" s="217"/>
      <c r="D637" s="218"/>
      <c r="E637" s="218"/>
      <c r="F637" s="218"/>
      <c r="G637" s="218"/>
      <c r="H637" s="236"/>
      <c r="I637" s="218"/>
      <c r="J637" s="218"/>
      <c r="K637" s="218"/>
      <c r="L637" s="218"/>
      <c r="M637" s="218"/>
      <c r="N637" s="218"/>
      <c r="O637" s="219"/>
      <c r="P637" s="219"/>
      <c r="Q637" s="219"/>
      <c r="R637" s="219"/>
      <c r="S637" s="220"/>
      <c r="T637" s="220"/>
      <c r="U637" s="220"/>
      <c r="V637" s="219"/>
      <c r="W637" s="223"/>
      <c r="X637" s="223">
        <f>Table2[[#This Row],[QUANTIDADE]]*Table2[[#This Row],[PREÇO UNITARIO]]</f>
        <v>0</v>
      </c>
      <c r="Y637" s="219"/>
      <c r="Z637" s="219">
        <f t="shared" si="31"/>
        <v>1</v>
      </c>
      <c r="AA637" s="219"/>
      <c r="AB637" s="220">
        <f t="shared" ca="1" si="32"/>
        <v>46235</v>
      </c>
      <c r="AC637" s="219">
        <f ca="1">_xlfn.DAYS(Table2[[#This Row],[HOJE]],Table2[[#This Row],[DATA PEDIDO HP]])</f>
        <v>46235</v>
      </c>
      <c r="AD637" s="219" t="str">
        <f ca="1">IF(Table2[[#This Row],[STATUS2]]="ENTREGUE","ENTREGUE","")</f>
        <v/>
      </c>
      <c r="AE637" s="230" t="str">
        <f ca="1">IF(Table2[[#This Row],[HOLD]]&gt;30,"ATRASADO","NO PRAZO")</f>
        <v>ATRASADO</v>
      </c>
    </row>
    <row r="638" spans="1:40" ht="15" customHeight="1">
      <c r="A638" s="277"/>
      <c r="B638" s="220"/>
      <c r="C638" s="217"/>
      <c r="D638" s="218"/>
      <c r="E638" s="218"/>
      <c r="F638" s="218"/>
      <c r="G638" s="218"/>
      <c r="H638" s="236"/>
      <c r="I638" s="218"/>
      <c r="J638" s="218"/>
      <c r="K638" s="218"/>
      <c r="L638" s="218"/>
      <c r="M638" s="218"/>
      <c r="N638" s="218"/>
      <c r="O638" s="219"/>
      <c r="P638" s="219"/>
      <c r="Q638" s="219"/>
      <c r="R638" s="219"/>
      <c r="S638" s="220"/>
      <c r="T638" s="220"/>
      <c r="U638" s="220"/>
      <c r="V638" s="219"/>
      <c r="W638" s="223"/>
      <c r="X638" s="223">
        <f>Table2[[#This Row],[QUANTIDADE]]*Table2[[#This Row],[PREÇO UNITARIO]]</f>
        <v>0</v>
      </c>
      <c r="Y638" s="219"/>
      <c r="Z638" s="219">
        <f t="shared" si="31"/>
        <v>1</v>
      </c>
      <c r="AA638" s="219"/>
      <c r="AB638" s="220">
        <f t="shared" ca="1" si="32"/>
        <v>46235</v>
      </c>
      <c r="AC638" s="219">
        <f ca="1">_xlfn.DAYS(Table2[[#This Row],[HOJE]],Table2[[#This Row],[DATA PEDIDO HP]])</f>
        <v>46235</v>
      </c>
      <c r="AD638" s="219" t="str">
        <f ca="1">IF(Table2[[#This Row],[STATUS2]]="ENTREGUE","ENTREGUE","")</f>
        <v/>
      </c>
      <c r="AE638" s="230" t="str">
        <f ca="1">IF(Table2[[#This Row],[HOLD]]&gt;30,"ATRASADO","NO PRAZO")</f>
        <v>ATRASADO</v>
      </c>
    </row>
    <row r="639" spans="1:40" ht="15" customHeight="1">
      <c r="A639" s="277"/>
      <c r="B639" s="220"/>
      <c r="C639" s="217"/>
      <c r="D639" s="218"/>
      <c r="E639" s="218"/>
      <c r="F639" s="218"/>
      <c r="G639" s="218"/>
      <c r="H639" s="236"/>
      <c r="I639" s="218"/>
      <c r="J639" s="218"/>
      <c r="K639" s="218"/>
      <c r="L639" s="218"/>
      <c r="M639" s="218"/>
      <c r="N639" s="218"/>
      <c r="O639" s="219"/>
      <c r="P639" s="219"/>
      <c r="Q639" s="219"/>
      <c r="R639" s="219"/>
      <c r="S639" s="220"/>
      <c r="T639" s="220"/>
      <c r="U639" s="220"/>
      <c r="V639" s="219"/>
      <c r="W639" s="223"/>
      <c r="X639" s="223">
        <f>Table2[[#This Row],[QUANTIDADE]]*Table2[[#This Row],[PREÇO UNITARIO]]</f>
        <v>0</v>
      </c>
      <c r="Y639" s="219"/>
      <c r="Z639" s="219">
        <f t="shared" si="31"/>
        <v>1</v>
      </c>
      <c r="AA639" s="219"/>
      <c r="AB639" s="220">
        <f t="shared" ca="1" si="32"/>
        <v>46235</v>
      </c>
      <c r="AC639" s="219">
        <f ca="1">_xlfn.DAYS(Table2[[#This Row],[HOJE]],Table2[[#This Row],[DATA PEDIDO HP]])</f>
        <v>46235</v>
      </c>
      <c r="AD639" s="219" t="str">
        <f ca="1">IF(Table2[[#This Row],[STATUS2]]="ENTREGUE","ENTREGUE","")</f>
        <v/>
      </c>
      <c r="AE639" s="230" t="str">
        <f ca="1">IF(Table2[[#This Row],[HOLD]]&gt;30,"ATRASADO","NO PRAZO")</f>
        <v>ATRASADO</v>
      </c>
    </row>
    <row r="640" spans="1:40" ht="15" customHeight="1">
      <c r="A640" s="277"/>
      <c r="B640" s="220"/>
      <c r="C640" s="217"/>
      <c r="D640" s="218"/>
      <c r="E640" s="218"/>
      <c r="F640" s="218"/>
      <c r="G640" s="218"/>
      <c r="H640" s="236"/>
      <c r="I640" s="218"/>
      <c r="J640" s="218"/>
      <c r="K640" s="218"/>
      <c r="L640" s="218"/>
      <c r="M640" s="218"/>
      <c r="N640" s="218"/>
      <c r="O640" s="219"/>
      <c r="P640" s="219"/>
      <c r="Q640" s="219"/>
      <c r="R640" s="219"/>
      <c r="S640" s="220"/>
      <c r="T640" s="220"/>
      <c r="U640" s="220"/>
      <c r="V640" s="219"/>
      <c r="W640" s="223"/>
      <c r="X640" s="223">
        <f>Table2[[#This Row],[QUANTIDADE]]*Table2[[#This Row],[PREÇO UNITARIO]]</f>
        <v>0</v>
      </c>
      <c r="Y640" s="219"/>
      <c r="Z640" s="219">
        <f t="shared" si="31"/>
        <v>1</v>
      </c>
      <c r="AA640" s="219"/>
      <c r="AB640" s="220">
        <f t="shared" ca="1" si="32"/>
        <v>46235</v>
      </c>
      <c r="AC640" s="219">
        <f ca="1">_xlfn.DAYS(Table2[[#This Row],[HOJE]],Table2[[#This Row],[DATA PEDIDO HP]])</f>
        <v>46235</v>
      </c>
      <c r="AD640" s="219" t="str">
        <f ca="1">IF(Table2[[#This Row],[STATUS2]]="ENTREGUE","ENTREGUE","")</f>
        <v/>
      </c>
      <c r="AE640" s="230" t="str">
        <f ca="1">IF(Table2[[#This Row],[HOLD]]&gt;30,"ATRASADO","NO PRAZO")</f>
        <v>ATRASADO</v>
      </c>
    </row>
    <row r="641" spans="1:31" ht="15" customHeight="1">
      <c r="A641" s="277"/>
      <c r="B641" s="220"/>
      <c r="C641" s="217"/>
      <c r="D641" s="218"/>
      <c r="E641" s="218"/>
      <c r="F641" s="218"/>
      <c r="G641" s="218"/>
      <c r="H641" s="236"/>
      <c r="I641" s="218"/>
      <c r="J641" s="218"/>
      <c r="K641" s="218"/>
      <c r="L641" s="218"/>
      <c r="M641" s="218"/>
      <c r="N641" s="218"/>
      <c r="O641" s="219"/>
      <c r="P641" s="219"/>
      <c r="Q641" s="219"/>
      <c r="R641" s="219"/>
      <c r="S641" s="220"/>
      <c r="T641" s="220"/>
      <c r="U641" s="220"/>
      <c r="V641" s="219"/>
      <c r="W641" s="223"/>
      <c r="X641" s="223">
        <f>Table2[[#This Row],[QUANTIDADE]]*Table2[[#This Row],[PREÇO UNITARIO]]</f>
        <v>0</v>
      </c>
      <c r="Y641" s="219"/>
      <c r="Z641" s="219">
        <f t="shared" si="31"/>
        <v>1</v>
      </c>
      <c r="AA641" s="219"/>
      <c r="AB641" s="220">
        <f t="shared" ca="1" si="32"/>
        <v>46235</v>
      </c>
      <c r="AC641" s="219">
        <f ca="1">_xlfn.DAYS(Table2[[#This Row],[HOJE]],Table2[[#This Row],[DATA PEDIDO HP]])</f>
        <v>46235</v>
      </c>
      <c r="AD641" s="219" t="str">
        <f ca="1">IF(Table2[[#This Row],[STATUS2]]="ENTREGUE","ENTREGUE","")</f>
        <v/>
      </c>
      <c r="AE641" s="230" t="str">
        <f ca="1">IF(Table2[[#This Row],[HOLD]]&gt;30,"ATRASADO","NO PRAZO")</f>
        <v>ATRASADO</v>
      </c>
    </row>
    <row r="642" spans="1:31" ht="15" customHeight="1">
      <c r="A642" s="277"/>
      <c r="B642" s="220"/>
      <c r="C642" s="217"/>
      <c r="D642" s="218"/>
      <c r="E642" s="218"/>
      <c r="F642" s="218"/>
      <c r="G642" s="218"/>
      <c r="H642" s="236"/>
      <c r="I642" s="218"/>
      <c r="J642" s="218"/>
      <c r="K642" s="218"/>
      <c r="L642" s="218"/>
      <c r="M642" s="218"/>
      <c r="N642" s="218"/>
      <c r="O642" s="219"/>
      <c r="P642" s="219"/>
      <c r="Q642" s="219"/>
      <c r="R642" s="219"/>
      <c r="S642" s="220"/>
      <c r="T642" s="220"/>
      <c r="U642" s="220"/>
      <c r="V642" s="219"/>
      <c r="W642" s="223"/>
      <c r="X642" s="223">
        <f>Table2[[#This Row],[QUANTIDADE]]*Table2[[#This Row],[PREÇO UNITARIO]]</f>
        <v>0</v>
      </c>
      <c r="Y642" s="219"/>
      <c r="Z642" s="219">
        <f t="shared" si="31"/>
        <v>1</v>
      </c>
      <c r="AA642" s="219"/>
      <c r="AB642" s="220">
        <f t="shared" ca="1" si="32"/>
        <v>46235</v>
      </c>
      <c r="AC642" s="219">
        <f ca="1">_xlfn.DAYS(Table2[[#This Row],[HOJE]],Table2[[#This Row],[DATA PEDIDO HP]])</f>
        <v>46235</v>
      </c>
      <c r="AD642" s="219" t="str">
        <f ca="1">IF(Table2[[#This Row],[STATUS2]]="ENTREGUE","ENTREGUE","")</f>
        <v/>
      </c>
      <c r="AE642" s="230" t="str">
        <f ca="1">IF(Table2[[#This Row],[HOLD]]&gt;30,"ATRASADO","NO PRAZO")</f>
        <v>ATRASADO</v>
      </c>
    </row>
    <row r="643" spans="1:31" ht="15" customHeight="1">
      <c r="A643" s="277"/>
      <c r="B643" s="220"/>
      <c r="C643" s="217"/>
      <c r="D643" s="218"/>
      <c r="E643" s="218"/>
      <c r="F643" s="218"/>
      <c r="G643" s="218"/>
      <c r="H643" s="236"/>
      <c r="I643" s="218"/>
      <c r="J643" s="218"/>
      <c r="K643" s="218"/>
      <c r="L643" s="218"/>
      <c r="M643" s="218"/>
      <c r="N643" s="218"/>
      <c r="O643" s="219"/>
      <c r="P643" s="219"/>
      <c r="Q643" s="219"/>
      <c r="R643" s="219"/>
      <c r="S643" s="220"/>
      <c r="T643" s="220"/>
      <c r="U643" s="220"/>
      <c r="V643" s="219"/>
      <c r="W643" s="223"/>
      <c r="X643" s="223">
        <f>Table2[[#This Row],[QUANTIDADE]]*Table2[[#This Row],[PREÇO UNITARIO]]</f>
        <v>0</v>
      </c>
      <c r="Y643" s="219"/>
      <c r="Z643" s="219">
        <f t="shared" si="31"/>
        <v>1</v>
      </c>
      <c r="AA643" s="219"/>
      <c r="AB643" s="220">
        <f t="shared" ca="1" si="32"/>
        <v>46235</v>
      </c>
      <c r="AC643" s="219">
        <f ca="1">_xlfn.DAYS(Table2[[#This Row],[HOJE]],Table2[[#This Row],[DATA PEDIDO HP]])</f>
        <v>46235</v>
      </c>
      <c r="AD643" s="219" t="str">
        <f ca="1">IF(Table2[[#This Row],[STATUS2]]="ENTREGUE","ENTREGUE","")</f>
        <v/>
      </c>
      <c r="AE643" s="230" t="str">
        <f ca="1">IF(Table2[[#This Row],[HOLD]]&gt;30,"ATRASADO","NO PRAZO")</f>
        <v>ATRASADO</v>
      </c>
    </row>
    <row r="644" spans="1:31" ht="15" customHeight="1">
      <c r="A644" s="277"/>
      <c r="B644" s="220"/>
      <c r="C644" s="217"/>
      <c r="D644" s="218"/>
      <c r="E644" s="218"/>
      <c r="F644" s="218"/>
      <c r="G644" s="218"/>
      <c r="H644" s="236"/>
      <c r="I644" s="218"/>
      <c r="J644" s="218"/>
      <c r="K644" s="218"/>
      <c r="L644" s="218"/>
      <c r="M644" s="218"/>
      <c r="N644" s="218"/>
      <c r="O644" s="219"/>
      <c r="P644" s="219"/>
      <c r="Q644" s="219"/>
      <c r="R644" s="219"/>
      <c r="S644" s="220"/>
      <c r="T644" s="220"/>
      <c r="U644" s="220"/>
      <c r="V644" s="219"/>
      <c r="W644" s="223"/>
      <c r="X644" s="223">
        <f>Table2[[#This Row],[QUANTIDADE]]*Table2[[#This Row],[PREÇO UNITARIO]]</f>
        <v>0</v>
      </c>
      <c r="Y644" s="219"/>
      <c r="Z644" s="219">
        <f t="shared" si="31"/>
        <v>1</v>
      </c>
      <c r="AA644" s="219"/>
      <c r="AB644" s="220">
        <f t="shared" ca="1" si="32"/>
        <v>46235</v>
      </c>
      <c r="AC644" s="219">
        <f ca="1">_xlfn.DAYS(Table2[[#This Row],[HOJE]],Table2[[#This Row],[DATA PEDIDO HP]])</f>
        <v>46235</v>
      </c>
      <c r="AD644" s="219" t="str">
        <f ca="1">IF(Table2[[#This Row],[STATUS2]]="ENTREGUE","ENTREGUE","")</f>
        <v/>
      </c>
      <c r="AE644" s="230" t="str">
        <f ca="1">IF(Table2[[#This Row],[HOLD]]&gt;30,"ATRASADO","NO PRAZO")</f>
        <v>ATRASADO</v>
      </c>
    </row>
    <row r="645" spans="1:31" ht="15" customHeight="1">
      <c r="A645" s="277"/>
      <c r="B645" s="220"/>
      <c r="C645" s="217"/>
      <c r="D645" s="218"/>
      <c r="E645" s="218"/>
      <c r="F645" s="218"/>
      <c r="G645" s="218"/>
      <c r="H645" s="236"/>
      <c r="I645" s="218"/>
      <c r="J645" s="218"/>
      <c r="K645" s="218"/>
      <c r="L645" s="218"/>
      <c r="M645" s="218"/>
      <c r="N645" s="218"/>
      <c r="O645" s="219"/>
      <c r="P645" s="219"/>
      <c r="Q645" s="219"/>
      <c r="R645" s="219"/>
      <c r="S645" s="220"/>
      <c r="T645" s="220"/>
      <c r="U645" s="220"/>
      <c r="V645" s="219"/>
      <c r="W645" s="223"/>
      <c r="X645" s="223">
        <f>Table2[[#This Row],[QUANTIDADE]]*Table2[[#This Row],[PREÇO UNITARIO]]</f>
        <v>0</v>
      </c>
      <c r="Y645" s="219"/>
      <c r="Z645" s="219">
        <f t="shared" si="31"/>
        <v>1</v>
      </c>
      <c r="AA645" s="219"/>
      <c r="AB645" s="220">
        <f t="shared" ca="1" si="32"/>
        <v>46235</v>
      </c>
      <c r="AC645" s="219">
        <f ca="1">_xlfn.DAYS(Table2[[#This Row],[HOJE]],Table2[[#This Row],[DATA PEDIDO HP]])</f>
        <v>46235</v>
      </c>
      <c r="AD645" s="219" t="str">
        <f ca="1">IF(Table2[[#This Row],[STATUS2]]="ENTREGUE","ENTREGUE","")</f>
        <v/>
      </c>
      <c r="AE645" s="230" t="str">
        <f ca="1">IF(Table2[[#This Row],[HOLD]]&gt;30,"ATRASADO","NO PRAZO")</f>
        <v>ATRASADO</v>
      </c>
    </row>
    <row r="646" spans="1:31" ht="15" customHeight="1">
      <c r="A646" s="277"/>
      <c r="B646" s="220"/>
      <c r="C646" s="217"/>
      <c r="D646" s="218"/>
      <c r="E646" s="218"/>
      <c r="F646" s="218"/>
      <c r="G646" s="218"/>
      <c r="H646" s="236"/>
      <c r="I646" s="218"/>
      <c r="J646" s="218"/>
      <c r="K646" s="218"/>
      <c r="L646" s="218"/>
      <c r="M646" s="218"/>
      <c r="N646" s="218"/>
      <c r="O646" s="219"/>
      <c r="P646" s="219"/>
      <c r="Q646" s="219"/>
      <c r="R646" s="219"/>
      <c r="S646" s="220"/>
      <c r="T646" s="220"/>
      <c r="U646" s="220"/>
      <c r="V646" s="219"/>
      <c r="W646" s="223"/>
      <c r="X646" s="223">
        <f>Table2[[#This Row],[QUANTIDADE]]*Table2[[#This Row],[PREÇO UNITARIO]]</f>
        <v>0</v>
      </c>
      <c r="Y646" s="219"/>
      <c r="Z646" s="219">
        <f t="shared" si="31"/>
        <v>1</v>
      </c>
      <c r="AA646" s="219"/>
      <c r="AB646" s="220">
        <f t="shared" ca="1" si="32"/>
        <v>46235</v>
      </c>
      <c r="AC646" s="219">
        <f ca="1">_xlfn.DAYS(Table2[[#This Row],[HOJE]],Table2[[#This Row],[DATA PEDIDO HP]])</f>
        <v>46235</v>
      </c>
      <c r="AD646" s="219" t="str">
        <f ca="1">IF(Table2[[#This Row],[STATUS2]]="ENTREGUE","ENTREGUE","")</f>
        <v/>
      </c>
      <c r="AE646" s="230" t="str">
        <f ca="1">IF(Table2[[#This Row],[HOLD]]&gt;30,"ATRASADO","NO PRAZO")</f>
        <v>ATRASADO</v>
      </c>
    </row>
    <row r="647" spans="1:31" ht="15" customHeight="1">
      <c r="A647" s="277"/>
      <c r="B647" s="220"/>
      <c r="C647" s="217"/>
      <c r="D647" s="218"/>
      <c r="E647" s="218"/>
      <c r="F647" s="218"/>
      <c r="G647" s="218"/>
      <c r="H647" s="236"/>
      <c r="I647" s="218"/>
      <c r="J647" s="218"/>
      <c r="K647" s="218"/>
      <c r="L647" s="218"/>
      <c r="M647" s="218"/>
      <c r="N647" s="218"/>
      <c r="O647" s="219"/>
      <c r="P647" s="219"/>
      <c r="Q647" s="219"/>
      <c r="R647" s="219"/>
      <c r="S647" s="220"/>
      <c r="T647" s="220"/>
      <c r="U647" s="220"/>
      <c r="V647" s="219"/>
      <c r="W647" s="223"/>
      <c r="X647" s="223">
        <f>Table2[[#This Row],[QUANTIDADE]]*Table2[[#This Row],[PREÇO UNITARIO]]</f>
        <v>0</v>
      </c>
      <c r="Y647" s="219"/>
      <c r="Z647" s="219">
        <f t="shared" si="31"/>
        <v>1</v>
      </c>
      <c r="AA647" s="219"/>
      <c r="AB647" s="220">
        <f t="shared" ca="1" si="32"/>
        <v>46235</v>
      </c>
      <c r="AC647" s="219">
        <f ca="1">_xlfn.DAYS(Table2[[#This Row],[HOJE]],Table2[[#This Row],[DATA PEDIDO HP]])</f>
        <v>46235</v>
      </c>
      <c r="AD647" s="219" t="str">
        <f ca="1">IF(Table2[[#This Row],[STATUS2]]="ENTREGUE","ENTREGUE","")</f>
        <v/>
      </c>
      <c r="AE647" s="230" t="str">
        <f ca="1">IF(Table2[[#This Row],[HOLD]]&gt;30,"ATRASADO","NO PRAZO")</f>
        <v>ATRASADO</v>
      </c>
    </row>
    <row r="648" spans="1:31" ht="15" customHeight="1">
      <c r="A648" s="277"/>
      <c r="B648" s="220"/>
      <c r="C648" s="217"/>
      <c r="D648" s="218"/>
      <c r="E648" s="218"/>
      <c r="F648" s="218"/>
      <c r="G648" s="218"/>
      <c r="H648" s="236"/>
      <c r="I648" s="218"/>
      <c r="J648" s="218"/>
      <c r="K648" s="218"/>
      <c r="L648" s="218"/>
      <c r="M648" s="218"/>
      <c r="N648" s="218"/>
      <c r="O648" s="219"/>
      <c r="P648" s="219"/>
      <c r="Q648" s="219"/>
      <c r="R648" s="219"/>
      <c r="S648" s="220"/>
      <c r="T648" s="220"/>
      <c r="U648" s="220"/>
      <c r="V648" s="219"/>
      <c r="W648" s="223"/>
      <c r="X648" s="223">
        <f>Table2[[#This Row],[QUANTIDADE]]*Table2[[#This Row],[PREÇO UNITARIO]]</f>
        <v>0</v>
      </c>
      <c r="Y648" s="219"/>
      <c r="Z648" s="219">
        <f t="shared" si="31"/>
        <v>1</v>
      </c>
      <c r="AA648" s="219"/>
      <c r="AB648" s="220">
        <f t="shared" ca="1" si="32"/>
        <v>46235</v>
      </c>
      <c r="AC648" s="219">
        <f ca="1">_xlfn.DAYS(Table2[[#This Row],[HOJE]],Table2[[#This Row],[DATA PEDIDO HP]])</f>
        <v>46235</v>
      </c>
      <c r="AD648" s="219" t="str">
        <f ca="1">IF(Table2[[#This Row],[STATUS2]]="ENTREGUE","ENTREGUE","")</f>
        <v/>
      </c>
      <c r="AE648" s="230" t="str">
        <f ca="1">IF(Table2[[#This Row],[HOLD]]&gt;30,"ATRASADO","NO PRAZO")</f>
        <v>ATRASADO</v>
      </c>
    </row>
    <row r="649" spans="1:31" ht="15" customHeight="1">
      <c r="A649" s="277"/>
      <c r="B649" s="220"/>
      <c r="C649" s="217"/>
      <c r="D649" s="218"/>
      <c r="E649" s="218"/>
      <c r="F649" s="218"/>
      <c r="G649" s="218"/>
      <c r="H649" s="236"/>
      <c r="I649" s="218"/>
      <c r="J649" s="218"/>
      <c r="K649" s="218"/>
      <c r="L649" s="218"/>
      <c r="M649" s="218"/>
      <c r="N649" s="218"/>
      <c r="O649" s="219"/>
      <c r="P649" s="219"/>
      <c r="Q649" s="219"/>
      <c r="R649" s="219"/>
      <c r="S649" s="220"/>
      <c r="T649" s="220"/>
      <c r="U649" s="220"/>
      <c r="V649" s="219"/>
      <c r="W649" s="223"/>
      <c r="X649" s="223">
        <f>Table2[[#This Row],[QUANTIDADE]]*Table2[[#This Row],[PREÇO UNITARIO]]</f>
        <v>0</v>
      </c>
      <c r="Y649" s="219"/>
      <c r="Z649" s="219">
        <f t="shared" si="31"/>
        <v>1</v>
      </c>
      <c r="AA649" s="219"/>
      <c r="AB649" s="220">
        <f t="shared" ca="1" si="32"/>
        <v>46235</v>
      </c>
      <c r="AC649" s="219">
        <f ca="1">_xlfn.DAYS(Table2[[#This Row],[HOJE]],Table2[[#This Row],[DATA PEDIDO HP]])</f>
        <v>46235</v>
      </c>
      <c r="AD649" s="219" t="str">
        <f ca="1">IF(Table2[[#This Row],[STATUS2]]="ENTREGUE","ENTREGUE","")</f>
        <v/>
      </c>
      <c r="AE649" s="230" t="str">
        <f ca="1">IF(Table2[[#This Row],[HOLD]]&gt;30,"ATRASADO","NO PRAZO")</f>
        <v>ATRASADO</v>
      </c>
    </row>
    <row r="650" spans="1:31" ht="15" customHeight="1">
      <c r="A650" s="277"/>
      <c r="B650" s="220"/>
      <c r="C650" s="217"/>
      <c r="D650" s="218"/>
      <c r="E650" s="218"/>
      <c r="F650" s="218"/>
      <c r="G650" s="218"/>
      <c r="H650" s="236"/>
      <c r="I650" s="218"/>
      <c r="J650" s="218"/>
      <c r="K650" s="218"/>
      <c r="L650" s="218"/>
      <c r="M650" s="218"/>
      <c r="N650" s="218"/>
      <c r="O650" s="219"/>
      <c r="P650" s="219"/>
      <c r="Q650" s="219"/>
      <c r="R650" s="219"/>
      <c r="S650" s="220"/>
      <c r="T650" s="220"/>
      <c r="U650" s="220"/>
      <c r="V650" s="219"/>
      <c r="W650" s="223"/>
      <c r="X650" s="223">
        <f>Table2[[#This Row],[QUANTIDADE]]*Table2[[#This Row],[PREÇO UNITARIO]]</f>
        <v>0</v>
      </c>
      <c r="Y650" s="219"/>
      <c r="Z650" s="219">
        <f t="shared" si="31"/>
        <v>1</v>
      </c>
      <c r="AA650" s="219"/>
      <c r="AB650" s="220">
        <f t="shared" ca="1" si="32"/>
        <v>46235</v>
      </c>
      <c r="AC650" s="219">
        <f ca="1">_xlfn.DAYS(Table2[[#This Row],[HOJE]],Table2[[#This Row],[DATA PEDIDO HP]])</f>
        <v>46235</v>
      </c>
      <c r="AD650" s="219" t="str">
        <f ca="1">IF(Table2[[#This Row],[STATUS2]]="ENTREGUE","ENTREGUE","")</f>
        <v/>
      </c>
      <c r="AE650" s="230" t="str">
        <f ca="1">IF(Table2[[#This Row],[HOLD]]&gt;30,"ATRASADO","NO PRAZO")</f>
        <v>ATRASADO</v>
      </c>
    </row>
    <row r="651" spans="1:31" ht="15" customHeight="1">
      <c r="A651" s="277"/>
      <c r="B651" s="220"/>
      <c r="C651" s="217"/>
      <c r="D651" s="218"/>
      <c r="E651" s="218"/>
      <c r="F651" s="218"/>
      <c r="G651" s="218"/>
      <c r="H651" s="236"/>
      <c r="I651" s="218"/>
      <c r="J651" s="218"/>
      <c r="K651" s="218"/>
      <c r="L651" s="218"/>
      <c r="M651" s="218"/>
      <c r="N651" s="218"/>
      <c r="O651" s="219"/>
      <c r="P651" s="219"/>
      <c r="Q651" s="219"/>
      <c r="R651" s="219"/>
      <c r="S651" s="220"/>
      <c r="T651" s="220"/>
      <c r="U651" s="220"/>
      <c r="V651" s="219"/>
      <c r="W651" s="223"/>
      <c r="X651" s="223">
        <f>Table2[[#This Row],[QUANTIDADE]]*Table2[[#This Row],[PREÇO UNITARIO]]</f>
        <v>0</v>
      </c>
      <c r="Y651" s="219"/>
      <c r="Z651" s="219">
        <f t="shared" si="31"/>
        <v>1</v>
      </c>
      <c r="AA651" s="219"/>
      <c r="AB651" s="220">
        <f t="shared" ca="1" si="32"/>
        <v>46235</v>
      </c>
      <c r="AC651" s="219">
        <f ca="1">_xlfn.DAYS(Table2[[#This Row],[HOJE]],Table2[[#This Row],[DATA PEDIDO HP]])</f>
        <v>46235</v>
      </c>
      <c r="AD651" s="219" t="str">
        <f ca="1">IF(Table2[[#This Row],[STATUS2]]="ENTREGUE","ENTREGUE","")</f>
        <v/>
      </c>
      <c r="AE651" s="230" t="str">
        <f ca="1">IF(Table2[[#This Row],[HOLD]]&gt;30,"ATRASADO","NO PRAZO")</f>
        <v>ATRASADO</v>
      </c>
    </row>
    <row r="652" spans="1:31" ht="15" customHeight="1">
      <c r="A652" s="277"/>
      <c r="B652" s="220"/>
      <c r="C652" s="217"/>
      <c r="D652" s="218"/>
      <c r="E652" s="218"/>
      <c r="F652" s="218"/>
      <c r="G652" s="218"/>
      <c r="H652" s="236"/>
      <c r="I652" s="218"/>
      <c r="J652" s="218"/>
      <c r="K652" s="218"/>
      <c r="L652" s="218"/>
      <c r="M652" s="218"/>
      <c r="N652" s="218"/>
      <c r="O652" s="219"/>
      <c r="P652" s="219"/>
      <c r="Q652" s="219"/>
      <c r="R652" s="219"/>
      <c r="S652" s="220"/>
      <c r="T652" s="220"/>
      <c r="U652" s="220"/>
      <c r="V652" s="219"/>
      <c r="W652" s="223"/>
      <c r="X652" s="223">
        <f>Table2[[#This Row],[QUANTIDADE]]*Table2[[#This Row],[PREÇO UNITARIO]]</f>
        <v>0</v>
      </c>
      <c r="Y652" s="219"/>
      <c r="Z652" s="219">
        <f t="shared" si="31"/>
        <v>1</v>
      </c>
      <c r="AA652" s="219"/>
      <c r="AB652" s="220">
        <f t="shared" ca="1" si="32"/>
        <v>46235</v>
      </c>
      <c r="AC652" s="219">
        <f ca="1">_xlfn.DAYS(Table2[[#This Row],[HOJE]],Table2[[#This Row],[DATA PEDIDO HP]])</f>
        <v>46235</v>
      </c>
      <c r="AD652" s="219" t="str">
        <f ca="1">IF(Table2[[#This Row],[STATUS2]]="ENTREGUE","ENTREGUE","")</f>
        <v/>
      </c>
      <c r="AE652" s="230" t="str">
        <f ca="1">IF(Table2[[#This Row],[HOLD]]&gt;30,"ATRASADO","NO PRAZO")</f>
        <v>ATRASADO</v>
      </c>
    </row>
    <row r="653" spans="1:31" ht="15" customHeight="1">
      <c r="A653" s="277"/>
      <c r="B653" s="220"/>
      <c r="C653" s="217"/>
      <c r="D653" s="218"/>
      <c r="E653" s="218"/>
      <c r="F653" s="218"/>
      <c r="G653" s="218"/>
      <c r="H653" s="236"/>
      <c r="I653" s="218"/>
      <c r="J653" s="218"/>
      <c r="K653" s="218"/>
      <c r="L653" s="218"/>
      <c r="M653" s="218"/>
      <c r="N653" s="218"/>
      <c r="O653" s="219"/>
      <c r="P653" s="219"/>
      <c r="Q653" s="219"/>
      <c r="R653" s="219"/>
      <c r="S653" s="220"/>
      <c r="T653" s="220"/>
      <c r="U653" s="220"/>
      <c r="V653" s="219"/>
      <c r="W653" s="223"/>
      <c r="X653" s="223">
        <f>Table2[[#This Row],[QUANTIDADE]]*Table2[[#This Row],[PREÇO UNITARIO]]</f>
        <v>0</v>
      </c>
      <c r="Y653" s="219"/>
      <c r="Z653" s="219">
        <f t="shared" si="31"/>
        <v>1</v>
      </c>
      <c r="AA653" s="219"/>
      <c r="AB653" s="220">
        <f t="shared" ca="1" si="32"/>
        <v>46235</v>
      </c>
      <c r="AC653" s="219">
        <f ca="1">_xlfn.DAYS(Table2[[#This Row],[HOJE]],Table2[[#This Row],[DATA PEDIDO HP]])</f>
        <v>46235</v>
      </c>
      <c r="AD653" s="219" t="str">
        <f ca="1">IF(Table2[[#This Row],[STATUS2]]="ENTREGUE","ENTREGUE","")</f>
        <v/>
      </c>
      <c r="AE653" s="230" t="str">
        <f ca="1">IF(Table2[[#This Row],[HOLD]]&gt;30,"ATRASADO","NO PRAZO")</f>
        <v>ATRASADO</v>
      </c>
    </row>
    <row r="654" spans="1:31" ht="15" customHeight="1">
      <c r="A654" s="277"/>
      <c r="B654" s="220"/>
      <c r="C654" s="217"/>
      <c r="D654" s="218"/>
      <c r="E654" s="218"/>
      <c r="F654" s="218"/>
      <c r="G654" s="218"/>
      <c r="H654" s="236"/>
      <c r="I654" s="218"/>
      <c r="J654" s="218"/>
      <c r="K654" s="218"/>
      <c r="L654" s="218"/>
      <c r="M654" s="218"/>
      <c r="N654" s="218"/>
      <c r="O654" s="219"/>
      <c r="P654" s="219"/>
      <c r="Q654" s="219"/>
      <c r="R654" s="219"/>
      <c r="S654" s="220"/>
      <c r="T654" s="220"/>
      <c r="U654" s="220"/>
      <c r="V654" s="219"/>
      <c r="W654" s="223"/>
      <c r="X654" s="223">
        <f>Table2[[#This Row],[QUANTIDADE]]*Table2[[#This Row],[PREÇO UNITARIO]]</f>
        <v>0</v>
      </c>
      <c r="Y654" s="219"/>
      <c r="Z654" s="219">
        <f t="shared" si="31"/>
        <v>1</v>
      </c>
      <c r="AA654" s="219"/>
      <c r="AB654" s="220">
        <f t="shared" ca="1" si="32"/>
        <v>46235</v>
      </c>
      <c r="AC654" s="219">
        <f ca="1">_xlfn.DAYS(Table2[[#This Row],[HOJE]],Table2[[#This Row],[DATA PEDIDO HP]])</f>
        <v>46235</v>
      </c>
      <c r="AD654" s="219" t="str">
        <f ca="1">IF(Table2[[#This Row],[STATUS2]]="ENTREGUE","ENTREGUE","")</f>
        <v/>
      </c>
      <c r="AE654" s="230" t="str">
        <f ca="1">IF(Table2[[#This Row],[HOLD]]&gt;30,"ATRASADO","NO PRAZO")</f>
        <v>ATRASADO</v>
      </c>
    </row>
    <row r="655" spans="1:31" ht="15" customHeight="1">
      <c r="A655" s="277"/>
      <c r="B655" s="220"/>
      <c r="C655" s="217"/>
      <c r="D655" s="218"/>
      <c r="E655" s="218"/>
      <c r="F655" s="218"/>
      <c r="G655" s="218"/>
      <c r="H655" s="236"/>
      <c r="I655" s="218"/>
      <c r="J655" s="218"/>
      <c r="K655" s="218"/>
      <c r="L655" s="218"/>
      <c r="M655" s="218"/>
      <c r="N655" s="218"/>
      <c r="O655" s="219"/>
      <c r="P655" s="219"/>
      <c r="Q655" s="219"/>
      <c r="R655" s="219"/>
      <c r="S655" s="220"/>
      <c r="T655" s="220"/>
      <c r="U655" s="220"/>
      <c r="V655" s="219"/>
      <c r="W655" s="223"/>
      <c r="X655" s="223">
        <f>Table2[[#This Row],[QUANTIDADE]]*Table2[[#This Row],[PREÇO UNITARIO]]</f>
        <v>0</v>
      </c>
      <c r="Y655" s="219"/>
      <c r="Z655" s="219">
        <f t="shared" si="31"/>
        <v>1</v>
      </c>
      <c r="AA655" s="219"/>
      <c r="AB655" s="220">
        <f t="shared" ca="1" si="32"/>
        <v>46235</v>
      </c>
      <c r="AC655" s="219">
        <f ca="1">_xlfn.DAYS(Table2[[#This Row],[HOJE]],Table2[[#This Row],[DATA PEDIDO HP]])</f>
        <v>46235</v>
      </c>
      <c r="AD655" s="219" t="str">
        <f ca="1">IF(Table2[[#This Row],[STATUS2]]="ENTREGUE","ENTREGUE","")</f>
        <v/>
      </c>
      <c r="AE655" s="230" t="str">
        <f ca="1">IF(Table2[[#This Row],[HOLD]]&gt;30,"ATRASADO","NO PRAZO")</f>
        <v>ATRASADO</v>
      </c>
    </row>
    <row r="656" spans="1:31" ht="15" customHeight="1">
      <c r="A656" s="277"/>
      <c r="B656" s="220"/>
      <c r="C656" s="217"/>
      <c r="D656" s="218"/>
      <c r="E656" s="218"/>
      <c r="F656" s="218"/>
      <c r="G656" s="218"/>
      <c r="H656" s="236"/>
      <c r="I656" s="218"/>
      <c r="J656" s="218"/>
      <c r="K656" s="218"/>
      <c r="L656" s="218"/>
      <c r="M656" s="218"/>
      <c r="N656" s="218"/>
      <c r="O656" s="219"/>
      <c r="P656" s="219"/>
      <c r="Q656" s="219"/>
      <c r="R656" s="219"/>
      <c r="S656" s="220"/>
      <c r="T656" s="220"/>
      <c r="U656" s="220"/>
      <c r="V656" s="219"/>
      <c r="W656" s="223"/>
      <c r="X656" s="223">
        <f>Table2[[#This Row],[QUANTIDADE]]*Table2[[#This Row],[PREÇO UNITARIO]]</f>
        <v>0</v>
      </c>
      <c r="Y656" s="219"/>
      <c r="Z656" s="219">
        <f t="shared" si="31"/>
        <v>1</v>
      </c>
      <c r="AA656" s="219"/>
      <c r="AB656" s="220">
        <f t="shared" ca="1" si="32"/>
        <v>46235</v>
      </c>
      <c r="AC656" s="219">
        <f ca="1">_xlfn.DAYS(Table2[[#This Row],[HOJE]],Table2[[#This Row],[DATA PEDIDO HP]])</f>
        <v>46235</v>
      </c>
      <c r="AD656" s="219" t="str">
        <f ca="1">IF(Table2[[#This Row],[STATUS2]]="ENTREGUE","ENTREGUE","")</f>
        <v/>
      </c>
      <c r="AE656" s="230" t="str">
        <f ca="1">IF(Table2[[#This Row],[HOLD]]&gt;30,"ATRASADO","NO PRAZO")</f>
        <v>ATRASADO</v>
      </c>
    </row>
    <row r="657" spans="1:31" ht="15" customHeight="1">
      <c r="A657" s="277"/>
      <c r="B657" s="220"/>
      <c r="C657" s="217"/>
      <c r="D657" s="218"/>
      <c r="E657" s="218"/>
      <c r="F657" s="218"/>
      <c r="G657" s="218"/>
      <c r="H657" s="236"/>
      <c r="I657" s="218"/>
      <c r="J657" s="218"/>
      <c r="K657" s="218"/>
      <c r="L657" s="218"/>
      <c r="M657" s="218"/>
      <c r="N657" s="218"/>
      <c r="O657" s="219"/>
      <c r="P657" s="219"/>
      <c r="Q657" s="219"/>
      <c r="R657" s="219"/>
      <c r="S657" s="220"/>
      <c r="T657" s="220"/>
      <c r="U657" s="220"/>
      <c r="V657" s="219"/>
      <c r="W657" s="223"/>
      <c r="X657" s="223">
        <f>Table2[[#This Row],[QUANTIDADE]]*Table2[[#This Row],[PREÇO UNITARIO]]</f>
        <v>0</v>
      </c>
      <c r="Y657" s="219"/>
      <c r="Z657" s="219">
        <f t="shared" si="31"/>
        <v>1</v>
      </c>
      <c r="AA657" s="219"/>
      <c r="AB657" s="220">
        <f t="shared" ca="1" si="32"/>
        <v>46235</v>
      </c>
      <c r="AC657" s="219">
        <f ca="1">_xlfn.DAYS(Table2[[#This Row],[HOJE]],Table2[[#This Row],[DATA PEDIDO HP]])</f>
        <v>46235</v>
      </c>
      <c r="AD657" s="219" t="str">
        <f ca="1">IF(Table2[[#This Row],[STATUS2]]="ENTREGUE","ENTREGUE","")</f>
        <v/>
      </c>
      <c r="AE657" s="230" t="str">
        <f ca="1">IF(Table2[[#This Row],[HOLD]]&gt;30,"ATRASADO","NO PRAZO")</f>
        <v>ATRASADO</v>
      </c>
    </row>
    <row r="658" spans="1:31" ht="15" customHeight="1">
      <c r="A658" s="277"/>
      <c r="B658" s="220"/>
      <c r="C658" s="217"/>
      <c r="D658" s="218"/>
      <c r="E658" s="218"/>
      <c r="F658" s="218"/>
      <c r="G658" s="218"/>
      <c r="H658" s="236"/>
      <c r="I658" s="218"/>
      <c r="J658" s="218"/>
      <c r="K658" s="218"/>
      <c r="L658" s="218"/>
      <c r="M658" s="218"/>
      <c r="N658" s="218"/>
      <c r="O658" s="219"/>
      <c r="P658" s="219"/>
      <c r="Q658" s="219"/>
      <c r="R658" s="219"/>
      <c r="S658" s="220"/>
      <c r="T658" s="220"/>
      <c r="U658" s="220"/>
      <c r="V658" s="219"/>
      <c r="W658" s="223"/>
      <c r="X658" s="223">
        <f>Table2[[#This Row],[QUANTIDADE]]*Table2[[#This Row],[PREÇO UNITARIO]]</f>
        <v>0</v>
      </c>
      <c r="Y658" s="219"/>
      <c r="Z658" s="219">
        <f t="shared" si="31"/>
        <v>1</v>
      </c>
      <c r="AA658" s="219"/>
      <c r="AB658" s="220">
        <f t="shared" ca="1" si="32"/>
        <v>46235</v>
      </c>
      <c r="AC658" s="219">
        <f ca="1">_xlfn.DAYS(Table2[[#This Row],[HOJE]],Table2[[#This Row],[DATA PEDIDO HP]])</f>
        <v>46235</v>
      </c>
      <c r="AD658" s="219" t="str">
        <f ca="1">IF(Table2[[#This Row],[STATUS2]]="ENTREGUE","ENTREGUE","")</f>
        <v/>
      </c>
      <c r="AE658" s="230" t="str">
        <f ca="1">IF(Table2[[#This Row],[HOLD]]&gt;30,"ATRASADO","NO PRAZO")</f>
        <v>ATRASADO</v>
      </c>
    </row>
    <row r="659" spans="1:31" ht="15" customHeight="1">
      <c r="A659" s="277"/>
      <c r="B659" s="220"/>
      <c r="C659" s="217"/>
      <c r="D659" s="218"/>
      <c r="E659" s="218"/>
      <c r="F659" s="218"/>
      <c r="G659" s="218"/>
      <c r="H659" s="283"/>
      <c r="I659" s="218"/>
      <c r="J659" s="218"/>
      <c r="K659" s="218"/>
      <c r="L659" s="218"/>
      <c r="M659" s="218"/>
      <c r="N659" s="218"/>
      <c r="O659" s="219"/>
      <c r="P659" s="219"/>
      <c r="Q659" s="219"/>
      <c r="R659" s="219"/>
      <c r="S659" s="220"/>
      <c r="T659" s="220"/>
      <c r="U659" s="220"/>
      <c r="V659" s="219"/>
      <c r="W659" s="223"/>
      <c r="X659" s="223">
        <f>Table2[[#This Row],[QUANTIDADE]]*Table2[[#This Row],[PREÇO UNITARIO]]</f>
        <v>0</v>
      </c>
      <c r="Y659" s="219"/>
      <c r="Z659" s="219">
        <f t="shared" si="31"/>
        <v>1</v>
      </c>
      <c r="AA659" s="219"/>
      <c r="AB659" s="220">
        <f t="shared" ca="1" si="32"/>
        <v>46235</v>
      </c>
      <c r="AC659" s="219">
        <f ca="1">_xlfn.DAYS(Table2[[#This Row],[HOJE]],Table2[[#This Row],[DATA PEDIDO HP]])</f>
        <v>46235</v>
      </c>
      <c r="AD659" s="219" t="str">
        <f ca="1">IF(Table2[[#This Row],[STATUS2]]="ENTREGUE","ENTREGUE","")</f>
        <v/>
      </c>
      <c r="AE659" s="230" t="str">
        <f ca="1">IF(Table2[[#This Row],[HOLD]]&gt;30,"ATRASADO","NO PRAZO")</f>
        <v>ATRASADO</v>
      </c>
    </row>
    <row r="660" spans="1:31" ht="15" customHeight="1">
      <c r="A660" s="277"/>
      <c r="B660" s="220"/>
      <c r="C660" s="217"/>
      <c r="D660" s="218"/>
      <c r="E660" s="218"/>
      <c r="F660" s="218"/>
      <c r="G660" s="218"/>
      <c r="H660" s="280"/>
      <c r="I660" s="218"/>
      <c r="J660" s="218"/>
      <c r="K660" s="218"/>
      <c r="L660" s="218"/>
      <c r="M660" s="218"/>
      <c r="N660" s="218"/>
      <c r="O660" s="219"/>
      <c r="P660" s="219"/>
      <c r="Q660" s="219"/>
      <c r="R660" s="219"/>
      <c r="S660" s="220"/>
      <c r="T660" s="220"/>
      <c r="U660" s="220"/>
      <c r="V660" s="219"/>
      <c r="W660" s="223"/>
      <c r="X660" s="223">
        <f>Table2[[#This Row],[QUANTIDADE]]*Table2[[#This Row],[PREÇO UNITARIO]]</f>
        <v>0</v>
      </c>
      <c r="Y660" s="219"/>
      <c r="Z660" s="219">
        <f t="shared" si="31"/>
        <v>1</v>
      </c>
      <c r="AA660" s="219"/>
      <c r="AB660" s="220">
        <f t="shared" ca="1" si="32"/>
        <v>46235</v>
      </c>
      <c r="AC660" s="219">
        <f ca="1">_xlfn.DAYS(Table2[[#This Row],[HOJE]],Table2[[#This Row],[DATA PEDIDO HP]])</f>
        <v>46235</v>
      </c>
      <c r="AD660" s="219" t="str">
        <f ca="1">IF(Table2[[#This Row],[STATUS2]]="ENTREGUE","ENTREGUE","")</f>
        <v/>
      </c>
      <c r="AE660" s="230" t="str">
        <f ca="1">IF(Table2[[#This Row],[HOLD]]&gt;30,"ATRASADO","NO PRAZO")</f>
        <v>ATRASADO</v>
      </c>
    </row>
    <row r="661" spans="1:31" ht="15" customHeight="1">
      <c r="A661" s="277"/>
      <c r="B661" s="220"/>
      <c r="C661" s="217"/>
      <c r="D661" s="218"/>
      <c r="E661" s="218"/>
      <c r="F661" s="218"/>
      <c r="G661" s="218"/>
      <c r="H661" s="280"/>
      <c r="I661" s="218"/>
      <c r="J661" s="218"/>
      <c r="K661" s="218"/>
      <c r="L661" s="218"/>
      <c r="M661" s="218"/>
      <c r="N661" s="218"/>
      <c r="O661" s="219"/>
      <c r="P661" s="219"/>
      <c r="Q661" s="219"/>
      <c r="R661" s="219"/>
      <c r="S661" s="220"/>
      <c r="T661" s="220"/>
      <c r="U661" s="220"/>
      <c r="V661" s="219"/>
      <c r="W661" s="223"/>
      <c r="X661" s="223">
        <f>Table2[[#This Row],[QUANTIDADE]]*Table2[[#This Row],[PREÇO UNITARIO]]</f>
        <v>0</v>
      </c>
      <c r="Y661" s="219"/>
      <c r="Z661" s="219">
        <f t="shared" si="31"/>
        <v>1</v>
      </c>
      <c r="AA661" s="219"/>
      <c r="AB661" s="220">
        <f t="shared" ca="1" si="32"/>
        <v>46235</v>
      </c>
      <c r="AC661" s="219">
        <f ca="1">_xlfn.DAYS(Table2[[#This Row],[HOJE]],Table2[[#This Row],[DATA PEDIDO HP]])</f>
        <v>46235</v>
      </c>
      <c r="AD661" s="219" t="str">
        <f ca="1">IF(Table2[[#This Row],[STATUS2]]="ENTREGUE","ENTREGUE","")</f>
        <v/>
      </c>
      <c r="AE661" s="230" t="str">
        <f ca="1">IF(Table2[[#This Row],[HOLD]]&gt;30,"ATRASADO","NO PRAZO")</f>
        <v>ATRASADO</v>
      </c>
    </row>
    <row r="662" spans="1:31" ht="15" customHeight="1">
      <c r="A662" s="277"/>
      <c r="B662" s="220"/>
      <c r="C662" s="217"/>
      <c r="D662" s="218"/>
      <c r="E662" s="218"/>
      <c r="F662" s="218"/>
      <c r="G662" s="218"/>
      <c r="H662" s="280"/>
      <c r="I662" s="218"/>
      <c r="J662" s="218"/>
      <c r="K662" s="218"/>
      <c r="L662" s="218"/>
      <c r="M662" s="218"/>
      <c r="N662" s="218"/>
      <c r="O662" s="219"/>
      <c r="P662" s="219"/>
      <c r="Q662" s="219"/>
      <c r="R662" s="219"/>
      <c r="S662" s="220"/>
      <c r="T662" s="220"/>
      <c r="U662" s="220"/>
      <c r="V662" s="219"/>
      <c r="W662" s="223"/>
      <c r="X662" s="223">
        <f>Table2[[#This Row],[QUANTIDADE]]*Table2[[#This Row],[PREÇO UNITARIO]]</f>
        <v>0</v>
      </c>
      <c r="Y662" s="219"/>
      <c r="Z662" s="219">
        <f t="shared" si="31"/>
        <v>1</v>
      </c>
      <c r="AA662" s="219"/>
      <c r="AB662" s="220">
        <f t="shared" ca="1" si="32"/>
        <v>46235</v>
      </c>
      <c r="AC662" s="219">
        <f ca="1">_xlfn.DAYS(Table2[[#This Row],[HOJE]],Table2[[#This Row],[DATA PEDIDO HP]])</f>
        <v>46235</v>
      </c>
      <c r="AD662" s="219" t="str">
        <f ca="1">IF(Table2[[#This Row],[STATUS2]]="ENTREGUE","ENTREGUE","")</f>
        <v/>
      </c>
      <c r="AE662" s="230" t="str">
        <f ca="1">IF(Table2[[#This Row],[HOLD]]&gt;30,"ATRASADO","NO PRAZO")</f>
        <v>ATRASADO</v>
      </c>
    </row>
    <row r="663" spans="1:31" ht="15" customHeight="1">
      <c r="A663" s="277"/>
      <c r="B663" s="220"/>
      <c r="C663" s="217"/>
      <c r="D663" s="218"/>
      <c r="E663" s="218"/>
      <c r="F663" s="218"/>
      <c r="G663" s="218"/>
      <c r="H663" s="280"/>
      <c r="I663" s="218"/>
      <c r="J663" s="218"/>
      <c r="K663" s="218"/>
      <c r="L663" s="218"/>
      <c r="M663" s="218"/>
      <c r="N663" s="218"/>
      <c r="O663" s="219"/>
      <c r="P663" s="219"/>
      <c r="Q663" s="219"/>
      <c r="R663" s="219"/>
      <c r="S663" s="220"/>
      <c r="T663" s="220"/>
      <c r="U663" s="220"/>
      <c r="V663" s="219"/>
      <c r="W663" s="223"/>
      <c r="X663" s="223">
        <f>Table2[[#This Row],[QUANTIDADE]]*Table2[[#This Row],[PREÇO UNITARIO]]</f>
        <v>0</v>
      </c>
      <c r="Y663" s="219"/>
      <c r="Z663" s="219">
        <f t="shared" si="31"/>
        <v>1</v>
      </c>
      <c r="AA663" s="219"/>
      <c r="AB663" s="220">
        <f t="shared" ca="1" si="32"/>
        <v>46235</v>
      </c>
      <c r="AC663" s="219">
        <f ca="1">_xlfn.DAYS(Table2[[#This Row],[HOJE]],Table2[[#This Row],[DATA PEDIDO HP]])</f>
        <v>46235</v>
      </c>
      <c r="AD663" s="219" t="str">
        <f ca="1">IF(Table2[[#This Row],[STATUS2]]="ENTREGUE","ENTREGUE","")</f>
        <v/>
      </c>
      <c r="AE663" s="230" t="str">
        <f ca="1">IF(Table2[[#This Row],[HOLD]]&gt;30,"ATRASADO","NO PRAZO")</f>
        <v>ATRASADO</v>
      </c>
    </row>
    <row r="664" spans="1:31" ht="15" customHeight="1">
      <c r="A664" s="277"/>
      <c r="B664" s="220"/>
      <c r="C664" s="217"/>
      <c r="D664" s="218"/>
      <c r="E664" s="218"/>
      <c r="F664" s="218"/>
      <c r="G664" s="218"/>
      <c r="H664" s="280"/>
      <c r="I664" s="218"/>
      <c r="J664" s="218"/>
      <c r="K664" s="218"/>
      <c r="L664" s="218"/>
      <c r="M664" s="218"/>
      <c r="N664" s="218"/>
      <c r="O664" s="219"/>
      <c r="P664" s="219"/>
      <c r="Q664" s="219"/>
      <c r="R664" s="219"/>
      <c r="S664" s="220"/>
      <c r="T664" s="220"/>
      <c r="U664" s="220"/>
      <c r="V664" s="219"/>
      <c r="W664" s="223"/>
      <c r="X664" s="223">
        <f>Table2[[#This Row],[QUANTIDADE]]*Table2[[#This Row],[PREÇO UNITARIO]]</f>
        <v>0</v>
      </c>
      <c r="Y664" s="219"/>
      <c r="Z664" s="219">
        <f t="shared" si="31"/>
        <v>1</v>
      </c>
      <c r="AA664" s="219"/>
      <c r="AB664" s="220">
        <f t="shared" ca="1" si="32"/>
        <v>46235</v>
      </c>
      <c r="AC664" s="219">
        <f ca="1">_xlfn.DAYS(Table2[[#This Row],[HOJE]],Table2[[#This Row],[DATA PEDIDO HP]])</f>
        <v>46235</v>
      </c>
      <c r="AD664" s="219" t="str">
        <f ca="1">IF(Table2[[#This Row],[STATUS2]]="ENTREGUE","ENTREGUE","")</f>
        <v/>
      </c>
      <c r="AE664" s="230" t="str">
        <f ca="1">IF(Table2[[#This Row],[HOLD]]&gt;30,"ATRASADO","NO PRAZO")</f>
        <v>ATRASADO</v>
      </c>
    </row>
    <row r="665" spans="1:31" ht="15" customHeight="1">
      <c r="A665" s="277"/>
      <c r="B665" s="220"/>
      <c r="C665" s="217"/>
      <c r="D665" s="218"/>
      <c r="E665" s="218"/>
      <c r="F665" s="218"/>
      <c r="G665" s="218"/>
      <c r="H665" s="280"/>
      <c r="I665" s="218"/>
      <c r="J665" s="218"/>
      <c r="K665" s="218"/>
      <c r="L665" s="218"/>
      <c r="M665" s="218"/>
      <c r="N665" s="218"/>
      <c r="O665" s="219"/>
      <c r="P665" s="219"/>
      <c r="Q665" s="219"/>
      <c r="R665" s="219"/>
      <c r="S665" s="220"/>
      <c r="T665" s="220"/>
      <c r="U665" s="220"/>
      <c r="V665" s="219"/>
      <c r="W665" s="223"/>
      <c r="X665" s="223">
        <f>Table2[[#This Row],[QUANTIDADE]]*Table2[[#This Row],[PREÇO UNITARIO]]</f>
        <v>0</v>
      </c>
      <c r="Y665" s="219"/>
      <c r="Z665" s="219">
        <f t="shared" si="31"/>
        <v>1</v>
      </c>
      <c r="AA665" s="219"/>
      <c r="AB665" s="220">
        <f t="shared" ca="1" si="32"/>
        <v>46235</v>
      </c>
      <c r="AC665" s="219">
        <f ca="1">_xlfn.DAYS(Table2[[#This Row],[HOJE]],Table2[[#This Row],[DATA PEDIDO HP]])</f>
        <v>46235</v>
      </c>
      <c r="AD665" s="219" t="str">
        <f ca="1">IF(Table2[[#This Row],[STATUS2]]="ENTREGUE","ENTREGUE","")</f>
        <v/>
      </c>
      <c r="AE665" s="230" t="str">
        <f ca="1">IF(Table2[[#This Row],[HOLD]]&gt;30,"ATRASADO","NO PRAZO")</f>
        <v>ATRASADO</v>
      </c>
    </row>
    <row r="666" spans="1:31" ht="15" customHeight="1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59"/>
    </row>
    <row r="667" spans="1:31" ht="15" customHeight="1">
      <c r="A667" s="256"/>
      <c r="B667" s="284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42"/>
      <c r="N667" s="256"/>
      <c r="O667" s="256"/>
      <c r="P667" s="256"/>
    </row>
  </sheetData>
  <phoneticPr fontId="4" type="noConversion"/>
  <conditionalFormatting sqref="AE2:AE681">
    <cfRule type="containsText" dxfId="106" priority="1" operator="containsText" text="ENTREGUE">
      <formula>NOT(ISERROR(SEARCH("ENTREGUE",AE2)))</formula>
    </cfRule>
  </conditionalFormatting>
  <conditionalFormatting sqref="AE2:AE1048576">
    <cfRule type="containsText" dxfId="105" priority="3" operator="containsText" text="ATRASADO">
      <formula>NOT(ISERROR(SEARCH("ATRASADO",AE2)))</formula>
    </cfRule>
    <cfRule type="containsText" dxfId="104" priority="4" operator="containsText" text="NO PRAZO">
      <formula>NOT(ISERROR(SEARCH("NO PRAZO",AE2)))</formula>
    </cfRule>
  </conditionalFormatting>
  <dataValidations count="2">
    <dataValidation type="date" allowBlank="1" showInputMessage="1" showErrorMessage="1" sqref="C9:C17 D3:D4 S23:U23 B129:D129 T62:T65 T67:T68 T70:T86 S87:T87 T97:T104 T106:T116 T119:T125 T127:T138 S24:S28 S30:S72 S88:S89 S78:S86 S99:S101 S74:S76 S168:S220 B130:C218 B219:B233 B33:B128 S105:S119 C19:C128 T223:U223 T140:U140 T142:T144 T147:T163 T165:T169 T174:T178 T180:T181 T183:T191 T193:T203 T206:T207 T209:T211 T216:U216 T7:T22 U24:U139 T33:T60 U217:U222 S121:S166 T24:T31 U2:U22 T2:T5 U141:U215 S398:S399 S234 S247 S279 S290:S291 U489:U536 S343 S396 S402:S403 S407 S410 S259 S303 S367 S514 U395:U456 U458:U487 S419 S450 S476 S506 U224:U393 S332:S337" xr:uid="{00000000-0002-0000-0000-000000000000}">
      <formula1>44927</formula1>
      <formula2>46387</formula2>
    </dataValidation>
    <dataValidation type="date" allowBlank="1" showInputMessage="1" showErrorMessage="1" sqref="B11:B32 S167 S6:S7 S11:S12 S16:S22 S90:S98 S73 S102:S104 S29 S77" xr:uid="{EDE89F81-6DE4-4D9B-85C5-7D9CB4EFB04E}">
      <formula1>45292</formula1>
      <formula2>46387</formula2>
    </dataValidation>
  </dataValidations>
  <hyperlinks>
    <hyperlink ref="A276" r:id="rId1" xr:uid="{AEF738B3-0304-438B-B066-0C1FC822D46F}"/>
  </hyperlinks>
  <pageMargins left="0.25" right="0.25" top="0.75" bottom="0.75" header="0.3" footer="0.3"/>
  <pageSetup paperSize="9" scale="20" fitToHeight="0" orientation="landscape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CCBCCE7-5E32-4AC1-B7B2-68C411DBB6F1}">
          <x14:formula1>
            <xm:f>DB!$B$2:$B$3</xm:f>
          </x14:formula1>
          <xm:sqref>R227</xm:sqref>
        </x14:dataValidation>
        <x14:dataValidation type="list" allowBlank="1" showInputMessage="1" showErrorMessage="1" xr:uid="{C8842F97-A916-4A6A-B97E-E56E8C802A61}">
          <x14:formula1>
            <xm:f>DB!$A$2:$A$8</xm:f>
          </x14:formula1>
          <xm:sqref>O1:O380 O382:O1048576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27F5-788C-4BEA-A0F0-A4D5038CA72F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425D-D665-44EE-8DA2-A677C098470E}">
  <sheetPr>
    <pageSetUpPr fitToPage="1"/>
  </sheetPr>
  <dimension ref="A1:R510"/>
  <sheetViews>
    <sheetView workbookViewId="0">
      <selection activeCell="E11" sqref="E11"/>
    </sheetView>
  </sheetViews>
  <sheetFormatPr defaultColWidth="9.28515625" defaultRowHeight="14.45"/>
  <cols>
    <col min="1" max="1" width="11.28515625" style="2" customWidth="1"/>
    <col min="2" max="2" width="14.28515625" style="3" bestFit="1" customWidth="1"/>
    <col min="3" max="3" width="16.7109375" style="2" bestFit="1" customWidth="1"/>
    <col min="4" max="4" width="15.42578125" style="1" customWidth="1"/>
    <col min="5" max="5" width="19" style="2" customWidth="1"/>
    <col min="6" max="6" width="53" style="2" bestFit="1" customWidth="1"/>
    <col min="7" max="7" width="8.7109375" style="2" bestFit="1" customWidth="1"/>
    <col min="8" max="8" width="14.28515625" style="111" bestFit="1" customWidth="1"/>
    <col min="9" max="9" width="14.7109375" style="1" bestFit="1" customWidth="1"/>
    <col min="10" max="10" width="34.5703125" style="1" customWidth="1"/>
    <col min="11" max="11" width="15.7109375" style="2" customWidth="1"/>
    <col min="12" max="12" width="67.28515625" style="2" customWidth="1"/>
    <col min="13" max="13" width="15.7109375" style="1" customWidth="1"/>
    <col min="14" max="14" width="20.28515625" style="110" customWidth="1"/>
    <col min="15" max="15" width="20.28515625" style="2" bestFit="1" customWidth="1"/>
    <col min="16" max="16" width="15.28515625" style="2" customWidth="1"/>
    <col min="17" max="17" width="12.7109375" style="110" customWidth="1"/>
    <col min="18" max="18" width="14" style="1" customWidth="1"/>
    <col min="19" max="16384" width="9.28515625" style="1"/>
  </cols>
  <sheetData>
    <row r="1" spans="1:18" s="211" customFormat="1" ht="27.6">
      <c r="A1" s="204" t="s">
        <v>1972</v>
      </c>
      <c r="B1" s="205" t="s">
        <v>1973</v>
      </c>
      <c r="C1" s="204" t="s">
        <v>1974</v>
      </c>
      <c r="D1" s="204" t="s">
        <v>1975</v>
      </c>
      <c r="E1" s="206" t="s">
        <v>1976</v>
      </c>
      <c r="F1" s="204" t="s">
        <v>1977</v>
      </c>
      <c r="G1" s="204" t="s">
        <v>1978</v>
      </c>
      <c r="H1" s="207" t="s">
        <v>1979</v>
      </c>
      <c r="I1" s="207" t="s">
        <v>1980</v>
      </c>
      <c r="J1" s="204" t="s">
        <v>1981</v>
      </c>
      <c r="K1" s="206" t="s">
        <v>1982</v>
      </c>
      <c r="L1" s="204" t="s">
        <v>1983</v>
      </c>
      <c r="M1" s="204" t="s">
        <v>1984</v>
      </c>
      <c r="N1" s="208" t="s">
        <v>1985</v>
      </c>
      <c r="O1" s="209" t="s">
        <v>1986</v>
      </c>
      <c r="P1" s="209" t="s">
        <v>1987</v>
      </c>
      <c r="Q1" s="210" t="s">
        <v>1988</v>
      </c>
      <c r="R1" s="270" t="s">
        <v>29</v>
      </c>
    </row>
    <row r="2" spans="1:18" s="29" customFormat="1">
      <c r="A2" s="132" t="s">
        <v>1989</v>
      </c>
      <c r="B2" s="133">
        <v>46009</v>
      </c>
      <c r="C2" s="132" t="s">
        <v>1990</v>
      </c>
      <c r="D2" s="132" t="s">
        <v>155</v>
      </c>
      <c r="E2" s="132"/>
      <c r="F2" s="132" t="s">
        <v>1991</v>
      </c>
      <c r="G2" s="132">
        <v>4</v>
      </c>
      <c r="H2" s="134">
        <v>72.69</v>
      </c>
      <c r="I2" s="134">
        <f>Table3[[#This Row],[Unit Price]]*Table3[[#This Row],[QTY]]</f>
        <v>290.76</v>
      </c>
      <c r="J2" s="132" t="s">
        <v>1992</v>
      </c>
      <c r="K2" s="132"/>
      <c r="L2" s="132"/>
      <c r="M2" s="133">
        <v>46055</v>
      </c>
      <c r="N2" s="135">
        <v>46071</v>
      </c>
      <c r="O2" s="28"/>
      <c r="P2" s="136"/>
      <c r="Q2" s="137"/>
    </row>
    <row r="3" spans="1:18" s="29" customFormat="1">
      <c r="A3" s="132" t="s">
        <v>1993</v>
      </c>
      <c r="B3" s="133">
        <v>46009</v>
      </c>
      <c r="C3" s="132" t="s">
        <v>1994</v>
      </c>
      <c r="D3" s="132" t="s">
        <v>1995</v>
      </c>
      <c r="E3" s="132" t="s">
        <v>1996</v>
      </c>
      <c r="F3" s="132" t="s">
        <v>1997</v>
      </c>
      <c r="G3" s="132">
        <v>1</v>
      </c>
      <c r="H3" s="134">
        <v>53.96</v>
      </c>
      <c r="I3" s="134">
        <f>Table3[[#This Row],[Unit Price]]*Table3[[#This Row],[QTY]]</f>
        <v>53.96</v>
      </c>
      <c r="J3" s="132" t="s">
        <v>1992</v>
      </c>
      <c r="K3" s="132"/>
      <c r="L3" s="132"/>
      <c r="M3" s="133">
        <v>46055</v>
      </c>
      <c r="N3" s="135">
        <v>46071</v>
      </c>
      <c r="O3" s="28">
        <v>110925</v>
      </c>
      <c r="P3" s="138">
        <v>79993</v>
      </c>
      <c r="Q3" s="137">
        <v>46107</v>
      </c>
      <c r="R3" s="29" t="s">
        <v>1998</v>
      </c>
    </row>
    <row r="4" spans="1:18" s="29" customFormat="1">
      <c r="A4" s="132" t="s">
        <v>1999</v>
      </c>
      <c r="B4" s="133">
        <v>46006</v>
      </c>
      <c r="C4" s="132" t="s">
        <v>2000</v>
      </c>
      <c r="D4" s="132" t="s">
        <v>803</v>
      </c>
      <c r="E4" s="132"/>
      <c r="F4" s="132" t="s">
        <v>2001</v>
      </c>
      <c r="G4" s="132">
        <v>1</v>
      </c>
      <c r="H4" s="134">
        <v>882.69</v>
      </c>
      <c r="I4" s="134">
        <f>Table3[[#This Row],[Unit Price]]*Table3[[#This Row],[QTY]]</f>
        <v>882.69</v>
      </c>
      <c r="J4" s="132" t="s">
        <v>1992</v>
      </c>
      <c r="K4" s="132"/>
      <c r="L4" s="132"/>
      <c r="M4" s="133">
        <v>46055</v>
      </c>
      <c r="N4" s="135">
        <v>46071</v>
      </c>
      <c r="O4" s="139">
        <v>110790</v>
      </c>
      <c r="P4" s="138">
        <v>79992</v>
      </c>
      <c r="Q4" s="137">
        <v>46107</v>
      </c>
      <c r="R4" s="29" t="s">
        <v>1998</v>
      </c>
    </row>
    <row r="5" spans="1:18">
      <c r="A5" s="132" t="s">
        <v>2002</v>
      </c>
      <c r="B5" s="141">
        <v>46028</v>
      </c>
      <c r="C5" s="132" t="s">
        <v>1990</v>
      </c>
      <c r="D5" s="140" t="s">
        <v>243</v>
      </c>
      <c r="E5" s="140"/>
      <c r="F5" s="140" t="s">
        <v>1942</v>
      </c>
      <c r="G5" s="140">
        <v>2</v>
      </c>
      <c r="H5" s="134">
        <v>354.38</v>
      </c>
      <c r="I5" s="134">
        <f>Table3[[#This Row],[Unit Price]]*Table3[[#This Row],[QTY]]</f>
        <v>708.76</v>
      </c>
      <c r="J5" s="140" t="s">
        <v>1992</v>
      </c>
      <c r="K5" s="140"/>
      <c r="L5" s="140"/>
      <c r="M5" s="133">
        <v>46055</v>
      </c>
      <c r="N5" s="135">
        <v>46071</v>
      </c>
    </row>
    <row r="6" spans="1:18">
      <c r="A6" s="132" t="s">
        <v>2003</v>
      </c>
      <c r="B6" s="141">
        <v>46028</v>
      </c>
      <c r="C6" s="132" t="s">
        <v>1990</v>
      </c>
      <c r="D6" s="140" t="s">
        <v>47</v>
      </c>
      <c r="E6" s="140"/>
      <c r="F6" s="140" t="s">
        <v>2004</v>
      </c>
      <c r="G6" s="140">
        <v>2</v>
      </c>
      <c r="H6" s="134">
        <v>244.96</v>
      </c>
      <c r="I6" s="134">
        <f>Table3[[#This Row],[Unit Price]]*Table3[[#This Row],[QTY]]</f>
        <v>489.92</v>
      </c>
      <c r="J6" s="140" t="s">
        <v>1992</v>
      </c>
      <c r="K6" s="140"/>
      <c r="L6" s="140"/>
      <c r="M6" s="133">
        <v>46055</v>
      </c>
      <c r="N6" s="135">
        <v>46071</v>
      </c>
    </row>
    <row r="7" spans="1:18">
      <c r="A7" s="132" t="s">
        <v>2003</v>
      </c>
      <c r="B7" s="141">
        <v>46028</v>
      </c>
      <c r="C7" s="132" t="s">
        <v>1990</v>
      </c>
      <c r="D7" s="140" t="s">
        <v>1182</v>
      </c>
      <c r="E7" s="140" t="s">
        <v>243</v>
      </c>
      <c r="F7" s="140" t="s">
        <v>1942</v>
      </c>
      <c r="G7" s="140">
        <v>2</v>
      </c>
      <c r="H7" s="134">
        <v>354.38</v>
      </c>
      <c r="I7" s="134">
        <f>Table3[[#This Row],[Unit Price]]*Table3[[#This Row],[QTY]]</f>
        <v>708.76</v>
      </c>
      <c r="J7" s="140" t="s">
        <v>1992</v>
      </c>
      <c r="K7" s="140"/>
      <c r="L7" s="140"/>
      <c r="M7" s="133">
        <v>46055</v>
      </c>
      <c r="N7" s="135">
        <v>46071</v>
      </c>
      <c r="O7" s="142"/>
      <c r="P7" s="143"/>
      <c r="Q7" s="144"/>
    </row>
    <row r="8" spans="1:18">
      <c r="A8" s="132" t="s">
        <v>2003</v>
      </c>
      <c r="B8" s="141">
        <v>46028</v>
      </c>
      <c r="C8" s="132" t="s">
        <v>1990</v>
      </c>
      <c r="D8" s="140" t="s">
        <v>2005</v>
      </c>
      <c r="E8" s="140"/>
      <c r="F8" s="140" t="s">
        <v>2006</v>
      </c>
      <c r="G8" s="140">
        <v>4</v>
      </c>
      <c r="H8" s="134">
        <v>72.72</v>
      </c>
      <c r="I8" s="134">
        <f>Table3[[#This Row],[Unit Price]]*Table3[[#This Row],[QTY]]</f>
        <v>290.88</v>
      </c>
      <c r="J8" s="140" t="s">
        <v>1992</v>
      </c>
      <c r="K8" s="140"/>
      <c r="L8" s="140"/>
      <c r="M8" s="133">
        <v>46055</v>
      </c>
      <c r="N8" s="135">
        <v>46071</v>
      </c>
    </row>
    <row r="9" spans="1:18">
      <c r="A9" s="132" t="s">
        <v>2007</v>
      </c>
      <c r="B9" s="141">
        <v>46007</v>
      </c>
      <c r="C9" s="132" t="s">
        <v>1990</v>
      </c>
      <c r="D9" s="140" t="s">
        <v>741</v>
      </c>
      <c r="E9" s="140"/>
      <c r="F9" s="140" t="s">
        <v>742</v>
      </c>
      <c r="G9" s="140">
        <v>1</v>
      </c>
      <c r="H9" s="134">
        <v>886.36</v>
      </c>
      <c r="I9" s="134">
        <f>Table3[[#This Row],[Unit Price]]*Table3[[#This Row],[QTY]]</f>
        <v>886.36</v>
      </c>
      <c r="J9" s="140" t="s">
        <v>1992</v>
      </c>
      <c r="K9" s="140"/>
      <c r="L9" s="140"/>
      <c r="M9" s="133">
        <v>46055</v>
      </c>
      <c r="N9" s="135">
        <v>46071</v>
      </c>
    </row>
    <row r="10" spans="1:18">
      <c r="A10" s="132" t="s">
        <v>2007</v>
      </c>
      <c r="B10" s="141">
        <v>46007</v>
      </c>
      <c r="C10" s="132" t="s">
        <v>1990</v>
      </c>
      <c r="D10" s="140" t="s">
        <v>576</v>
      </c>
      <c r="E10" s="140"/>
      <c r="F10" s="140" t="s">
        <v>2008</v>
      </c>
      <c r="G10" s="140">
        <v>1</v>
      </c>
      <c r="H10" s="134">
        <v>629.66</v>
      </c>
      <c r="I10" s="134">
        <f>Table3[[#This Row],[Unit Price]]*Table3[[#This Row],[QTY]]</f>
        <v>629.66</v>
      </c>
      <c r="J10" s="140" t="s">
        <v>1992</v>
      </c>
      <c r="K10" s="140"/>
      <c r="L10" s="140"/>
      <c r="M10" s="133">
        <v>46055</v>
      </c>
      <c r="N10" s="135">
        <v>46071</v>
      </c>
    </row>
    <row r="11" spans="1:18">
      <c r="A11" s="132" t="s">
        <v>2009</v>
      </c>
      <c r="B11" s="141">
        <v>46027</v>
      </c>
      <c r="C11" s="132" t="s">
        <v>1990</v>
      </c>
      <c r="D11" s="140" t="s">
        <v>2010</v>
      </c>
      <c r="E11" s="140" t="s">
        <v>2011</v>
      </c>
      <c r="F11" s="140" t="s">
        <v>2012</v>
      </c>
      <c r="G11" s="140">
        <v>3</v>
      </c>
      <c r="H11" s="134">
        <v>1429.35</v>
      </c>
      <c r="I11" s="134">
        <f>Table3[[#This Row],[Unit Price]]*Table3[[#This Row],[QTY]]</f>
        <v>4288.0499999999993</v>
      </c>
      <c r="J11" s="140" t="s">
        <v>2013</v>
      </c>
      <c r="K11" s="140"/>
      <c r="L11" s="140"/>
      <c r="M11" s="133">
        <v>46055</v>
      </c>
      <c r="N11" s="135">
        <v>46077</v>
      </c>
    </row>
    <row r="12" spans="1:18" s="29" customFormat="1">
      <c r="A12" s="132" t="s">
        <v>2009</v>
      </c>
      <c r="B12" s="141">
        <v>46027</v>
      </c>
      <c r="C12" s="132" t="s">
        <v>1990</v>
      </c>
      <c r="D12" s="132" t="s">
        <v>2014</v>
      </c>
      <c r="E12" s="132" t="s">
        <v>311</v>
      </c>
      <c r="F12" s="132" t="s">
        <v>2015</v>
      </c>
      <c r="G12" s="132">
        <v>2</v>
      </c>
      <c r="H12" s="134">
        <v>1272.6400000000001</v>
      </c>
      <c r="I12" s="134">
        <f>Table3[[#This Row],[Unit Price]]*Table3[[#This Row],[QTY]]</f>
        <v>2545.2800000000002</v>
      </c>
      <c r="J12" s="140" t="s">
        <v>1992</v>
      </c>
      <c r="K12" s="132"/>
      <c r="L12" s="132"/>
      <c r="M12" s="133">
        <v>46055</v>
      </c>
      <c r="N12" s="135">
        <v>46071</v>
      </c>
      <c r="O12" s="139"/>
      <c r="P12" s="138"/>
      <c r="Q12" s="137"/>
    </row>
    <row r="13" spans="1:18" s="29" customFormat="1">
      <c r="A13" s="132" t="s">
        <v>2009</v>
      </c>
      <c r="B13" s="141">
        <v>46027</v>
      </c>
      <c r="C13" s="132" t="s">
        <v>1990</v>
      </c>
      <c r="D13" s="132" t="s">
        <v>2016</v>
      </c>
      <c r="E13" s="132" t="s">
        <v>2017</v>
      </c>
      <c r="F13" s="132" t="s">
        <v>2018</v>
      </c>
      <c r="G13" s="132">
        <v>3</v>
      </c>
      <c r="H13" s="134">
        <v>1323.87</v>
      </c>
      <c r="I13" s="134">
        <f>Table3[[#This Row],[Unit Price]]*Table3[[#This Row],[QTY]]</f>
        <v>3971.6099999999997</v>
      </c>
      <c r="J13" s="140" t="s">
        <v>1992</v>
      </c>
      <c r="K13" s="132"/>
      <c r="L13" s="132"/>
      <c r="M13" s="133">
        <v>46055</v>
      </c>
      <c r="N13" s="135">
        <v>46071</v>
      </c>
      <c r="O13" s="139"/>
      <c r="P13" s="138"/>
      <c r="Q13" s="137"/>
    </row>
    <row r="14" spans="1:18" s="29" customFormat="1">
      <c r="A14" s="132" t="s">
        <v>2019</v>
      </c>
      <c r="B14" s="141">
        <v>46027</v>
      </c>
      <c r="C14" s="132" t="s">
        <v>1990</v>
      </c>
      <c r="D14" s="132" t="s">
        <v>2020</v>
      </c>
      <c r="E14" s="132"/>
      <c r="F14" s="132" t="s">
        <v>2021</v>
      </c>
      <c r="G14" s="132">
        <v>2</v>
      </c>
      <c r="H14" s="134">
        <v>247.09</v>
      </c>
      <c r="I14" s="134">
        <f>Table3[[#This Row],[Unit Price]]*Table3[[#This Row],[QTY]]</f>
        <v>494.18</v>
      </c>
      <c r="J14" s="140" t="s">
        <v>1992</v>
      </c>
      <c r="K14" s="132"/>
      <c r="L14" s="132"/>
      <c r="M14" s="133">
        <v>46055</v>
      </c>
      <c r="N14" s="135">
        <v>46071</v>
      </c>
      <c r="O14" s="139"/>
      <c r="P14" s="138"/>
      <c r="Q14" s="137"/>
    </row>
    <row r="15" spans="1:18" s="29" customFormat="1">
      <c r="A15" s="132" t="s">
        <v>2022</v>
      </c>
      <c r="B15" s="141">
        <v>46027</v>
      </c>
      <c r="C15" s="132" t="s">
        <v>1990</v>
      </c>
      <c r="D15" s="132" t="s">
        <v>173</v>
      </c>
      <c r="E15" s="132"/>
      <c r="F15" s="132" t="s">
        <v>2023</v>
      </c>
      <c r="G15" s="132">
        <v>14</v>
      </c>
      <c r="H15" s="134">
        <v>32.79</v>
      </c>
      <c r="I15" s="134">
        <f>Table3[[#This Row],[Unit Price]]*Table3[[#This Row],[QTY]]</f>
        <v>459.06</v>
      </c>
      <c r="J15" s="140" t="s">
        <v>2024</v>
      </c>
      <c r="K15" s="132"/>
      <c r="L15" s="132"/>
      <c r="M15" s="133">
        <v>46063</v>
      </c>
      <c r="N15" s="135">
        <v>46108</v>
      </c>
      <c r="O15" s="139"/>
      <c r="P15" s="138"/>
      <c r="Q15" s="137"/>
    </row>
    <row r="16" spans="1:18" s="29" customFormat="1">
      <c r="A16" s="132" t="s">
        <v>2025</v>
      </c>
      <c r="B16" s="141">
        <v>46027</v>
      </c>
      <c r="C16" s="132" t="s">
        <v>1990</v>
      </c>
      <c r="D16" s="132" t="s">
        <v>895</v>
      </c>
      <c r="E16" s="132"/>
      <c r="F16" s="132" t="s">
        <v>2026</v>
      </c>
      <c r="G16" s="132">
        <v>2</v>
      </c>
      <c r="H16" s="134">
        <v>1308.1099999999999</v>
      </c>
      <c r="I16" s="134">
        <f>Table3[[#This Row],[Unit Price]]*Table3[[#This Row],[QTY]]</f>
        <v>2616.2199999999998</v>
      </c>
      <c r="J16" s="140" t="s">
        <v>1992</v>
      </c>
      <c r="K16" s="132"/>
      <c r="L16" s="132"/>
      <c r="M16" s="133">
        <v>46055</v>
      </c>
      <c r="N16" s="135">
        <v>46071</v>
      </c>
      <c r="O16" s="139"/>
      <c r="P16" s="138"/>
      <c r="Q16" s="137"/>
    </row>
    <row r="17" spans="1:18" s="29" customFormat="1">
      <c r="A17" s="132" t="s">
        <v>2027</v>
      </c>
      <c r="B17" s="133">
        <v>46006</v>
      </c>
      <c r="C17" s="132" t="s">
        <v>1990</v>
      </c>
      <c r="D17" s="132" t="s">
        <v>2028</v>
      </c>
      <c r="E17" s="132" t="s">
        <v>2029</v>
      </c>
      <c r="F17" s="132" t="s">
        <v>2030</v>
      </c>
      <c r="G17" s="132">
        <v>1</v>
      </c>
      <c r="H17" s="134">
        <v>861.77</v>
      </c>
      <c r="I17" s="134">
        <f>Table3[[#This Row],[Unit Price]]*Table3[[#This Row],[QTY]]</f>
        <v>861.77</v>
      </c>
      <c r="J17" s="140" t="s">
        <v>1992</v>
      </c>
      <c r="K17" s="132"/>
      <c r="L17" s="132"/>
      <c r="M17" s="133">
        <v>46055</v>
      </c>
      <c r="N17" s="135">
        <v>46071</v>
      </c>
      <c r="O17" s="139"/>
      <c r="P17" s="138"/>
      <c r="Q17" s="137"/>
    </row>
    <row r="18" spans="1:18" s="29" customFormat="1">
      <c r="A18" s="132" t="s">
        <v>2031</v>
      </c>
      <c r="B18" s="141">
        <v>46029</v>
      </c>
      <c r="C18" s="132" t="s">
        <v>1990</v>
      </c>
      <c r="D18" s="132" t="s">
        <v>2032</v>
      </c>
      <c r="E18" s="132"/>
      <c r="F18" s="132" t="s">
        <v>2033</v>
      </c>
      <c r="G18" s="132">
        <v>3</v>
      </c>
      <c r="H18" s="134">
        <v>147.61000000000001</v>
      </c>
      <c r="I18" s="134">
        <f>Table3[[#This Row],[Unit Price]]*Table3[[#This Row],[QTY]]</f>
        <v>442.83000000000004</v>
      </c>
      <c r="J18" s="140" t="s">
        <v>2013</v>
      </c>
      <c r="K18" s="132"/>
      <c r="L18" s="132"/>
      <c r="M18" s="133">
        <v>46051</v>
      </c>
      <c r="N18" s="135">
        <v>46077</v>
      </c>
      <c r="O18" s="139"/>
      <c r="P18" s="138"/>
      <c r="Q18" s="137"/>
    </row>
    <row r="19" spans="1:18">
      <c r="A19" s="132" t="s">
        <v>2031</v>
      </c>
      <c r="B19" s="141">
        <v>46029</v>
      </c>
      <c r="C19" s="132" t="s">
        <v>1990</v>
      </c>
      <c r="D19" s="140" t="s">
        <v>2034</v>
      </c>
      <c r="E19" s="140"/>
      <c r="F19" s="140" t="s">
        <v>2035</v>
      </c>
      <c r="G19" s="140">
        <v>1</v>
      </c>
      <c r="H19" s="134">
        <v>697.33</v>
      </c>
      <c r="I19" s="134">
        <f>Table3[[#This Row],[Unit Price]]*Table3[[#This Row],[QTY]]</f>
        <v>697.33</v>
      </c>
      <c r="J19" s="140" t="s">
        <v>1992</v>
      </c>
      <c r="K19" s="140"/>
      <c r="L19" s="140"/>
      <c r="M19" s="133">
        <v>46055</v>
      </c>
      <c r="N19" s="135">
        <v>46071</v>
      </c>
    </row>
    <row r="20" spans="1:18" s="29" customFormat="1">
      <c r="A20" s="132" t="s">
        <v>2031</v>
      </c>
      <c r="B20" s="141">
        <v>46029</v>
      </c>
      <c r="C20" s="132" t="s">
        <v>1990</v>
      </c>
      <c r="D20" s="132" t="s">
        <v>362</v>
      </c>
      <c r="E20" s="132"/>
      <c r="F20" s="132" t="s">
        <v>2036</v>
      </c>
      <c r="G20" s="132">
        <v>2</v>
      </c>
      <c r="H20" s="134">
        <v>255.99</v>
      </c>
      <c r="I20" s="134">
        <f>Table3[[#This Row],[Unit Price]]*Table3[[#This Row],[QTY]]</f>
        <v>511.98</v>
      </c>
      <c r="J20" s="140" t="s">
        <v>1992</v>
      </c>
      <c r="K20" s="132"/>
      <c r="L20" s="132"/>
      <c r="M20" s="133">
        <v>46055</v>
      </c>
      <c r="N20" s="135">
        <v>46071</v>
      </c>
      <c r="O20" s="139"/>
      <c r="P20" s="138"/>
      <c r="Q20" s="137"/>
    </row>
    <row r="21" spans="1:18" s="30" customFormat="1" ht="14.25" customHeight="1">
      <c r="A21" s="132" t="s">
        <v>2031</v>
      </c>
      <c r="B21" s="141">
        <v>46029</v>
      </c>
      <c r="C21" s="132" t="s">
        <v>1990</v>
      </c>
      <c r="D21" s="132" t="s">
        <v>1004</v>
      </c>
      <c r="E21" s="132"/>
      <c r="F21" s="132" t="s">
        <v>2037</v>
      </c>
      <c r="G21" s="132">
        <v>1</v>
      </c>
      <c r="H21" s="134">
        <v>1370.16</v>
      </c>
      <c r="I21" s="134">
        <f>Table3[[#This Row],[Unit Price]]*Table3[[#This Row],[QTY]]</f>
        <v>1370.16</v>
      </c>
      <c r="J21" s="140" t="s">
        <v>1992</v>
      </c>
      <c r="K21" s="132"/>
      <c r="L21" s="132"/>
      <c r="M21" s="133">
        <v>46055</v>
      </c>
      <c r="N21" s="135">
        <v>46071</v>
      </c>
      <c r="O21" s="28"/>
      <c r="P21" s="136"/>
      <c r="Q21" s="137"/>
      <c r="R21" s="29"/>
    </row>
    <row r="22" spans="1:18" s="29" customFormat="1">
      <c r="A22" s="132" t="s">
        <v>2038</v>
      </c>
      <c r="B22" s="141">
        <v>46030</v>
      </c>
      <c r="C22" s="132" t="s">
        <v>1990</v>
      </c>
      <c r="D22" s="132" t="s">
        <v>2039</v>
      </c>
      <c r="E22" s="132"/>
      <c r="F22" s="132" t="s">
        <v>2040</v>
      </c>
      <c r="G22" s="132">
        <v>3</v>
      </c>
      <c r="H22" s="134">
        <v>271.08999999999997</v>
      </c>
      <c r="I22" s="134">
        <f>Table3[[#This Row],[Unit Price]]*Table3[[#This Row],[QTY]]</f>
        <v>813.27</v>
      </c>
      <c r="J22" s="140" t="s">
        <v>1992</v>
      </c>
      <c r="K22" s="132"/>
      <c r="L22" s="132"/>
      <c r="M22" s="133">
        <v>46055</v>
      </c>
      <c r="N22" s="135">
        <v>46071</v>
      </c>
      <c r="O22" s="28"/>
      <c r="P22" s="136"/>
      <c r="Q22" s="137"/>
    </row>
    <row r="23" spans="1:18" s="29" customFormat="1">
      <c r="A23" s="132" t="s">
        <v>2041</v>
      </c>
      <c r="B23" s="141">
        <v>46031</v>
      </c>
      <c r="C23" s="132" t="s">
        <v>1990</v>
      </c>
      <c r="D23" s="132" t="s">
        <v>2042</v>
      </c>
      <c r="E23" s="132"/>
      <c r="F23" s="132" t="s">
        <v>2043</v>
      </c>
      <c r="G23" s="132">
        <v>1</v>
      </c>
      <c r="H23" s="134">
        <v>289.06</v>
      </c>
      <c r="I23" s="134">
        <f>Table3[[#This Row],[Unit Price]]*Table3[[#This Row],[QTY]]</f>
        <v>289.06</v>
      </c>
      <c r="J23" s="140" t="s">
        <v>1992</v>
      </c>
      <c r="K23" s="132"/>
      <c r="L23" s="132"/>
      <c r="M23" s="133">
        <v>46055</v>
      </c>
      <c r="N23" s="135">
        <v>46071</v>
      </c>
      <c r="O23" s="139"/>
      <c r="P23" s="138"/>
      <c r="Q23" s="137"/>
    </row>
    <row r="24" spans="1:18">
      <c r="A24" s="132" t="s">
        <v>2041</v>
      </c>
      <c r="B24" s="141">
        <v>46031</v>
      </c>
      <c r="C24" s="132" t="s">
        <v>1990</v>
      </c>
      <c r="D24" s="140" t="s">
        <v>2044</v>
      </c>
      <c r="E24" s="140"/>
      <c r="F24" s="132" t="s">
        <v>2045</v>
      </c>
      <c r="G24" s="132">
        <v>1</v>
      </c>
      <c r="H24" s="134">
        <v>538.91999999999996</v>
      </c>
      <c r="I24" s="134">
        <f>Table3[[#This Row],[Unit Price]]*Table3[[#This Row],[QTY]]</f>
        <v>538.91999999999996</v>
      </c>
      <c r="J24" s="140" t="s">
        <v>1992</v>
      </c>
      <c r="K24" s="140"/>
      <c r="L24" s="140"/>
      <c r="M24" s="133">
        <v>46055</v>
      </c>
      <c r="N24" s="135">
        <v>46071</v>
      </c>
    </row>
    <row r="25" spans="1:18" s="29" customFormat="1">
      <c r="A25" s="132" t="s">
        <v>2046</v>
      </c>
      <c r="B25" s="141">
        <v>46031</v>
      </c>
      <c r="C25" s="132" t="s">
        <v>1990</v>
      </c>
      <c r="D25" s="132" t="s">
        <v>2047</v>
      </c>
      <c r="E25" s="132"/>
      <c r="F25" s="132" t="s">
        <v>2048</v>
      </c>
      <c r="G25" s="132">
        <v>2</v>
      </c>
      <c r="H25" s="134">
        <v>114.43</v>
      </c>
      <c r="I25" s="134">
        <f>Table3[[#This Row],[Unit Price]]*Table3[[#This Row],[QTY]]</f>
        <v>228.86</v>
      </c>
      <c r="J25" s="140" t="s">
        <v>1992</v>
      </c>
      <c r="K25" s="132"/>
      <c r="L25" s="132"/>
      <c r="M25" s="133">
        <v>46055</v>
      </c>
      <c r="N25" s="135">
        <v>46071</v>
      </c>
      <c r="O25" s="139"/>
      <c r="P25" s="138"/>
      <c r="Q25" s="137"/>
    </row>
    <row r="26" spans="1:18" s="29" customFormat="1">
      <c r="A26" s="132" t="s">
        <v>2049</v>
      </c>
      <c r="B26" s="141">
        <v>46031</v>
      </c>
      <c r="C26" s="132" t="s">
        <v>1990</v>
      </c>
      <c r="D26" s="132" t="s">
        <v>70</v>
      </c>
      <c r="E26" s="132"/>
      <c r="F26" s="132" t="s">
        <v>71</v>
      </c>
      <c r="G26" s="132">
        <v>10</v>
      </c>
      <c r="H26" s="134">
        <v>35.19</v>
      </c>
      <c r="I26" s="134">
        <f>Table3[[#This Row],[Unit Price]]*Table3[[#This Row],[QTY]]</f>
        <v>351.9</v>
      </c>
      <c r="J26" s="140" t="s">
        <v>1992</v>
      </c>
      <c r="K26" s="132"/>
      <c r="L26" s="132"/>
      <c r="M26" s="133">
        <v>46055</v>
      </c>
      <c r="N26" s="135">
        <v>46071</v>
      </c>
      <c r="O26" s="139"/>
      <c r="P26" s="138"/>
      <c r="Q26" s="137"/>
    </row>
    <row r="27" spans="1:18" s="29" customFormat="1">
      <c r="A27" s="132" t="s">
        <v>2050</v>
      </c>
      <c r="B27" s="141">
        <v>46034</v>
      </c>
      <c r="C27" s="132" t="s">
        <v>1990</v>
      </c>
      <c r="D27" s="132" t="s">
        <v>267</v>
      </c>
      <c r="E27" s="132"/>
      <c r="F27" s="132" t="s">
        <v>268</v>
      </c>
      <c r="G27" s="132">
        <v>2</v>
      </c>
      <c r="H27" s="134">
        <v>723.56</v>
      </c>
      <c r="I27" s="134">
        <f>Table3[[#This Row],[Unit Price]]*Table3[[#This Row],[QTY]]</f>
        <v>1447.12</v>
      </c>
      <c r="J27" s="140" t="s">
        <v>1992</v>
      </c>
      <c r="K27" s="132"/>
      <c r="L27" s="132"/>
      <c r="M27" s="133">
        <v>46055</v>
      </c>
      <c r="N27" s="135">
        <v>46071</v>
      </c>
      <c r="O27" s="139"/>
      <c r="P27" s="138"/>
      <c r="Q27" s="137"/>
    </row>
    <row r="28" spans="1:18">
      <c r="A28" s="132" t="s">
        <v>2051</v>
      </c>
      <c r="B28" s="141">
        <v>46035</v>
      </c>
      <c r="C28" s="140" t="s">
        <v>1425</v>
      </c>
      <c r="D28" s="140" t="s">
        <v>259</v>
      </c>
      <c r="E28" s="140"/>
      <c r="F28" s="140" t="s">
        <v>2052</v>
      </c>
      <c r="G28" s="140">
        <v>1</v>
      </c>
      <c r="H28" s="134">
        <v>11.63</v>
      </c>
      <c r="I28" s="134">
        <f>Table3[[#This Row],[Unit Price]]*Table3[[#This Row],[QTY]]</f>
        <v>11.63</v>
      </c>
      <c r="J28" s="140" t="s">
        <v>1992</v>
      </c>
      <c r="K28" s="140"/>
      <c r="L28" s="140"/>
      <c r="M28" s="133">
        <v>46055</v>
      </c>
      <c r="N28" s="135">
        <v>46071</v>
      </c>
      <c r="O28" s="2">
        <v>110103</v>
      </c>
      <c r="P28" s="2">
        <v>77797</v>
      </c>
      <c r="Q28" s="110">
        <v>46036</v>
      </c>
      <c r="R28" s="29" t="s">
        <v>1998</v>
      </c>
    </row>
    <row r="29" spans="1:18">
      <c r="A29" s="132" t="s">
        <v>2051</v>
      </c>
      <c r="B29" s="141">
        <v>46035</v>
      </c>
      <c r="C29" s="140" t="s">
        <v>1425</v>
      </c>
      <c r="D29" s="140" t="s">
        <v>257</v>
      </c>
      <c r="E29" s="140"/>
      <c r="F29" s="140" t="s">
        <v>2053</v>
      </c>
      <c r="G29" s="140">
        <v>1</v>
      </c>
      <c r="H29" s="134">
        <v>72.98</v>
      </c>
      <c r="I29" s="134">
        <f>Table3[[#This Row],[Unit Price]]*Table3[[#This Row],[QTY]]</f>
        <v>72.98</v>
      </c>
      <c r="J29" s="140" t="s">
        <v>1992</v>
      </c>
      <c r="K29" s="140"/>
      <c r="L29" s="140"/>
      <c r="M29" s="133">
        <v>46055</v>
      </c>
      <c r="N29" s="135">
        <v>46071</v>
      </c>
    </row>
    <row r="30" spans="1:18">
      <c r="A30" s="132" t="s">
        <v>2054</v>
      </c>
      <c r="B30" s="141">
        <v>46035</v>
      </c>
      <c r="C30" s="132" t="s">
        <v>1990</v>
      </c>
      <c r="D30" s="140" t="s">
        <v>2055</v>
      </c>
      <c r="E30" s="140"/>
      <c r="F30" s="140" t="s">
        <v>2056</v>
      </c>
      <c r="G30" s="140">
        <v>2</v>
      </c>
      <c r="H30" s="134">
        <v>47.69</v>
      </c>
      <c r="I30" s="134">
        <f>Table3[[#This Row],[Unit Price]]*Table3[[#This Row],[QTY]]</f>
        <v>95.38</v>
      </c>
      <c r="J30" s="140" t="s">
        <v>1992</v>
      </c>
      <c r="K30" s="140"/>
      <c r="L30" s="140"/>
      <c r="M30" s="133">
        <v>46055</v>
      </c>
      <c r="N30" s="135">
        <v>46071</v>
      </c>
    </row>
    <row r="31" spans="1:18" s="29" customFormat="1">
      <c r="A31" s="132" t="s">
        <v>2054</v>
      </c>
      <c r="B31" s="141">
        <v>46035</v>
      </c>
      <c r="C31" s="132" t="s">
        <v>1990</v>
      </c>
      <c r="D31" s="132" t="s">
        <v>2057</v>
      </c>
      <c r="E31" s="132"/>
      <c r="F31" s="132" t="s">
        <v>2058</v>
      </c>
      <c r="G31" s="132">
        <v>1</v>
      </c>
      <c r="H31" s="134">
        <v>17.920000000000002</v>
      </c>
      <c r="I31" s="134">
        <f>Table3[[#This Row],[Unit Price]]*Table3[[#This Row],[QTY]]</f>
        <v>17.920000000000002</v>
      </c>
      <c r="J31" s="140" t="s">
        <v>1992</v>
      </c>
      <c r="K31" s="132"/>
      <c r="L31" s="132"/>
      <c r="M31" s="133">
        <v>46055</v>
      </c>
      <c r="N31" s="135">
        <v>46071</v>
      </c>
      <c r="O31" s="28"/>
      <c r="P31" s="136"/>
      <c r="Q31" s="137"/>
    </row>
    <row r="32" spans="1:18" s="29" customFormat="1">
      <c r="A32" s="132" t="s">
        <v>2054</v>
      </c>
      <c r="B32" s="141">
        <v>46035</v>
      </c>
      <c r="C32" s="132" t="s">
        <v>1990</v>
      </c>
      <c r="D32" s="132" t="s">
        <v>2059</v>
      </c>
      <c r="E32" s="132"/>
      <c r="F32" s="132" t="s">
        <v>2060</v>
      </c>
      <c r="G32" s="132">
        <v>1</v>
      </c>
      <c r="H32" s="134">
        <v>160.53</v>
      </c>
      <c r="I32" s="134">
        <f>Table3[[#This Row],[Unit Price]]*Table3[[#This Row],[QTY]]</f>
        <v>160.53</v>
      </c>
      <c r="J32" s="140" t="s">
        <v>1992</v>
      </c>
      <c r="K32" s="132"/>
      <c r="L32" s="132"/>
      <c r="M32" s="133">
        <v>46055</v>
      </c>
      <c r="N32" s="135">
        <v>46071</v>
      </c>
      <c r="O32" s="28"/>
      <c r="P32" s="136"/>
      <c r="Q32" s="137"/>
    </row>
    <row r="33" spans="1:18" s="29" customFormat="1">
      <c r="A33" s="132" t="s">
        <v>2061</v>
      </c>
      <c r="B33" s="141">
        <v>46035</v>
      </c>
      <c r="C33" s="132" t="s">
        <v>1990</v>
      </c>
      <c r="D33" s="132" t="s">
        <v>2062</v>
      </c>
      <c r="E33" s="132"/>
      <c r="F33" s="132" t="s">
        <v>2063</v>
      </c>
      <c r="G33" s="132">
        <v>1</v>
      </c>
      <c r="H33" s="134">
        <v>146.97999999999999</v>
      </c>
      <c r="I33" s="134">
        <f>Table3[[#This Row],[Unit Price]]*Table3[[#This Row],[QTY]]</f>
        <v>146.97999999999999</v>
      </c>
      <c r="J33" s="140" t="s">
        <v>1992</v>
      </c>
      <c r="K33" s="132"/>
      <c r="L33" s="132" t="s">
        <v>2064</v>
      </c>
      <c r="M33" s="133">
        <v>46055</v>
      </c>
      <c r="N33" s="135">
        <v>46071</v>
      </c>
      <c r="O33" s="28"/>
      <c r="P33" s="136"/>
      <c r="Q33" s="137"/>
    </row>
    <row r="34" spans="1:18" s="29" customFormat="1">
      <c r="A34" s="132" t="s">
        <v>2061</v>
      </c>
      <c r="B34" s="141">
        <v>46035</v>
      </c>
      <c r="C34" s="132" t="s">
        <v>1990</v>
      </c>
      <c r="D34" s="132" t="s">
        <v>2065</v>
      </c>
      <c r="E34" s="132" t="s">
        <v>2066</v>
      </c>
      <c r="F34" s="132" t="s">
        <v>2067</v>
      </c>
      <c r="G34" s="132">
        <v>1</v>
      </c>
      <c r="H34" s="134">
        <v>313.37</v>
      </c>
      <c r="I34" s="134">
        <f>Table3[[#This Row],[Unit Price]]*Table3[[#This Row],[QTY]]</f>
        <v>313.37</v>
      </c>
      <c r="J34" s="140" t="s">
        <v>1992</v>
      </c>
      <c r="K34" s="132"/>
      <c r="L34" s="132" t="s">
        <v>2064</v>
      </c>
      <c r="M34" s="133">
        <v>46055</v>
      </c>
      <c r="N34" s="135">
        <v>46071</v>
      </c>
      <c r="O34" s="28"/>
      <c r="P34" s="136"/>
      <c r="Q34" s="137"/>
    </row>
    <row r="35" spans="1:18" s="29" customFormat="1">
      <c r="A35" s="132" t="s">
        <v>2068</v>
      </c>
      <c r="B35" s="141">
        <v>46036</v>
      </c>
      <c r="C35" s="132" t="s">
        <v>2000</v>
      </c>
      <c r="D35" s="132" t="s">
        <v>2069</v>
      </c>
      <c r="E35" s="132"/>
      <c r="F35" s="132" t="s">
        <v>2070</v>
      </c>
      <c r="G35" s="132">
        <v>2</v>
      </c>
      <c r="H35" s="134">
        <v>118.04</v>
      </c>
      <c r="I35" s="134">
        <f>Table3[[#This Row],[Unit Price]]*Table3[[#This Row],[QTY]]</f>
        <v>236.08</v>
      </c>
      <c r="J35" s="140" t="s">
        <v>1992</v>
      </c>
      <c r="K35" s="132"/>
      <c r="L35" s="132"/>
      <c r="M35" s="133">
        <v>46055</v>
      </c>
      <c r="N35" s="135">
        <v>46071</v>
      </c>
      <c r="O35" s="215">
        <v>110997</v>
      </c>
      <c r="P35" s="136" t="s">
        <v>2071</v>
      </c>
      <c r="Q35" s="137">
        <v>46035</v>
      </c>
      <c r="R35" s="29" t="s">
        <v>1998</v>
      </c>
    </row>
    <row r="36" spans="1:18">
      <c r="A36" s="140" t="s">
        <v>2072</v>
      </c>
      <c r="B36" s="141">
        <v>46037</v>
      </c>
      <c r="C36" s="132" t="s">
        <v>1990</v>
      </c>
      <c r="D36" s="140" t="s">
        <v>2073</v>
      </c>
      <c r="E36" s="140" t="s">
        <v>2074</v>
      </c>
      <c r="F36" s="140" t="s">
        <v>2075</v>
      </c>
      <c r="G36" s="140">
        <v>2</v>
      </c>
      <c r="H36" s="134">
        <v>999.04</v>
      </c>
      <c r="I36" s="134">
        <f>Table3[[#This Row],[Unit Price]]*Table3[[#This Row],[QTY]]</f>
        <v>1998.08</v>
      </c>
      <c r="J36" s="140" t="s">
        <v>2024</v>
      </c>
      <c r="K36" s="140"/>
      <c r="L36" s="140"/>
      <c r="M36" s="133">
        <v>46063</v>
      </c>
      <c r="N36" s="135">
        <v>46108</v>
      </c>
    </row>
    <row r="37" spans="1:18" s="29" customFormat="1">
      <c r="A37" s="132" t="s">
        <v>2076</v>
      </c>
      <c r="B37" s="141">
        <v>46038</v>
      </c>
      <c r="C37" s="132" t="s">
        <v>1990</v>
      </c>
      <c r="D37" s="132" t="s">
        <v>2077</v>
      </c>
      <c r="E37" s="132"/>
      <c r="F37" s="132" t="s">
        <v>2078</v>
      </c>
      <c r="G37" s="132">
        <v>10</v>
      </c>
      <c r="H37" s="134">
        <v>11.43</v>
      </c>
      <c r="I37" s="134">
        <f>Table3[[#This Row],[Unit Price]]*Table3[[#This Row],[QTY]]</f>
        <v>114.3</v>
      </c>
      <c r="J37" s="140" t="s">
        <v>1992</v>
      </c>
      <c r="K37" s="132"/>
      <c r="L37" s="132"/>
      <c r="M37" s="133">
        <v>46051</v>
      </c>
      <c r="N37" s="135">
        <v>46071</v>
      </c>
      <c r="O37" s="28"/>
      <c r="P37" s="136"/>
      <c r="Q37" s="137"/>
    </row>
    <row r="38" spans="1:18" s="29" customFormat="1">
      <c r="A38" s="132" t="s">
        <v>2079</v>
      </c>
      <c r="B38" s="141">
        <v>46038</v>
      </c>
      <c r="C38" s="132" t="s">
        <v>1990</v>
      </c>
      <c r="D38" s="132" t="s">
        <v>2080</v>
      </c>
      <c r="E38" s="132"/>
      <c r="F38" s="132" t="s">
        <v>2081</v>
      </c>
      <c r="G38" s="132">
        <v>10</v>
      </c>
      <c r="H38" s="134">
        <v>19.600000000000001</v>
      </c>
      <c r="I38" s="134">
        <f>Table3[[#This Row],[Unit Price]]*Table3[[#This Row],[QTY]]</f>
        <v>196</v>
      </c>
      <c r="J38" s="140" t="s">
        <v>1992</v>
      </c>
      <c r="K38" s="132"/>
      <c r="L38" s="132"/>
      <c r="M38" s="133">
        <v>46055</v>
      </c>
      <c r="N38" s="135">
        <v>46071</v>
      </c>
      <c r="O38" s="28"/>
      <c r="P38" s="136"/>
      <c r="Q38" s="137"/>
    </row>
    <row r="39" spans="1:18" s="29" customFormat="1">
      <c r="A39" s="132" t="s">
        <v>2082</v>
      </c>
      <c r="B39" s="141">
        <v>46038</v>
      </c>
      <c r="C39" s="132" t="s">
        <v>2083</v>
      </c>
      <c r="D39" s="132" t="s">
        <v>253</v>
      </c>
      <c r="E39" s="132"/>
      <c r="F39" s="132" t="s">
        <v>2084</v>
      </c>
      <c r="G39" s="132">
        <v>2</v>
      </c>
      <c r="H39" s="134">
        <v>2.71</v>
      </c>
      <c r="I39" s="134">
        <f>Table3[[#This Row],[Unit Price]]*Table3[[#This Row],[QTY]]</f>
        <v>5.42</v>
      </c>
      <c r="J39" s="140" t="s">
        <v>1992</v>
      </c>
      <c r="K39" s="132"/>
      <c r="L39" s="132"/>
      <c r="M39" s="133">
        <v>46055</v>
      </c>
      <c r="N39" s="135">
        <v>46071</v>
      </c>
      <c r="O39" s="215">
        <v>111042</v>
      </c>
      <c r="P39" s="136" t="s">
        <v>2085</v>
      </c>
      <c r="Q39" s="137">
        <v>46038</v>
      </c>
      <c r="R39" s="29" t="s">
        <v>1998</v>
      </c>
    </row>
    <row r="40" spans="1:18" s="29" customFormat="1">
      <c r="A40" s="132" t="s">
        <v>2086</v>
      </c>
      <c r="B40" s="141">
        <v>46038</v>
      </c>
      <c r="C40" s="132" t="s">
        <v>1990</v>
      </c>
      <c r="D40" s="132" t="s">
        <v>2087</v>
      </c>
      <c r="E40" s="132"/>
      <c r="F40" s="132" t="s">
        <v>2088</v>
      </c>
      <c r="G40" s="132">
        <v>1</v>
      </c>
      <c r="H40" s="134">
        <v>702.23</v>
      </c>
      <c r="I40" s="134">
        <f>Table3[[#This Row],[Unit Price]]*Table3[[#This Row],[QTY]]</f>
        <v>702.23</v>
      </c>
      <c r="J40" s="140"/>
      <c r="K40" s="132"/>
      <c r="L40" s="132"/>
      <c r="M40" s="133"/>
      <c r="N40" s="135"/>
      <c r="O40" s="28"/>
      <c r="P40" s="136"/>
      <c r="Q40" s="137"/>
    </row>
    <row r="41" spans="1:18">
      <c r="A41" s="140" t="s">
        <v>2089</v>
      </c>
      <c r="B41" s="141">
        <v>46041</v>
      </c>
      <c r="C41" s="140" t="s">
        <v>2090</v>
      </c>
      <c r="D41" s="140" t="s">
        <v>1215</v>
      </c>
      <c r="E41" s="140"/>
      <c r="F41" s="140" t="s">
        <v>2091</v>
      </c>
      <c r="G41" s="140">
        <v>1</v>
      </c>
      <c r="H41" s="134">
        <v>303.75</v>
      </c>
      <c r="I41" s="134">
        <f>Table3[[#This Row],[Unit Price]]*Table3[[#This Row],[QTY]]</f>
        <v>303.75</v>
      </c>
      <c r="J41" s="140" t="s">
        <v>1992</v>
      </c>
      <c r="K41" s="140"/>
      <c r="L41" s="140"/>
      <c r="M41" s="133">
        <v>46055</v>
      </c>
      <c r="N41" s="135">
        <v>46071</v>
      </c>
      <c r="O41" s="2">
        <v>111043</v>
      </c>
      <c r="P41" s="2">
        <v>77903</v>
      </c>
      <c r="Q41" s="110">
        <v>46041</v>
      </c>
      <c r="R41" s="1" t="s">
        <v>1998</v>
      </c>
    </row>
    <row r="42" spans="1:18" s="29" customFormat="1">
      <c r="A42" s="140" t="s">
        <v>2089</v>
      </c>
      <c r="B42" s="141">
        <v>46041</v>
      </c>
      <c r="C42" s="140" t="s">
        <v>2090</v>
      </c>
      <c r="D42" s="132" t="s">
        <v>1260</v>
      </c>
      <c r="E42" s="132"/>
      <c r="F42" s="132" t="s">
        <v>2092</v>
      </c>
      <c r="G42" s="132">
        <v>1</v>
      </c>
      <c r="H42" s="134">
        <v>362.55</v>
      </c>
      <c r="I42" s="134">
        <f>Table3[[#This Row],[Unit Price]]*Table3[[#This Row],[QTY]]</f>
        <v>362.55</v>
      </c>
      <c r="J42" s="140" t="s">
        <v>1992</v>
      </c>
      <c r="K42" s="132"/>
      <c r="L42" s="132"/>
      <c r="M42" s="133">
        <v>46055</v>
      </c>
      <c r="N42" s="135">
        <v>46071</v>
      </c>
      <c r="O42" s="215">
        <v>111043</v>
      </c>
      <c r="P42" s="136">
        <v>77903</v>
      </c>
      <c r="Q42" s="137">
        <v>46041</v>
      </c>
      <c r="R42" s="1" t="s">
        <v>1998</v>
      </c>
    </row>
    <row r="43" spans="1:18" s="29" customFormat="1">
      <c r="A43" s="140" t="s">
        <v>2089</v>
      </c>
      <c r="B43" s="141">
        <v>46041</v>
      </c>
      <c r="C43" s="140" t="s">
        <v>2090</v>
      </c>
      <c r="D43" s="132" t="s">
        <v>2093</v>
      </c>
      <c r="E43" s="132"/>
      <c r="F43" s="132" t="s">
        <v>2094</v>
      </c>
      <c r="G43" s="132">
        <v>1</v>
      </c>
      <c r="H43" s="134">
        <v>77.010000000000005</v>
      </c>
      <c r="I43" s="134">
        <f>Table3[[#This Row],[Unit Price]]*Table3[[#This Row],[QTY]]</f>
        <v>77.010000000000005</v>
      </c>
      <c r="J43" s="140" t="s">
        <v>1992</v>
      </c>
      <c r="K43" s="132"/>
      <c r="L43" s="132"/>
      <c r="M43" s="133">
        <v>46055</v>
      </c>
      <c r="N43" s="135">
        <v>46071</v>
      </c>
      <c r="O43" s="215">
        <v>111043</v>
      </c>
      <c r="P43" s="136">
        <v>77903</v>
      </c>
      <c r="Q43" s="137">
        <v>46041</v>
      </c>
      <c r="R43" s="1" t="s">
        <v>1998</v>
      </c>
    </row>
    <row r="44" spans="1:18" s="29" customFormat="1">
      <c r="A44" s="140" t="s">
        <v>2095</v>
      </c>
      <c r="B44" s="141">
        <v>46041</v>
      </c>
      <c r="C44" s="132" t="s">
        <v>1990</v>
      </c>
      <c r="D44" s="132" t="s">
        <v>2096</v>
      </c>
      <c r="E44" s="132"/>
      <c r="F44" s="132" t="s">
        <v>2097</v>
      </c>
      <c r="G44" s="132">
        <v>5</v>
      </c>
      <c r="H44" s="134">
        <v>77.98</v>
      </c>
      <c r="I44" s="134">
        <f>Table3[[#This Row],[Unit Price]]*Table3[[#This Row],[QTY]]</f>
        <v>389.90000000000003</v>
      </c>
      <c r="J44" s="140" t="s">
        <v>1992</v>
      </c>
      <c r="K44" s="132"/>
      <c r="L44" s="132"/>
      <c r="M44" s="133">
        <v>46055</v>
      </c>
      <c r="N44" s="135">
        <v>46071</v>
      </c>
      <c r="O44" s="28"/>
      <c r="P44" s="136"/>
      <c r="Q44" s="137"/>
    </row>
    <row r="45" spans="1:18" s="29" customFormat="1">
      <c r="A45" s="140" t="s">
        <v>2098</v>
      </c>
      <c r="B45" s="141">
        <v>46041</v>
      </c>
      <c r="C45" s="132" t="s">
        <v>2099</v>
      </c>
      <c r="D45" s="132" t="s">
        <v>1235</v>
      </c>
      <c r="E45" s="132"/>
      <c r="F45" s="132" t="s">
        <v>2100</v>
      </c>
      <c r="G45" s="132">
        <v>2</v>
      </c>
      <c r="H45" s="134">
        <v>14.21</v>
      </c>
      <c r="I45" s="134">
        <f>Table3[[#This Row],[Unit Price]]*Table3[[#This Row],[QTY]]</f>
        <v>28.42</v>
      </c>
      <c r="J45" s="140" t="s">
        <v>1992</v>
      </c>
      <c r="K45" s="132"/>
      <c r="L45" s="132"/>
      <c r="M45" s="133">
        <v>46055</v>
      </c>
      <c r="N45" s="135">
        <v>46071</v>
      </c>
      <c r="O45" s="139">
        <v>111109</v>
      </c>
      <c r="P45" s="138">
        <v>79997</v>
      </c>
      <c r="Q45" s="137">
        <v>46107</v>
      </c>
      <c r="R45" s="29" t="s">
        <v>1998</v>
      </c>
    </row>
    <row r="46" spans="1:18" s="29" customFormat="1">
      <c r="A46" s="140" t="s">
        <v>2098</v>
      </c>
      <c r="B46" s="141">
        <v>46041</v>
      </c>
      <c r="C46" s="132" t="s">
        <v>2099</v>
      </c>
      <c r="D46" s="132" t="s">
        <v>446</v>
      </c>
      <c r="E46" s="132"/>
      <c r="F46" s="132" t="s">
        <v>2101</v>
      </c>
      <c r="G46" s="132">
        <v>3</v>
      </c>
      <c r="H46" s="134">
        <v>431.82</v>
      </c>
      <c r="I46" s="134">
        <f>Table3[[#This Row],[Unit Price]]*Table3[[#This Row],[QTY]]</f>
        <v>1295.46</v>
      </c>
      <c r="J46" s="132" t="s">
        <v>2024</v>
      </c>
      <c r="K46" s="132"/>
      <c r="L46" s="132"/>
      <c r="M46" s="133">
        <v>46063</v>
      </c>
      <c r="N46" s="135">
        <v>46108</v>
      </c>
      <c r="O46" s="139"/>
      <c r="P46" s="136"/>
      <c r="Q46" s="137"/>
    </row>
    <row r="47" spans="1:18" s="29" customFormat="1">
      <c r="A47" s="132" t="s">
        <v>2102</v>
      </c>
      <c r="B47" s="141">
        <v>46041</v>
      </c>
      <c r="C47" s="132" t="s">
        <v>985</v>
      </c>
      <c r="D47" s="132" t="s">
        <v>2103</v>
      </c>
      <c r="E47" s="132"/>
      <c r="F47" s="132" t="s">
        <v>2091</v>
      </c>
      <c r="G47" s="132">
        <v>2</v>
      </c>
      <c r="H47" s="134">
        <v>303.75</v>
      </c>
      <c r="I47" s="134">
        <f>Table3[[#This Row],[Unit Price]]*Table3[[#This Row],[QTY]]</f>
        <v>607.5</v>
      </c>
      <c r="J47" s="132" t="s">
        <v>2013</v>
      </c>
      <c r="K47" s="132"/>
      <c r="L47" s="132"/>
      <c r="M47" s="133">
        <v>46051</v>
      </c>
      <c r="N47" s="135">
        <v>46077</v>
      </c>
      <c r="O47" s="139">
        <v>111045</v>
      </c>
      <c r="P47" s="136" t="s">
        <v>2104</v>
      </c>
      <c r="Q47" s="137">
        <v>46041</v>
      </c>
      <c r="R47" s="29" t="s">
        <v>1998</v>
      </c>
    </row>
    <row r="48" spans="1:18" s="29" customFormat="1">
      <c r="A48" s="132" t="s">
        <v>2105</v>
      </c>
      <c r="B48" s="141">
        <v>46043</v>
      </c>
      <c r="C48" s="132" t="s">
        <v>1990</v>
      </c>
      <c r="D48" s="132" t="s">
        <v>126</v>
      </c>
      <c r="E48" s="132"/>
      <c r="F48" s="132" t="s">
        <v>675</v>
      </c>
      <c r="G48" s="132">
        <v>1</v>
      </c>
      <c r="H48" s="134">
        <v>790.42</v>
      </c>
      <c r="I48" s="134">
        <f>Table3[[#This Row],[Unit Price]]*Table3[[#This Row],[QTY]]</f>
        <v>790.42</v>
      </c>
      <c r="J48" s="132" t="s">
        <v>2013</v>
      </c>
      <c r="K48" s="132"/>
      <c r="L48" s="132"/>
      <c r="M48" s="133">
        <v>46051</v>
      </c>
      <c r="N48" s="135">
        <v>46077</v>
      </c>
      <c r="O48" s="139"/>
      <c r="P48" s="136"/>
      <c r="Q48" s="137"/>
    </row>
    <row r="49" spans="1:18" s="29" customFormat="1">
      <c r="A49" s="132" t="s">
        <v>2105</v>
      </c>
      <c r="B49" s="141">
        <v>46043</v>
      </c>
      <c r="C49" s="132" t="s">
        <v>1990</v>
      </c>
      <c r="D49" s="132" t="s">
        <v>626</v>
      </c>
      <c r="E49" s="132"/>
      <c r="F49" s="132" t="s">
        <v>2106</v>
      </c>
      <c r="G49" s="132">
        <v>1</v>
      </c>
      <c r="H49" s="134">
        <v>365.81</v>
      </c>
      <c r="I49" s="134">
        <f>Table3[[#This Row],[Unit Price]]*Table3[[#This Row],[QTY]]</f>
        <v>365.81</v>
      </c>
      <c r="J49" s="132" t="s">
        <v>2013</v>
      </c>
      <c r="K49" s="132"/>
      <c r="L49" s="132"/>
      <c r="M49" s="133">
        <v>46051</v>
      </c>
      <c r="N49" s="135">
        <v>46077</v>
      </c>
      <c r="O49" s="139"/>
      <c r="P49" s="136"/>
      <c r="Q49" s="137"/>
    </row>
    <row r="50" spans="1:18" s="29" customFormat="1">
      <c r="A50" s="132" t="s">
        <v>2105</v>
      </c>
      <c r="B50" s="141">
        <v>46043</v>
      </c>
      <c r="C50" s="132" t="s">
        <v>1990</v>
      </c>
      <c r="D50" s="132" t="s">
        <v>231</v>
      </c>
      <c r="E50" s="132"/>
      <c r="F50" s="132" t="s">
        <v>2107</v>
      </c>
      <c r="G50" s="132">
        <v>1</v>
      </c>
      <c r="H50" s="134">
        <v>112.68</v>
      </c>
      <c r="I50" s="134">
        <f>Table3[[#This Row],[Unit Price]]*Table3[[#This Row],[QTY]]</f>
        <v>112.68</v>
      </c>
      <c r="J50" s="132" t="s">
        <v>2013</v>
      </c>
      <c r="K50" s="132"/>
      <c r="L50" s="132"/>
      <c r="M50" s="133">
        <v>46051</v>
      </c>
      <c r="N50" s="135">
        <v>46077</v>
      </c>
      <c r="O50" s="139"/>
      <c r="P50" s="136"/>
      <c r="Q50" s="137"/>
    </row>
    <row r="51" spans="1:18" s="29" customFormat="1">
      <c r="A51" s="132" t="s">
        <v>2108</v>
      </c>
      <c r="B51" s="141">
        <v>46045</v>
      </c>
      <c r="C51" s="132" t="s">
        <v>1990</v>
      </c>
      <c r="D51" s="132" t="s">
        <v>2109</v>
      </c>
      <c r="E51" s="132"/>
      <c r="F51" s="132" t="s">
        <v>71</v>
      </c>
      <c r="G51" s="132">
        <v>5</v>
      </c>
      <c r="H51" s="134">
        <v>35.19</v>
      </c>
      <c r="I51" s="134">
        <f>Table3[[#This Row],[Unit Price]]*Table3[[#This Row],[QTY]]</f>
        <v>175.95</v>
      </c>
      <c r="J51" s="132" t="s">
        <v>2013</v>
      </c>
      <c r="K51" s="132"/>
      <c r="L51" s="132"/>
      <c r="M51" s="133">
        <v>46051</v>
      </c>
      <c r="N51" s="135">
        <v>46077</v>
      </c>
      <c r="O51" s="139"/>
      <c r="P51" s="136"/>
      <c r="Q51" s="137"/>
    </row>
    <row r="52" spans="1:18" s="29" customFormat="1">
      <c r="A52" s="132" t="s">
        <v>2110</v>
      </c>
      <c r="B52" s="141">
        <v>46045</v>
      </c>
      <c r="C52" s="132" t="s">
        <v>1990</v>
      </c>
      <c r="D52" s="132" t="s">
        <v>2111</v>
      </c>
      <c r="E52" s="132"/>
      <c r="F52" s="132" t="s">
        <v>2112</v>
      </c>
      <c r="G52" s="132">
        <v>5</v>
      </c>
      <c r="H52" s="134">
        <v>139.13999999999999</v>
      </c>
      <c r="I52" s="134">
        <f>Table3[[#This Row],[Unit Price]]*Table3[[#This Row],[QTY]]</f>
        <v>695.69999999999993</v>
      </c>
      <c r="J52" s="132" t="s">
        <v>2113</v>
      </c>
      <c r="K52" s="132"/>
      <c r="L52" s="132"/>
      <c r="M52" s="133">
        <v>46063</v>
      </c>
      <c r="N52" s="135">
        <v>46108</v>
      </c>
      <c r="O52" s="139"/>
      <c r="P52" s="138"/>
      <c r="Q52" s="137"/>
    </row>
    <row r="53" spans="1:18" s="29" customFormat="1">
      <c r="A53" s="132" t="s">
        <v>2114</v>
      </c>
      <c r="B53" s="141">
        <v>46045</v>
      </c>
      <c r="C53" s="132" t="s">
        <v>1990</v>
      </c>
      <c r="D53" s="132" t="s">
        <v>2115</v>
      </c>
      <c r="E53" s="132"/>
      <c r="F53" s="132" t="s">
        <v>2116</v>
      </c>
      <c r="G53" s="132">
        <v>2</v>
      </c>
      <c r="H53" s="134">
        <v>231.87</v>
      </c>
      <c r="I53" s="134">
        <f>Table3[[#This Row],[Unit Price]]*Table3[[#This Row],[QTY]]</f>
        <v>463.74</v>
      </c>
      <c r="J53" s="132" t="s">
        <v>2013</v>
      </c>
      <c r="K53" s="132"/>
      <c r="L53" s="132"/>
      <c r="M53" s="133">
        <v>46051</v>
      </c>
      <c r="N53" s="135">
        <v>46077</v>
      </c>
      <c r="O53" s="28"/>
      <c r="P53" s="136"/>
      <c r="Q53" s="137"/>
    </row>
    <row r="54" spans="1:18" s="29" customFormat="1">
      <c r="A54" s="132" t="s">
        <v>2114</v>
      </c>
      <c r="B54" s="141">
        <v>46045</v>
      </c>
      <c r="C54" s="132" t="s">
        <v>1990</v>
      </c>
      <c r="D54" s="132" t="s">
        <v>446</v>
      </c>
      <c r="E54" s="132"/>
      <c r="F54" s="132" t="s">
        <v>2101</v>
      </c>
      <c r="G54" s="132">
        <v>2</v>
      </c>
      <c r="H54" s="134">
        <v>431.82</v>
      </c>
      <c r="I54" s="134">
        <f>Table3[[#This Row],[Unit Price]]*Table3[[#This Row],[QTY]]</f>
        <v>863.64</v>
      </c>
      <c r="J54" s="132"/>
      <c r="K54" s="132"/>
      <c r="L54" s="132"/>
      <c r="M54" s="133"/>
      <c r="N54" s="135"/>
      <c r="O54" s="28"/>
      <c r="P54" s="136"/>
      <c r="Q54" s="146"/>
    </row>
    <row r="55" spans="1:18" s="29" customFormat="1">
      <c r="A55" s="132" t="s">
        <v>2114</v>
      </c>
      <c r="B55" s="141">
        <v>46045</v>
      </c>
      <c r="C55" s="132" t="s">
        <v>1990</v>
      </c>
      <c r="D55" s="132" t="s">
        <v>2117</v>
      </c>
      <c r="E55" s="132"/>
      <c r="F55" s="132" t="s">
        <v>2118</v>
      </c>
      <c r="G55" s="132">
        <v>2</v>
      </c>
      <c r="H55" s="134">
        <v>78.39</v>
      </c>
      <c r="I55" s="134">
        <f>Table3[[#This Row],[Unit Price]]*Table3[[#This Row],[QTY]]</f>
        <v>156.78</v>
      </c>
      <c r="J55" s="132" t="s">
        <v>989</v>
      </c>
      <c r="K55" s="132"/>
      <c r="L55" s="132"/>
      <c r="M55" s="133">
        <v>46117</v>
      </c>
      <c r="N55" s="135">
        <v>46168</v>
      </c>
      <c r="O55" s="28"/>
      <c r="P55" s="136"/>
      <c r="Q55" s="137"/>
    </row>
    <row r="56" spans="1:18" s="29" customFormat="1">
      <c r="A56" s="132" t="s">
        <v>2114</v>
      </c>
      <c r="B56" s="141">
        <v>46045</v>
      </c>
      <c r="C56" s="132" t="s">
        <v>1990</v>
      </c>
      <c r="D56" s="132" t="s">
        <v>448</v>
      </c>
      <c r="E56" s="132"/>
      <c r="F56" s="132" t="s">
        <v>2119</v>
      </c>
      <c r="G56" s="132">
        <v>2</v>
      </c>
      <c r="H56" s="134">
        <v>227.98</v>
      </c>
      <c r="I56" s="134">
        <f>Table3[[#This Row],[Unit Price]]*Table3[[#This Row],[QTY]]</f>
        <v>455.96</v>
      </c>
      <c r="J56" s="132" t="s">
        <v>2013</v>
      </c>
      <c r="K56" s="132"/>
      <c r="L56" s="132"/>
      <c r="M56" s="133">
        <v>46051</v>
      </c>
      <c r="N56" s="135">
        <v>46077</v>
      </c>
      <c r="O56" s="28"/>
      <c r="P56" s="136"/>
      <c r="Q56" s="137"/>
    </row>
    <row r="57" spans="1:18" s="29" customFormat="1">
      <c r="A57" s="132" t="s">
        <v>2114</v>
      </c>
      <c r="B57" s="141">
        <v>46045</v>
      </c>
      <c r="C57" s="132" t="s">
        <v>1990</v>
      </c>
      <c r="D57" s="132" t="s">
        <v>2120</v>
      </c>
      <c r="E57" s="140"/>
      <c r="F57" s="140" t="s">
        <v>2121</v>
      </c>
      <c r="G57" s="140">
        <v>2</v>
      </c>
      <c r="H57" s="134">
        <v>180.46</v>
      </c>
      <c r="I57" s="134">
        <f>Table3[[#This Row],[Unit Price]]*Table3[[#This Row],[QTY]]</f>
        <v>360.92</v>
      </c>
      <c r="J57" s="132" t="s">
        <v>2013</v>
      </c>
      <c r="K57" s="132"/>
      <c r="L57" s="132"/>
      <c r="M57" s="133">
        <v>46051</v>
      </c>
      <c r="N57" s="135">
        <v>46077</v>
      </c>
      <c r="O57" s="28"/>
      <c r="P57" s="136"/>
      <c r="Q57" s="137"/>
    </row>
    <row r="58" spans="1:18">
      <c r="A58" s="132" t="s">
        <v>2114</v>
      </c>
      <c r="B58" s="141">
        <v>46045</v>
      </c>
      <c r="C58" s="132" t="s">
        <v>1990</v>
      </c>
      <c r="D58" s="140" t="s">
        <v>2122</v>
      </c>
      <c r="E58" s="140"/>
      <c r="F58" s="140" t="s">
        <v>2123</v>
      </c>
      <c r="G58" s="140">
        <v>2</v>
      </c>
      <c r="H58" s="134">
        <v>301.08</v>
      </c>
      <c r="I58" s="134">
        <f>Table3[[#This Row],[Unit Price]]*Table3[[#This Row],[QTY]]</f>
        <v>602.16</v>
      </c>
      <c r="J58" s="140" t="s">
        <v>2013</v>
      </c>
      <c r="K58" s="140"/>
      <c r="L58" s="140"/>
      <c r="M58" s="133">
        <v>46051</v>
      </c>
      <c r="N58" s="135">
        <v>46077</v>
      </c>
    </row>
    <row r="59" spans="1:18">
      <c r="A59" s="132" t="s">
        <v>2124</v>
      </c>
      <c r="B59" s="141">
        <v>46045</v>
      </c>
      <c r="C59" s="132" t="s">
        <v>1990</v>
      </c>
      <c r="D59" s="140" t="s">
        <v>35</v>
      </c>
      <c r="E59" s="140" t="s">
        <v>40</v>
      </c>
      <c r="F59" s="140" t="s">
        <v>2125</v>
      </c>
      <c r="G59" s="140">
        <v>2</v>
      </c>
      <c r="H59" s="134">
        <v>691.66</v>
      </c>
      <c r="I59" s="134">
        <f>Table3[[#This Row],[Unit Price]]*Table3[[#This Row],[QTY]]</f>
        <v>1383.32</v>
      </c>
      <c r="J59" s="140"/>
      <c r="K59" s="140"/>
      <c r="L59" s="140"/>
      <c r="M59" s="141"/>
      <c r="N59" s="145"/>
    </row>
    <row r="60" spans="1:18">
      <c r="A60" s="132" t="s">
        <v>2124</v>
      </c>
      <c r="B60" s="141">
        <v>46045</v>
      </c>
      <c r="C60" s="132" t="s">
        <v>1990</v>
      </c>
      <c r="D60" s="140" t="s">
        <v>2126</v>
      </c>
      <c r="E60" s="140"/>
      <c r="F60" s="140" t="s">
        <v>2127</v>
      </c>
      <c r="G60" s="140">
        <v>2</v>
      </c>
      <c r="H60" s="134">
        <v>160.04</v>
      </c>
      <c r="I60" s="134">
        <f>Table3[[#This Row],[Unit Price]]*Table3[[#This Row],[QTY]]</f>
        <v>320.08</v>
      </c>
      <c r="J60" s="140"/>
      <c r="K60" s="140"/>
      <c r="L60" s="140" t="s">
        <v>2128</v>
      </c>
      <c r="M60" s="141"/>
      <c r="N60" s="145">
        <v>46106</v>
      </c>
      <c r="P60" s="2">
        <v>80057</v>
      </c>
      <c r="Q60" s="110">
        <v>46111</v>
      </c>
      <c r="R60" s="1" t="s">
        <v>2129</v>
      </c>
    </row>
    <row r="61" spans="1:18">
      <c r="A61" s="132" t="s">
        <v>2124</v>
      </c>
      <c r="B61" s="141">
        <v>46045</v>
      </c>
      <c r="C61" s="132" t="s">
        <v>1990</v>
      </c>
      <c r="D61" s="140" t="s">
        <v>2130</v>
      </c>
      <c r="E61" s="140"/>
      <c r="F61" s="140" t="s">
        <v>2131</v>
      </c>
      <c r="G61" s="140">
        <v>1</v>
      </c>
      <c r="H61" s="134">
        <v>950.95</v>
      </c>
      <c r="I61" s="134">
        <f>Table3[[#This Row],[Unit Price]]*Table3[[#This Row],[QTY]]</f>
        <v>950.95</v>
      </c>
      <c r="J61" s="140" t="s">
        <v>2132</v>
      </c>
      <c r="K61" s="140"/>
      <c r="L61" s="140"/>
      <c r="M61" s="141">
        <v>46189</v>
      </c>
      <c r="N61" s="145">
        <v>46209</v>
      </c>
    </row>
    <row r="62" spans="1:18" s="29" customFormat="1">
      <c r="A62" s="132" t="s">
        <v>2133</v>
      </c>
      <c r="B62" s="141">
        <v>46045</v>
      </c>
      <c r="C62" s="132" t="s">
        <v>1990</v>
      </c>
      <c r="D62" s="132" t="s">
        <v>2134</v>
      </c>
      <c r="E62" s="132"/>
      <c r="F62" s="132" t="s">
        <v>2040</v>
      </c>
      <c r="G62" s="132">
        <v>2</v>
      </c>
      <c r="H62" s="134">
        <v>271.08999999999997</v>
      </c>
      <c r="I62" s="134">
        <f>Table3[[#This Row],[Unit Price]]*Table3[[#This Row],[QTY]]</f>
        <v>542.17999999999995</v>
      </c>
      <c r="J62" s="132" t="s">
        <v>2013</v>
      </c>
      <c r="K62" s="132"/>
      <c r="L62" s="132"/>
      <c r="M62" s="133">
        <v>46051</v>
      </c>
      <c r="N62" s="135">
        <v>46077</v>
      </c>
      <c r="O62" s="28"/>
      <c r="P62" s="136"/>
      <c r="Q62" s="137"/>
    </row>
    <row r="63" spans="1:18">
      <c r="A63" s="132" t="s">
        <v>2135</v>
      </c>
      <c r="B63" s="141">
        <v>46045</v>
      </c>
      <c r="C63" s="132" t="s">
        <v>2136</v>
      </c>
      <c r="D63" s="140" t="s">
        <v>2137</v>
      </c>
      <c r="E63" s="140"/>
      <c r="F63" s="140" t="s">
        <v>2138</v>
      </c>
      <c r="G63" s="140">
        <v>2</v>
      </c>
      <c r="H63" s="134">
        <v>491.98</v>
      </c>
      <c r="I63" s="134">
        <f>Table3[[#This Row],[Unit Price]]*Table3[[#This Row],[QTY]]</f>
        <v>983.96</v>
      </c>
      <c r="J63" s="140" t="s">
        <v>989</v>
      </c>
      <c r="K63" s="140"/>
      <c r="L63" s="140" t="s">
        <v>2139</v>
      </c>
      <c r="M63" s="141">
        <v>46097</v>
      </c>
      <c r="N63" s="135">
        <v>46168</v>
      </c>
    </row>
    <row r="64" spans="1:18">
      <c r="A64" s="132" t="s">
        <v>2140</v>
      </c>
      <c r="B64" s="141">
        <v>46048</v>
      </c>
      <c r="C64" s="132" t="s">
        <v>1990</v>
      </c>
      <c r="D64" s="140" t="s">
        <v>82</v>
      </c>
      <c r="E64" s="140"/>
      <c r="F64" s="140" t="s">
        <v>2081</v>
      </c>
      <c r="G64" s="140">
        <v>10</v>
      </c>
      <c r="H64" s="134">
        <v>19.600000000000001</v>
      </c>
      <c r="I64" s="134">
        <f>Table3[[#This Row],[Unit Price]]*Table3[[#This Row],[QTY]]</f>
        <v>196</v>
      </c>
      <c r="J64" s="140" t="s">
        <v>2013</v>
      </c>
      <c r="K64" s="140"/>
      <c r="L64" s="140"/>
      <c r="M64" s="133">
        <v>46051</v>
      </c>
      <c r="N64" s="135">
        <v>46077</v>
      </c>
    </row>
    <row r="65" spans="1:18" s="29" customFormat="1">
      <c r="A65" s="132" t="s">
        <v>2140</v>
      </c>
      <c r="B65" s="141">
        <v>46048</v>
      </c>
      <c r="C65" s="132" t="s">
        <v>1990</v>
      </c>
      <c r="D65" s="132" t="s">
        <v>329</v>
      </c>
      <c r="E65" s="132"/>
      <c r="F65" s="132" t="s">
        <v>600</v>
      </c>
      <c r="G65" s="132">
        <v>10</v>
      </c>
      <c r="H65" s="134">
        <v>49.81</v>
      </c>
      <c r="I65" s="134">
        <f>Table3[[#This Row],[Unit Price]]*Table3[[#This Row],[QTY]]</f>
        <v>498.1</v>
      </c>
      <c r="J65" s="132" t="s">
        <v>2013</v>
      </c>
      <c r="K65" s="132"/>
      <c r="L65" s="132"/>
      <c r="M65" s="133">
        <v>46051</v>
      </c>
      <c r="N65" s="135">
        <v>46077</v>
      </c>
      <c r="O65" s="28"/>
      <c r="P65" s="136"/>
      <c r="Q65" s="137"/>
    </row>
    <row r="66" spans="1:18">
      <c r="A66" s="140" t="s">
        <v>2141</v>
      </c>
      <c r="B66" s="141">
        <v>46049</v>
      </c>
      <c r="C66" s="132" t="s">
        <v>1990</v>
      </c>
      <c r="D66" s="140" t="s">
        <v>2142</v>
      </c>
      <c r="E66" s="140"/>
      <c r="F66" s="140" t="s">
        <v>2143</v>
      </c>
      <c r="G66" s="140">
        <v>3</v>
      </c>
      <c r="H66" s="134">
        <v>315.19</v>
      </c>
      <c r="I66" s="134">
        <f>Table3[[#This Row],[Unit Price]]*Table3[[#This Row],[QTY]]</f>
        <v>945.56999999999994</v>
      </c>
      <c r="J66" s="132" t="s">
        <v>2113</v>
      </c>
      <c r="K66" s="140"/>
      <c r="L66" s="140"/>
      <c r="M66" s="133">
        <v>46063</v>
      </c>
      <c r="N66" s="135">
        <v>46108</v>
      </c>
    </row>
    <row r="67" spans="1:18">
      <c r="A67" s="140" t="s">
        <v>2144</v>
      </c>
      <c r="B67" s="141">
        <v>46049</v>
      </c>
      <c r="C67" s="132" t="s">
        <v>1990</v>
      </c>
      <c r="D67" s="140" t="s">
        <v>763</v>
      </c>
      <c r="E67" s="140"/>
      <c r="F67" s="140" t="s">
        <v>2145</v>
      </c>
      <c r="G67" s="140">
        <v>1</v>
      </c>
      <c r="H67" s="134">
        <v>284.97000000000003</v>
      </c>
      <c r="I67" s="134">
        <f>Table3[[#This Row],[Unit Price]]*Table3[[#This Row],[QTY]]</f>
        <v>284.97000000000003</v>
      </c>
      <c r="J67" s="140" t="s">
        <v>2013</v>
      </c>
      <c r="K67" s="140"/>
      <c r="L67" s="140"/>
      <c r="M67" s="141">
        <v>46057</v>
      </c>
      <c r="N67" s="135">
        <v>46077</v>
      </c>
    </row>
    <row r="68" spans="1:18">
      <c r="A68" s="140" t="s">
        <v>2146</v>
      </c>
      <c r="B68" s="141">
        <v>46049</v>
      </c>
      <c r="C68" s="132" t="s">
        <v>1990</v>
      </c>
      <c r="D68" s="140" t="s">
        <v>2147</v>
      </c>
      <c r="E68" s="140"/>
      <c r="F68" s="140" t="s">
        <v>2148</v>
      </c>
      <c r="G68" s="140">
        <v>3</v>
      </c>
      <c r="H68" s="134">
        <v>21.07</v>
      </c>
      <c r="I68" s="134">
        <f>Table3[[#This Row],[Unit Price]]*Table3[[#This Row],[QTY]]</f>
        <v>63.21</v>
      </c>
      <c r="J68" s="140" t="s">
        <v>2013</v>
      </c>
      <c r="K68" s="140"/>
      <c r="L68" s="140"/>
      <c r="M68" s="141">
        <v>46057</v>
      </c>
      <c r="N68" s="135">
        <v>46077</v>
      </c>
    </row>
    <row r="69" spans="1:18">
      <c r="A69" s="140" t="s">
        <v>2149</v>
      </c>
      <c r="B69" s="141">
        <v>46049</v>
      </c>
      <c r="C69" s="132" t="s">
        <v>1990</v>
      </c>
      <c r="D69" s="140" t="s">
        <v>609</v>
      </c>
      <c r="E69" s="140"/>
      <c r="F69" s="140" t="s">
        <v>2150</v>
      </c>
      <c r="G69" s="140">
        <v>1</v>
      </c>
      <c r="H69" s="134">
        <v>455.63</v>
      </c>
      <c r="I69" s="134">
        <f>Table3[[#This Row],[Unit Price]]*Table3[[#This Row],[QTY]]</f>
        <v>455.63</v>
      </c>
      <c r="J69" s="140" t="s">
        <v>2013</v>
      </c>
      <c r="K69" s="140"/>
      <c r="L69" s="140"/>
      <c r="M69" s="141">
        <v>46057</v>
      </c>
      <c r="N69" s="135">
        <v>46077</v>
      </c>
    </row>
    <row r="70" spans="1:18" s="29" customFormat="1">
      <c r="A70" s="140" t="s">
        <v>2151</v>
      </c>
      <c r="B70" s="141">
        <v>46049</v>
      </c>
      <c r="C70" s="132" t="s">
        <v>985</v>
      </c>
      <c r="D70" s="132" t="s">
        <v>2152</v>
      </c>
      <c r="E70" s="132" t="s">
        <v>2153</v>
      </c>
      <c r="F70" s="132" t="s">
        <v>2154</v>
      </c>
      <c r="G70" s="132">
        <v>1</v>
      </c>
      <c r="H70" s="134">
        <v>333.87</v>
      </c>
      <c r="I70" s="134">
        <f>Table3[[#This Row],[Unit Price]]*Table3[[#This Row],[QTY]]</f>
        <v>333.87</v>
      </c>
      <c r="J70" s="132" t="s">
        <v>2013</v>
      </c>
      <c r="K70" s="132"/>
      <c r="L70" s="132"/>
      <c r="M70" s="141">
        <v>46057</v>
      </c>
      <c r="N70" s="135">
        <v>46077</v>
      </c>
      <c r="O70" s="215">
        <v>111122</v>
      </c>
      <c r="P70" s="136" t="s">
        <v>2155</v>
      </c>
      <c r="Q70" s="137">
        <v>46049</v>
      </c>
      <c r="R70" s="29" t="s">
        <v>1998</v>
      </c>
    </row>
    <row r="71" spans="1:18" s="29" customFormat="1">
      <c r="A71" s="132" t="s">
        <v>2156</v>
      </c>
      <c r="B71" s="141">
        <v>46051</v>
      </c>
      <c r="C71" s="132" t="s">
        <v>2157</v>
      </c>
      <c r="D71" s="132" t="s">
        <v>110</v>
      </c>
      <c r="E71" s="132"/>
      <c r="F71" s="132" t="s">
        <v>2158</v>
      </c>
      <c r="G71" s="132">
        <v>1</v>
      </c>
      <c r="H71" s="134">
        <v>898.2</v>
      </c>
      <c r="I71" s="134">
        <f>Table3[[#This Row],[Unit Price]]*Table3[[#This Row],[QTY]]</f>
        <v>898.2</v>
      </c>
      <c r="J71" s="132" t="s">
        <v>2013</v>
      </c>
      <c r="K71" s="132"/>
      <c r="L71" s="132"/>
      <c r="M71" s="141">
        <v>46057</v>
      </c>
      <c r="N71" s="135">
        <v>46077</v>
      </c>
      <c r="O71" s="215">
        <v>111011</v>
      </c>
      <c r="P71" s="136" t="s">
        <v>2159</v>
      </c>
      <c r="Q71" s="137">
        <v>46107</v>
      </c>
      <c r="R71" s="29" t="s">
        <v>1998</v>
      </c>
    </row>
    <row r="72" spans="1:18">
      <c r="A72" s="132" t="s">
        <v>2160</v>
      </c>
      <c r="B72" s="141">
        <v>46051</v>
      </c>
      <c r="C72" s="140" t="s">
        <v>2161</v>
      </c>
      <c r="D72" s="140" t="s">
        <v>2093</v>
      </c>
      <c r="E72" s="140"/>
      <c r="F72" s="140" t="s">
        <v>2094</v>
      </c>
      <c r="G72" s="140">
        <v>2</v>
      </c>
      <c r="H72" s="134">
        <v>77.010000000000005</v>
      </c>
      <c r="I72" s="134">
        <f>Table3[[#This Row],[Unit Price]]*Table3[[#This Row],[QTY]]</f>
        <v>154.02000000000001</v>
      </c>
      <c r="J72" s="140" t="s">
        <v>2013</v>
      </c>
      <c r="K72" s="140"/>
      <c r="L72" s="140"/>
      <c r="M72" s="141">
        <v>46057</v>
      </c>
      <c r="N72" s="135">
        <v>46077</v>
      </c>
      <c r="O72" s="2">
        <v>111152</v>
      </c>
      <c r="P72" s="2">
        <v>79991</v>
      </c>
      <c r="Q72" s="110">
        <v>46107</v>
      </c>
      <c r="R72" s="1" t="s">
        <v>1998</v>
      </c>
    </row>
    <row r="73" spans="1:18">
      <c r="A73" s="132" t="s">
        <v>2162</v>
      </c>
      <c r="B73" s="141">
        <v>46050</v>
      </c>
      <c r="C73" s="132" t="s">
        <v>1990</v>
      </c>
      <c r="D73" s="140" t="s">
        <v>2093</v>
      </c>
      <c r="E73" s="140"/>
      <c r="F73" s="140" t="s">
        <v>2094</v>
      </c>
      <c r="G73" s="140">
        <v>4</v>
      </c>
      <c r="H73" s="134">
        <v>77.010000000000005</v>
      </c>
      <c r="I73" s="134">
        <f>Table3[[#This Row],[Unit Price]]*Table3[[#This Row],[QTY]]</f>
        <v>308.04000000000002</v>
      </c>
      <c r="J73" s="140" t="s">
        <v>2013</v>
      </c>
      <c r="K73" s="140"/>
      <c r="L73" s="140"/>
      <c r="M73" s="141">
        <v>46057</v>
      </c>
      <c r="N73" s="135">
        <v>46077</v>
      </c>
    </row>
    <row r="74" spans="1:18">
      <c r="A74" s="132" t="s">
        <v>2163</v>
      </c>
      <c r="B74" s="141">
        <v>46051</v>
      </c>
      <c r="C74" s="140" t="s">
        <v>2164</v>
      </c>
      <c r="D74" s="140" t="s">
        <v>79</v>
      </c>
      <c r="E74" s="140"/>
      <c r="F74" s="140" t="s">
        <v>1059</v>
      </c>
      <c r="G74" s="140">
        <v>1</v>
      </c>
      <c r="H74" s="134">
        <v>42.46</v>
      </c>
      <c r="I74" s="134">
        <f>Table3[[#This Row],[Unit Price]]*Table3[[#This Row],[QTY]]</f>
        <v>42.46</v>
      </c>
      <c r="J74" s="140" t="s">
        <v>2013</v>
      </c>
      <c r="K74" s="140"/>
      <c r="L74" s="140"/>
      <c r="M74" s="141">
        <v>46057</v>
      </c>
      <c r="N74" s="135">
        <v>46077</v>
      </c>
      <c r="O74" s="2">
        <v>111140</v>
      </c>
      <c r="P74" s="2">
        <v>78204</v>
      </c>
      <c r="Q74" s="110">
        <v>46050</v>
      </c>
      <c r="R74" s="1" t="s">
        <v>1998</v>
      </c>
    </row>
    <row r="75" spans="1:18">
      <c r="A75" s="147" t="s">
        <v>2165</v>
      </c>
      <c r="B75" s="141">
        <v>46052</v>
      </c>
      <c r="C75" s="132" t="s">
        <v>1990</v>
      </c>
      <c r="D75" s="140" t="s">
        <v>1235</v>
      </c>
      <c r="E75" s="140"/>
      <c r="F75" s="140" t="s">
        <v>2100</v>
      </c>
      <c r="G75" s="140">
        <v>6</v>
      </c>
      <c r="H75" s="134">
        <v>14.21</v>
      </c>
      <c r="I75" s="134">
        <f>Table3[[#This Row],[Unit Price]]*Table3[[#This Row],[QTY]]</f>
        <v>85.26</v>
      </c>
      <c r="J75" s="140" t="s">
        <v>2024</v>
      </c>
      <c r="K75" s="140"/>
      <c r="L75" s="140"/>
      <c r="M75" s="133">
        <v>46063</v>
      </c>
      <c r="N75" s="135">
        <v>46108</v>
      </c>
    </row>
    <row r="76" spans="1:18">
      <c r="A76" s="147" t="s">
        <v>2166</v>
      </c>
      <c r="B76" s="141">
        <v>46055</v>
      </c>
      <c r="C76" s="132" t="s">
        <v>1990</v>
      </c>
      <c r="D76" s="140" t="s">
        <v>421</v>
      </c>
      <c r="E76" s="140" t="s">
        <v>423</v>
      </c>
      <c r="F76" s="140" t="s">
        <v>1446</v>
      </c>
      <c r="G76" s="140">
        <v>2</v>
      </c>
      <c r="H76" s="134">
        <v>57.57</v>
      </c>
      <c r="I76" s="134">
        <f>Table3[[#This Row],[Unit Price]]*Table3[[#This Row],[QTY]]</f>
        <v>115.14</v>
      </c>
      <c r="J76" s="140" t="s">
        <v>2167</v>
      </c>
      <c r="K76" s="140"/>
      <c r="L76" s="140"/>
      <c r="M76" s="133">
        <v>46090</v>
      </c>
      <c r="N76" s="135">
        <v>46168</v>
      </c>
    </row>
    <row r="77" spans="1:18">
      <c r="A77" s="147" t="s">
        <v>2168</v>
      </c>
      <c r="B77" s="141">
        <v>46055</v>
      </c>
      <c r="C77" s="132" t="s">
        <v>1990</v>
      </c>
      <c r="D77" s="140" t="s">
        <v>465</v>
      </c>
      <c r="E77" s="140"/>
      <c r="F77" s="140" t="s">
        <v>2169</v>
      </c>
      <c r="G77" s="140">
        <v>2</v>
      </c>
      <c r="H77" s="134">
        <v>604.24</v>
      </c>
      <c r="I77" s="134">
        <f>Table3[[#This Row],[Unit Price]]*Table3[[#This Row],[QTY]]</f>
        <v>1208.48</v>
      </c>
      <c r="J77" s="140" t="s">
        <v>2024</v>
      </c>
      <c r="K77" s="140"/>
      <c r="L77" s="140"/>
      <c r="M77" s="133">
        <v>46063</v>
      </c>
      <c r="N77" s="135">
        <v>46108</v>
      </c>
    </row>
    <row r="78" spans="1:18">
      <c r="A78" s="147" t="s">
        <v>2170</v>
      </c>
      <c r="B78" s="141">
        <v>46052</v>
      </c>
      <c r="C78" s="132" t="s">
        <v>1990</v>
      </c>
      <c r="D78" s="140" t="s">
        <v>1494</v>
      </c>
      <c r="E78" s="140"/>
      <c r="F78" s="140" t="s">
        <v>2171</v>
      </c>
      <c r="G78" s="140">
        <v>1</v>
      </c>
      <c r="H78" s="134">
        <v>20</v>
      </c>
      <c r="I78" s="134">
        <f>Table3[[#This Row],[Unit Price]]*Table3[[#This Row],[QTY]]</f>
        <v>20</v>
      </c>
      <c r="J78" s="140" t="s">
        <v>2024</v>
      </c>
      <c r="K78" s="140"/>
      <c r="L78" s="140"/>
      <c r="M78" s="133">
        <v>46063</v>
      </c>
      <c r="N78" s="135">
        <v>46108</v>
      </c>
    </row>
    <row r="79" spans="1:18">
      <c r="A79" s="147" t="s">
        <v>2172</v>
      </c>
      <c r="B79" s="141">
        <v>46052</v>
      </c>
      <c r="C79" s="132" t="s">
        <v>1990</v>
      </c>
      <c r="D79" s="140" t="s">
        <v>1243</v>
      </c>
      <c r="E79" s="140"/>
      <c r="F79" s="140" t="s">
        <v>2173</v>
      </c>
      <c r="G79" s="140">
        <v>1</v>
      </c>
      <c r="H79" s="134">
        <v>10.49</v>
      </c>
      <c r="I79" s="134">
        <f>Table3[[#This Row],[Unit Price]]*Table3[[#This Row],[QTY]]</f>
        <v>10.49</v>
      </c>
      <c r="J79" s="140" t="s">
        <v>2024</v>
      </c>
      <c r="K79" s="140"/>
      <c r="L79" s="140"/>
      <c r="M79" s="133">
        <v>46063</v>
      </c>
      <c r="N79" s="135">
        <v>46108</v>
      </c>
    </row>
    <row r="80" spans="1:18" s="30" customFormat="1">
      <c r="A80" s="148" t="s">
        <v>2174</v>
      </c>
      <c r="B80" s="141">
        <v>46057</v>
      </c>
      <c r="C80" s="132" t="s">
        <v>2099</v>
      </c>
      <c r="D80" s="132" t="s">
        <v>2175</v>
      </c>
      <c r="E80" s="132"/>
      <c r="F80" s="132" t="s">
        <v>2176</v>
      </c>
      <c r="G80" s="132">
        <v>1</v>
      </c>
      <c r="H80" s="134">
        <v>114.32</v>
      </c>
      <c r="I80" s="134">
        <f>Table3[[#This Row],[Unit Price]]*Table3[[#This Row],[QTY]]</f>
        <v>114.32</v>
      </c>
      <c r="J80" s="132" t="s">
        <v>2024</v>
      </c>
      <c r="K80" s="132"/>
      <c r="L80" s="132"/>
      <c r="M80" s="133">
        <v>46063</v>
      </c>
      <c r="N80" s="135">
        <v>46108</v>
      </c>
      <c r="O80" s="28"/>
      <c r="P80" s="136"/>
      <c r="Q80" s="137"/>
      <c r="R80" s="29"/>
    </row>
    <row r="81" spans="1:17">
      <c r="A81" s="147" t="s">
        <v>2177</v>
      </c>
      <c r="B81" s="141">
        <v>46058</v>
      </c>
      <c r="C81" s="140" t="s">
        <v>2178</v>
      </c>
      <c r="D81" s="140" t="s">
        <v>2179</v>
      </c>
      <c r="E81" s="140" t="s">
        <v>2180</v>
      </c>
      <c r="F81" s="140" t="s">
        <v>2181</v>
      </c>
      <c r="G81" s="140">
        <v>1</v>
      </c>
      <c r="H81" s="134">
        <v>384.68</v>
      </c>
      <c r="I81" s="134">
        <f>Table3[[#This Row],[Unit Price]]*Table3[[#This Row],[QTY]]</f>
        <v>384.68</v>
      </c>
      <c r="J81" s="140"/>
      <c r="K81" s="140"/>
      <c r="L81" s="140"/>
      <c r="M81" s="141"/>
      <c r="N81" s="145"/>
    </row>
    <row r="82" spans="1:17">
      <c r="A82" s="147" t="s">
        <v>2182</v>
      </c>
      <c r="B82" s="141">
        <v>46059</v>
      </c>
      <c r="C82" s="132" t="s">
        <v>1990</v>
      </c>
      <c r="D82" s="140" t="s">
        <v>2183</v>
      </c>
      <c r="E82" s="140"/>
      <c r="F82" s="140" t="s">
        <v>2184</v>
      </c>
      <c r="G82" s="140">
        <v>1</v>
      </c>
      <c r="H82" s="134">
        <v>29.82</v>
      </c>
      <c r="I82" s="134">
        <f>Table3[[#This Row],[Unit Price]]*Table3[[#This Row],[QTY]]</f>
        <v>29.82</v>
      </c>
      <c r="J82" s="140"/>
      <c r="K82" s="140"/>
      <c r="L82" s="140"/>
      <c r="M82" s="141"/>
      <c r="N82" s="135"/>
    </row>
    <row r="83" spans="1:17" s="29" customFormat="1">
      <c r="A83" s="147" t="s">
        <v>2185</v>
      </c>
      <c r="B83" s="141">
        <v>46059</v>
      </c>
      <c r="C83" s="132" t="s">
        <v>1990</v>
      </c>
      <c r="D83" s="132" t="s">
        <v>2093</v>
      </c>
      <c r="E83" s="132"/>
      <c r="F83" s="132" t="s">
        <v>2094</v>
      </c>
      <c r="G83" s="132">
        <v>1</v>
      </c>
      <c r="H83" s="134">
        <v>77.010000000000005</v>
      </c>
      <c r="I83" s="134">
        <f>Table3[[#This Row],[Unit Price]]*Table3[[#This Row],[QTY]]</f>
        <v>77.010000000000005</v>
      </c>
      <c r="J83" s="132"/>
      <c r="K83" s="132"/>
      <c r="L83" s="132"/>
      <c r="M83" s="133"/>
      <c r="N83" s="135"/>
      <c r="O83" s="139"/>
      <c r="P83" s="138"/>
      <c r="Q83" s="137"/>
    </row>
    <row r="84" spans="1:17" s="29" customFormat="1">
      <c r="A84" s="147" t="s">
        <v>2185</v>
      </c>
      <c r="B84" s="141">
        <v>46059</v>
      </c>
      <c r="C84" s="132" t="s">
        <v>1990</v>
      </c>
      <c r="D84" s="132" t="s">
        <v>548</v>
      </c>
      <c r="E84" s="132"/>
      <c r="F84" s="132" t="s">
        <v>549</v>
      </c>
      <c r="G84" s="132">
        <v>1</v>
      </c>
      <c r="H84" s="134">
        <v>140.62</v>
      </c>
      <c r="I84" s="134">
        <f>Table3[[#This Row],[Unit Price]]*Table3[[#This Row],[QTY]]</f>
        <v>140.62</v>
      </c>
      <c r="J84" s="132"/>
      <c r="K84" s="132"/>
      <c r="L84" s="132"/>
      <c r="M84" s="133"/>
      <c r="N84" s="135"/>
      <c r="O84" s="139"/>
      <c r="P84" s="136"/>
      <c r="Q84" s="137"/>
    </row>
    <row r="85" spans="1:17" s="29" customFormat="1">
      <c r="A85" s="147" t="s">
        <v>2185</v>
      </c>
      <c r="B85" s="141">
        <v>46059</v>
      </c>
      <c r="C85" s="132" t="s">
        <v>1990</v>
      </c>
      <c r="D85" s="132" t="s">
        <v>79</v>
      </c>
      <c r="E85" s="132"/>
      <c r="F85" s="132" t="s">
        <v>1059</v>
      </c>
      <c r="G85" s="132">
        <v>2</v>
      </c>
      <c r="H85" s="134">
        <v>42.46</v>
      </c>
      <c r="I85" s="134">
        <f>Table3[[#This Row],[Unit Price]]*Table3[[#This Row],[QTY]]</f>
        <v>84.92</v>
      </c>
      <c r="J85" s="132"/>
      <c r="K85" s="132"/>
      <c r="L85" s="132"/>
      <c r="M85" s="133"/>
      <c r="N85" s="135"/>
      <c r="O85" s="28"/>
      <c r="P85" s="136"/>
      <c r="Q85" s="137"/>
    </row>
    <row r="86" spans="1:17" s="29" customFormat="1">
      <c r="A86" s="147" t="s">
        <v>2185</v>
      </c>
      <c r="B86" s="141">
        <v>46059</v>
      </c>
      <c r="C86" s="132" t="s">
        <v>1990</v>
      </c>
      <c r="D86" s="132" t="s">
        <v>82</v>
      </c>
      <c r="E86" s="132"/>
      <c r="F86" s="132" t="s">
        <v>2081</v>
      </c>
      <c r="G86" s="132">
        <v>1</v>
      </c>
      <c r="H86" s="134">
        <v>19.600000000000001</v>
      </c>
      <c r="I86" s="134">
        <f>Table3[[#This Row],[Unit Price]]*Table3[[#This Row],[QTY]]</f>
        <v>19.600000000000001</v>
      </c>
      <c r="J86" s="132"/>
      <c r="K86" s="132"/>
      <c r="L86" s="132"/>
      <c r="M86" s="133"/>
      <c r="N86" s="135"/>
      <c r="O86" s="139"/>
      <c r="P86" s="136"/>
      <c r="Q86" s="137"/>
    </row>
    <row r="87" spans="1:17" s="29" customFormat="1">
      <c r="A87" s="147" t="s">
        <v>2185</v>
      </c>
      <c r="B87" s="141">
        <v>46059</v>
      </c>
      <c r="C87" s="132" t="s">
        <v>1990</v>
      </c>
      <c r="D87" s="132" t="s">
        <v>1519</v>
      </c>
      <c r="E87" s="132" t="s">
        <v>1517</v>
      </c>
      <c r="F87" s="132" t="s">
        <v>2186</v>
      </c>
      <c r="G87" s="132">
        <v>1</v>
      </c>
      <c r="H87" s="134">
        <v>45.86</v>
      </c>
      <c r="I87" s="134">
        <f>Table3[[#This Row],[Unit Price]]*Table3[[#This Row],[QTY]]</f>
        <v>45.86</v>
      </c>
      <c r="J87" s="132"/>
      <c r="K87" s="132"/>
      <c r="L87" s="132"/>
      <c r="M87" s="133"/>
      <c r="N87" s="135"/>
      <c r="O87" s="139"/>
      <c r="P87" s="136"/>
      <c r="Q87" s="137"/>
    </row>
    <row r="88" spans="1:17" s="29" customFormat="1">
      <c r="A88" s="147" t="s">
        <v>2187</v>
      </c>
      <c r="B88" s="141">
        <v>46063</v>
      </c>
      <c r="C88" s="132" t="s">
        <v>1990</v>
      </c>
      <c r="D88" s="132" t="s">
        <v>2188</v>
      </c>
      <c r="E88" s="132"/>
      <c r="F88" s="132" t="s">
        <v>2084</v>
      </c>
      <c r="G88" s="132">
        <v>1</v>
      </c>
      <c r="H88" s="134">
        <v>2.71</v>
      </c>
      <c r="I88" s="134">
        <f>Table3[[#This Row],[Unit Price]]*Table3[[#This Row],[QTY]]</f>
        <v>2.71</v>
      </c>
      <c r="J88" s="132"/>
      <c r="K88" s="132"/>
      <c r="L88" s="132"/>
      <c r="M88" s="133"/>
      <c r="N88" s="135"/>
      <c r="O88" s="28"/>
      <c r="P88" s="136"/>
      <c r="Q88" s="137"/>
    </row>
    <row r="89" spans="1:17" s="29" customFormat="1">
      <c r="A89" s="147" t="s">
        <v>2189</v>
      </c>
      <c r="B89" s="141">
        <v>46065</v>
      </c>
      <c r="C89" s="132" t="s">
        <v>1990</v>
      </c>
      <c r="D89" s="132" t="s">
        <v>2190</v>
      </c>
      <c r="E89" s="132"/>
      <c r="F89" s="132" t="s">
        <v>2191</v>
      </c>
      <c r="G89" s="132">
        <v>1</v>
      </c>
      <c r="H89" s="134">
        <v>326.62</v>
      </c>
      <c r="I89" s="134">
        <f>Table3[[#This Row],[Unit Price]]*Table3[[#This Row],[QTY]]</f>
        <v>326.62</v>
      </c>
      <c r="J89" s="132" t="s">
        <v>989</v>
      </c>
      <c r="K89" s="132"/>
      <c r="L89" s="132"/>
      <c r="M89" s="141">
        <v>46097</v>
      </c>
      <c r="N89" s="135">
        <v>46168</v>
      </c>
      <c r="O89" s="28"/>
      <c r="P89" s="136"/>
      <c r="Q89" s="137"/>
    </row>
    <row r="90" spans="1:17">
      <c r="A90" s="147" t="s">
        <v>2192</v>
      </c>
      <c r="B90" s="141">
        <v>46065</v>
      </c>
      <c r="C90" s="140" t="s">
        <v>2178</v>
      </c>
      <c r="D90" s="140" t="s">
        <v>2039</v>
      </c>
      <c r="E90" s="140"/>
      <c r="F90" s="140" t="s">
        <v>2040</v>
      </c>
      <c r="G90" s="140">
        <v>1</v>
      </c>
      <c r="H90" s="134">
        <v>271.08999999999997</v>
      </c>
      <c r="I90" s="134">
        <f>Table3[[#This Row],[Unit Price]]*Table3[[#This Row],[QTY]]</f>
        <v>271.08999999999997</v>
      </c>
      <c r="J90" s="140"/>
      <c r="K90" s="140"/>
      <c r="L90" s="140"/>
      <c r="M90" s="141"/>
      <c r="N90" s="145"/>
    </row>
    <row r="91" spans="1:17" s="29" customFormat="1">
      <c r="A91" s="147" t="s">
        <v>2193</v>
      </c>
      <c r="B91" s="141">
        <v>46065</v>
      </c>
      <c r="C91" s="132" t="s">
        <v>1990</v>
      </c>
      <c r="D91" s="132" t="s">
        <v>417</v>
      </c>
      <c r="E91" s="132"/>
      <c r="F91" s="132" t="s">
        <v>2194</v>
      </c>
      <c r="G91" s="132">
        <v>3</v>
      </c>
      <c r="H91" s="134">
        <v>260.14999999999998</v>
      </c>
      <c r="I91" s="134">
        <f>Table3[[#This Row],[Unit Price]]*Table3[[#This Row],[QTY]]</f>
        <v>780.44999999999993</v>
      </c>
      <c r="J91" s="132"/>
      <c r="K91" s="132"/>
      <c r="L91" s="132"/>
      <c r="M91" s="133"/>
      <c r="N91" s="135"/>
      <c r="O91" s="139"/>
      <c r="P91" s="138"/>
      <c r="Q91" s="137"/>
    </row>
    <row r="92" spans="1:17" s="29" customFormat="1">
      <c r="A92" s="147" t="s">
        <v>2195</v>
      </c>
      <c r="B92" s="141">
        <v>46071</v>
      </c>
      <c r="C92" s="132" t="s">
        <v>2196</v>
      </c>
      <c r="D92" s="132" t="s">
        <v>187</v>
      </c>
      <c r="E92" s="132"/>
      <c r="F92" s="132" t="s">
        <v>1452</v>
      </c>
      <c r="G92" s="132">
        <v>1</v>
      </c>
      <c r="H92" s="134">
        <v>1172.56</v>
      </c>
      <c r="I92" s="134">
        <f>Table3[[#This Row],[Unit Price]]*Table3[[#This Row],[QTY]]</f>
        <v>1172.56</v>
      </c>
      <c r="J92" s="132"/>
      <c r="K92" s="132"/>
      <c r="L92" s="132"/>
      <c r="M92" s="133"/>
      <c r="N92" s="149"/>
      <c r="O92" s="139"/>
      <c r="P92" s="136"/>
      <c r="Q92" s="137"/>
    </row>
    <row r="93" spans="1:17" s="29" customFormat="1">
      <c r="A93" s="147" t="s">
        <v>2195</v>
      </c>
      <c r="B93" s="141">
        <v>46071</v>
      </c>
      <c r="C93" s="132" t="s">
        <v>2196</v>
      </c>
      <c r="D93" s="132" t="s">
        <v>183</v>
      </c>
      <c r="E93" s="132"/>
      <c r="F93" s="132" t="s">
        <v>2197</v>
      </c>
      <c r="G93" s="132">
        <v>1</v>
      </c>
      <c r="H93" s="134">
        <v>1317.91</v>
      </c>
      <c r="I93" s="134">
        <f>Table3[[#This Row],[Unit Price]]*Table3[[#This Row],[QTY]]</f>
        <v>1317.91</v>
      </c>
      <c r="J93" s="132"/>
      <c r="K93" s="132"/>
      <c r="L93" s="132"/>
      <c r="M93" s="133"/>
      <c r="N93" s="135"/>
      <c r="O93" s="139"/>
      <c r="P93" s="136"/>
      <c r="Q93" s="137"/>
    </row>
    <row r="94" spans="1:17" s="29" customFormat="1">
      <c r="A94" s="148" t="s">
        <v>2198</v>
      </c>
      <c r="B94" s="141">
        <v>46071</v>
      </c>
      <c r="C94" s="132" t="s">
        <v>292</v>
      </c>
      <c r="D94" s="132" t="s">
        <v>609</v>
      </c>
      <c r="E94" s="132"/>
      <c r="F94" s="132" t="s">
        <v>2150</v>
      </c>
      <c r="G94" s="132">
        <v>1</v>
      </c>
      <c r="H94" s="134">
        <v>455.63</v>
      </c>
      <c r="I94" s="134">
        <f>Table3[[#This Row],[Unit Price]]*Table3[[#This Row],[QTY]]</f>
        <v>455.63</v>
      </c>
      <c r="J94" s="132"/>
      <c r="K94" s="132"/>
      <c r="L94" s="132"/>
      <c r="M94" s="133"/>
      <c r="N94" s="135"/>
      <c r="O94" s="139"/>
      <c r="P94" s="136"/>
      <c r="Q94" s="146"/>
    </row>
    <row r="95" spans="1:17" s="29" customFormat="1">
      <c r="A95" s="148" t="s">
        <v>2199</v>
      </c>
      <c r="B95" s="141">
        <v>46066</v>
      </c>
      <c r="C95" s="132" t="s">
        <v>292</v>
      </c>
      <c r="D95" s="132" t="s">
        <v>2017</v>
      </c>
      <c r="E95" s="132" t="s">
        <v>2016</v>
      </c>
      <c r="F95" s="132" t="s">
        <v>2200</v>
      </c>
      <c r="G95" s="132">
        <v>1</v>
      </c>
      <c r="H95" s="134">
        <v>893.29</v>
      </c>
      <c r="I95" s="134">
        <f>Table3[[#This Row],[Unit Price]]*Table3[[#This Row],[QTY]]</f>
        <v>893.29</v>
      </c>
      <c r="J95" s="132"/>
      <c r="K95" s="132"/>
      <c r="L95" s="132"/>
      <c r="M95" s="133"/>
      <c r="N95" s="135"/>
      <c r="O95" s="139"/>
      <c r="P95" s="136"/>
      <c r="Q95" s="137"/>
    </row>
    <row r="96" spans="1:17" s="29" customFormat="1">
      <c r="A96" s="148" t="s">
        <v>2201</v>
      </c>
      <c r="B96" s="141">
        <v>46071</v>
      </c>
      <c r="C96" s="132" t="s">
        <v>2202</v>
      </c>
      <c r="D96" s="132" t="s">
        <v>2203</v>
      </c>
      <c r="E96" s="132"/>
      <c r="F96" s="132" t="s">
        <v>2204</v>
      </c>
      <c r="G96" s="132">
        <v>1</v>
      </c>
      <c r="H96" s="134">
        <v>112.27</v>
      </c>
      <c r="I96" s="134">
        <f>Table3[[#This Row],[Unit Price]]*Table3[[#This Row],[QTY]]</f>
        <v>112.27</v>
      </c>
      <c r="J96" s="132"/>
      <c r="K96" s="132"/>
      <c r="L96" s="132"/>
      <c r="M96" s="133"/>
      <c r="N96" s="135"/>
      <c r="O96" s="139"/>
      <c r="P96" s="136"/>
      <c r="Q96" s="137"/>
    </row>
    <row r="97" spans="1:17" s="29" customFormat="1">
      <c r="A97" s="148" t="s">
        <v>2205</v>
      </c>
      <c r="B97" s="141">
        <v>46071</v>
      </c>
      <c r="C97" s="132" t="s">
        <v>292</v>
      </c>
      <c r="D97" s="132" t="s">
        <v>35</v>
      </c>
      <c r="E97" s="132" t="s">
        <v>40</v>
      </c>
      <c r="F97" s="132" t="s">
        <v>2125</v>
      </c>
      <c r="G97" s="132">
        <v>2</v>
      </c>
      <c r="H97" s="134">
        <v>691.66</v>
      </c>
      <c r="I97" s="134">
        <f>Table3[[#This Row],[Unit Price]]*Table3[[#This Row],[QTY]]</f>
        <v>1383.32</v>
      </c>
      <c r="J97" s="132" t="s">
        <v>2206</v>
      </c>
      <c r="K97" s="132"/>
      <c r="L97" s="132"/>
      <c r="M97" s="133">
        <v>46161</v>
      </c>
      <c r="N97" s="135">
        <v>46188</v>
      </c>
      <c r="O97" s="139"/>
      <c r="P97" s="136"/>
      <c r="Q97" s="137"/>
    </row>
    <row r="98" spans="1:17">
      <c r="A98" s="148" t="s">
        <v>2207</v>
      </c>
      <c r="B98" s="141">
        <v>46071</v>
      </c>
      <c r="C98" s="140" t="s">
        <v>2208</v>
      </c>
      <c r="D98" s="140" t="s">
        <v>2209</v>
      </c>
      <c r="E98" s="140" t="s">
        <v>2210</v>
      </c>
      <c r="F98" s="140" t="s">
        <v>2211</v>
      </c>
      <c r="G98" s="140">
        <v>1</v>
      </c>
      <c r="H98" s="134">
        <v>655.33000000000004</v>
      </c>
      <c r="I98" s="134">
        <f>Table3[[#This Row],[Unit Price]]*Table3[[#This Row],[QTY]]</f>
        <v>655.33000000000004</v>
      </c>
      <c r="J98" s="140"/>
      <c r="K98" s="140"/>
      <c r="L98" s="140"/>
      <c r="M98" s="141"/>
      <c r="N98" s="149"/>
    </row>
    <row r="99" spans="1:17">
      <c r="A99" s="148" t="s">
        <v>2207</v>
      </c>
      <c r="B99" s="141">
        <v>46071</v>
      </c>
      <c r="C99" s="140" t="s">
        <v>2208</v>
      </c>
      <c r="D99" s="150" t="s">
        <v>1215</v>
      </c>
      <c r="E99" s="132"/>
      <c r="F99" s="132" t="s">
        <v>2091</v>
      </c>
      <c r="G99" s="132">
        <v>2</v>
      </c>
      <c r="H99" s="151">
        <v>303.75</v>
      </c>
      <c r="I99" s="151">
        <f>Table3[[#This Row],[Unit Price]]*Table3[[#This Row],[QTY]]</f>
        <v>607.5</v>
      </c>
      <c r="J99" s="150"/>
      <c r="K99" s="140"/>
      <c r="L99" s="150"/>
      <c r="M99" s="141"/>
      <c r="N99" s="135"/>
    </row>
    <row r="100" spans="1:17" s="29" customFormat="1">
      <c r="A100" s="148" t="s">
        <v>2212</v>
      </c>
      <c r="B100" s="141">
        <v>46072</v>
      </c>
      <c r="C100" s="132" t="s">
        <v>292</v>
      </c>
      <c r="D100" s="132" t="s">
        <v>40</v>
      </c>
      <c r="E100" s="132"/>
      <c r="F100" s="132" t="s">
        <v>2125</v>
      </c>
      <c r="G100" s="132">
        <v>1</v>
      </c>
      <c r="H100" s="134">
        <v>691.66</v>
      </c>
      <c r="I100" s="134">
        <f>Table3[[#This Row],[Unit Price]]*Table3[[#This Row],[QTY]]</f>
        <v>691.66</v>
      </c>
      <c r="J100" s="132" t="s">
        <v>61</v>
      </c>
      <c r="K100" s="132"/>
      <c r="L100" s="132"/>
      <c r="M100" s="133">
        <v>46086</v>
      </c>
      <c r="N100" s="133">
        <v>46094</v>
      </c>
      <c r="O100" s="139"/>
      <c r="P100" s="136"/>
      <c r="Q100" s="137"/>
    </row>
    <row r="101" spans="1:17">
      <c r="A101" s="148" t="s">
        <v>2213</v>
      </c>
      <c r="B101" s="141">
        <v>46072</v>
      </c>
      <c r="C101" s="132" t="s">
        <v>292</v>
      </c>
      <c r="D101" s="140" t="s">
        <v>609</v>
      </c>
      <c r="E101" s="140"/>
      <c r="F101" s="140" t="s">
        <v>2150</v>
      </c>
      <c r="G101" s="140">
        <v>1</v>
      </c>
      <c r="H101" s="134">
        <v>455.63</v>
      </c>
      <c r="I101" s="134">
        <f>Table3[[#This Row],[Unit Price]]*Table3[[#This Row],[QTY]]</f>
        <v>455.63</v>
      </c>
      <c r="J101" s="140"/>
      <c r="K101" s="140"/>
      <c r="L101" s="140"/>
      <c r="M101" s="141"/>
      <c r="N101" s="135"/>
    </row>
    <row r="102" spans="1:17" s="29" customFormat="1">
      <c r="A102" s="152" t="s">
        <v>2214</v>
      </c>
      <c r="B102" s="141">
        <v>46072</v>
      </c>
      <c r="C102" s="154" t="s">
        <v>292</v>
      </c>
      <c r="D102" s="132" t="s">
        <v>629</v>
      </c>
      <c r="E102" s="132"/>
      <c r="F102" s="132" t="s">
        <v>1086</v>
      </c>
      <c r="G102" s="132">
        <v>5</v>
      </c>
      <c r="H102" s="134">
        <v>19.600000000000001</v>
      </c>
      <c r="I102" s="134">
        <f>Table3[[#This Row],[Unit Price]]*Table3[[#This Row],[QTY]]</f>
        <v>98</v>
      </c>
      <c r="J102" s="132"/>
      <c r="K102" s="132"/>
      <c r="L102" s="132"/>
      <c r="M102" s="133"/>
      <c r="N102" s="149"/>
      <c r="O102" s="139"/>
      <c r="P102" s="136"/>
      <c r="Q102" s="137"/>
    </row>
    <row r="103" spans="1:17" s="29" customFormat="1">
      <c r="A103" s="152" t="s">
        <v>2215</v>
      </c>
      <c r="B103" s="153">
        <v>46077</v>
      </c>
      <c r="C103" s="154" t="s">
        <v>292</v>
      </c>
      <c r="D103" s="132" t="s">
        <v>2216</v>
      </c>
      <c r="E103" s="132"/>
      <c r="F103" s="132" t="s">
        <v>2217</v>
      </c>
      <c r="G103" s="132">
        <v>1</v>
      </c>
      <c r="H103" s="134">
        <v>1009.25</v>
      </c>
      <c r="I103" s="134">
        <f>Table3[[#This Row],[Unit Price]]*Table3[[#This Row],[QTY]]</f>
        <v>1009.25</v>
      </c>
      <c r="J103" s="132" t="s">
        <v>989</v>
      </c>
      <c r="K103" s="132"/>
      <c r="L103" s="132"/>
      <c r="M103" s="133">
        <v>46090</v>
      </c>
      <c r="N103" s="135">
        <v>46168</v>
      </c>
      <c r="O103" s="139"/>
      <c r="P103" s="136"/>
      <c r="Q103" s="137"/>
    </row>
    <row r="104" spans="1:17" s="29" customFormat="1">
      <c r="A104" s="152" t="s">
        <v>2218</v>
      </c>
      <c r="B104" s="153">
        <v>46079</v>
      </c>
      <c r="C104" s="154" t="s">
        <v>292</v>
      </c>
      <c r="D104" s="132" t="s">
        <v>2219</v>
      </c>
      <c r="E104" s="132"/>
      <c r="F104" s="132" t="s">
        <v>2220</v>
      </c>
      <c r="G104" s="132">
        <v>3</v>
      </c>
      <c r="H104" s="134">
        <v>143.08000000000001</v>
      </c>
      <c r="I104" s="134">
        <f>Table3[[#This Row],[Unit Price]]*Table3[[#This Row],[QTY]]</f>
        <v>429.24</v>
      </c>
      <c r="J104" s="132" t="s">
        <v>989</v>
      </c>
      <c r="K104" s="132"/>
      <c r="L104" s="132"/>
      <c r="M104" s="133">
        <v>46090</v>
      </c>
      <c r="N104" s="135">
        <v>46168</v>
      </c>
      <c r="O104" s="139"/>
      <c r="P104" s="138"/>
      <c r="Q104" s="137"/>
    </row>
    <row r="105" spans="1:17">
      <c r="A105" s="152" t="s">
        <v>2221</v>
      </c>
      <c r="B105" s="153">
        <v>46079</v>
      </c>
      <c r="C105" s="140" t="s">
        <v>1425</v>
      </c>
      <c r="D105" s="140" t="s">
        <v>52</v>
      </c>
      <c r="E105" s="140" t="s">
        <v>2126</v>
      </c>
      <c r="F105" s="140" t="s">
        <v>2127</v>
      </c>
      <c r="G105" s="140">
        <v>1</v>
      </c>
      <c r="H105" s="134">
        <v>160.04</v>
      </c>
      <c r="I105" s="134">
        <f>Table3[[#This Row],[Unit Price]]*Table3[[#This Row],[QTY]]</f>
        <v>160.04</v>
      </c>
      <c r="J105" s="140" t="s">
        <v>61</v>
      </c>
      <c r="K105" s="140"/>
      <c r="L105" s="140"/>
      <c r="M105" s="141">
        <v>46098</v>
      </c>
      <c r="N105" s="133">
        <v>46105</v>
      </c>
    </row>
    <row r="106" spans="1:17">
      <c r="A106" s="147" t="s">
        <v>2222</v>
      </c>
      <c r="B106" s="153">
        <v>46083</v>
      </c>
      <c r="C106" s="140" t="s">
        <v>2223</v>
      </c>
      <c r="D106" s="140" t="s">
        <v>2224</v>
      </c>
      <c r="E106" s="140"/>
      <c r="F106" s="140" t="s">
        <v>2225</v>
      </c>
      <c r="G106" s="140">
        <v>3</v>
      </c>
      <c r="H106" s="134">
        <v>86.55</v>
      </c>
      <c r="I106" s="134">
        <f>Table3[[#This Row],[Unit Price]]*Table3[[#This Row],[QTY]]</f>
        <v>259.64999999999998</v>
      </c>
      <c r="J106" s="140" t="s">
        <v>989</v>
      </c>
      <c r="K106" s="140"/>
      <c r="L106" s="140"/>
      <c r="M106" s="133">
        <v>46090</v>
      </c>
      <c r="N106" s="135">
        <v>46168</v>
      </c>
      <c r="P106" s="155"/>
    </row>
    <row r="107" spans="1:17">
      <c r="A107" s="147" t="s">
        <v>2222</v>
      </c>
      <c r="B107" s="153">
        <v>46083</v>
      </c>
      <c r="C107" s="140" t="s">
        <v>2223</v>
      </c>
      <c r="D107" s="140" t="s">
        <v>2226</v>
      </c>
      <c r="E107" s="140" t="s">
        <v>2227</v>
      </c>
      <c r="F107" s="140" t="s">
        <v>2228</v>
      </c>
      <c r="G107" s="140">
        <v>3</v>
      </c>
      <c r="H107" s="134">
        <v>228.63</v>
      </c>
      <c r="I107" s="134">
        <f>Table3[[#This Row],[Unit Price]]*Table3[[#This Row],[QTY]]</f>
        <v>685.89</v>
      </c>
      <c r="J107" s="140" t="s">
        <v>989</v>
      </c>
      <c r="K107" s="140"/>
      <c r="L107" s="140"/>
      <c r="M107" s="133">
        <v>46090</v>
      </c>
      <c r="N107" s="135">
        <v>46168</v>
      </c>
    </row>
    <row r="108" spans="1:17">
      <c r="A108" s="147" t="s">
        <v>2229</v>
      </c>
      <c r="B108" s="153">
        <v>46084</v>
      </c>
      <c r="C108" s="140" t="s">
        <v>2230</v>
      </c>
      <c r="D108" s="140" t="s">
        <v>2231</v>
      </c>
      <c r="E108" s="140"/>
      <c r="F108" s="140" t="s">
        <v>2232</v>
      </c>
      <c r="G108" s="140">
        <v>1</v>
      </c>
      <c r="H108" s="134">
        <v>36.270000000000003</v>
      </c>
      <c r="I108" s="134">
        <f>Table3[[#This Row],[Unit Price]]*Table3[[#This Row],[QTY]]</f>
        <v>36.270000000000003</v>
      </c>
      <c r="J108" s="140" t="s">
        <v>989</v>
      </c>
      <c r="K108" s="140"/>
      <c r="L108" s="140"/>
      <c r="M108" s="141">
        <v>46107</v>
      </c>
      <c r="N108" s="135">
        <v>46168</v>
      </c>
    </row>
    <row r="109" spans="1:17">
      <c r="A109" s="147" t="s">
        <v>2233</v>
      </c>
      <c r="B109" s="153">
        <v>46084</v>
      </c>
      <c r="C109" s="154" t="s">
        <v>292</v>
      </c>
      <c r="D109" s="140" t="s">
        <v>2234</v>
      </c>
      <c r="E109" s="140"/>
      <c r="F109" s="140" t="s">
        <v>2235</v>
      </c>
      <c r="G109" s="140">
        <v>2</v>
      </c>
      <c r="H109" s="134">
        <v>143.96</v>
      </c>
      <c r="I109" s="134">
        <f>Table3[[#This Row],[Unit Price]]*Table3[[#This Row],[QTY]]</f>
        <v>287.92</v>
      </c>
      <c r="J109" s="140" t="s">
        <v>989</v>
      </c>
      <c r="K109" s="140"/>
      <c r="L109" s="140"/>
      <c r="M109" s="133">
        <v>46090</v>
      </c>
      <c r="N109" s="135">
        <v>46168</v>
      </c>
    </row>
    <row r="110" spans="1:17">
      <c r="A110" s="147" t="s">
        <v>2236</v>
      </c>
      <c r="B110" s="153">
        <v>46084</v>
      </c>
      <c r="C110" s="154" t="s">
        <v>292</v>
      </c>
      <c r="D110" s="140" t="s">
        <v>194</v>
      </c>
      <c r="E110" s="140"/>
      <c r="F110" s="140" t="s">
        <v>195</v>
      </c>
      <c r="G110" s="140">
        <v>10</v>
      </c>
      <c r="H110" s="134">
        <v>22.19</v>
      </c>
      <c r="I110" s="134">
        <f>Table3[[#This Row],[Unit Price]]*Table3[[#This Row],[QTY]]</f>
        <v>221.9</v>
      </c>
      <c r="J110" s="140" t="s">
        <v>989</v>
      </c>
      <c r="K110" s="140"/>
      <c r="L110" s="140"/>
      <c r="M110" s="133">
        <v>46117</v>
      </c>
      <c r="N110" s="135">
        <v>46168</v>
      </c>
    </row>
    <row r="111" spans="1:17">
      <c r="A111" s="147" t="s">
        <v>2236</v>
      </c>
      <c r="B111" s="153">
        <v>46084</v>
      </c>
      <c r="C111" s="154" t="s">
        <v>292</v>
      </c>
      <c r="D111" s="140" t="s">
        <v>405</v>
      </c>
      <c r="E111" s="140"/>
      <c r="F111" s="140" t="s">
        <v>406</v>
      </c>
      <c r="G111" s="140">
        <v>4</v>
      </c>
      <c r="H111" s="134">
        <v>305.67</v>
      </c>
      <c r="I111" s="134">
        <f>Table3[[#This Row],[Unit Price]]*Table3[[#This Row],[QTY]]</f>
        <v>1222.68</v>
      </c>
      <c r="J111" s="140" t="s">
        <v>989</v>
      </c>
      <c r="K111" s="140"/>
      <c r="L111" s="140"/>
      <c r="M111" s="133">
        <v>46090</v>
      </c>
      <c r="N111" s="135">
        <v>46168</v>
      </c>
    </row>
    <row r="112" spans="1:17">
      <c r="A112" s="147" t="s">
        <v>2237</v>
      </c>
      <c r="B112" s="153">
        <v>46086</v>
      </c>
      <c r="C112" s="154" t="s">
        <v>292</v>
      </c>
      <c r="D112" s="140" t="s">
        <v>1208</v>
      </c>
      <c r="E112" s="140"/>
      <c r="F112" s="140" t="s">
        <v>2238</v>
      </c>
      <c r="G112" s="140">
        <v>2</v>
      </c>
      <c r="H112" s="134">
        <v>357.65</v>
      </c>
      <c r="I112" s="134">
        <f>Table3[[#This Row],[Unit Price]]*Table3[[#This Row],[QTY]]</f>
        <v>715.3</v>
      </c>
      <c r="J112" s="140" t="s">
        <v>989</v>
      </c>
      <c r="K112" s="140"/>
      <c r="L112" s="140"/>
      <c r="M112" s="133">
        <v>46090</v>
      </c>
      <c r="N112" s="135">
        <v>46168</v>
      </c>
    </row>
    <row r="113" spans="1:18">
      <c r="A113" s="147" t="s">
        <v>2237</v>
      </c>
      <c r="B113" s="153">
        <v>46086</v>
      </c>
      <c r="C113" s="154" t="s">
        <v>292</v>
      </c>
      <c r="D113" s="140" t="s">
        <v>1215</v>
      </c>
      <c r="E113" s="140"/>
      <c r="F113" s="140" t="s">
        <v>2091</v>
      </c>
      <c r="G113" s="140">
        <v>1</v>
      </c>
      <c r="H113" s="134">
        <v>303.75</v>
      </c>
      <c r="I113" s="134">
        <f>Table3[[#This Row],[Unit Price]]*Table3[[#This Row],[QTY]]</f>
        <v>303.75</v>
      </c>
      <c r="J113" s="140" t="s">
        <v>989</v>
      </c>
      <c r="K113" s="140"/>
      <c r="L113" s="140"/>
      <c r="M113" s="133">
        <v>46090</v>
      </c>
      <c r="N113" s="135">
        <v>46168</v>
      </c>
    </row>
    <row r="114" spans="1:18">
      <c r="A114" s="147" t="s">
        <v>2239</v>
      </c>
      <c r="B114" s="153">
        <v>46086</v>
      </c>
      <c r="C114" s="154" t="s">
        <v>2099</v>
      </c>
      <c r="D114" s="140" t="s">
        <v>1215</v>
      </c>
      <c r="E114" s="140"/>
      <c r="F114" s="140" t="s">
        <v>2091</v>
      </c>
      <c r="G114" s="140">
        <v>3</v>
      </c>
      <c r="H114" s="134">
        <v>303.75</v>
      </c>
      <c r="I114" s="134">
        <f>Table3[[#This Row],[Unit Price]]*Table3[[#This Row],[QTY]]</f>
        <v>911.25</v>
      </c>
      <c r="J114" s="140" t="s">
        <v>2206</v>
      </c>
      <c r="K114" s="140"/>
      <c r="L114" s="140"/>
      <c r="M114" s="133">
        <v>46161</v>
      </c>
      <c r="N114" s="135">
        <v>46188</v>
      </c>
    </row>
    <row r="115" spans="1:18">
      <c r="A115" s="147" t="s">
        <v>2240</v>
      </c>
      <c r="B115" s="153">
        <v>46090</v>
      </c>
      <c r="C115" s="140" t="s">
        <v>292</v>
      </c>
      <c r="D115" s="140" t="s">
        <v>1229</v>
      </c>
      <c r="E115" s="140"/>
      <c r="F115" s="140" t="s">
        <v>2184</v>
      </c>
      <c r="G115" s="140">
        <v>1</v>
      </c>
      <c r="H115" s="134">
        <v>29.82</v>
      </c>
      <c r="I115" s="134">
        <f>Table3[[#This Row],[Unit Price]]*Table3[[#This Row],[QTY]]</f>
        <v>29.82</v>
      </c>
      <c r="J115" s="140" t="s">
        <v>989</v>
      </c>
      <c r="K115" s="140"/>
      <c r="L115" s="140"/>
      <c r="M115" s="141">
        <v>46097</v>
      </c>
      <c r="N115" s="135">
        <v>46168</v>
      </c>
      <c r="P115" s="155"/>
      <c r="R115" s="29"/>
    </row>
    <row r="116" spans="1:18">
      <c r="A116" s="147" t="s">
        <v>2241</v>
      </c>
      <c r="B116" s="153">
        <v>46090</v>
      </c>
      <c r="C116" s="140" t="s">
        <v>292</v>
      </c>
      <c r="D116" s="140" t="s">
        <v>2242</v>
      </c>
      <c r="E116" s="140"/>
      <c r="F116" s="140" t="s">
        <v>1497</v>
      </c>
      <c r="G116" s="140">
        <v>4</v>
      </c>
      <c r="H116" s="134">
        <v>260.14999999999998</v>
      </c>
      <c r="I116" s="134">
        <f>Table3[[#This Row],[Unit Price]]*Table3[[#This Row],[QTY]]</f>
        <v>1040.5999999999999</v>
      </c>
      <c r="J116" s="140" t="s">
        <v>989</v>
      </c>
      <c r="K116" s="140"/>
      <c r="L116" s="140"/>
      <c r="M116" s="141">
        <v>46097</v>
      </c>
      <c r="N116" s="135">
        <v>46168</v>
      </c>
      <c r="P116" s="155"/>
      <c r="R116" s="29"/>
    </row>
    <row r="117" spans="1:18">
      <c r="A117" s="147" t="s">
        <v>2243</v>
      </c>
      <c r="B117" s="153">
        <v>46091</v>
      </c>
      <c r="C117" s="140" t="s">
        <v>292</v>
      </c>
      <c r="D117" s="140" t="s">
        <v>587</v>
      </c>
      <c r="E117" s="140"/>
      <c r="F117" s="140" t="s">
        <v>2244</v>
      </c>
      <c r="G117" s="140">
        <v>1</v>
      </c>
      <c r="H117" s="134">
        <v>79.989999999999995</v>
      </c>
      <c r="I117" s="134">
        <f>Table3[[#This Row],[Unit Price]]*Table3[[#This Row],[QTY]]</f>
        <v>79.989999999999995</v>
      </c>
      <c r="J117" s="140" t="s">
        <v>989</v>
      </c>
      <c r="K117" s="140"/>
      <c r="L117" s="140"/>
      <c r="M117" s="141">
        <v>46097</v>
      </c>
      <c r="N117" s="135">
        <v>46168</v>
      </c>
      <c r="P117" s="155"/>
      <c r="R117" s="29"/>
    </row>
    <row r="118" spans="1:18">
      <c r="A118" s="147" t="s">
        <v>2245</v>
      </c>
      <c r="B118" s="153">
        <v>46090</v>
      </c>
      <c r="C118" s="140" t="s">
        <v>292</v>
      </c>
      <c r="D118" s="140" t="s">
        <v>2246</v>
      </c>
      <c r="E118" s="140"/>
      <c r="F118" s="140" t="s">
        <v>2247</v>
      </c>
      <c r="G118" s="140">
        <v>1</v>
      </c>
      <c r="H118" s="134">
        <v>11.43</v>
      </c>
      <c r="I118" s="134">
        <f>Table3[[#This Row],[Unit Price]]*Table3[[#This Row],[QTY]]</f>
        <v>11.43</v>
      </c>
      <c r="J118" s="140" t="s">
        <v>989</v>
      </c>
      <c r="K118" s="140"/>
      <c r="L118" s="140"/>
      <c r="M118" s="141">
        <v>46097</v>
      </c>
      <c r="N118" s="135">
        <v>46168</v>
      </c>
      <c r="P118" s="155"/>
    </row>
    <row r="119" spans="1:18">
      <c r="A119" s="147" t="s">
        <v>2248</v>
      </c>
      <c r="B119" s="153">
        <v>46091</v>
      </c>
      <c r="C119" s="140" t="s">
        <v>292</v>
      </c>
      <c r="D119" s="140" t="s">
        <v>846</v>
      </c>
      <c r="E119" s="140"/>
      <c r="F119" s="140" t="s">
        <v>2249</v>
      </c>
      <c r="G119" s="140">
        <v>4</v>
      </c>
      <c r="H119" s="134">
        <v>98.36</v>
      </c>
      <c r="I119" s="134">
        <f>Table3[[#This Row],[Unit Price]]*Table3[[#This Row],[QTY]]</f>
        <v>393.44</v>
      </c>
      <c r="J119" s="140" t="s">
        <v>2250</v>
      </c>
      <c r="K119" s="140"/>
      <c r="L119" s="140"/>
      <c r="M119" s="141">
        <v>46174</v>
      </c>
      <c r="N119" s="145">
        <v>46209</v>
      </c>
    </row>
    <row r="120" spans="1:18">
      <c r="A120" s="147" t="s">
        <v>2248</v>
      </c>
      <c r="B120" s="153">
        <v>46091</v>
      </c>
      <c r="C120" s="140" t="s">
        <v>292</v>
      </c>
      <c r="D120" s="140" t="s">
        <v>2251</v>
      </c>
      <c r="E120" s="140"/>
      <c r="F120" s="140" t="s">
        <v>2252</v>
      </c>
      <c r="G120" s="140">
        <v>2</v>
      </c>
      <c r="H120" s="134">
        <v>1208.49</v>
      </c>
      <c r="I120" s="134">
        <f>Table3[[#This Row],[Unit Price]]*Table3[[#This Row],[QTY]]</f>
        <v>2416.98</v>
      </c>
      <c r="J120" s="140" t="s">
        <v>989</v>
      </c>
      <c r="K120" s="140"/>
      <c r="L120" s="140"/>
      <c r="M120" s="141">
        <v>46097</v>
      </c>
      <c r="N120" s="135">
        <v>46168</v>
      </c>
      <c r="P120" s="155"/>
    </row>
    <row r="121" spans="1:18">
      <c r="A121" s="147" t="s">
        <v>2248</v>
      </c>
      <c r="B121" s="153">
        <v>46091</v>
      </c>
      <c r="C121" s="140" t="s">
        <v>292</v>
      </c>
      <c r="D121" s="140" t="s">
        <v>2253</v>
      </c>
      <c r="E121" s="140"/>
      <c r="F121" s="140" t="s">
        <v>2254</v>
      </c>
      <c r="G121" s="140">
        <v>4</v>
      </c>
      <c r="H121" s="134">
        <v>112.01</v>
      </c>
      <c r="I121" s="134">
        <f>Table3[[#This Row],[Unit Price]]*Table3[[#This Row],[QTY]]</f>
        <v>448.04</v>
      </c>
      <c r="J121" s="140" t="s">
        <v>989</v>
      </c>
      <c r="K121" s="140"/>
      <c r="L121" s="140"/>
      <c r="M121" s="141">
        <v>46097</v>
      </c>
      <c r="N121" s="135">
        <v>46168</v>
      </c>
      <c r="P121" s="155"/>
    </row>
    <row r="122" spans="1:18">
      <c r="A122" s="147" t="s">
        <v>2255</v>
      </c>
      <c r="B122" s="141">
        <v>46093</v>
      </c>
      <c r="C122" s="140" t="s">
        <v>292</v>
      </c>
      <c r="D122" s="140" t="s">
        <v>2256</v>
      </c>
      <c r="E122" s="140"/>
      <c r="F122" s="140" t="s">
        <v>2257</v>
      </c>
      <c r="G122" s="140">
        <v>2</v>
      </c>
      <c r="H122" s="134">
        <v>867.16</v>
      </c>
      <c r="I122" s="134">
        <f>Table3[[#This Row],[Unit Price]]*Table3[[#This Row],[QTY]]</f>
        <v>1734.32</v>
      </c>
      <c r="J122" s="140" t="s">
        <v>989</v>
      </c>
      <c r="K122" s="140"/>
      <c r="L122" s="140"/>
      <c r="M122" s="141">
        <v>46097</v>
      </c>
      <c r="N122" s="135">
        <v>46168</v>
      </c>
      <c r="P122" s="155"/>
    </row>
    <row r="123" spans="1:18">
      <c r="A123" s="147" t="s">
        <v>2258</v>
      </c>
      <c r="B123" s="141">
        <v>46092</v>
      </c>
      <c r="C123" s="140" t="s">
        <v>292</v>
      </c>
      <c r="D123" s="140" t="s">
        <v>2259</v>
      </c>
      <c r="E123" s="140"/>
      <c r="F123" s="140" t="s">
        <v>2260</v>
      </c>
      <c r="G123" s="140">
        <v>15</v>
      </c>
      <c r="H123" s="134">
        <v>7.35</v>
      </c>
      <c r="I123" s="134">
        <f>Table3[[#This Row],[Unit Price]]*Table3[[#This Row],[QTY]]</f>
        <v>110.25</v>
      </c>
      <c r="J123" s="140" t="s">
        <v>989</v>
      </c>
      <c r="K123" s="140"/>
      <c r="L123" s="140"/>
      <c r="M123" s="141">
        <v>46097</v>
      </c>
      <c r="N123" s="135">
        <v>46168</v>
      </c>
      <c r="P123" s="155"/>
    </row>
    <row r="124" spans="1:18">
      <c r="A124" s="147" t="s">
        <v>2261</v>
      </c>
      <c r="B124" s="141">
        <v>46097</v>
      </c>
      <c r="C124" s="140" t="s">
        <v>292</v>
      </c>
      <c r="D124" s="140" t="s">
        <v>1215</v>
      </c>
      <c r="E124" s="140"/>
      <c r="F124" s="140" t="s">
        <v>2091</v>
      </c>
      <c r="G124" s="140">
        <v>2</v>
      </c>
      <c r="H124" s="134">
        <v>303.75</v>
      </c>
      <c r="I124" s="134">
        <f>Table3[[#This Row],[Unit Price]]*Table3[[#This Row],[QTY]]</f>
        <v>607.5</v>
      </c>
      <c r="J124" s="140" t="s">
        <v>989</v>
      </c>
      <c r="K124" s="140"/>
      <c r="L124" s="140"/>
      <c r="M124" s="141">
        <v>46107</v>
      </c>
      <c r="N124" s="135">
        <v>46168</v>
      </c>
      <c r="P124" s="155"/>
    </row>
    <row r="125" spans="1:18">
      <c r="A125" s="147" t="s">
        <v>2262</v>
      </c>
      <c r="B125" s="141">
        <v>46097</v>
      </c>
      <c r="C125" s="140" t="s">
        <v>2263</v>
      </c>
      <c r="D125" s="140" t="s">
        <v>1215</v>
      </c>
      <c r="E125" s="140"/>
      <c r="F125" s="140" t="s">
        <v>2091</v>
      </c>
      <c r="G125" s="140">
        <v>2</v>
      </c>
      <c r="H125" s="134">
        <v>303.75</v>
      </c>
      <c r="I125" s="134">
        <f>Table3[[#This Row],[Unit Price]]*Table3[[#This Row],[QTY]]</f>
        <v>607.5</v>
      </c>
      <c r="J125" s="140" t="s">
        <v>989</v>
      </c>
      <c r="K125" s="140"/>
      <c r="L125" s="140"/>
      <c r="M125" s="141">
        <v>46107</v>
      </c>
      <c r="N125" s="135">
        <v>46168</v>
      </c>
      <c r="P125" s="155"/>
    </row>
    <row r="126" spans="1:18">
      <c r="A126" s="147" t="s">
        <v>2264</v>
      </c>
      <c r="B126" s="141">
        <v>46099</v>
      </c>
      <c r="C126" s="140" t="s">
        <v>292</v>
      </c>
      <c r="D126" s="140" t="s">
        <v>2265</v>
      </c>
      <c r="E126" s="140"/>
      <c r="F126" s="140" t="s">
        <v>2138</v>
      </c>
      <c r="G126" s="140">
        <v>1</v>
      </c>
      <c r="H126" s="134">
        <v>491.98</v>
      </c>
      <c r="I126" s="134">
        <f>Table3[[#This Row],[Unit Price]]*Table3[[#This Row],[QTY]]</f>
        <v>491.98</v>
      </c>
      <c r="J126" s="140" t="s">
        <v>2132</v>
      </c>
      <c r="K126" s="140"/>
      <c r="L126" s="140"/>
      <c r="M126" s="141">
        <v>46189</v>
      </c>
      <c r="N126" s="145">
        <v>46209</v>
      </c>
    </row>
    <row r="127" spans="1:18">
      <c r="A127" s="147" t="s">
        <v>2266</v>
      </c>
      <c r="B127" s="141">
        <v>46100</v>
      </c>
      <c r="C127" s="140" t="s">
        <v>292</v>
      </c>
      <c r="D127" s="140" t="s">
        <v>2267</v>
      </c>
      <c r="E127" s="140"/>
      <c r="F127" s="140" t="s">
        <v>2268</v>
      </c>
      <c r="G127" s="140">
        <v>1</v>
      </c>
      <c r="H127" s="134">
        <v>45.73</v>
      </c>
      <c r="I127" s="134">
        <f>Table3[[#This Row],[Unit Price]]*Table3[[#This Row],[QTY]]</f>
        <v>45.73</v>
      </c>
      <c r="J127" s="140" t="s">
        <v>989</v>
      </c>
      <c r="K127" s="140"/>
      <c r="L127" s="140"/>
      <c r="M127" s="141">
        <v>46107</v>
      </c>
      <c r="N127" s="135">
        <v>46168</v>
      </c>
      <c r="P127" s="155"/>
    </row>
    <row r="128" spans="1:18">
      <c r="A128" s="147" t="s">
        <v>2269</v>
      </c>
      <c r="B128" s="141">
        <v>46104</v>
      </c>
      <c r="C128" s="140" t="s">
        <v>292</v>
      </c>
      <c r="D128" s="140" t="s">
        <v>448</v>
      </c>
      <c r="E128" s="140"/>
      <c r="F128" s="140" t="s">
        <v>2119</v>
      </c>
      <c r="G128" s="140">
        <v>2</v>
      </c>
      <c r="H128" s="134">
        <v>227.98</v>
      </c>
      <c r="I128" s="134">
        <f>Table3[[#This Row],[Unit Price]]*Table3[[#This Row],[QTY]]</f>
        <v>455.96</v>
      </c>
      <c r="J128" s="140" t="s">
        <v>2132</v>
      </c>
      <c r="K128" s="140"/>
      <c r="L128" s="140"/>
      <c r="M128" s="141">
        <v>46189</v>
      </c>
      <c r="N128" s="145">
        <v>46209</v>
      </c>
    </row>
    <row r="129" spans="1:16">
      <c r="A129" s="147" t="s">
        <v>2270</v>
      </c>
      <c r="B129" s="141">
        <v>46105</v>
      </c>
      <c r="C129" s="140" t="s">
        <v>292</v>
      </c>
      <c r="D129" s="140" t="s">
        <v>2271</v>
      </c>
      <c r="E129" s="140"/>
      <c r="F129" s="140" t="s">
        <v>1302</v>
      </c>
      <c r="G129" s="140">
        <v>2</v>
      </c>
      <c r="H129" s="134">
        <v>413.5</v>
      </c>
      <c r="I129" s="134">
        <f>Table3[[#This Row],[Unit Price]]*Table3[[#This Row],[QTY]]</f>
        <v>827</v>
      </c>
      <c r="J129" s="140" t="s">
        <v>2272</v>
      </c>
      <c r="K129" s="140"/>
      <c r="L129" s="140"/>
      <c r="M129" s="133">
        <v>46161</v>
      </c>
      <c r="N129" s="135">
        <v>46188</v>
      </c>
      <c r="P129" s="155"/>
    </row>
    <row r="130" spans="1:16">
      <c r="A130" s="147" t="s">
        <v>2273</v>
      </c>
      <c r="B130" s="141">
        <v>46106</v>
      </c>
      <c r="C130" s="140" t="s">
        <v>292</v>
      </c>
      <c r="D130" s="140" t="s">
        <v>2216</v>
      </c>
      <c r="E130" s="140"/>
      <c r="F130" s="140" t="s">
        <v>2217</v>
      </c>
      <c r="G130" s="140">
        <v>1</v>
      </c>
      <c r="H130" s="134">
        <v>1009.25</v>
      </c>
      <c r="I130" s="134">
        <f>Table3[[#This Row],[Unit Price]]*Table3[[#This Row],[QTY]]</f>
        <v>1009.25</v>
      </c>
      <c r="J130" s="140" t="s">
        <v>989</v>
      </c>
      <c r="K130" s="140"/>
      <c r="L130" s="140"/>
      <c r="M130" s="133">
        <v>46117</v>
      </c>
      <c r="N130" s="135">
        <v>46168</v>
      </c>
      <c r="P130" s="155"/>
    </row>
    <row r="131" spans="1:16">
      <c r="A131" s="147" t="s">
        <v>2274</v>
      </c>
      <c r="B131" s="141">
        <v>46106</v>
      </c>
      <c r="C131" s="140" t="s">
        <v>292</v>
      </c>
      <c r="D131" s="140" t="s">
        <v>1235</v>
      </c>
      <c r="E131" s="140"/>
      <c r="F131" s="140" t="s">
        <v>2100</v>
      </c>
      <c r="G131" s="140">
        <v>6</v>
      </c>
      <c r="H131" s="134">
        <v>14.21</v>
      </c>
      <c r="I131" s="134">
        <f>Table3[[#This Row],[Unit Price]]*Table3[[#This Row],[QTY]]</f>
        <v>85.26</v>
      </c>
      <c r="J131" s="140" t="s">
        <v>989</v>
      </c>
      <c r="K131" s="140"/>
      <c r="L131" s="140"/>
      <c r="M131" s="133">
        <v>46117</v>
      </c>
      <c r="N131" s="135">
        <v>46168</v>
      </c>
      <c r="P131" s="155"/>
    </row>
    <row r="132" spans="1:16">
      <c r="A132" s="147" t="s">
        <v>2275</v>
      </c>
      <c r="B132" s="141">
        <v>46107</v>
      </c>
      <c r="C132" s="140" t="s">
        <v>1990</v>
      </c>
      <c r="D132" s="140" t="s">
        <v>2276</v>
      </c>
      <c r="E132" s="140"/>
      <c r="F132" s="140" t="s">
        <v>2277</v>
      </c>
      <c r="G132" s="140">
        <v>3</v>
      </c>
      <c r="H132" s="134">
        <v>33.590000000000003</v>
      </c>
      <c r="I132" s="134">
        <f>Table3[[#This Row],[Unit Price]]*Table3[[#This Row],[QTY]]</f>
        <v>100.77000000000001</v>
      </c>
      <c r="J132" s="140" t="s">
        <v>989</v>
      </c>
      <c r="K132" s="140"/>
      <c r="L132" s="140"/>
      <c r="M132" s="133">
        <v>46117</v>
      </c>
      <c r="N132" s="135">
        <v>46168</v>
      </c>
      <c r="P132" s="155"/>
    </row>
    <row r="133" spans="1:16">
      <c r="A133" s="147" t="s">
        <v>2278</v>
      </c>
      <c r="B133" s="141">
        <v>46107</v>
      </c>
      <c r="C133" s="140" t="s">
        <v>1990</v>
      </c>
      <c r="D133" s="140" t="s">
        <v>2279</v>
      </c>
      <c r="E133" s="140"/>
      <c r="F133" s="140" t="s">
        <v>2280</v>
      </c>
      <c r="G133" s="140">
        <v>1</v>
      </c>
      <c r="H133" s="134">
        <v>17.28</v>
      </c>
      <c r="I133" s="134">
        <f>Table3[[#This Row],[Unit Price]]*Table3[[#This Row],[QTY]]</f>
        <v>17.28</v>
      </c>
      <c r="J133" s="140" t="s">
        <v>989</v>
      </c>
      <c r="K133" s="140"/>
      <c r="L133" s="140"/>
      <c r="M133" s="133">
        <v>46117</v>
      </c>
      <c r="N133" s="135">
        <v>46168</v>
      </c>
      <c r="P133" s="155"/>
    </row>
    <row r="134" spans="1:16">
      <c r="A134" s="147" t="s">
        <v>2281</v>
      </c>
      <c r="B134" s="141">
        <v>46108</v>
      </c>
      <c r="C134" s="140" t="s">
        <v>1990</v>
      </c>
      <c r="D134" s="140" t="s">
        <v>2282</v>
      </c>
      <c r="E134" s="140"/>
      <c r="F134" s="140" t="s">
        <v>2094</v>
      </c>
      <c r="G134" s="140">
        <v>4</v>
      </c>
      <c r="H134" s="134">
        <v>77.010000000000005</v>
      </c>
      <c r="I134" s="134">
        <f>Table3[[#This Row],[Unit Price]]*Table3[[#This Row],[QTY]]</f>
        <v>308.04000000000002</v>
      </c>
      <c r="J134" s="140" t="s">
        <v>989</v>
      </c>
      <c r="K134" s="140"/>
      <c r="L134" s="140"/>
      <c r="M134" s="133">
        <v>46117</v>
      </c>
      <c r="N134" s="135">
        <v>46168</v>
      </c>
    </row>
    <row r="135" spans="1:16">
      <c r="A135" s="147" t="s">
        <v>2283</v>
      </c>
      <c r="B135" s="141">
        <v>46108</v>
      </c>
      <c r="C135" s="140" t="s">
        <v>1990</v>
      </c>
      <c r="D135" s="140" t="s">
        <v>2284</v>
      </c>
      <c r="E135" s="140" t="s">
        <v>2122</v>
      </c>
      <c r="F135" s="140" t="s">
        <v>2123</v>
      </c>
      <c r="G135" s="140">
        <v>4</v>
      </c>
      <c r="H135" s="134">
        <v>301.08</v>
      </c>
      <c r="I135" s="134">
        <f>Table3[[#This Row],[Unit Price]]*Table3[[#This Row],[QTY]]</f>
        <v>1204.32</v>
      </c>
      <c r="J135" s="140" t="s">
        <v>989</v>
      </c>
      <c r="K135" s="140"/>
      <c r="L135" s="140"/>
      <c r="M135" s="133">
        <v>46117</v>
      </c>
      <c r="N135" s="135">
        <v>46168</v>
      </c>
    </row>
    <row r="136" spans="1:16">
      <c r="A136" s="147" t="s">
        <v>2283</v>
      </c>
      <c r="B136" s="141">
        <v>46108</v>
      </c>
      <c r="C136" s="140" t="s">
        <v>1990</v>
      </c>
      <c r="D136" s="140" t="s">
        <v>2285</v>
      </c>
      <c r="E136" s="140" t="s">
        <v>1467</v>
      </c>
      <c r="F136" s="140" t="s">
        <v>1960</v>
      </c>
      <c r="G136" s="140">
        <v>4</v>
      </c>
      <c r="H136" s="134">
        <v>274.36</v>
      </c>
      <c r="I136" s="134">
        <f>Table3[[#This Row],[Unit Price]]*Table3[[#This Row],[QTY]]</f>
        <v>1097.44</v>
      </c>
      <c r="J136" s="140" t="s">
        <v>989</v>
      </c>
      <c r="K136" s="140"/>
      <c r="L136" s="140"/>
      <c r="M136" s="133">
        <v>46117</v>
      </c>
      <c r="N136" s="135">
        <v>46168</v>
      </c>
    </row>
    <row r="137" spans="1:16">
      <c r="A137" s="147" t="s">
        <v>2286</v>
      </c>
      <c r="B137" s="141">
        <v>46108</v>
      </c>
      <c r="C137" s="140" t="s">
        <v>1990</v>
      </c>
      <c r="D137" s="140" t="s">
        <v>489</v>
      </c>
      <c r="E137" s="140"/>
      <c r="F137" s="140" t="s">
        <v>1296</v>
      </c>
      <c r="G137" s="140">
        <v>10</v>
      </c>
      <c r="H137" s="134">
        <v>24.5</v>
      </c>
      <c r="I137" s="134">
        <f>Table3[[#This Row],[Unit Price]]*Table3[[#This Row],[QTY]]</f>
        <v>245</v>
      </c>
      <c r="J137" s="140"/>
      <c r="K137" s="140"/>
      <c r="L137" s="140"/>
      <c r="M137" s="141"/>
      <c r="N137" s="135"/>
    </row>
    <row r="138" spans="1:16">
      <c r="A138" s="147" t="s">
        <v>2287</v>
      </c>
      <c r="B138" s="141">
        <v>46112</v>
      </c>
      <c r="C138" s="140" t="s">
        <v>2288</v>
      </c>
      <c r="D138" s="140" t="s">
        <v>2289</v>
      </c>
      <c r="E138" s="140"/>
      <c r="F138" s="140" t="s">
        <v>2290</v>
      </c>
      <c r="G138" s="140">
        <v>1</v>
      </c>
      <c r="H138" s="134">
        <v>15.68</v>
      </c>
      <c r="I138" s="134">
        <f>Table3[[#This Row],[Unit Price]]*Table3[[#This Row],[QTY]]</f>
        <v>15.68</v>
      </c>
      <c r="J138" s="140" t="s">
        <v>989</v>
      </c>
      <c r="K138" s="140"/>
      <c r="L138" s="140"/>
      <c r="M138" s="133">
        <v>46117</v>
      </c>
      <c r="N138" s="135">
        <v>46168</v>
      </c>
    </row>
    <row r="139" spans="1:16">
      <c r="A139" s="147" t="s">
        <v>2291</v>
      </c>
      <c r="B139" s="141">
        <v>46112</v>
      </c>
      <c r="C139" s="140" t="s">
        <v>1990</v>
      </c>
      <c r="D139" s="140" t="s">
        <v>2292</v>
      </c>
      <c r="E139" s="140"/>
      <c r="F139" s="140" t="s">
        <v>2293</v>
      </c>
      <c r="G139" s="140">
        <v>1</v>
      </c>
      <c r="H139" s="134">
        <v>453.02</v>
      </c>
      <c r="I139" s="134">
        <f>Table3[[#This Row],[Unit Price]]*Table3[[#This Row],[QTY]]</f>
        <v>453.02</v>
      </c>
      <c r="J139" s="140" t="s">
        <v>2272</v>
      </c>
      <c r="K139" s="140"/>
      <c r="L139" s="140"/>
      <c r="M139" s="133">
        <v>46161</v>
      </c>
      <c r="N139" s="135">
        <v>46188</v>
      </c>
    </row>
    <row r="140" spans="1:16">
      <c r="A140" s="147" t="s">
        <v>2294</v>
      </c>
      <c r="B140" s="141">
        <v>46112</v>
      </c>
      <c r="C140" s="140" t="s">
        <v>1990</v>
      </c>
      <c r="D140" s="140" t="s">
        <v>2295</v>
      </c>
      <c r="E140" s="140"/>
      <c r="F140" s="140" t="s">
        <v>2296</v>
      </c>
      <c r="G140" s="140">
        <v>6</v>
      </c>
      <c r="H140" s="134">
        <v>107.78</v>
      </c>
      <c r="I140" s="134">
        <f>Table3[[#This Row],[Unit Price]]*Table3[[#This Row],[QTY]]</f>
        <v>646.68000000000006</v>
      </c>
      <c r="J140" s="140" t="s">
        <v>989</v>
      </c>
      <c r="K140" s="140"/>
      <c r="L140" s="140"/>
      <c r="M140" s="133">
        <v>46117</v>
      </c>
      <c r="N140" s="135">
        <v>46168</v>
      </c>
    </row>
    <row r="141" spans="1:16">
      <c r="A141" s="147" t="s">
        <v>2297</v>
      </c>
      <c r="B141" s="141">
        <v>46113</v>
      </c>
      <c r="C141" s="140" t="s">
        <v>1990</v>
      </c>
      <c r="D141" s="140" t="s">
        <v>1849</v>
      </c>
      <c r="E141" s="140"/>
      <c r="F141" s="140" t="s">
        <v>2244</v>
      </c>
      <c r="G141" s="140">
        <v>3</v>
      </c>
      <c r="H141" s="134">
        <v>79.989999999999995</v>
      </c>
      <c r="I141" s="134">
        <f>Table3[[#This Row],[Unit Price]]*Table3[[#This Row],[QTY]]</f>
        <v>239.96999999999997</v>
      </c>
      <c r="J141" s="140" t="s">
        <v>989</v>
      </c>
      <c r="K141" s="140"/>
      <c r="L141" s="140"/>
      <c r="M141" s="133">
        <v>46117</v>
      </c>
      <c r="N141" s="135">
        <v>46168</v>
      </c>
    </row>
    <row r="142" spans="1:16">
      <c r="A142" s="147" t="s">
        <v>2298</v>
      </c>
      <c r="B142" s="141">
        <v>46113</v>
      </c>
      <c r="C142" s="140" t="s">
        <v>1990</v>
      </c>
      <c r="D142" s="140" t="s">
        <v>2299</v>
      </c>
      <c r="E142" s="140"/>
      <c r="F142" s="140" t="s">
        <v>2300</v>
      </c>
      <c r="G142" s="140">
        <v>3</v>
      </c>
      <c r="H142" s="134">
        <v>42.58</v>
      </c>
      <c r="I142" s="134">
        <f>Table3[[#This Row],[Unit Price]]*Table3[[#This Row],[QTY]]</f>
        <v>127.74</v>
      </c>
      <c r="J142" s="140" t="s">
        <v>2272</v>
      </c>
      <c r="K142" s="140"/>
      <c r="L142" s="140"/>
      <c r="M142" s="133">
        <v>46161</v>
      </c>
      <c r="N142" s="135">
        <v>46188</v>
      </c>
    </row>
    <row r="143" spans="1:16">
      <c r="A143" s="147" t="s">
        <v>2301</v>
      </c>
      <c r="B143" s="141">
        <v>46114</v>
      </c>
      <c r="C143" s="140" t="s">
        <v>1990</v>
      </c>
      <c r="D143" s="140" t="s">
        <v>2302</v>
      </c>
      <c r="E143" s="140"/>
      <c r="F143" s="140" t="s">
        <v>2303</v>
      </c>
      <c r="G143" s="140">
        <v>1</v>
      </c>
      <c r="H143" s="134">
        <v>48.28</v>
      </c>
      <c r="I143" s="134">
        <f>Table3[[#This Row],[Unit Price]]*Table3[[#This Row],[QTY]]</f>
        <v>48.28</v>
      </c>
      <c r="J143" s="140"/>
      <c r="K143" s="140"/>
      <c r="L143" s="140"/>
      <c r="M143" s="141"/>
      <c r="N143" s="135"/>
    </row>
    <row r="144" spans="1:16">
      <c r="A144" s="147" t="s">
        <v>2304</v>
      </c>
      <c r="B144" s="141">
        <v>46114</v>
      </c>
      <c r="C144" s="140" t="s">
        <v>1990</v>
      </c>
      <c r="D144" s="140" t="s">
        <v>1074</v>
      </c>
      <c r="E144" s="140"/>
      <c r="F144" s="140" t="s">
        <v>2305</v>
      </c>
      <c r="G144" s="140">
        <v>1</v>
      </c>
      <c r="H144" s="134">
        <v>1427.32</v>
      </c>
      <c r="I144" s="134">
        <f>Table3[[#This Row],[Unit Price]]*Table3[[#This Row],[QTY]]</f>
        <v>1427.32</v>
      </c>
      <c r="J144" s="140"/>
      <c r="K144" s="140"/>
      <c r="L144" s="140"/>
      <c r="M144" s="141"/>
      <c r="N144" s="135"/>
    </row>
    <row r="145" spans="1:18">
      <c r="A145" s="147" t="s">
        <v>2304</v>
      </c>
      <c r="B145" s="141">
        <v>46114</v>
      </c>
      <c r="C145" s="140" t="s">
        <v>1990</v>
      </c>
      <c r="D145" s="140" t="s">
        <v>1004</v>
      </c>
      <c r="E145" s="140"/>
      <c r="F145" s="140" t="s">
        <v>2037</v>
      </c>
      <c r="G145" s="140">
        <v>1</v>
      </c>
      <c r="H145" s="134">
        <v>1370.16</v>
      </c>
      <c r="I145" s="134">
        <f>Table3[[#This Row],[Unit Price]]*Table3[[#This Row],[QTY]]</f>
        <v>1370.16</v>
      </c>
      <c r="J145" s="140"/>
      <c r="K145" s="140"/>
      <c r="L145" s="140"/>
      <c r="M145" s="141"/>
      <c r="N145" s="135"/>
    </row>
    <row r="146" spans="1:18">
      <c r="A146" s="147" t="s">
        <v>2304</v>
      </c>
      <c r="B146" s="141">
        <v>46114</v>
      </c>
      <c r="C146" s="140" t="s">
        <v>1990</v>
      </c>
      <c r="D146" s="140" t="s">
        <v>2093</v>
      </c>
      <c r="E146" s="140"/>
      <c r="F146" s="140" t="s">
        <v>2094</v>
      </c>
      <c r="G146" s="140">
        <v>4</v>
      </c>
      <c r="H146" s="134">
        <v>77.010000000000005</v>
      </c>
      <c r="I146" s="134">
        <f>Table3[[#This Row],[Unit Price]]*Table3[[#This Row],[QTY]]</f>
        <v>308.04000000000002</v>
      </c>
      <c r="J146" s="140"/>
      <c r="K146" s="140"/>
      <c r="L146" s="140"/>
      <c r="M146" s="141"/>
      <c r="N146" s="135"/>
    </row>
    <row r="147" spans="1:18">
      <c r="A147" s="147" t="s">
        <v>2304</v>
      </c>
      <c r="B147" s="141">
        <v>46114</v>
      </c>
      <c r="C147" s="140" t="s">
        <v>1990</v>
      </c>
      <c r="D147" s="140" t="s">
        <v>2016</v>
      </c>
      <c r="E147" s="140" t="s">
        <v>2017</v>
      </c>
      <c r="F147" s="140" t="s">
        <v>2018</v>
      </c>
      <c r="G147" s="140">
        <v>1</v>
      </c>
      <c r="H147" s="134">
        <v>1323.87</v>
      </c>
      <c r="I147" s="134">
        <f>Table3[[#This Row],[Unit Price]]*Table3[[#This Row],[QTY]]</f>
        <v>1323.87</v>
      </c>
      <c r="J147" s="140"/>
      <c r="K147" s="140"/>
      <c r="L147" s="140"/>
      <c r="M147" s="141"/>
      <c r="N147" s="135"/>
    </row>
    <row r="148" spans="1:18">
      <c r="A148" s="147" t="s">
        <v>2306</v>
      </c>
      <c r="B148" s="141">
        <v>46118</v>
      </c>
      <c r="C148" s="140" t="s">
        <v>1990</v>
      </c>
      <c r="D148" s="140" t="s">
        <v>741</v>
      </c>
      <c r="E148" s="140"/>
      <c r="F148" s="140" t="s">
        <v>742</v>
      </c>
      <c r="G148" s="140">
        <v>1</v>
      </c>
      <c r="H148" s="134">
        <v>886.36</v>
      </c>
      <c r="I148" s="134">
        <f>Table3[[#This Row],[Unit Price]]*Table3[[#This Row],[QTY]]</f>
        <v>886.36</v>
      </c>
      <c r="J148" s="140"/>
      <c r="K148" s="140"/>
      <c r="L148" s="140"/>
      <c r="M148" s="141"/>
      <c r="N148" s="135"/>
    </row>
    <row r="149" spans="1:18">
      <c r="A149" s="147" t="s">
        <v>2306</v>
      </c>
      <c r="B149" s="141">
        <v>46118</v>
      </c>
      <c r="C149" s="140" t="s">
        <v>1990</v>
      </c>
      <c r="D149" s="140" t="s">
        <v>52</v>
      </c>
      <c r="E149" s="140" t="s">
        <v>2126</v>
      </c>
      <c r="F149" s="140" t="s">
        <v>2127</v>
      </c>
      <c r="G149" s="140">
        <v>4</v>
      </c>
      <c r="H149" s="134">
        <v>160.04</v>
      </c>
      <c r="I149" s="134">
        <f>Table3[[#This Row],[Unit Price]]*Table3[[#This Row],[QTY]]</f>
        <v>640.16</v>
      </c>
      <c r="J149" s="140" t="s">
        <v>2272</v>
      </c>
      <c r="K149" s="140"/>
      <c r="L149" s="140"/>
      <c r="M149" s="133">
        <v>46161</v>
      </c>
      <c r="N149" s="135">
        <v>46188</v>
      </c>
    </row>
    <row r="150" spans="1:18">
      <c r="A150" s="147" t="s">
        <v>2306</v>
      </c>
      <c r="B150" s="141">
        <v>46118</v>
      </c>
      <c r="C150" s="140" t="s">
        <v>1990</v>
      </c>
      <c r="D150" s="140" t="s">
        <v>103</v>
      </c>
      <c r="E150" s="140"/>
      <c r="F150" s="140" t="s">
        <v>2307</v>
      </c>
      <c r="G150" s="140">
        <v>2</v>
      </c>
      <c r="H150" s="134">
        <v>324.66000000000003</v>
      </c>
      <c r="I150" s="134">
        <f>Table3[[#This Row],[Unit Price]]*Table3[[#This Row],[QTY]]</f>
        <v>649.32000000000005</v>
      </c>
      <c r="J150" s="140"/>
      <c r="K150" s="140"/>
      <c r="L150" s="140"/>
      <c r="M150" s="141"/>
      <c r="N150" s="135"/>
    </row>
    <row r="151" spans="1:18">
      <c r="A151" s="147" t="s">
        <v>2308</v>
      </c>
      <c r="B151" s="141">
        <v>46118</v>
      </c>
      <c r="C151" s="140" t="s">
        <v>1990</v>
      </c>
      <c r="D151" s="140" t="s">
        <v>2309</v>
      </c>
      <c r="E151" s="140"/>
      <c r="F151" s="140" t="s">
        <v>2310</v>
      </c>
      <c r="G151" s="140">
        <v>1</v>
      </c>
      <c r="H151" s="134">
        <v>846.92</v>
      </c>
      <c r="I151" s="134">
        <f>Table3[[#This Row],[Unit Price]]*Table3[[#This Row],[QTY]]</f>
        <v>846.92</v>
      </c>
      <c r="J151" s="140"/>
      <c r="K151" s="140"/>
      <c r="L151" s="140"/>
      <c r="M151" s="141"/>
      <c r="N151" s="135"/>
    </row>
    <row r="152" spans="1:18">
      <c r="A152" s="147" t="s">
        <v>2311</v>
      </c>
      <c r="B152" s="141">
        <v>46118</v>
      </c>
      <c r="C152" s="140" t="s">
        <v>1990</v>
      </c>
      <c r="D152" s="140" t="s">
        <v>2312</v>
      </c>
      <c r="E152" s="140"/>
      <c r="F152" s="140" t="s">
        <v>2313</v>
      </c>
      <c r="G152" s="140">
        <v>2</v>
      </c>
      <c r="H152" s="134">
        <v>167.85</v>
      </c>
      <c r="I152" s="134">
        <f>Table3[[#This Row],[Unit Price]]*Table3[[#This Row],[QTY]]</f>
        <v>335.7</v>
      </c>
      <c r="J152" s="140"/>
      <c r="K152" s="140"/>
      <c r="L152" s="140"/>
      <c r="M152" s="141"/>
      <c r="N152" s="135"/>
    </row>
    <row r="153" spans="1:18">
      <c r="A153" s="147" t="s">
        <v>2311</v>
      </c>
      <c r="B153" s="141">
        <v>46118</v>
      </c>
      <c r="C153" s="140" t="s">
        <v>1990</v>
      </c>
      <c r="D153" s="140" t="s">
        <v>705</v>
      </c>
      <c r="E153" s="140"/>
      <c r="F153" s="140" t="s">
        <v>817</v>
      </c>
      <c r="G153" s="140">
        <v>2</v>
      </c>
      <c r="H153" s="134">
        <v>167.85</v>
      </c>
      <c r="I153" s="134">
        <f>Table3[[#This Row],[Unit Price]]*Table3[[#This Row],[QTY]]</f>
        <v>335.7</v>
      </c>
      <c r="J153" s="140"/>
      <c r="K153" s="140"/>
      <c r="L153" s="140"/>
      <c r="M153" s="141"/>
      <c r="N153" s="135"/>
    </row>
    <row r="154" spans="1:18">
      <c r="A154" s="147" t="s">
        <v>2314</v>
      </c>
      <c r="B154" s="141">
        <v>46119</v>
      </c>
      <c r="C154" s="140" t="s">
        <v>2315</v>
      </c>
      <c r="D154" s="140" t="s">
        <v>2316</v>
      </c>
      <c r="E154" s="140"/>
      <c r="F154" s="140" t="s">
        <v>2317</v>
      </c>
      <c r="G154" s="140">
        <v>1</v>
      </c>
      <c r="H154" s="134">
        <v>568.92999999999995</v>
      </c>
      <c r="I154" s="134">
        <f>Table3[[#This Row],[Unit Price]]*Table3[[#This Row],[QTY]]</f>
        <v>568.92999999999995</v>
      </c>
      <c r="J154" s="140"/>
      <c r="K154" s="140"/>
      <c r="L154" s="140"/>
      <c r="M154" s="141"/>
      <c r="N154" s="135"/>
      <c r="O154" s="2">
        <v>111575</v>
      </c>
      <c r="Q154" s="110">
        <v>46190</v>
      </c>
      <c r="R154" s="1" t="s">
        <v>43</v>
      </c>
    </row>
    <row r="155" spans="1:18">
      <c r="A155" s="147" t="s">
        <v>2314</v>
      </c>
      <c r="B155" s="141">
        <v>46119</v>
      </c>
      <c r="C155" s="140" t="s">
        <v>2315</v>
      </c>
      <c r="D155" s="140" t="s">
        <v>1229</v>
      </c>
      <c r="E155" s="140"/>
      <c r="F155" s="140" t="s">
        <v>2184</v>
      </c>
      <c r="G155" s="140">
        <v>1</v>
      </c>
      <c r="H155" s="134">
        <v>29.82</v>
      </c>
      <c r="I155" s="134">
        <f>Table3[[#This Row],[Unit Price]]*Table3[[#This Row],[QTY]]</f>
        <v>29.82</v>
      </c>
      <c r="J155" s="140"/>
      <c r="K155" s="140"/>
      <c r="L155" s="140"/>
      <c r="M155" s="141"/>
      <c r="N155" s="135"/>
      <c r="O155" s="2">
        <v>111575</v>
      </c>
      <c r="Q155" s="110">
        <v>46190</v>
      </c>
      <c r="R155" s="1" t="s">
        <v>43</v>
      </c>
    </row>
    <row r="156" spans="1:18">
      <c r="A156" s="147" t="s">
        <v>2314</v>
      </c>
      <c r="B156" s="141">
        <v>46119</v>
      </c>
      <c r="C156" s="140" t="s">
        <v>2315</v>
      </c>
      <c r="D156" s="140" t="s">
        <v>2318</v>
      </c>
      <c r="E156" s="140"/>
      <c r="F156" s="140" t="s">
        <v>2319</v>
      </c>
      <c r="G156" s="140">
        <v>1</v>
      </c>
      <c r="H156" s="134">
        <v>160.04</v>
      </c>
      <c r="I156" s="134">
        <f>Table3[[#This Row],[Unit Price]]*Table3[[#This Row],[QTY]]</f>
        <v>160.04</v>
      </c>
      <c r="J156" s="140"/>
      <c r="K156" s="140"/>
      <c r="L156" s="140"/>
      <c r="M156" s="141"/>
      <c r="N156" s="135"/>
      <c r="O156" s="2">
        <v>111575</v>
      </c>
      <c r="Q156" s="110">
        <v>46190</v>
      </c>
      <c r="R156" s="1" t="s">
        <v>43</v>
      </c>
    </row>
    <row r="157" spans="1:18">
      <c r="A157" s="147" t="s">
        <v>2320</v>
      </c>
      <c r="B157" s="141">
        <v>46119</v>
      </c>
      <c r="C157" s="140" t="s">
        <v>2315</v>
      </c>
      <c r="D157" s="140" t="s">
        <v>2321</v>
      </c>
      <c r="E157" s="140"/>
      <c r="F157" s="140" t="s">
        <v>2322</v>
      </c>
      <c r="G157" s="140">
        <v>1</v>
      </c>
      <c r="H157" s="134">
        <v>16.329999999999998</v>
      </c>
      <c r="I157" s="134">
        <f>Table3[[#This Row],[Unit Price]]*Table3[[#This Row],[QTY]]</f>
        <v>16.329999999999998</v>
      </c>
      <c r="J157" s="140" t="s">
        <v>2272</v>
      </c>
      <c r="K157" s="140"/>
      <c r="L157" s="140"/>
      <c r="M157" s="133">
        <v>46161</v>
      </c>
      <c r="N157" s="135">
        <v>46188</v>
      </c>
    </row>
    <row r="158" spans="1:18">
      <c r="A158" s="147" t="s">
        <v>2323</v>
      </c>
      <c r="B158" s="141">
        <v>46120</v>
      </c>
      <c r="C158" s="140" t="s">
        <v>1990</v>
      </c>
      <c r="D158" s="140" t="s">
        <v>1064</v>
      </c>
      <c r="E158" s="140"/>
      <c r="F158" s="140" t="s">
        <v>2324</v>
      </c>
      <c r="G158" s="140">
        <v>2</v>
      </c>
      <c r="H158" s="134">
        <v>396.84</v>
      </c>
      <c r="I158" s="134">
        <f>Table3[[#This Row],[Unit Price]]*Table3[[#This Row],[QTY]]</f>
        <v>793.68</v>
      </c>
      <c r="J158" s="140" t="s">
        <v>2272</v>
      </c>
      <c r="K158" s="140"/>
      <c r="L158" s="140"/>
      <c r="M158" s="133">
        <v>46161</v>
      </c>
      <c r="N158" s="135">
        <v>46188</v>
      </c>
    </row>
    <row r="159" spans="1:18">
      <c r="A159" s="147" t="s">
        <v>2325</v>
      </c>
      <c r="B159" s="141">
        <v>46121</v>
      </c>
      <c r="C159" s="140" t="s">
        <v>2326</v>
      </c>
      <c r="D159" s="140" t="s">
        <v>2327</v>
      </c>
      <c r="E159" s="140" t="s">
        <v>2327</v>
      </c>
      <c r="F159" s="140" t="s">
        <v>2328</v>
      </c>
      <c r="G159" s="140">
        <v>1</v>
      </c>
      <c r="H159" s="134">
        <v>106.15</v>
      </c>
      <c r="I159" s="134">
        <f>Table3[[#This Row],[Unit Price]]*Table3[[#This Row],[QTY]]</f>
        <v>106.15</v>
      </c>
      <c r="J159" s="140" t="s">
        <v>2272</v>
      </c>
      <c r="K159" s="132"/>
      <c r="L159" s="140"/>
      <c r="M159" s="133">
        <v>46161</v>
      </c>
      <c r="N159" s="135">
        <v>46188</v>
      </c>
    </row>
    <row r="160" spans="1:18">
      <c r="A160" s="147" t="s">
        <v>2329</v>
      </c>
      <c r="B160" s="141">
        <v>46121</v>
      </c>
      <c r="C160" s="140" t="s">
        <v>1990</v>
      </c>
      <c r="D160" s="140" t="s">
        <v>329</v>
      </c>
      <c r="E160" s="140"/>
      <c r="F160" s="140" t="s">
        <v>600</v>
      </c>
      <c r="G160" s="140">
        <v>1</v>
      </c>
      <c r="H160" s="134">
        <v>49.81</v>
      </c>
      <c r="I160" s="134">
        <f>Table3[[#This Row],[Unit Price]]*Table3[[#This Row],[QTY]]</f>
        <v>49.81</v>
      </c>
      <c r="J160" s="140"/>
      <c r="K160" s="140"/>
      <c r="L160" s="140"/>
      <c r="M160" s="141"/>
      <c r="N160" s="135"/>
    </row>
    <row r="161" spans="1:14">
      <c r="A161" s="147" t="s">
        <v>2330</v>
      </c>
      <c r="B161" s="141">
        <v>46121</v>
      </c>
      <c r="C161" s="140" t="s">
        <v>1990</v>
      </c>
      <c r="D161" s="140" t="s">
        <v>2032</v>
      </c>
      <c r="E161" s="140" t="s">
        <v>2032</v>
      </c>
      <c r="F161" s="140" t="s">
        <v>2033</v>
      </c>
      <c r="G161" s="140">
        <v>1</v>
      </c>
      <c r="H161" s="134">
        <v>147.61000000000001</v>
      </c>
      <c r="I161" s="134">
        <f>Table3[[#This Row],[Unit Price]]*Table3[[#This Row],[QTY]]</f>
        <v>147.61000000000001</v>
      </c>
      <c r="J161" s="140"/>
      <c r="K161" s="140"/>
      <c r="L161" s="140"/>
      <c r="M161" s="141"/>
      <c r="N161" s="135"/>
    </row>
    <row r="162" spans="1:14">
      <c r="A162" s="147" t="s">
        <v>2331</v>
      </c>
      <c r="B162" s="141">
        <v>46121</v>
      </c>
      <c r="C162" s="140" t="s">
        <v>1990</v>
      </c>
      <c r="D162" s="140" t="s">
        <v>1455</v>
      </c>
      <c r="E162" s="140"/>
      <c r="F162" s="140" t="s">
        <v>2332</v>
      </c>
      <c r="G162" s="140">
        <v>1</v>
      </c>
      <c r="H162" s="134">
        <v>54.06</v>
      </c>
      <c r="I162" s="134">
        <f>Table3[[#This Row],[Unit Price]]*Table3[[#This Row],[QTY]]</f>
        <v>54.06</v>
      </c>
      <c r="J162" s="140"/>
      <c r="K162" s="140"/>
      <c r="L162" s="140"/>
      <c r="M162" s="141"/>
      <c r="N162" s="135"/>
    </row>
    <row r="163" spans="1:14">
      <c r="A163" s="147" t="s">
        <v>2333</v>
      </c>
      <c r="B163" s="141">
        <v>46125</v>
      </c>
      <c r="C163" s="140" t="s">
        <v>1990</v>
      </c>
      <c r="D163" s="140" t="s">
        <v>2334</v>
      </c>
      <c r="E163" s="140"/>
      <c r="F163" s="140" t="s">
        <v>2335</v>
      </c>
      <c r="G163" s="140">
        <v>1</v>
      </c>
      <c r="H163" s="134">
        <v>50.63</v>
      </c>
      <c r="I163" s="134">
        <f>Table3[[#This Row],[Unit Price]]*Table3[[#This Row],[QTY]]</f>
        <v>50.63</v>
      </c>
      <c r="J163" s="140" t="s">
        <v>2272</v>
      </c>
      <c r="K163" s="140"/>
      <c r="L163" s="140"/>
      <c r="M163" s="133">
        <v>46161</v>
      </c>
      <c r="N163" s="135">
        <v>46188</v>
      </c>
    </row>
    <row r="164" spans="1:14">
      <c r="A164" s="147" t="s">
        <v>2336</v>
      </c>
      <c r="B164" s="141">
        <v>46127</v>
      </c>
      <c r="C164" s="140" t="s">
        <v>2326</v>
      </c>
      <c r="D164" s="140" t="s">
        <v>2337</v>
      </c>
      <c r="E164" s="140"/>
      <c r="F164" s="140" t="s">
        <v>2328</v>
      </c>
      <c r="G164" s="140">
        <v>2</v>
      </c>
      <c r="H164" s="134">
        <v>106.15</v>
      </c>
      <c r="I164" s="134">
        <f>Table3[[#This Row],[Unit Price]]*Table3[[#This Row],[QTY]]</f>
        <v>212.3</v>
      </c>
      <c r="J164" s="140" t="s">
        <v>2272</v>
      </c>
      <c r="K164" s="140"/>
      <c r="L164" s="140"/>
      <c r="M164" s="133">
        <v>46161</v>
      </c>
      <c r="N164" s="135">
        <v>46188</v>
      </c>
    </row>
    <row r="165" spans="1:14">
      <c r="A165" s="147" t="s">
        <v>2338</v>
      </c>
      <c r="B165" s="141">
        <v>46127</v>
      </c>
      <c r="C165" s="140" t="s">
        <v>1990</v>
      </c>
      <c r="D165" s="140" t="s">
        <v>2339</v>
      </c>
      <c r="E165" s="140"/>
      <c r="F165" s="140" t="s">
        <v>2340</v>
      </c>
      <c r="G165" s="140">
        <v>1</v>
      </c>
      <c r="H165" s="134">
        <v>929.21</v>
      </c>
      <c r="I165" s="134">
        <f>Table3[[#This Row],[Unit Price]]*Table3[[#This Row],[QTY]]</f>
        <v>929.21</v>
      </c>
      <c r="J165" s="140" t="s">
        <v>2272</v>
      </c>
      <c r="K165" s="140"/>
      <c r="L165" s="140"/>
      <c r="M165" s="133">
        <v>46161</v>
      </c>
      <c r="N165" s="135">
        <v>46188</v>
      </c>
    </row>
    <row r="166" spans="1:14">
      <c r="A166" s="147" t="s">
        <v>2341</v>
      </c>
      <c r="B166" s="141">
        <v>46127</v>
      </c>
      <c r="C166" s="140" t="s">
        <v>1990</v>
      </c>
      <c r="D166" s="140" t="s">
        <v>2342</v>
      </c>
      <c r="E166" s="140"/>
      <c r="F166" s="140" t="s">
        <v>2343</v>
      </c>
      <c r="G166" s="140">
        <v>1</v>
      </c>
      <c r="H166" s="134">
        <v>1291.5</v>
      </c>
      <c r="I166" s="134">
        <f>Table3[[#This Row],[Unit Price]]*Table3[[#This Row],[QTY]]</f>
        <v>1291.5</v>
      </c>
      <c r="J166" s="140" t="s">
        <v>2272</v>
      </c>
      <c r="K166" s="140"/>
      <c r="L166" s="140"/>
      <c r="M166" s="133">
        <v>46161</v>
      </c>
      <c r="N166" s="135">
        <v>46188</v>
      </c>
    </row>
    <row r="167" spans="1:14">
      <c r="A167" s="147" t="s">
        <v>2341</v>
      </c>
      <c r="B167" s="141">
        <v>46127</v>
      </c>
      <c r="C167" s="140" t="s">
        <v>1990</v>
      </c>
      <c r="D167" s="140" t="s">
        <v>2344</v>
      </c>
      <c r="E167" s="140"/>
      <c r="F167" s="140" t="s">
        <v>2345</v>
      </c>
      <c r="G167" s="140">
        <v>1</v>
      </c>
      <c r="H167" s="134">
        <v>925.96</v>
      </c>
      <c r="I167" s="134">
        <f>Table3[[#This Row],[Unit Price]]*Table3[[#This Row],[QTY]]</f>
        <v>925.96</v>
      </c>
      <c r="J167" s="140" t="s">
        <v>2272</v>
      </c>
      <c r="K167" s="140"/>
      <c r="L167" s="140"/>
      <c r="M167" s="133">
        <v>46161</v>
      </c>
      <c r="N167" s="135">
        <v>46188</v>
      </c>
    </row>
    <row r="168" spans="1:14">
      <c r="A168" s="147" t="s">
        <v>2346</v>
      </c>
      <c r="B168" s="141">
        <v>46128</v>
      </c>
      <c r="C168" s="140" t="s">
        <v>1990</v>
      </c>
      <c r="D168" s="140" t="s">
        <v>587</v>
      </c>
      <c r="E168" s="140"/>
      <c r="F168" s="140" t="s">
        <v>2244</v>
      </c>
      <c r="G168" s="140">
        <v>1</v>
      </c>
      <c r="H168" s="134">
        <v>79.989999999999995</v>
      </c>
      <c r="I168" s="134">
        <f>Table3[[#This Row],[Unit Price]]*Table3[[#This Row],[QTY]]</f>
        <v>79.989999999999995</v>
      </c>
      <c r="J168" s="140" t="s">
        <v>2272</v>
      </c>
      <c r="K168" s="140"/>
      <c r="L168" s="140"/>
      <c r="M168" s="133">
        <v>46161</v>
      </c>
      <c r="N168" s="135">
        <v>46188</v>
      </c>
    </row>
    <row r="169" spans="1:14">
      <c r="A169" s="147" t="s">
        <v>2347</v>
      </c>
      <c r="B169" s="141">
        <v>46128</v>
      </c>
      <c r="C169" s="140" t="s">
        <v>1990</v>
      </c>
      <c r="D169" s="140" t="s">
        <v>1316</v>
      </c>
      <c r="E169" s="140"/>
      <c r="F169" s="140" t="s">
        <v>2348</v>
      </c>
      <c r="G169" s="140">
        <v>1</v>
      </c>
      <c r="H169" s="134">
        <v>8.98</v>
      </c>
      <c r="I169" s="134">
        <f>Table3[[#This Row],[Unit Price]]*Table3[[#This Row],[QTY]]</f>
        <v>8.98</v>
      </c>
      <c r="J169" s="140" t="s">
        <v>2272</v>
      </c>
      <c r="K169" s="140"/>
      <c r="L169" s="140"/>
      <c r="M169" s="133">
        <v>46161</v>
      </c>
      <c r="N169" s="135">
        <v>46188</v>
      </c>
    </row>
    <row r="170" spans="1:14">
      <c r="A170" s="147" t="s">
        <v>2349</v>
      </c>
      <c r="B170" s="141">
        <v>46134</v>
      </c>
      <c r="C170" s="140" t="s">
        <v>1990</v>
      </c>
      <c r="D170" s="140" t="s">
        <v>2350</v>
      </c>
      <c r="E170" s="140"/>
      <c r="F170" s="140" t="s">
        <v>2351</v>
      </c>
      <c r="G170" s="140">
        <v>1</v>
      </c>
      <c r="H170" s="134">
        <v>676.1</v>
      </c>
      <c r="I170" s="134">
        <f>Table3[[#This Row],[Unit Price]]*Table3[[#This Row],[QTY]]</f>
        <v>676.1</v>
      </c>
      <c r="J170" s="140" t="s">
        <v>61</v>
      </c>
      <c r="K170" s="140"/>
      <c r="L170" s="140"/>
      <c r="M170" s="141">
        <v>46138</v>
      </c>
      <c r="N170" s="135">
        <v>46147</v>
      </c>
    </row>
    <row r="171" spans="1:14">
      <c r="A171" s="147" t="s">
        <v>2349</v>
      </c>
      <c r="B171" s="141">
        <v>46134</v>
      </c>
      <c r="C171" s="140" t="s">
        <v>1990</v>
      </c>
      <c r="D171" s="140" t="s">
        <v>2352</v>
      </c>
      <c r="E171" s="140"/>
      <c r="F171" s="140" t="s">
        <v>2353</v>
      </c>
      <c r="G171" s="140">
        <v>1</v>
      </c>
      <c r="H171" s="134">
        <v>131.46</v>
      </c>
      <c r="I171" s="134">
        <f>Table3[[#This Row],[Unit Price]]*Table3[[#This Row],[QTY]]</f>
        <v>131.46</v>
      </c>
      <c r="J171" s="140" t="s">
        <v>61</v>
      </c>
      <c r="K171" s="140"/>
      <c r="L171" s="140"/>
      <c r="M171" s="141">
        <v>46138</v>
      </c>
      <c r="N171" s="135">
        <v>46147</v>
      </c>
    </row>
    <row r="172" spans="1:14">
      <c r="A172" s="147" t="s">
        <v>2354</v>
      </c>
      <c r="B172" s="141">
        <v>46134</v>
      </c>
      <c r="C172" s="140" t="s">
        <v>1990</v>
      </c>
      <c r="D172" s="140" t="s">
        <v>91</v>
      </c>
      <c r="E172" s="140" t="s">
        <v>89</v>
      </c>
      <c r="F172" s="140" t="s">
        <v>90</v>
      </c>
      <c r="G172" s="140">
        <v>1</v>
      </c>
      <c r="H172" s="134">
        <v>1057.75</v>
      </c>
      <c r="I172" s="134">
        <f>Table3[[#This Row],[Unit Price]]*Table3[[#This Row],[QTY]]</f>
        <v>1057.75</v>
      </c>
      <c r="J172" s="140" t="s">
        <v>2272</v>
      </c>
      <c r="K172" s="140"/>
      <c r="L172" s="140"/>
      <c r="M172" s="133">
        <v>46161</v>
      </c>
      <c r="N172" s="135">
        <v>46188</v>
      </c>
    </row>
    <row r="173" spans="1:14">
      <c r="A173" s="147" t="s">
        <v>2355</v>
      </c>
      <c r="B173" s="141">
        <v>46135</v>
      </c>
      <c r="C173" s="140" t="s">
        <v>1990</v>
      </c>
      <c r="D173" s="140" t="s">
        <v>2356</v>
      </c>
      <c r="E173" s="140"/>
      <c r="F173" s="140" t="s">
        <v>2357</v>
      </c>
      <c r="G173" s="140">
        <v>1</v>
      </c>
      <c r="H173" s="134">
        <v>117.5</v>
      </c>
      <c r="I173" s="134">
        <f>Table3[[#This Row],[Unit Price]]*Table3[[#This Row],[QTY]]</f>
        <v>117.5</v>
      </c>
      <c r="J173" s="140" t="s">
        <v>2272</v>
      </c>
      <c r="K173" s="140"/>
      <c r="L173" s="140"/>
      <c r="M173" s="133">
        <v>46161</v>
      </c>
      <c r="N173" s="135">
        <v>46188</v>
      </c>
    </row>
    <row r="174" spans="1:14">
      <c r="A174" s="147" t="s">
        <v>2358</v>
      </c>
      <c r="B174" s="141">
        <v>46135</v>
      </c>
      <c r="C174" s="140" t="s">
        <v>1990</v>
      </c>
      <c r="D174" s="140" t="s">
        <v>2039</v>
      </c>
      <c r="E174" s="140"/>
      <c r="F174" s="140" t="s">
        <v>2040</v>
      </c>
      <c r="G174" s="140">
        <v>1</v>
      </c>
      <c r="H174" s="134">
        <v>271.08999999999997</v>
      </c>
      <c r="I174" s="134">
        <f>Table3[[#This Row],[Unit Price]]*Table3[[#This Row],[QTY]]</f>
        <v>271.08999999999997</v>
      </c>
      <c r="J174" s="140" t="s">
        <v>2272</v>
      </c>
      <c r="K174" s="140"/>
      <c r="L174" s="140"/>
      <c r="M174" s="133">
        <v>46161</v>
      </c>
      <c r="N174" s="135">
        <v>46188</v>
      </c>
    </row>
    <row r="175" spans="1:14">
      <c r="A175" s="147" t="s">
        <v>2358</v>
      </c>
      <c r="B175" s="141">
        <v>46135</v>
      </c>
      <c r="C175" s="140" t="s">
        <v>1990</v>
      </c>
      <c r="D175" s="140" t="s">
        <v>2359</v>
      </c>
      <c r="E175" s="140"/>
      <c r="F175" s="140" t="s">
        <v>2360</v>
      </c>
      <c r="G175" s="140">
        <v>1</v>
      </c>
      <c r="H175" s="134">
        <v>453.61</v>
      </c>
      <c r="I175" s="134">
        <f>Table3[[#This Row],[Unit Price]]*Table3[[#This Row],[QTY]]</f>
        <v>453.61</v>
      </c>
      <c r="J175" s="140" t="s">
        <v>2272</v>
      </c>
      <c r="K175" s="140"/>
      <c r="L175" s="140"/>
      <c r="M175" s="133">
        <v>46161</v>
      </c>
      <c r="N175" s="135">
        <v>46188</v>
      </c>
    </row>
    <row r="176" spans="1:14">
      <c r="A176" s="147" t="s">
        <v>2361</v>
      </c>
      <c r="B176" s="141">
        <v>46135</v>
      </c>
      <c r="C176" s="140" t="s">
        <v>247</v>
      </c>
      <c r="D176" s="140" t="s">
        <v>173</v>
      </c>
      <c r="E176" s="140"/>
      <c r="F176" s="140" t="s">
        <v>2023</v>
      </c>
      <c r="G176" s="140">
        <v>5</v>
      </c>
      <c r="H176" s="134">
        <v>32.79</v>
      </c>
      <c r="I176" s="134">
        <f>Table3[[#This Row],[Unit Price]]*Table3[[#This Row],[QTY]]</f>
        <v>163.95</v>
      </c>
      <c r="J176" s="140" t="s">
        <v>2272</v>
      </c>
      <c r="K176" s="140"/>
      <c r="L176" s="140"/>
      <c r="M176" s="133">
        <v>46161</v>
      </c>
      <c r="N176" s="135">
        <v>46188</v>
      </c>
    </row>
    <row r="177" spans="1:14">
      <c r="A177" s="147" t="s">
        <v>2362</v>
      </c>
      <c r="B177" s="141">
        <v>46136</v>
      </c>
      <c r="C177" s="140" t="s">
        <v>2363</v>
      </c>
      <c r="D177" s="140" t="s">
        <v>1129</v>
      </c>
      <c r="E177" s="140"/>
      <c r="F177" s="140" t="s">
        <v>1130</v>
      </c>
      <c r="G177" s="140">
        <v>1</v>
      </c>
      <c r="H177" s="134">
        <v>110.15</v>
      </c>
      <c r="I177" s="134">
        <f>Table3[[#This Row],[Unit Price]]*Table3[[#This Row],[QTY]]</f>
        <v>110.15</v>
      </c>
      <c r="J177" s="140" t="s">
        <v>2272</v>
      </c>
      <c r="K177" s="140"/>
      <c r="L177" s="140"/>
      <c r="M177" s="133">
        <v>46161</v>
      </c>
      <c r="N177" s="135">
        <v>46188</v>
      </c>
    </row>
    <row r="178" spans="1:14">
      <c r="A178" s="147" t="s">
        <v>2364</v>
      </c>
      <c r="B178" s="141">
        <v>46136</v>
      </c>
      <c r="C178" s="140" t="s">
        <v>1990</v>
      </c>
      <c r="D178" s="140" t="s">
        <v>2365</v>
      </c>
      <c r="E178" s="140"/>
      <c r="F178" s="140" t="s">
        <v>2366</v>
      </c>
      <c r="G178" s="140">
        <v>1</v>
      </c>
      <c r="H178" s="134">
        <v>39.19</v>
      </c>
      <c r="I178" s="134">
        <f>Table3[[#This Row],[Unit Price]]*Table3[[#This Row],[QTY]]</f>
        <v>39.19</v>
      </c>
      <c r="J178" s="140" t="s">
        <v>2272</v>
      </c>
      <c r="K178" s="140"/>
      <c r="L178" s="140"/>
      <c r="M178" s="133">
        <v>46161</v>
      </c>
      <c r="N178" s="135">
        <v>46188</v>
      </c>
    </row>
    <row r="179" spans="1:14">
      <c r="A179" s="147" t="s">
        <v>2367</v>
      </c>
      <c r="B179" s="141">
        <v>46139</v>
      </c>
      <c r="C179" s="140" t="s">
        <v>2368</v>
      </c>
      <c r="D179" s="140" t="s">
        <v>2316</v>
      </c>
      <c r="E179" s="140"/>
      <c r="F179" s="140" t="s">
        <v>2317</v>
      </c>
      <c r="G179" s="140">
        <v>1</v>
      </c>
      <c r="H179" s="134">
        <v>568.92999999999995</v>
      </c>
      <c r="I179" s="134">
        <f>Table3[[#This Row],[Unit Price]]*Table3[[#This Row],[QTY]]</f>
        <v>568.92999999999995</v>
      </c>
      <c r="J179" s="140" t="s">
        <v>2272</v>
      </c>
      <c r="K179" s="140"/>
      <c r="L179" s="140"/>
      <c r="M179" s="133">
        <v>46161</v>
      </c>
      <c r="N179" s="135">
        <v>46188</v>
      </c>
    </row>
    <row r="180" spans="1:14">
      <c r="A180" s="147" t="s">
        <v>2367</v>
      </c>
      <c r="B180" s="141">
        <v>46139</v>
      </c>
      <c r="C180" s="140" t="s">
        <v>2368</v>
      </c>
      <c r="D180" s="140" t="s">
        <v>2369</v>
      </c>
      <c r="E180" s="140"/>
      <c r="F180" s="140" t="s">
        <v>2370</v>
      </c>
      <c r="G180" s="140">
        <v>1</v>
      </c>
      <c r="H180" s="134">
        <v>61.75</v>
      </c>
      <c r="I180" s="134">
        <f>Table3[[#This Row],[Unit Price]]*Table3[[#This Row],[QTY]]</f>
        <v>61.75</v>
      </c>
      <c r="J180" s="140" t="s">
        <v>2272</v>
      </c>
      <c r="K180" s="140"/>
      <c r="L180" s="140"/>
      <c r="M180" s="133">
        <v>46161</v>
      </c>
      <c r="N180" s="135">
        <v>46188</v>
      </c>
    </row>
    <row r="181" spans="1:14">
      <c r="A181" s="147" t="s">
        <v>2367</v>
      </c>
      <c r="B181" s="141">
        <v>46139</v>
      </c>
      <c r="C181" s="140" t="s">
        <v>2368</v>
      </c>
      <c r="D181" s="140" t="s">
        <v>2371</v>
      </c>
      <c r="E181" s="140"/>
      <c r="F181" s="140" t="s">
        <v>2372</v>
      </c>
      <c r="G181" s="140">
        <v>6</v>
      </c>
      <c r="H181" s="134">
        <v>54.06</v>
      </c>
      <c r="I181" s="134">
        <f>Table3[[#This Row],[Unit Price]]*Table3[[#This Row],[QTY]]</f>
        <v>324.36</v>
      </c>
      <c r="J181" s="140" t="s">
        <v>2272</v>
      </c>
      <c r="K181" s="140"/>
      <c r="L181" s="140"/>
      <c r="M181" s="133">
        <v>46161</v>
      </c>
      <c r="N181" s="135">
        <v>46188</v>
      </c>
    </row>
    <row r="182" spans="1:14">
      <c r="A182" s="147" t="s">
        <v>2367</v>
      </c>
      <c r="B182" s="141">
        <v>46139</v>
      </c>
      <c r="C182" s="140" t="s">
        <v>2368</v>
      </c>
      <c r="D182" s="140" t="s">
        <v>2059</v>
      </c>
      <c r="E182" s="140"/>
      <c r="F182" s="140" t="s">
        <v>2060</v>
      </c>
      <c r="G182" s="140">
        <v>1</v>
      </c>
      <c r="H182" s="134">
        <v>160.53</v>
      </c>
      <c r="I182" s="134">
        <f>Table3[[#This Row],[Unit Price]]*Table3[[#This Row],[QTY]]</f>
        <v>160.53</v>
      </c>
      <c r="J182" s="140" t="s">
        <v>2272</v>
      </c>
      <c r="K182" s="140"/>
      <c r="L182" s="140"/>
      <c r="M182" s="133">
        <v>46161</v>
      </c>
      <c r="N182" s="135">
        <v>46188</v>
      </c>
    </row>
    <row r="183" spans="1:14">
      <c r="A183" s="147" t="s">
        <v>2373</v>
      </c>
      <c r="B183" s="141">
        <v>46141</v>
      </c>
      <c r="C183" s="140" t="s">
        <v>1990</v>
      </c>
      <c r="D183" s="140" t="s">
        <v>259</v>
      </c>
      <c r="E183" s="140"/>
      <c r="F183" s="140" t="s">
        <v>2052</v>
      </c>
      <c r="G183" s="140">
        <v>2</v>
      </c>
      <c r="H183" s="134">
        <v>72.98</v>
      </c>
      <c r="I183" s="134">
        <f>Table3[[#This Row],[Unit Price]]*Table3[[#This Row],[QTY]]</f>
        <v>145.96</v>
      </c>
      <c r="J183" s="140" t="s">
        <v>2272</v>
      </c>
      <c r="K183" s="140"/>
      <c r="L183" s="140"/>
      <c r="M183" s="133">
        <v>46161</v>
      </c>
      <c r="N183" s="135">
        <v>46188</v>
      </c>
    </row>
    <row r="184" spans="1:14">
      <c r="A184" s="147" t="s">
        <v>2373</v>
      </c>
      <c r="B184" s="141">
        <v>46141</v>
      </c>
      <c r="C184" s="140" t="s">
        <v>1990</v>
      </c>
      <c r="D184" s="140" t="s">
        <v>257</v>
      </c>
      <c r="E184" s="140"/>
      <c r="F184" s="140" t="s">
        <v>2053</v>
      </c>
      <c r="G184" s="140">
        <v>2</v>
      </c>
      <c r="H184" s="134">
        <v>11.63</v>
      </c>
      <c r="I184" s="134">
        <f>Table3[[#This Row],[Unit Price]]*Table3[[#This Row],[QTY]]</f>
        <v>23.26</v>
      </c>
      <c r="J184" s="140" t="s">
        <v>2272</v>
      </c>
      <c r="K184" s="140"/>
      <c r="L184" s="140"/>
      <c r="M184" s="133">
        <v>46161</v>
      </c>
      <c r="N184" s="135">
        <v>46188</v>
      </c>
    </row>
    <row r="185" spans="1:14">
      <c r="A185" s="147" t="s">
        <v>2373</v>
      </c>
      <c r="B185" s="141">
        <v>46141</v>
      </c>
      <c r="C185" s="140" t="s">
        <v>1990</v>
      </c>
      <c r="D185" s="140" t="s">
        <v>609</v>
      </c>
      <c r="E185" s="140"/>
      <c r="F185" s="140" t="s">
        <v>2150</v>
      </c>
      <c r="G185" s="140">
        <v>1</v>
      </c>
      <c r="H185" s="134">
        <v>455.63</v>
      </c>
      <c r="I185" s="134">
        <f>Table3[[#This Row],[Unit Price]]*Table3[[#This Row],[QTY]]</f>
        <v>455.63</v>
      </c>
      <c r="J185" s="140" t="s">
        <v>2272</v>
      </c>
      <c r="K185" s="140"/>
      <c r="L185" s="140"/>
      <c r="M185" s="133">
        <v>46161</v>
      </c>
      <c r="N185" s="135">
        <v>46188</v>
      </c>
    </row>
    <row r="186" spans="1:14">
      <c r="A186" s="147" t="s">
        <v>2373</v>
      </c>
      <c r="B186" s="141">
        <v>46141</v>
      </c>
      <c r="C186" s="140" t="s">
        <v>1990</v>
      </c>
      <c r="D186" s="140" t="s">
        <v>1215</v>
      </c>
      <c r="E186" s="140"/>
      <c r="F186" s="140" t="s">
        <v>2091</v>
      </c>
      <c r="G186" s="140">
        <v>1</v>
      </c>
      <c r="H186" s="134">
        <v>303.75</v>
      </c>
      <c r="I186" s="134">
        <f>Table3[[#This Row],[Unit Price]]*Table3[[#This Row],[QTY]]</f>
        <v>303.75</v>
      </c>
      <c r="J186" s="140" t="s">
        <v>2272</v>
      </c>
      <c r="K186" s="140"/>
      <c r="L186" s="140"/>
      <c r="M186" s="133">
        <v>46161</v>
      </c>
      <c r="N186" s="135">
        <v>46188</v>
      </c>
    </row>
    <row r="187" spans="1:14">
      <c r="A187" s="147" t="s">
        <v>2373</v>
      </c>
      <c r="B187" s="141">
        <v>46141</v>
      </c>
      <c r="C187" s="140" t="s">
        <v>1990</v>
      </c>
      <c r="D187" s="140" t="s">
        <v>183</v>
      </c>
      <c r="E187" s="140"/>
      <c r="F187" s="140" t="s">
        <v>2197</v>
      </c>
      <c r="G187" s="140">
        <v>1</v>
      </c>
      <c r="H187" s="134">
        <v>1317.91</v>
      </c>
      <c r="I187" s="134">
        <f>Table3[[#This Row],[Unit Price]]*Table3[[#This Row],[QTY]]</f>
        <v>1317.91</v>
      </c>
      <c r="J187" s="140" t="s">
        <v>2272</v>
      </c>
      <c r="K187" s="140"/>
      <c r="L187" s="140"/>
      <c r="M187" s="133">
        <v>46161</v>
      </c>
      <c r="N187" s="135">
        <v>46188</v>
      </c>
    </row>
    <row r="188" spans="1:14">
      <c r="A188" s="147" t="s">
        <v>2373</v>
      </c>
      <c r="B188" s="141">
        <v>46141</v>
      </c>
      <c r="C188" s="140" t="s">
        <v>1990</v>
      </c>
      <c r="D188" s="140" t="s">
        <v>187</v>
      </c>
      <c r="E188" s="140"/>
      <c r="F188" s="140" t="s">
        <v>1452</v>
      </c>
      <c r="G188" s="140">
        <v>1</v>
      </c>
      <c r="H188" s="134">
        <v>1172.5899999999999</v>
      </c>
      <c r="I188" s="134">
        <f>Table3[[#This Row],[Unit Price]]*Table3[[#This Row],[QTY]]</f>
        <v>1172.5899999999999</v>
      </c>
      <c r="J188" s="140" t="s">
        <v>2272</v>
      </c>
      <c r="K188" s="140"/>
      <c r="L188" s="140"/>
      <c r="M188" s="133">
        <v>46161</v>
      </c>
      <c r="N188" s="135">
        <v>46188</v>
      </c>
    </row>
    <row r="189" spans="1:14">
      <c r="A189" s="147" t="s">
        <v>2373</v>
      </c>
      <c r="B189" s="141">
        <v>46141</v>
      </c>
      <c r="C189" s="140" t="s">
        <v>1990</v>
      </c>
      <c r="D189" s="140" t="s">
        <v>2342</v>
      </c>
      <c r="E189" s="140"/>
      <c r="F189" s="140" t="s">
        <v>2343</v>
      </c>
      <c r="G189" s="140">
        <v>1</v>
      </c>
      <c r="H189" s="134">
        <v>1291.5</v>
      </c>
      <c r="I189" s="134">
        <f>Table3[[#This Row],[Unit Price]]*Table3[[#This Row],[QTY]]</f>
        <v>1291.5</v>
      </c>
      <c r="J189" s="140" t="s">
        <v>2272</v>
      </c>
      <c r="K189" s="140"/>
      <c r="L189" s="140"/>
      <c r="M189" s="133">
        <v>46161</v>
      </c>
      <c r="N189" s="135">
        <v>46188</v>
      </c>
    </row>
    <row r="190" spans="1:14">
      <c r="A190" s="147" t="s">
        <v>2374</v>
      </c>
      <c r="B190" s="141">
        <v>46141</v>
      </c>
      <c r="C190" s="140" t="s">
        <v>1990</v>
      </c>
      <c r="D190" s="140" t="s">
        <v>2271</v>
      </c>
      <c r="E190" s="140"/>
      <c r="F190" s="140" t="s">
        <v>1302</v>
      </c>
      <c r="G190" s="140">
        <v>1</v>
      </c>
      <c r="H190" s="134">
        <v>413.5</v>
      </c>
      <c r="I190" s="134">
        <f>Table3[[#This Row],[Unit Price]]*Table3[[#This Row],[QTY]]</f>
        <v>413.5</v>
      </c>
      <c r="J190" s="140" t="s">
        <v>61</v>
      </c>
      <c r="K190" s="140"/>
      <c r="L190" s="140"/>
      <c r="M190" s="141">
        <v>46145</v>
      </c>
      <c r="N190" s="135">
        <v>46153</v>
      </c>
    </row>
    <row r="191" spans="1:14">
      <c r="A191" s="147" t="s">
        <v>2375</v>
      </c>
      <c r="B191" s="141">
        <v>46146</v>
      </c>
      <c r="C191" s="140" t="s">
        <v>1990</v>
      </c>
      <c r="D191" s="140" t="s">
        <v>430</v>
      </c>
      <c r="E191" s="140"/>
      <c r="F191" s="140" t="s">
        <v>431</v>
      </c>
      <c r="G191" s="140">
        <v>4</v>
      </c>
      <c r="H191" s="134">
        <v>125.99</v>
      </c>
      <c r="I191" s="134">
        <f>Table3[[#This Row],[Unit Price]]*Table3[[#This Row],[QTY]]</f>
        <v>503.96</v>
      </c>
      <c r="J191" s="140" t="s">
        <v>2272</v>
      </c>
      <c r="K191" s="140"/>
      <c r="L191" s="140"/>
      <c r="M191" s="133">
        <v>46161</v>
      </c>
      <c r="N191" s="135">
        <v>46188</v>
      </c>
    </row>
    <row r="192" spans="1:14">
      <c r="A192" s="147" t="s">
        <v>2376</v>
      </c>
      <c r="B192" s="141">
        <v>46146</v>
      </c>
      <c r="C192" s="140" t="s">
        <v>1990</v>
      </c>
      <c r="D192" s="140" t="s">
        <v>1022</v>
      </c>
      <c r="E192" s="140"/>
      <c r="F192" s="140" t="s">
        <v>1296</v>
      </c>
      <c r="G192" s="140">
        <v>4</v>
      </c>
      <c r="H192" s="134">
        <v>24.5</v>
      </c>
      <c r="I192" s="134">
        <f>Table3[[#This Row],[Unit Price]]*Table3[[#This Row],[QTY]]</f>
        <v>98</v>
      </c>
      <c r="J192" s="140" t="s">
        <v>2272</v>
      </c>
      <c r="K192" s="140"/>
      <c r="L192" s="140"/>
      <c r="M192" s="133">
        <v>46161</v>
      </c>
      <c r="N192" s="135">
        <v>46188</v>
      </c>
    </row>
    <row r="193" spans="1:14">
      <c r="A193" s="147" t="s">
        <v>2377</v>
      </c>
      <c r="B193" s="141">
        <v>46147</v>
      </c>
      <c r="C193" s="140" t="s">
        <v>1990</v>
      </c>
      <c r="D193" s="140" t="s">
        <v>2039</v>
      </c>
      <c r="E193" s="140"/>
      <c r="F193" s="140" t="s">
        <v>2040</v>
      </c>
      <c r="G193" s="140">
        <v>1</v>
      </c>
      <c r="H193" s="134">
        <v>271.08999999999997</v>
      </c>
      <c r="I193" s="134">
        <f>Table3[[#This Row],[Unit Price]]*Table3[[#This Row],[QTY]]</f>
        <v>271.08999999999997</v>
      </c>
      <c r="J193" s="140" t="s">
        <v>2272</v>
      </c>
      <c r="K193" s="140"/>
      <c r="L193" s="140"/>
      <c r="M193" s="133">
        <v>46161</v>
      </c>
      <c r="N193" s="135">
        <v>46188</v>
      </c>
    </row>
    <row r="194" spans="1:14">
      <c r="A194" s="147" t="s">
        <v>2377</v>
      </c>
      <c r="B194" s="141">
        <v>46147</v>
      </c>
      <c r="C194" s="140" t="s">
        <v>1990</v>
      </c>
      <c r="D194" s="140" t="s">
        <v>417</v>
      </c>
      <c r="E194" s="140"/>
      <c r="F194" s="140" t="s">
        <v>1497</v>
      </c>
      <c r="G194" s="140">
        <v>1</v>
      </c>
      <c r="H194" s="134">
        <v>260.14999999999998</v>
      </c>
      <c r="I194" s="134">
        <f>Table3[[#This Row],[Unit Price]]*Table3[[#This Row],[QTY]]</f>
        <v>260.14999999999998</v>
      </c>
      <c r="J194" s="140" t="s">
        <v>2272</v>
      </c>
      <c r="K194" s="140"/>
      <c r="L194" s="140"/>
      <c r="M194" s="133">
        <v>46161</v>
      </c>
      <c r="N194" s="135">
        <v>46188</v>
      </c>
    </row>
    <row r="195" spans="1:14">
      <c r="A195" s="147" t="s">
        <v>2377</v>
      </c>
      <c r="B195" s="141">
        <v>46147</v>
      </c>
      <c r="C195" s="140" t="s">
        <v>1990</v>
      </c>
      <c r="D195" s="140" t="s">
        <v>2378</v>
      </c>
      <c r="E195" s="140"/>
      <c r="F195" s="140" t="s">
        <v>2379</v>
      </c>
      <c r="G195" s="140">
        <v>1</v>
      </c>
      <c r="H195" s="134">
        <v>310.29000000000002</v>
      </c>
      <c r="I195" s="134">
        <f>Table3[[#This Row],[Unit Price]]*Table3[[#This Row],[QTY]]</f>
        <v>310.29000000000002</v>
      </c>
      <c r="J195" s="140" t="s">
        <v>2272</v>
      </c>
      <c r="K195" s="132"/>
      <c r="L195" s="140"/>
      <c r="M195" s="133">
        <v>46161</v>
      </c>
      <c r="N195" s="135">
        <v>46188</v>
      </c>
    </row>
    <row r="196" spans="1:14">
      <c r="A196" s="147" t="s">
        <v>2377</v>
      </c>
      <c r="B196" s="141">
        <v>46147</v>
      </c>
      <c r="C196" s="140" t="s">
        <v>1990</v>
      </c>
      <c r="D196" s="140" t="s">
        <v>2380</v>
      </c>
      <c r="E196" s="140"/>
      <c r="F196" s="140" t="s">
        <v>2381</v>
      </c>
      <c r="G196" s="140">
        <v>1</v>
      </c>
      <c r="H196" s="134">
        <v>601.41999999999996</v>
      </c>
      <c r="I196" s="134">
        <f>Table3[[#This Row],[Unit Price]]*Table3[[#This Row],[QTY]]</f>
        <v>601.41999999999996</v>
      </c>
      <c r="J196" s="140" t="s">
        <v>2272</v>
      </c>
      <c r="K196" s="140"/>
      <c r="L196" s="140"/>
      <c r="M196" s="133">
        <v>46161</v>
      </c>
      <c r="N196" s="135">
        <v>46188</v>
      </c>
    </row>
    <row r="197" spans="1:14">
      <c r="A197" s="147" t="s">
        <v>2377</v>
      </c>
      <c r="B197" s="141">
        <v>46147</v>
      </c>
      <c r="C197" s="140" t="s">
        <v>1990</v>
      </c>
      <c r="D197" s="140" t="s">
        <v>1212</v>
      </c>
      <c r="E197" s="140"/>
      <c r="F197" s="140" t="s">
        <v>2382</v>
      </c>
      <c r="G197" s="140">
        <v>1</v>
      </c>
      <c r="H197" s="134">
        <v>375.61</v>
      </c>
      <c r="I197" s="134">
        <f>Table3[[#This Row],[Unit Price]]*Table3[[#This Row],[QTY]]</f>
        <v>375.61</v>
      </c>
      <c r="J197" s="140" t="s">
        <v>2132</v>
      </c>
      <c r="K197" s="140"/>
      <c r="L197" s="140"/>
      <c r="M197" s="141">
        <v>46174</v>
      </c>
      <c r="N197" s="145">
        <v>46209</v>
      </c>
    </row>
    <row r="198" spans="1:14">
      <c r="A198" s="147" t="s">
        <v>2377</v>
      </c>
      <c r="B198" s="141">
        <v>46147</v>
      </c>
      <c r="C198" s="140" t="s">
        <v>1990</v>
      </c>
      <c r="D198" s="140" t="s">
        <v>110</v>
      </c>
      <c r="E198" s="140" t="s">
        <v>1927</v>
      </c>
      <c r="F198" s="140" t="s">
        <v>2383</v>
      </c>
      <c r="G198" s="140">
        <v>1</v>
      </c>
      <c r="H198" s="134">
        <v>524.22</v>
      </c>
      <c r="I198" s="134">
        <f>Table3[[#This Row],[Unit Price]]*Table3[[#This Row],[QTY]]</f>
        <v>524.22</v>
      </c>
      <c r="J198" s="140" t="s">
        <v>2272</v>
      </c>
      <c r="K198" s="140"/>
      <c r="L198" s="140"/>
      <c r="M198" s="133">
        <v>46161</v>
      </c>
      <c r="N198" s="135">
        <v>46188</v>
      </c>
    </row>
    <row r="199" spans="1:14">
      <c r="A199" s="147" t="s">
        <v>2384</v>
      </c>
      <c r="B199" s="141">
        <v>46148</v>
      </c>
      <c r="C199" s="140" t="s">
        <v>1990</v>
      </c>
      <c r="D199" s="140" t="s">
        <v>1481</v>
      </c>
      <c r="E199" s="140"/>
      <c r="F199" s="140" t="s">
        <v>2385</v>
      </c>
      <c r="G199" s="140">
        <v>2</v>
      </c>
      <c r="H199" s="134">
        <v>232.03</v>
      </c>
      <c r="I199" s="134">
        <f>Table3[[#This Row],[Unit Price]]*Table3[[#This Row],[QTY]]</f>
        <v>464.06</v>
      </c>
      <c r="J199" s="140" t="s">
        <v>2272</v>
      </c>
      <c r="K199" s="140"/>
      <c r="L199" s="140"/>
      <c r="M199" s="133">
        <v>46161</v>
      </c>
      <c r="N199" s="135">
        <v>46188</v>
      </c>
    </row>
    <row r="200" spans="1:14">
      <c r="A200" s="147" t="s">
        <v>2384</v>
      </c>
      <c r="B200" s="141">
        <v>46148</v>
      </c>
      <c r="C200" s="140" t="s">
        <v>1990</v>
      </c>
      <c r="D200" s="140" t="s">
        <v>1475</v>
      </c>
      <c r="E200" s="140" t="s">
        <v>1479</v>
      </c>
      <c r="F200" s="140" t="s">
        <v>2386</v>
      </c>
      <c r="G200" s="140">
        <v>1</v>
      </c>
      <c r="H200" s="134">
        <v>101.4</v>
      </c>
      <c r="I200" s="134">
        <f>Table3[[#This Row],[Unit Price]]*Table3[[#This Row],[QTY]]</f>
        <v>101.4</v>
      </c>
      <c r="J200" s="140" t="s">
        <v>2272</v>
      </c>
      <c r="K200" s="140"/>
      <c r="L200" s="140"/>
      <c r="M200" s="133">
        <v>46161</v>
      </c>
      <c r="N200" s="135">
        <v>46188</v>
      </c>
    </row>
    <row r="201" spans="1:14">
      <c r="A201" s="147" t="s">
        <v>2384</v>
      </c>
      <c r="B201" s="141">
        <v>46148</v>
      </c>
      <c r="C201" s="140" t="s">
        <v>1990</v>
      </c>
      <c r="D201" s="140" t="s">
        <v>1478</v>
      </c>
      <c r="E201" s="140"/>
      <c r="F201" s="140" t="s">
        <v>2387</v>
      </c>
      <c r="G201" s="140">
        <v>3</v>
      </c>
      <c r="H201" s="134">
        <v>443.27</v>
      </c>
      <c r="I201" s="134">
        <f>Table3[[#This Row],[Unit Price]]*Table3[[#This Row],[QTY]]</f>
        <v>1329.81</v>
      </c>
      <c r="J201" s="140" t="s">
        <v>2272</v>
      </c>
      <c r="K201" s="140"/>
      <c r="L201" s="140"/>
      <c r="M201" s="133">
        <v>46161</v>
      </c>
      <c r="N201" s="135">
        <v>46188</v>
      </c>
    </row>
    <row r="202" spans="1:14">
      <c r="A202" s="147" t="s">
        <v>2388</v>
      </c>
      <c r="B202" s="141">
        <v>46148</v>
      </c>
      <c r="C202" s="140" t="s">
        <v>1990</v>
      </c>
      <c r="D202" s="140" t="s">
        <v>1212</v>
      </c>
      <c r="E202" s="140"/>
      <c r="F202" s="140" t="s">
        <v>2382</v>
      </c>
      <c r="G202" s="140">
        <v>2</v>
      </c>
      <c r="H202" s="134">
        <v>375.61</v>
      </c>
      <c r="I202" s="134">
        <f>Table3[[#This Row],[Unit Price]]*Table3[[#This Row],[QTY]]</f>
        <v>751.22</v>
      </c>
      <c r="J202" s="140" t="s">
        <v>2132</v>
      </c>
      <c r="K202" s="140"/>
      <c r="L202" s="140"/>
      <c r="M202" s="141">
        <v>46174</v>
      </c>
      <c r="N202" s="145">
        <v>46209</v>
      </c>
    </row>
    <row r="203" spans="1:14">
      <c r="A203" s="147" t="s">
        <v>2389</v>
      </c>
      <c r="B203" s="141">
        <v>46150</v>
      </c>
      <c r="C203" s="140" t="s">
        <v>1990</v>
      </c>
      <c r="D203" s="140" t="s">
        <v>1055</v>
      </c>
      <c r="E203" s="140"/>
      <c r="F203" s="140" t="s">
        <v>2390</v>
      </c>
      <c r="G203" s="140">
        <v>12</v>
      </c>
      <c r="H203" s="134">
        <v>44.09</v>
      </c>
      <c r="I203" s="134">
        <f>Table3[[#This Row],[Unit Price]]*Table3[[#This Row],[QTY]]</f>
        <v>529.08000000000004</v>
      </c>
      <c r="J203" s="140" t="s">
        <v>2391</v>
      </c>
      <c r="K203" s="140"/>
      <c r="L203" s="140"/>
      <c r="M203" s="141">
        <v>46161</v>
      </c>
      <c r="N203" s="135">
        <v>46169</v>
      </c>
    </row>
    <row r="204" spans="1:14">
      <c r="A204" s="147" t="s">
        <v>2392</v>
      </c>
      <c r="B204" s="141">
        <v>46150</v>
      </c>
      <c r="C204" s="140" t="s">
        <v>1990</v>
      </c>
      <c r="D204" s="140" t="s">
        <v>2393</v>
      </c>
      <c r="E204" s="140"/>
      <c r="F204" s="140" t="s">
        <v>2394</v>
      </c>
      <c r="G204" s="140">
        <v>1</v>
      </c>
      <c r="H204" s="134">
        <v>814.1</v>
      </c>
      <c r="I204" s="134">
        <f>Table3[[#This Row],[Unit Price]]*Table3[[#This Row],[QTY]]</f>
        <v>814.1</v>
      </c>
      <c r="J204" s="140" t="s">
        <v>2272</v>
      </c>
      <c r="K204" s="140"/>
      <c r="L204" s="140"/>
      <c r="M204" s="133">
        <v>46161</v>
      </c>
      <c r="N204" s="135">
        <v>46188</v>
      </c>
    </row>
    <row r="205" spans="1:14">
      <c r="A205" s="147" t="s">
        <v>2395</v>
      </c>
      <c r="B205" s="141">
        <v>46151</v>
      </c>
      <c r="C205" s="140" t="s">
        <v>1990</v>
      </c>
      <c r="D205" s="140" t="s">
        <v>2396</v>
      </c>
      <c r="E205" s="140"/>
      <c r="F205" s="140" t="s">
        <v>2397</v>
      </c>
      <c r="G205" s="140">
        <v>4</v>
      </c>
      <c r="H205" s="134">
        <v>114.54</v>
      </c>
      <c r="I205" s="134">
        <f>Table3[[#This Row],[Unit Price]]*Table3[[#This Row],[QTY]]</f>
        <v>458.16</v>
      </c>
      <c r="J205" s="140" t="s">
        <v>2272</v>
      </c>
      <c r="K205" s="140"/>
      <c r="L205" s="140"/>
      <c r="M205" s="133">
        <v>46161</v>
      </c>
      <c r="N205" s="135">
        <v>46188</v>
      </c>
    </row>
    <row r="206" spans="1:14">
      <c r="A206" s="147" t="s">
        <v>2395</v>
      </c>
      <c r="B206" s="141">
        <v>46151</v>
      </c>
      <c r="C206" s="140" t="s">
        <v>1990</v>
      </c>
      <c r="D206" s="140" t="s">
        <v>2398</v>
      </c>
      <c r="E206" s="140"/>
      <c r="F206" s="140" t="s">
        <v>2399</v>
      </c>
      <c r="G206" s="140">
        <v>6</v>
      </c>
      <c r="H206" s="134">
        <v>39</v>
      </c>
      <c r="I206" s="134">
        <f>Table3[[#This Row],[Unit Price]]*Table3[[#This Row],[QTY]]</f>
        <v>234</v>
      </c>
      <c r="J206" s="140" t="s">
        <v>2132</v>
      </c>
      <c r="K206" s="140"/>
      <c r="L206" s="140"/>
      <c r="M206" s="141">
        <v>46189</v>
      </c>
      <c r="N206" s="145">
        <v>46209</v>
      </c>
    </row>
    <row r="207" spans="1:14">
      <c r="A207" s="147" t="s">
        <v>2395</v>
      </c>
      <c r="B207" s="141">
        <v>46151</v>
      </c>
      <c r="C207" s="140" t="s">
        <v>1990</v>
      </c>
      <c r="D207" s="140" t="s">
        <v>2400</v>
      </c>
      <c r="E207" s="140" t="s">
        <v>2401</v>
      </c>
      <c r="F207" s="140" t="s">
        <v>2402</v>
      </c>
      <c r="G207" s="140">
        <v>2</v>
      </c>
      <c r="H207" s="134">
        <v>147.47</v>
      </c>
      <c r="I207" s="134">
        <f>Table3[[#This Row],[Unit Price]]*Table3[[#This Row],[QTY]]</f>
        <v>294.94</v>
      </c>
      <c r="J207" s="140" t="s">
        <v>2403</v>
      </c>
      <c r="K207" s="140"/>
      <c r="L207" s="140"/>
      <c r="M207" s="133">
        <v>46211</v>
      </c>
      <c r="N207" s="145">
        <v>46230</v>
      </c>
    </row>
    <row r="208" spans="1:14">
      <c r="A208" s="147" t="s">
        <v>2404</v>
      </c>
      <c r="B208" s="141">
        <v>46153</v>
      </c>
      <c r="C208" s="140" t="s">
        <v>1990</v>
      </c>
      <c r="D208" s="140" t="s">
        <v>249</v>
      </c>
      <c r="E208" s="140" t="s">
        <v>236</v>
      </c>
      <c r="F208" s="140" t="s">
        <v>2405</v>
      </c>
      <c r="G208" s="140">
        <v>2</v>
      </c>
      <c r="H208" s="134">
        <v>979.86</v>
      </c>
      <c r="I208" s="134">
        <f>Table3[[#This Row],[Unit Price]]*Table3[[#This Row],[QTY]]</f>
        <v>1959.72</v>
      </c>
      <c r="J208" s="140" t="s">
        <v>2272</v>
      </c>
      <c r="K208" s="140"/>
      <c r="L208" s="140"/>
      <c r="M208" s="133">
        <v>46161</v>
      </c>
      <c r="N208" s="135">
        <v>46188</v>
      </c>
    </row>
    <row r="209" spans="1:14">
      <c r="A209" s="147" t="s">
        <v>2406</v>
      </c>
      <c r="B209" s="141">
        <v>46154</v>
      </c>
      <c r="C209" s="140" t="s">
        <v>2407</v>
      </c>
      <c r="D209" s="140" t="s">
        <v>2408</v>
      </c>
      <c r="E209" s="140"/>
      <c r="F209" s="140" t="s">
        <v>2409</v>
      </c>
      <c r="G209" s="140">
        <v>1</v>
      </c>
      <c r="H209" s="134">
        <v>68.17</v>
      </c>
      <c r="I209" s="134">
        <f>Table3[[#This Row],[Unit Price]]*Table3[[#This Row],[QTY]]</f>
        <v>68.17</v>
      </c>
      <c r="J209" s="140" t="s">
        <v>2272</v>
      </c>
      <c r="K209" s="140"/>
      <c r="L209" s="140"/>
      <c r="M209" s="133">
        <v>46161</v>
      </c>
      <c r="N209" s="135">
        <v>46188</v>
      </c>
    </row>
    <row r="210" spans="1:14">
      <c r="A210" s="147" t="s">
        <v>2410</v>
      </c>
      <c r="B210" s="141">
        <v>46154</v>
      </c>
      <c r="C210" s="140" t="s">
        <v>1990</v>
      </c>
      <c r="D210" s="140" t="s">
        <v>2411</v>
      </c>
      <c r="E210" s="140"/>
      <c r="F210" s="140" t="s">
        <v>2412</v>
      </c>
      <c r="G210" s="140">
        <v>1</v>
      </c>
      <c r="H210" s="134">
        <v>21.87</v>
      </c>
      <c r="I210" s="134">
        <f>Table3[[#This Row],[Unit Price]]*Table3[[#This Row],[QTY]]</f>
        <v>21.87</v>
      </c>
      <c r="J210" s="140"/>
      <c r="K210" s="140"/>
      <c r="L210" s="140"/>
      <c r="M210" s="141"/>
      <c r="N210" s="135"/>
    </row>
    <row r="211" spans="1:14">
      <c r="A211" s="147" t="s">
        <v>2410</v>
      </c>
      <c r="B211" s="141">
        <v>46154</v>
      </c>
      <c r="C211" s="140" t="s">
        <v>1990</v>
      </c>
      <c r="D211" s="140" t="s">
        <v>1519</v>
      </c>
      <c r="E211" s="140"/>
      <c r="F211" s="140" t="s">
        <v>2413</v>
      </c>
      <c r="G211" s="140">
        <v>1</v>
      </c>
      <c r="H211" s="134">
        <v>89.82</v>
      </c>
      <c r="I211" s="134">
        <f>Table3[[#This Row],[Unit Price]]*Table3[[#This Row],[QTY]]</f>
        <v>89.82</v>
      </c>
      <c r="J211" s="140" t="s">
        <v>2272</v>
      </c>
      <c r="K211" s="140"/>
      <c r="L211" s="140"/>
      <c r="M211" s="133">
        <v>46161</v>
      </c>
      <c r="N211" s="135">
        <v>46188</v>
      </c>
    </row>
    <row r="212" spans="1:14">
      <c r="A212" s="147" t="s">
        <v>2410</v>
      </c>
      <c r="B212" s="141">
        <v>46154</v>
      </c>
      <c r="C212" s="140" t="s">
        <v>1990</v>
      </c>
      <c r="D212" s="140" t="s">
        <v>1094</v>
      </c>
      <c r="E212" s="140"/>
      <c r="F212" s="140" t="s">
        <v>2414</v>
      </c>
      <c r="G212" s="140">
        <v>2</v>
      </c>
      <c r="H212" s="134">
        <v>112</v>
      </c>
      <c r="I212" s="134">
        <f>Table3[[#This Row],[Unit Price]]*Table3[[#This Row],[QTY]]</f>
        <v>224</v>
      </c>
      <c r="J212" s="140" t="s">
        <v>2272</v>
      </c>
      <c r="K212" s="140"/>
      <c r="L212" s="140"/>
      <c r="M212" s="133">
        <v>46161</v>
      </c>
      <c r="N212" s="135">
        <v>46188</v>
      </c>
    </row>
    <row r="213" spans="1:14">
      <c r="A213" s="147" t="s">
        <v>2410</v>
      </c>
      <c r="B213" s="141">
        <v>46154</v>
      </c>
      <c r="C213" s="140" t="s">
        <v>1990</v>
      </c>
      <c r="D213" s="140" t="s">
        <v>2415</v>
      </c>
      <c r="E213" s="140"/>
      <c r="F213" s="140" t="s">
        <v>2416</v>
      </c>
      <c r="G213" s="140">
        <v>3</v>
      </c>
      <c r="H213" s="134">
        <v>21.87</v>
      </c>
      <c r="I213" s="134">
        <f>Table3[[#This Row],[Unit Price]]*Table3[[#This Row],[QTY]]</f>
        <v>65.61</v>
      </c>
      <c r="J213" s="140" t="s">
        <v>2272</v>
      </c>
      <c r="K213" s="140"/>
      <c r="L213" s="140"/>
      <c r="M213" s="133">
        <v>46161</v>
      </c>
      <c r="N213" s="135">
        <v>46188</v>
      </c>
    </row>
    <row r="214" spans="1:14">
      <c r="A214" s="147" t="s">
        <v>2410</v>
      </c>
      <c r="B214" s="141">
        <v>46154</v>
      </c>
      <c r="C214" s="140" t="s">
        <v>1990</v>
      </c>
      <c r="D214" s="140" t="s">
        <v>2417</v>
      </c>
      <c r="E214" s="140" t="s">
        <v>2418</v>
      </c>
      <c r="F214" s="140" t="s">
        <v>2419</v>
      </c>
      <c r="G214" s="140">
        <v>3</v>
      </c>
      <c r="H214" s="134">
        <v>29.27</v>
      </c>
      <c r="I214" s="134">
        <f>Table3[[#This Row],[Unit Price]]*Table3[[#This Row],[QTY]]</f>
        <v>87.81</v>
      </c>
      <c r="J214" s="140" t="s">
        <v>2272</v>
      </c>
      <c r="K214" s="140"/>
      <c r="L214" s="140"/>
      <c r="M214" s="133">
        <v>46161</v>
      </c>
      <c r="N214" s="135">
        <v>46188</v>
      </c>
    </row>
    <row r="215" spans="1:14">
      <c r="A215" s="147" t="s">
        <v>2410</v>
      </c>
      <c r="B215" s="141">
        <v>46154</v>
      </c>
      <c r="C215" s="140" t="s">
        <v>1990</v>
      </c>
      <c r="D215" s="140" t="s">
        <v>379</v>
      </c>
      <c r="E215" s="140"/>
      <c r="F215" s="140" t="s">
        <v>2420</v>
      </c>
      <c r="G215" s="140">
        <v>2</v>
      </c>
      <c r="H215" s="134">
        <v>631.67999999999995</v>
      </c>
      <c r="I215" s="134">
        <f>Table3[[#This Row],[Unit Price]]*Table3[[#This Row],[QTY]]</f>
        <v>1263.3599999999999</v>
      </c>
      <c r="J215" s="140" t="s">
        <v>2272</v>
      </c>
      <c r="K215" s="140"/>
      <c r="L215" s="140"/>
      <c r="M215" s="133">
        <v>46161</v>
      </c>
      <c r="N215" s="135">
        <v>46188</v>
      </c>
    </row>
    <row r="216" spans="1:14">
      <c r="A216" s="147" t="s">
        <v>2410</v>
      </c>
      <c r="B216" s="141">
        <v>46154</v>
      </c>
      <c r="C216" s="140" t="s">
        <v>1990</v>
      </c>
      <c r="D216" s="140" t="s">
        <v>2421</v>
      </c>
      <c r="E216" s="140" t="s">
        <v>2422</v>
      </c>
      <c r="F216" s="140" t="s">
        <v>2423</v>
      </c>
      <c r="G216" s="140">
        <v>1</v>
      </c>
      <c r="H216" s="134">
        <v>164.14</v>
      </c>
      <c r="I216" s="134">
        <f>Table3[[#This Row],[Unit Price]]*Table3[[#This Row],[QTY]]</f>
        <v>164.14</v>
      </c>
      <c r="J216" s="140" t="s">
        <v>2272</v>
      </c>
      <c r="K216" s="140"/>
      <c r="L216" s="140"/>
      <c r="M216" s="133">
        <v>46161</v>
      </c>
      <c r="N216" s="135">
        <v>46188</v>
      </c>
    </row>
    <row r="217" spans="1:14">
      <c r="A217" s="147" t="s">
        <v>2410</v>
      </c>
      <c r="B217" s="141">
        <v>46154</v>
      </c>
      <c r="C217" s="140" t="s">
        <v>1990</v>
      </c>
      <c r="D217" s="140" t="s">
        <v>629</v>
      </c>
      <c r="E217" s="140"/>
      <c r="F217" s="140" t="s">
        <v>1086</v>
      </c>
      <c r="G217" s="140">
        <v>1</v>
      </c>
      <c r="H217" s="134">
        <v>19.600000000000001</v>
      </c>
      <c r="I217" s="134">
        <f>Table3[[#This Row],[Unit Price]]*Table3[[#This Row],[QTY]]</f>
        <v>19.600000000000001</v>
      </c>
      <c r="J217" s="140" t="s">
        <v>2272</v>
      </c>
      <c r="K217" s="132"/>
      <c r="L217" s="140"/>
      <c r="M217" s="133">
        <v>46161</v>
      </c>
      <c r="N217" s="135">
        <v>46188</v>
      </c>
    </row>
    <row r="218" spans="1:14">
      <c r="A218" s="147" t="s">
        <v>2410</v>
      </c>
      <c r="B218" s="141">
        <v>46154</v>
      </c>
      <c r="C218" s="140" t="s">
        <v>1990</v>
      </c>
      <c r="D218" s="140" t="s">
        <v>548</v>
      </c>
      <c r="E218" s="140"/>
      <c r="F218" s="140" t="s">
        <v>549</v>
      </c>
      <c r="G218" s="140">
        <v>1</v>
      </c>
      <c r="H218" s="134">
        <v>140.62</v>
      </c>
      <c r="I218" s="134">
        <f>Table3[[#This Row],[Unit Price]]*Table3[[#This Row],[QTY]]</f>
        <v>140.62</v>
      </c>
      <c r="J218" s="140" t="s">
        <v>2272</v>
      </c>
      <c r="K218" s="140"/>
      <c r="L218" s="140"/>
      <c r="M218" s="133">
        <v>46161</v>
      </c>
      <c r="N218" s="135">
        <v>46188</v>
      </c>
    </row>
    <row r="219" spans="1:14">
      <c r="A219" s="147" t="s">
        <v>2410</v>
      </c>
      <c r="B219" s="141">
        <v>46154</v>
      </c>
      <c r="C219" s="140" t="s">
        <v>1990</v>
      </c>
      <c r="D219" s="140" t="s">
        <v>2424</v>
      </c>
      <c r="E219" s="140"/>
      <c r="F219" s="140" t="s">
        <v>2425</v>
      </c>
      <c r="G219" s="140">
        <v>1</v>
      </c>
      <c r="H219" s="134">
        <v>19.600000000000001</v>
      </c>
      <c r="I219" s="134">
        <f>Table3[[#This Row],[Unit Price]]*Table3[[#This Row],[QTY]]</f>
        <v>19.600000000000001</v>
      </c>
      <c r="J219" s="140" t="s">
        <v>2272</v>
      </c>
      <c r="K219" s="132"/>
      <c r="L219" s="140"/>
      <c r="M219" s="133">
        <v>46161</v>
      </c>
      <c r="N219" s="135">
        <v>46188</v>
      </c>
    </row>
    <row r="220" spans="1:14">
      <c r="A220" s="147" t="s">
        <v>2410</v>
      </c>
      <c r="B220" s="141">
        <v>46154</v>
      </c>
      <c r="C220" s="140" t="s">
        <v>1990</v>
      </c>
      <c r="D220" s="140" t="s">
        <v>2426</v>
      </c>
      <c r="E220" s="140"/>
      <c r="F220" s="140" t="s">
        <v>2427</v>
      </c>
      <c r="G220" s="140">
        <v>1</v>
      </c>
      <c r="H220" s="134">
        <v>35.94</v>
      </c>
      <c r="I220" s="134">
        <f>Table3[[#This Row],[Unit Price]]*Table3[[#This Row],[QTY]]</f>
        <v>35.94</v>
      </c>
      <c r="J220" s="140" t="s">
        <v>2272</v>
      </c>
      <c r="K220" s="140"/>
      <c r="L220" s="140"/>
      <c r="M220" s="133">
        <v>46161</v>
      </c>
      <c r="N220" s="135">
        <v>46188</v>
      </c>
    </row>
    <row r="221" spans="1:14">
      <c r="A221" s="147" t="s">
        <v>2410</v>
      </c>
      <c r="B221" s="141">
        <v>46154</v>
      </c>
      <c r="C221" s="140" t="s">
        <v>1990</v>
      </c>
      <c r="D221" s="140" t="s">
        <v>2428</v>
      </c>
      <c r="E221" s="140"/>
      <c r="F221" s="140" t="s">
        <v>2429</v>
      </c>
      <c r="G221" s="140">
        <v>1</v>
      </c>
      <c r="H221" s="134">
        <v>34.299999999999997</v>
      </c>
      <c r="I221" s="134">
        <f>Table3[[#This Row],[Unit Price]]*Table3[[#This Row],[QTY]]</f>
        <v>34.299999999999997</v>
      </c>
      <c r="J221" s="140" t="s">
        <v>2272</v>
      </c>
      <c r="K221" s="140"/>
      <c r="L221" s="140"/>
      <c r="M221" s="133">
        <v>46161</v>
      </c>
      <c r="N221" s="135">
        <v>46188</v>
      </c>
    </row>
    <row r="222" spans="1:14">
      <c r="A222" s="147" t="s">
        <v>2410</v>
      </c>
      <c r="B222" s="141">
        <v>46154</v>
      </c>
      <c r="C222" s="140" t="s">
        <v>1990</v>
      </c>
      <c r="D222" s="140" t="s">
        <v>2430</v>
      </c>
      <c r="E222" s="140"/>
      <c r="F222" s="140" t="s">
        <v>2431</v>
      </c>
      <c r="G222" s="140">
        <v>1</v>
      </c>
      <c r="H222" s="134">
        <v>66.959999999999994</v>
      </c>
      <c r="I222" s="134">
        <f>Table3[[#This Row],[Unit Price]]*Table3[[#This Row],[QTY]]</f>
        <v>66.959999999999994</v>
      </c>
      <c r="J222" s="140" t="s">
        <v>2272</v>
      </c>
      <c r="K222" s="140"/>
      <c r="L222" s="140"/>
      <c r="M222" s="133">
        <v>46161</v>
      </c>
      <c r="N222" s="135">
        <v>46188</v>
      </c>
    </row>
    <row r="223" spans="1:14">
      <c r="A223" s="147" t="s">
        <v>2410</v>
      </c>
      <c r="B223" s="141">
        <v>46154</v>
      </c>
      <c r="C223" s="140" t="s">
        <v>1990</v>
      </c>
      <c r="D223" s="140" t="s">
        <v>1401</v>
      </c>
      <c r="E223" s="140"/>
      <c r="F223" s="140" t="s">
        <v>2432</v>
      </c>
      <c r="G223" s="140">
        <v>2</v>
      </c>
      <c r="H223" s="134">
        <v>459.53</v>
      </c>
      <c r="I223" s="134">
        <f>Table3[[#This Row],[Unit Price]]*Table3[[#This Row],[QTY]]</f>
        <v>919.06</v>
      </c>
      <c r="J223" s="140" t="s">
        <v>2272</v>
      </c>
      <c r="K223" s="140"/>
      <c r="L223" s="140"/>
      <c r="M223" s="133">
        <v>46161</v>
      </c>
      <c r="N223" s="135">
        <v>46188</v>
      </c>
    </row>
    <row r="224" spans="1:14">
      <c r="A224" s="147" t="s">
        <v>2410</v>
      </c>
      <c r="B224" s="141">
        <v>46154</v>
      </c>
      <c r="C224" s="140" t="s">
        <v>1990</v>
      </c>
      <c r="D224" s="140" t="s">
        <v>2433</v>
      </c>
      <c r="E224" s="140"/>
      <c r="F224" s="140" t="s">
        <v>2434</v>
      </c>
      <c r="G224" s="140">
        <v>1</v>
      </c>
      <c r="H224" s="134">
        <v>56.96</v>
      </c>
      <c r="I224" s="134">
        <f>Table3[[#This Row],[Unit Price]]*Table3[[#This Row],[QTY]]</f>
        <v>56.96</v>
      </c>
      <c r="J224" s="140" t="s">
        <v>2272</v>
      </c>
      <c r="K224" s="140"/>
      <c r="L224" s="140"/>
      <c r="M224" s="133">
        <v>46161</v>
      </c>
      <c r="N224" s="135">
        <v>46188</v>
      </c>
    </row>
    <row r="225" spans="1:18">
      <c r="A225" s="147" t="s">
        <v>2410</v>
      </c>
      <c r="B225" s="141">
        <v>46154</v>
      </c>
      <c r="C225" s="140" t="s">
        <v>1990</v>
      </c>
      <c r="D225" s="140" t="s">
        <v>2435</v>
      </c>
      <c r="E225" s="140"/>
      <c r="F225" s="140" t="s">
        <v>2436</v>
      </c>
      <c r="G225" s="140">
        <v>2</v>
      </c>
      <c r="H225" s="134">
        <v>34.299999999999997</v>
      </c>
      <c r="I225" s="134">
        <f>Table3[[#This Row],[Unit Price]]*Table3[[#This Row],[QTY]]</f>
        <v>68.599999999999994</v>
      </c>
      <c r="J225" s="140" t="s">
        <v>2272</v>
      </c>
      <c r="K225" s="140"/>
      <c r="L225" s="140"/>
      <c r="M225" s="133">
        <v>46161</v>
      </c>
      <c r="N225" s="135">
        <v>46188</v>
      </c>
    </row>
    <row r="226" spans="1:18">
      <c r="A226" s="147" t="s">
        <v>2410</v>
      </c>
      <c r="B226" s="141">
        <v>46154</v>
      </c>
      <c r="C226" s="140" t="s">
        <v>1990</v>
      </c>
      <c r="D226" s="140" t="s">
        <v>2437</v>
      </c>
      <c r="E226" s="140" t="s">
        <v>2438</v>
      </c>
      <c r="F226" s="140" t="s">
        <v>2220</v>
      </c>
      <c r="G226" s="140">
        <v>3</v>
      </c>
      <c r="H226" s="134">
        <v>143.08000000000001</v>
      </c>
      <c r="I226" s="134">
        <f>Table3[[#This Row],[Unit Price]]*Table3[[#This Row],[QTY]]</f>
        <v>429.24</v>
      </c>
      <c r="J226" s="140" t="s">
        <v>2272</v>
      </c>
      <c r="K226" s="140"/>
      <c r="L226" s="140"/>
      <c r="M226" s="133">
        <v>46161</v>
      </c>
      <c r="N226" s="135">
        <v>46188</v>
      </c>
    </row>
    <row r="227" spans="1:18">
      <c r="A227" s="147" t="s">
        <v>2410</v>
      </c>
      <c r="B227" s="141">
        <v>46154</v>
      </c>
      <c r="C227" s="140" t="s">
        <v>1990</v>
      </c>
      <c r="D227" s="140" t="s">
        <v>2439</v>
      </c>
      <c r="E227" s="140"/>
      <c r="F227" s="140" t="s">
        <v>2440</v>
      </c>
      <c r="G227" s="140">
        <v>3</v>
      </c>
      <c r="H227" s="134">
        <v>22.87</v>
      </c>
      <c r="I227" s="134">
        <f>Table3[[#This Row],[Unit Price]]*Table3[[#This Row],[QTY]]</f>
        <v>68.61</v>
      </c>
      <c r="J227" s="140" t="s">
        <v>2272</v>
      </c>
      <c r="K227" s="140"/>
      <c r="L227" s="140"/>
      <c r="M227" s="133">
        <v>46161</v>
      </c>
      <c r="N227" s="135">
        <v>46188</v>
      </c>
    </row>
    <row r="228" spans="1:18">
      <c r="A228" s="147" t="s">
        <v>2410</v>
      </c>
      <c r="B228" s="141">
        <v>46154</v>
      </c>
      <c r="C228" s="140" t="s">
        <v>1990</v>
      </c>
      <c r="D228" s="140" t="s">
        <v>1645</v>
      </c>
      <c r="E228" s="140"/>
      <c r="F228" s="140" t="s">
        <v>2441</v>
      </c>
      <c r="G228" s="140">
        <v>1</v>
      </c>
      <c r="H228" s="134">
        <v>22.44</v>
      </c>
      <c r="I228" s="134">
        <f>Table3[[#This Row],[Unit Price]]*Table3[[#This Row],[QTY]]</f>
        <v>22.44</v>
      </c>
      <c r="J228" s="140" t="s">
        <v>2272</v>
      </c>
      <c r="K228" s="140"/>
      <c r="L228" s="140"/>
      <c r="M228" s="133">
        <v>46161</v>
      </c>
      <c r="N228" s="135">
        <v>46188</v>
      </c>
    </row>
    <row r="229" spans="1:18">
      <c r="A229" s="147" t="s">
        <v>2442</v>
      </c>
      <c r="B229" s="141">
        <v>46155</v>
      </c>
      <c r="C229" s="140" t="s">
        <v>1990</v>
      </c>
      <c r="D229" s="140" t="s">
        <v>2039</v>
      </c>
      <c r="E229" s="140"/>
      <c r="F229" s="140" t="s">
        <v>2040</v>
      </c>
      <c r="G229" s="140">
        <v>1</v>
      </c>
      <c r="H229" s="134">
        <v>271.08999999999997</v>
      </c>
      <c r="I229" s="134">
        <f>Table3[[#This Row],[Unit Price]]*Table3[[#This Row],[QTY]]</f>
        <v>271.08999999999997</v>
      </c>
      <c r="J229" s="140" t="s">
        <v>2272</v>
      </c>
      <c r="K229" s="140"/>
      <c r="L229" s="140"/>
      <c r="M229" s="133">
        <v>46161</v>
      </c>
      <c r="N229" s="135">
        <v>46188</v>
      </c>
    </row>
    <row r="230" spans="1:18">
      <c r="A230" s="147" t="s">
        <v>2442</v>
      </c>
      <c r="B230" s="141">
        <v>46155</v>
      </c>
      <c r="C230" s="140" t="s">
        <v>1990</v>
      </c>
      <c r="D230" s="140" t="s">
        <v>2443</v>
      </c>
      <c r="E230" s="140"/>
      <c r="F230" s="140" t="s">
        <v>2444</v>
      </c>
      <c r="G230" s="140">
        <v>1</v>
      </c>
      <c r="H230" s="134">
        <v>47.91</v>
      </c>
      <c r="I230" s="134">
        <f>Table3[[#This Row],[Unit Price]]*Table3[[#This Row],[QTY]]</f>
        <v>47.91</v>
      </c>
      <c r="J230" s="140" t="s">
        <v>2272</v>
      </c>
      <c r="K230" s="140"/>
      <c r="L230" s="140"/>
      <c r="M230" s="133">
        <v>46161</v>
      </c>
      <c r="N230" s="135">
        <v>46188</v>
      </c>
    </row>
    <row r="231" spans="1:18">
      <c r="A231" s="147" t="s">
        <v>2442</v>
      </c>
      <c r="B231" s="141">
        <v>46155</v>
      </c>
      <c r="C231" s="140" t="s">
        <v>1990</v>
      </c>
      <c r="D231" s="140" t="s">
        <v>2227</v>
      </c>
      <c r="E231" s="140"/>
      <c r="F231" s="140" t="s">
        <v>2228</v>
      </c>
      <c r="G231" s="140">
        <v>1</v>
      </c>
      <c r="H231" s="134">
        <v>228.63</v>
      </c>
      <c r="I231" s="134">
        <f>Table3[[#This Row],[Unit Price]]*Table3[[#This Row],[QTY]]</f>
        <v>228.63</v>
      </c>
      <c r="J231" s="140" t="s">
        <v>2272</v>
      </c>
      <c r="K231" s="140"/>
      <c r="L231" s="140"/>
      <c r="M231" s="133">
        <v>46161</v>
      </c>
      <c r="N231" s="135">
        <v>46188</v>
      </c>
    </row>
    <row r="232" spans="1:18">
      <c r="A232" s="147" t="s">
        <v>2445</v>
      </c>
      <c r="B232" s="141">
        <v>46157</v>
      </c>
      <c r="C232" s="140" t="s">
        <v>1990</v>
      </c>
      <c r="D232" s="140" t="s">
        <v>2446</v>
      </c>
      <c r="E232" s="140"/>
      <c r="F232" s="140" t="s">
        <v>2447</v>
      </c>
      <c r="G232" s="140">
        <v>2</v>
      </c>
      <c r="H232" s="134">
        <v>555.25</v>
      </c>
      <c r="I232" s="134">
        <f>Table3[[#This Row],[Unit Price]]*Table3[[#This Row],[QTY]]</f>
        <v>1110.5</v>
      </c>
      <c r="J232" s="140" t="s">
        <v>2448</v>
      </c>
      <c r="K232" s="140"/>
      <c r="L232" s="140"/>
      <c r="M232" s="141">
        <v>46161</v>
      </c>
      <c r="N232" s="135">
        <v>46169</v>
      </c>
    </row>
    <row r="233" spans="1:18">
      <c r="A233" s="147" t="s">
        <v>2449</v>
      </c>
      <c r="B233" s="141">
        <v>46161</v>
      </c>
      <c r="C233" s="140" t="s">
        <v>1990</v>
      </c>
      <c r="D233" s="140" t="s">
        <v>1142</v>
      </c>
      <c r="E233" s="140"/>
      <c r="F233" s="140" t="s">
        <v>2450</v>
      </c>
      <c r="G233" s="140">
        <v>10</v>
      </c>
      <c r="H233" s="134">
        <v>43.95</v>
      </c>
      <c r="I233" s="134">
        <f>Table3[[#This Row],[Unit Price]]*Table3[[#This Row],[QTY]]</f>
        <v>439.5</v>
      </c>
      <c r="J233" s="140" t="s">
        <v>2132</v>
      </c>
      <c r="K233" s="140"/>
      <c r="L233" s="140"/>
      <c r="M233" s="141">
        <v>46189</v>
      </c>
      <c r="N233" s="145">
        <v>46209</v>
      </c>
    </row>
    <row r="234" spans="1:18">
      <c r="A234" s="147" t="s">
        <v>2451</v>
      </c>
      <c r="B234" s="141">
        <v>46162</v>
      </c>
      <c r="C234" s="140" t="s">
        <v>1990</v>
      </c>
      <c r="D234" s="140" t="s">
        <v>446</v>
      </c>
      <c r="E234" s="140"/>
      <c r="F234" s="140" t="s">
        <v>2101</v>
      </c>
      <c r="G234" s="140">
        <v>1</v>
      </c>
      <c r="H234" s="134">
        <v>413.82</v>
      </c>
      <c r="I234" s="134">
        <f>Table3[[#This Row],[Unit Price]]*Table3[[#This Row],[QTY]]</f>
        <v>413.82</v>
      </c>
      <c r="J234" s="140" t="s">
        <v>2132</v>
      </c>
      <c r="K234" s="140"/>
      <c r="L234" s="140"/>
      <c r="M234" s="141">
        <v>46189</v>
      </c>
      <c r="N234" s="145">
        <v>46209</v>
      </c>
    </row>
    <row r="235" spans="1:18">
      <c r="A235" s="147" t="s">
        <v>2451</v>
      </c>
      <c r="B235" s="141">
        <v>46162</v>
      </c>
      <c r="C235" s="140" t="s">
        <v>1990</v>
      </c>
      <c r="D235" s="140" t="s">
        <v>846</v>
      </c>
      <c r="E235" s="140"/>
      <c r="F235" s="140" t="s">
        <v>2249</v>
      </c>
      <c r="G235" s="140">
        <v>2</v>
      </c>
      <c r="H235" s="134">
        <v>98.36</v>
      </c>
      <c r="I235" s="134">
        <v>196.72</v>
      </c>
      <c r="J235" s="140" t="s">
        <v>2132</v>
      </c>
      <c r="K235" s="140"/>
      <c r="L235" s="140"/>
      <c r="M235" s="141">
        <v>46174</v>
      </c>
      <c r="N235" s="145">
        <v>46209</v>
      </c>
    </row>
    <row r="236" spans="1:18">
      <c r="A236" s="147" t="s">
        <v>2451</v>
      </c>
      <c r="B236" s="141">
        <v>46162</v>
      </c>
      <c r="C236" s="140" t="s">
        <v>1990</v>
      </c>
      <c r="D236" s="140" t="s">
        <v>2344</v>
      </c>
      <c r="E236" s="140"/>
      <c r="F236" s="140" t="s">
        <v>2345</v>
      </c>
      <c r="G236" s="140">
        <v>1</v>
      </c>
      <c r="H236" s="134">
        <v>925.96</v>
      </c>
      <c r="I236" s="134">
        <f>Table3[[#This Row],[Unit Price]]*Table3[[#This Row],[QTY]]</f>
        <v>925.96</v>
      </c>
      <c r="J236" s="140" t="s">
        <v>2132</v>
      </c>
      <c r="K236" s="140"/>
      <c r="L236" s="140"/>
      <c r="M236" s="141">
        <v>46189</v>
      </c>
      <c r="N236" s="145">
        <v>46209</v>
      </c>
    </row>
    <row r="237" spans="1:18">
      <c r="A237" s="147" t="s">
        <v>2452</v>
      </c>
      <c r="B237" s="141">
        <v>46167</v>
      </c>
      <c r="C237" s="140" t="s">
        <v>2453</v>
      </c>
      <c r="D237" s="140" t="s">
        <v>2062</v>
      </c>
      <c r="E237" s="140"/>
      <c r="F237" s="140" t="s">
        <v>2063</v>
      </c>
      <c r="G237" s="140">
        <v>2</v>
      </c>
      <c r="H237" s="134">
        <v>146.97999999999999</v>
      </c>
      <c r="I237" s="134">
        <f>Table3[[#This Row],[Unit Price]]*Table3[[#This Row],[QTY]]</f>
        <v>293.95999999999998</v>
      </c>
      <c r="J237" s="140" t="s">
        <v>2132</v>
      </c>
      <c r="K237" s="140"/>
      <c r="L237" s="140"/>
      <c r="M237" s="141">
        <v>46174</v>
      </c>
      <c r="N237" s="145">
        <v>46209</v>
      </c>
    </row>
    <row r="238" spans="1:18">
      <c r="A238" s="147" t="s">
        <v>2452</v>
      </c>
      <c r="B238" s="141">
        <v>46167</v>
      </c>
      <c r="C238" s="140" t="s">
        <v>2453</v>
      </c>
      <c r="D238" s="140" t="s">
        <v>2065</v>
      </c>
      <c r="E238" s="140" t="s">
        <v>2066</v>
      </c>
      <c r="F238" s="140" t="s">
        <v>2067</v>
      </c>
      <c r="G238" s="140">
        <v>1</v>
      </c>
      <c r="H238" s="134">
        <v>313.37</v>
      </c>
      <c r="I238" s="134">
        <f>Table3[[#This Row],[Unit Price]]*Table3[[#This Row],[QTY]]</f>
        <v>313.37</v>
      </c>
      <c r="J238" s="140" t="s">
        <v>2132</v>
      </c>
      <c r="K238" s="140"/>
      <c r="L238" s="140"/>
      <c r="M238" s="141">
        <v>46174</v>
      </c>
      <c r="N238" s="145">
        <v>46209</v>
      </c>
    </row>
    <row r="239" spans="1:18">
      <c r="A239" s="147" t="s">
        <v>2454</v>
      </c>
      <c r="B239" s="141">
        <v>46167</v>
      </c>
      <c r="C239" s="140" t="s">
        <v>1990</v>
      </c>
      <c r="D239" s="140" t="s">
        <v>2455</v>
      </c>
      <c r="E239" s="140"/>
      <c r="F239" s="140" t="s">
        <v>2456</v>
      </c>
      <c r="G239" s="140">
        <v>1</v>
      </c>
      <c r="H239" s="134">
        <v>3233.52</v>
      </c>
      <c r="I239" s="134">
        <f>Table3[[#This Row],[Unit Price]]*Table3[[#This Row],[QTY]]</f>
        <v>3233.52</v>
      </c>
      <c r="J239" s="140" t="s">
        <v>2132</v>
      </c>
      <c r="K239" s="140"/>
      <c r="L239" s="140" t="s">
        <v>2457</v>
      </c>
      <c r="M239" s="141">
        <v>46174</v>
      </c>
      <c r="N239" s="145">
        <v>46209</v>
      </c>
      <c r="Q239" s="110">
        <v>46211</v>
      </c>
      <c r="R239" s="1" t="s">
        <v>1998</v>
      </c>
    </row>
    <row r="240" spans="1:18">
      <c r="A240" s="147" t="s">
        <v>2458</v>
      </c>
      <c r="B240" s="141">
        <v>46169</v>
      </c>
      <c r="C240" s="140" t="s">
        <v>2263</v>
      </c>
      <c r="D240" s="140" t="s">
        <v>2183</v>
      </c>
      <c r="E240" s="140"/>
      <c r="F240" s="140" t="s">
        <v>2184</v>
      </c>
      <c r="G240" s="140">
        <v>1</v>
      </c>
      <c r="H240" s="134">
        <v>29.82</v>
      </c>
      <c r="I240" s="134">
        <f>Table3[[#This Row],[Unit Price]]*Table3[[#This Row],[QTY]]</f>
        <v>29.82</v>
      </c>
      <c r="J240" s="140" t="s">
        <v>2132</v>
      </c>
      <c r="K240" s="140"/>
      <c r="L240" s="140"/>
      <c r="M240" s="141">
        <v>46174</v>
      </c>
      <c r="N240" s="145">
        <v>46209</v>
      </c>
    </row>
    <row r="241" spans="1:18">
      <c r="A241" s="147" t="s">
        <v>2459</v>
      </c>
      <c r="B241" s="141">
        <v>46168</v>
      </c>
      <c r="C241" s="140" t="s">
        <v>2196</v>
      </c>
      <c r="D241" s="140" t="s">
        <v>2460</v>
      </c>
      <c r="E241" s="140"/>
      <c r="F241" s="140" t="s">
        <v>2461</v>
      </c>
      <c r="G241" s="140">
        <v>1</v>
      </c>
      <c r="H241" s="134">
        <v>538.1</v>
      </c>
      <c r="I241" s="134">
        <f>Table3[[#This Row],[Unit Price]]*Table3[[#This Row],[QTY]]</f>
        <v>538.1</v>
      </c>
      <c r="J241" s="140" t="s">
        <v>2132</v>
      </c>
      <c r="K241" s="140"/>
      <c r="L241" s="140"/>
      <c r="M241" s="141">
        <v>46189</v>
      </c>
      <c r="N241" s="145">
        <v>46209</v>
      </c>
      <c r="O241" s="2">
        <v>111965</v>
      </c>
      <c r="Q241" s="110">
        <v>46218</v>
      </c>
      <c r="R241" s="1" t="s">
        <v>1998</v>
      </c>
    </row>
    <row r="242" spans="1:18">
      <c r="A242" s="147" t="s">
        <v>2462</v>
      </c>
      <c r="B242" s="141">
        <v>46174</v>
      </c>
      <c r="C242" s="140" t="s">
        <v>2463</v>
      </c>
      <c r="D242" s="140" t="s">
        <v>2464</v>
      </c>
      <c r="E242" s="140"/>
      <c r="F242" s="140" t="s">
        <v>2465</v>
      </c>
      <c r="G242" s="140">
        <v>1</v>
      </c>
      <c r="H242" s="134">
        <v>17.96</v>
      </c>
      <c r="I242" s="134">
        <f>Table3[[#This Row],[Unit Price]]*Table3[[#This Row],[QTY]]</f>
        <v>17.96</v>
      </c>
      <c r="J242" s="140" t="s">
        <v>2132</v>
      </c>
      <c r="K242" s="140"/>
      <c r="L242" s="140"/>
      <c r="M242" s="141">
        <v>46189</v>
      </c>
      <c r="N242" s="145">
        <v>46209</v>
      </c>
    </row>
    <row r="243" spans="1:18">
      <c r="A243" s="147" t="s">
        <v>2466</v>
      </c>
      <c r="B243" s="141">
        <v>46176</v>
      </c>
      <c r="C243" s="140" t="s">
        <v>1549</v>
      </c>
      <c r="D243" s="140" t="s">
        <v>2467</v>
      </c>
      <c r="E243" s="140"/>
      <c r="F243" s="140" t="s">
        <v>2468</v>
      </c>
      <c r="G243" s="140">
        <v>2</v>
      </c>
      <c r="H243" s="134">
        <v>96.03</v>
      </c>
      <c r="I243" s="134">
        <f>Table3[[#This Row],[Unit Price]]*Table3[[#This Row],[QTY]]</f>
        <v>192.06</v>
      </c>
      <c r="J243" s="140" t="s">
        <v>2132</v>
      </c>
      <c r="K243" s="140"/>
      <c r="L243" s="140"/>
      <c r="M243" s="141">
        <v>46189</v>
      </c>
      <c r="N243" s="145">
        <v>46209</v>
      </c>
    </row>
    <row r="244" spans="1:18">
      <c r="A244" s="147" t="s">
        <v>2466</v>
      </c>
      <c r="B244" s="141">
        <v>46176</v>
      </c>
      <c r="C244" s="140" t="s">
        <v>1549</v>
      </c>
      <c r="D244" s="140" t="s">
        <v>2469</v>
      </c>
      <c r="E244" s="140"/>
      <c r="F244" s="140" t="s">
        <v>2470</v>
      </c>
      <c r="G244" s="140">
        <v>1</v>
      </c>
      <c r="H244" s="134">
        <v>87.91</v>
      </c>
      <c r="I244" s="134">
        <f>Table3[[#This Row],[Unit Price]]*Table3[[#This Row],[QTY]]</f>
        <v>87.91</v>
      </c>
      <c r="J244" s="140" t="s">
        <v>2132</v>
      </c>
      <c r="K244" s="140"/>
      <c r="L244" s="140"/>
      <c r="M244" s="141">
        <v>46189</v>
      </c>
      <c r="N244" s="145">
        <v>46209</v>
      </c>
    </row>
    <row r="245" spans="1:18">
      <c r="A245" s="147" t="s">
        <v>2471</v>
      </c>
      <c r="B245" s="141">
        <v>46176</v>
      </c>
      <c r="C245" s="140" t="s">
        <v>1990</v>
      </c>
      <c r="D245" s="140" t="s">
        <v>335</v>
      </c>
      <c r="E245" s="140"/>
      <c r="F245" s="140" t="s">
        <v>2280</v>
      </c>
      <c r="G245" s="140">
        <v>1</v>
      </c>
      <c r="H245" s="134">
        <v>17.28</v>
      </c>
      <c r="I245" s="134">
        <f>Table3[[#This Row],[Unit Price]]*Table3[[#This Row],[QTY]]</f>
        <v>17.28</v>
      </c>
      <c r="J245" s="140" t="s">
        <v>2132</v>
      </c>
      <c r="K245" s="140"/>
      <c r="L245" s="140"/>
      <c r="M245" s="141">
        <v>46189</v>
      </c>
      <c r="N245" s="145">
        <v>46209</v>
      </c>
    </row>
    <row r="246" spans="1:18">
      <c r="A246" s="147" t="s">
        <v>2471</v>
      </c>
      <c r="B246" s="141">
        <v>46176</v>
      </c>
      <c r="C246" s="140" t="s">
        <v>1990</v>
      </c>
      <c r="D246" s="140" t="s">
        <v>2093</v>
      </c>
      <c r="E246" s="140"/>
      <c r="F246" s="140" t="s">
        <v>2094</v>
      </c>
      <c r="G246" s="140">
        <v>2</v>
      </c>
      <c r="H246" s="134">
        <v>77.010000000000005</v>
      </c>
      <c r="I246" s="134">
        <f>Table3[[#This Row],[Unit Price]]*Table3[[#This Row],[QTY]]</f>
        <v>154.02000000000001</v>
      </c>
      <c r="J246" s="140" t="s">
        <v>2132</v>
      </c>
      <c r="K246" s="140"/>
      <c r="L246" s="140"/>
      <c r="M246" s="141">
        <v>46189</v>
      </c>
      <c r="N246" s="145">
        <v>46209</v>
      </c>
    </row>
    <row r="247" spans="1:18">
      <c r="A247" s="147" t="s">
        <v>2471</v>
      </c>
      <c r="B247" s="141">
        <v>46176</v>
      </c>
      <c r="C247" s="140" t="s">
        <v>1990</v>
      </c>
      <c r="D247" s="140" t="s">
        <v>79</v>
      </c>
      <c r="E247" s="140"/>
      <c r="F247" s="140" t="s">
        <v>1059</v>
      </c>
      <c r="G247" s="140">
        <v>1</v>
      </c>
      <c r="H247" s="134">
        <v>42.46</v>
      </c>
      <c r="I247" s="134">
        <f>Table3[[#This Row],[Unit Price]]*Table3[[#This Row],[QTY]]</f>
        <v>42.46</v>
      </c>
      <c r="J247" s="140" t="s">
        <v>2472</v>
      </c>
      <c r="K247" s="140"/>
      <c r="L247" s="140"/>
      <c r="M247" s="133">
        <v>46211</v>
      </c>
      <c r="N247" s="145">
        <v>46230</v>
      </c>
    </row>
    <row r="248" spans="1:18">
      <c r="A248" s="147" t="s">
        <v>2471</v>
      </c>
      <c r="B248" s="141">
        <v>46176</v>
      </c>
      <c r="C248" s="140" t="s">
        <v>1990</v>
      </c>
      <c r="D248" s="140" t="s">
        <v>82</v>
      </c>
      <c r="E248" s="140"/>
      <c r="F248" s="140" t="s">
        <v>2081</v>
      </c>
      <c r="G248" s="140">
        <v>1</v>
      </c>
      <c r="H248" s="134">
        <v>19.600000000000001</v>
      </c>
      <c r="I248" s="134">
        <f>Table3[[#This Row],[Unit Price]]*Table3[[#This Row],[QTY]]</f>
        <v>19.600000000000001</v>
      </c>
      <c r="J248" s="140" t="s">
        <v>2472</v>
      </c>
      <c r="K248" s="140"/>
      <c r="L248" s="140"/>
      <c r="M248" s="133">
        <v>46211</v>
      </c>
      <c r="N248" s="145">
        <v>46230</v>
      </c>
    </row>
    <row r="249" spans="1:18">
      <c r="A249" s="147" t="s">
        <v>2471</v>
      </c>
      <c r="B249" s="141">
        <v>46176</v>
      </c>
      <c r="C249" s="140" t="s">
        <v>1990</v>
      </c>
      <c r="D249" s="140" t="s">
        <v>595</v>
      </c>
      <c r="E249" s="140"/>
      <c r="F249" s="140" t="s">
        <v>1205</v>
      </c>
      <c r="G249" s="140">
        <v>1</v>
      </c>
      <c r="H249" s="134">
        <v>129.01</v>
      </c>
      <c r="I249" s="134">
        <f>Table3[[#This Row],[Unit Price]]*Table3[[#This Row],[QTY]]</f>
        <v>129.01</v>
      </c>
      <c r="J249" s="140" t="s">
        <v>2132</v>
      </c>
      <c r="K249" s="140"/>
      <c r="L249" s="140"/>
      <c r="M249" s="141">
        <v>46189</v>
      </c>
      <c r="N249" s="145">
        <v>46209</v>
      </c>
    </row>
    <row r="250" spans="1:18">
      <c r="A250" s="147" t="s">
        <v>2471</v>
      </c>
      <c r="B250" s="141">
        <v>46176</v>
      </c>
      <c r="C250" s="140" t="s">
        <v>1990</v>
      </c>
      <c r="D250" s="140" t="s">
        <v>1762</v>
      </c>
      <c r="E250" s="140"/>
      <c r="F250" s="140" t="s">
        <v>2473</v>
      </c>
      <c r="G250" s="140">
        <v>1</v>
      </c>
      <c r="H250" s="134">
        <v>73</v>
      </c>
      <c r="I250" s="134">
        <f>Table3[[#This Row],[Unit Price]]*Table3[[#This Row],[QTY]]</f>
        <v>73</v>
      </c>
      <c r="J250" s="140" t="s">
        <v>2132</v>
      </c>
      <c r="K250" s="140"/>
      <c r="L250" s="140"/>
      <c r="M250" s="141">
        <v>46189</v>
      </c>
      <c r="N250" s="145">
        <v>46209</v>
      </c>
    </row>
    <row r="251" spans="1:18">
      <c r="A251" s="147" t="s">
        <v>2471</v>
      </c>
      <c r="B251" s="141">
        <v>46176</v>
      </c>
      <c r="C251" s="140" t="s">
        <v>1990</v>
      </c>
      <c r="D251" s="140" t="s">
        <v>2059</v>
      </c>
      <c r="E251" s="140"/>
      <c r="F251" s="140" t="s">
        <v>2060</v>
      </c>
      <c r="G251" s="140">
        <v>1</v>
      </c>
      <c r="H251" s="134">
        <v>160.53</v>
      </c>
      <c r="I251" s="134">
        <f>Table3[[#This Row],[Unit Price]]*Table3[[#This Row],[QTY]]</f>
        <v>160.53</v>
      </c>
      <c r="J251" s="140" t="s">
        <v>2132</v>
      </c>
      <c r="K251" s="140"/>
      <c r="L251" s="140"/>
      <c r="M251" s="141">
        <v>46189</v>
      </c>
      <c r="N251" s="145">
        <v>46209</v>
      </c>
    </row>
    <row r="252" spans="1:18">
      <c r="A252" s="147" t="s">
        <v>2471</v>
      </c>
      <c r="B252" s="141">
        <v>46176</v>
      </c>
      <c r="C252" s="140" t="s">
        <v>1990</v>
      </c>
      <c r="D252" s="140" t="s">
        <v>2055</v>
      </c>
      <c r="E252" s="140"/>
      <c r="F252" s="140" t="s">
        <v>2474</v>
      </c>
      <c r="G252" s="140">
        <v>2</v>
      </c>
      <c r="H252" s="134">
        <v>47.69</v>
      </c>
      <c r="I252" s="134">
        <f>Table3[[#This Row],[Unit Price]]*Table3[[#This Row],[QTY]]</f>
        <v>95.38</v>
      </c>
      <c r="J252" s="140" t="s">
        <v>2132</v>
      </c>
      <c r="K252" s="140"/>
      <c r="L252" s="140"/>
      <c r="M252" s="141">
        <v>46189</v>
      </c>
      <c r="N252" s="145">
        <v>46209</v>
      </c>
    </row>
    <row r="253" spans="1:18">
      <c r="A253" s="147" t="s">
        <v>2471</v>
      </c>
      <c r="B253" s="141">
        <v>46176</v>
      </c>
      <c r="C253" s="140" t="s">
        <v>1990</v>
      </c>
      <c r="D253" s="140" t="s">
        <v>2475</v>
      </c>
      <c r="E253" s="140"/>
      <c r="F253" s="140" t="s">
        <v>2476</v>
      </c>
      <c r="G253" s="140">
        <v>1</v>
      </c>
      <c r="H253" s="134">
        <v>5.34</v>
      </c>
      <c r="I253" s="134">
        <f>Table3[[#This Row],[Unit Price]]*Table3[[#This Row],[QTY]]</f>
        <v>5.34</v>
      </c>
      <c r="J253" s="140" t="s">
        <v>2132</v>
      </c>
      <c r="K253" s="140"/>
      <c r="L253" s="140"/>
      <c r="M253" s="141">
        <v>46189</v>
      </c>
      <c r="N253" s="145">
        <v>46209</v>
      </c>
    </row>
    <row r="254" spans="1:18">
      <c r="A254" s="147" t="s">
        <v>2471</v>
      </c>
      <c r="B254" s="141">
        <v>46176</v>
      </c>
      <c r="C254" s="140" t="s">
        <v>1990</v>
      </c>
      <c r="D254" s="140" t="s">
        <v>2256</v>
      </c>
      <c r="E254" s="140"/>
      <c r="F254" s="140" t="s">
        <v>2257</v>
      </c>
      <c r="G254" s="140">
        <v>1</v>
      </c>
      <c r="H254" s="134">
        <v>867.16</v>
      </c>
      <c r="I254" s="134">
        <f>Table3[[#This Row],[Unit Price]]*Table3[[#This Row],[QTY]]</f>
        <v>867.16</v>
      </c>
      <c r="J254" s="140" t="s">
        <v>2132</v>
      </c>
      <c r="K254" s="140"/>
      <c r="L254" s="140"/>
      <c r="M254" s="141">
        <v>46189</v>
      </c>
      <c r="N254" s="145">
        <v>46209</v>
      </c>
    </row>
    <row r="255" spans="1:18">
      <c r="A255" s="147" t="s">
        <v>2471</v>
      </c>
      <c r="B255" s="141">
        <v>46176</v>
      </c>
      <c r="C255" s="140" t="s">
        <v>1990</v>
      </c>
      <c r="D255" s="140" t="s">
        <v>2477</v>
      </c>
      <c r="E255" s="140"/>
      <c r="F255" s="140" t="s">
        <v>2478</v>
      </c>
      <c r="G255" s="140">
        <v>1</v>
      </c>
      <c r="H255" s="134">
        <v>74.84</v>
      </c>
      <c r="I255" s="134">
        <f>Table3[[#This Row],[Unit Price]]*Table3[[#This Row],[QTY]]</f>
        <v>74.84</v>
      </c>
      <c r="J255" s="140" t="s">
        <v>2132</v>
      </c>
      <c r="K255" s="140"/>
      <c r="L255" s="140"/>
      <c r="M255" s="141">
        <v>46189</v>
      </c>
      <c r="N255" s="145">
        <v>46209</v>
      </c>
    </row>
    <row r="256" spans="1:18">
      <c r="A256" s="147" t="s">
        <v>2471</v>
      </c>
      <c r="B256" s="141">
        <v>46176</v>
      </c>
      <c r="C256" s="140" t="s">
        <v>1990</v>
      </c>
      <c r="D256" s="140" t="s">
        <v>2479</v>
      </c>
      <c r="E256" s="140"/>
      <c r="F256" s="140" t="s">
        <v>2480</v>
      </c>
      <c r="G256" s="140">
        <v>1</v>
      </c>
      <c r="H256" s="134">
        <v>89.16</v>
      </c>
      <c r="I256" s="134">
        <f>Table3[[#This Row],[Unit Price]]*Table3[[#This Row],[QTY]]</f>
        <v>89.16</v>
      </c>
      <c r="J256" s="140" t="s">
        <v>2132</v>
      </c>
      <c r="K256" s="140"/>
      <c r="L256" s="140"/>
      <c r="M256" s="141">
        <v>46189</v>
      </c>
      <c r="N256" s="145">
        <v>46209</v>
      </c>
    </row>
    <row r="257" spans="1:14">
      <c r="A257" s="147" t="s">
        <v>2471</v>
      </c>
      <c r="B257" s="141">
        <v>46176</v>
      </c>
      <c r="C257" s="140" t="s">
        <v>1990</v>
      </c>
      <c r="D257" s="140" t="s">
        <v>2481</v>
      </c>
      <c r="E257" s="140"/>
      <c r="F257" s="140" t="s">
        <v>2465</v>
      </c>
      <c r="G257" s="140">
        <v>1</v>
      </c>
      <c r="H257" s="134">
        <v>17.96</v>
      </c>
      <c r="I257" s="134">
        <f>Table3[[#This Row],[Unit Price]]*Table3[[#This Row],[QTY]]</f>
        <v>17.96</v>
      </c>
      <c r="J257" s="140" t="s">
        <v>2132</v>
      </c>
      <c r="K257" s="140"/>
      <c r="L257" s="140"/>
      <c r="M257" s="141">
        <v>46189</v>
      </c>
      <c r="N257" s="145">
        <v>46209</v>
      </c>
    </row>
    <row r="258" spans="1:14">
      <c r="A258" s="147" t="s">
        <v>2471</v>
      </c>
      <c r="B258" s="141">
        <v>46176</v>
      </c>
      <c r="C258" s="140" t="s">
        <v>1990</v>
      </c>
      <c r="D258" s="140" t="s">
        <v>1235</v>
      </c>
      <c r="E258" s="140"/>
      <c r="F258" s="140" t="s">
        <v>2100</v>
      </c>
      <c r="G258" s="140">
        <v>2</v>
      </c>
      <c r="H258" s="134">
        <v>14.21</v>
      </c>
      <c r="I258" s="134">
        <f>Table3[[#This Row],[Unit Price]]*Table3[[#This Row],[QTY]]</f>
        <v>28.42</v>
      </c>
      <c r="J258" s="140" t="s">
        <v>2132</v>
      </c>
      <c r="K258" s="140"/>
      <c r="L258" s="140"/>
      <c r="M258" s="141">
        <v>46189</v>
      </c>
      <c r="N258" s="145">
        <v>46209</v>
      </c>
    </row>
    <row r="259" spans="1:14">
      <c r="A259" s="147" t="s">
        <v>2471</v>
      </c>
      <c r="B259" s="141">
        <v>46176</v>
      </c>
      <c r="C259" s="140" t="s">
        <v>1990</v>
      </c>
      <c r="D259" s="140" t="s">
        <v>2482</v>
      </c>
      <c r="E259" s="140"/>
      <c r="F259" s="140" t="s">
        <v>2483</v>
      </c>
      <c r="G259" s="140">
        <v>1</v>
      </c>
      <c r="H259" s="134">
        <v>297.22000000000003</v>
      </c>
      <c r="I259" s="134">
        <f>Table3[[#This Row],[Unit Price]]*Table3[[#This Row],[QTY]]</f>
        <v>297.22000000000003</v>
      </c>
      <c r="J259" s="140" t="s">
        <v>2132</v>
      </c>
      <c r="K259" s="140"/>
      <c r="L259" s="140"/>
      <c r="M259" s="141">
        <v>46189</v>
      </c>
      <c r="N259" s="145">
        <v>46209</v>
      </c>
    </row>
    <row r="260" spans="1:14">
      <c r="A260" s="147" t="s">
        <v>2471</v>
      </c>
      <c r="B260" s="141">
        <v>46176</v>
      </c>
      <c r="C260" s="140" t="s">
        <v>1990</v>
      </c>
      <c r="D260" s="140" t="s">
        <v>1267</v>
      </c>
      <c r="E260" s="140"/>
      <c r="F260" s="140" t="s">
        <v>2484</v>
      </c>
      <c r="G260" s="140">
        <v>1</v>
      </c>
      <c r="H260" s="134">
        <v>83.29</v>
      </c>
      <c r="I260" s="134">
        <f>Table3[[#This Row],[Unit Price]]*Table3[[#This Row],[QTY]]</f>
        <v>83.29</v>
      </c>
      <c r="J260" s="140" t="s">
        <v>2132</v>
      </c>
      <c r="K260" s="140"/>
      <c r="L260" s="140"/>
      <c r="M260" s="141">
        <v>46189</v>
      </c>
      <c r="N260" s="145">
        <v>46209</v>
      </c>
    </row>
    <row r="261" spans="1:14">
      <c r="A261" s="147" t="s">
        <v>2471</v>
      </c>
      <c r="B261" s="141">
        <v>46176</v>
      </c>
      <c r="C261" s="140" t="s">
        <v>1990</v>
      </c>
      <c r="D261" s="140" t="s">
        <v>587</v>
      </c>
      <c r="E261" s="140"/>
      <c r="F261" s="140" t="s">
        <v>2244</v>
      </c>
      <c r="G261" s="140">
        <v>1</v>
      </c>
      <c r="H261" s="134">
        <v>79.989999999999995</v>
      </c>
      <c r="I261" s="134">
        <f>Table3[[#This Row],[Unit Price]]*Table3[[#This Row],[QTY]]</f>
        <v>79.989999999999995</v>
      </c>
      <c r="J261" s="140" t="s">
        <v>2132</v>
      </c>
      <c r="K261" s="140"/>
      <c r="L261" s="140"/>
      <c r="M261" s="141">
        <v>46189</v>
      </c>
      <c r="N261" s="145">
        <v>46209</v>
      </c>
    </row>
    <row r="262" spans="1:14">
      <c r="A262" s="147" t="s">
        <v>2485</v>
      </c>
      <c r="B262" s="141">
        <v>46181</v>
      </c>
      <c r="C262" s="140" t="s">
        <v>1990</v>
      </c>
      <c r="D262" s="140" t="s">
        <v>2486</v>
      </c>
      <c r="E262" s="140"/>
      <c r="F262" s="140" t="s">
        <v>1059</v>
      </c>
      <c r="G262" s="140">
        <v>8</v>
      </c>
      <c r="H262" s="134">
        <v>42.46</v>
      </c>
      <c r="I262" s="134">
        <f>Table3[[#This Row],[Unit Price]]*Table3[[#This Row],[QTY]]</f>
        <v>339.68</v>
      </c>
      <c r="J262" s="140" t="s">
        <v>2472</v>
      </c>
      <c r="K262" s="140"/>
      <c r="L262" s="140"/>
      <c r="M262" s="133">
        <v>46211</v>
      </c>
      <c r="N262" s="145">
        <v>46230</v>
      </c>
    </row>
    <row r="263" spans="1:14">
      <c r="A263" s="147" t="s">
        <v>2487</v>
      </c>
      <c r="B263" s="141">
        <v>46182</v>
      </c>
      <c r="C263" s="140" t="s">
        <v>1990</v>
      </c>
      <c r="D263" s="140" t="s">
        <v>2488</v>
      </c>
      <c r="E263" s="140"/>
      <c r="F263" s="140" t="s">
        <v>2037</v>
      </c>
      <c r="G263" s="140">
        <v>1</v>
      </c>
      <c r="H263" s="134">
        <v>1370.16</v>
      </c>
      <c r="I263" s="134">
        <f>Table3[[#This Row],[Unit Price]]*Table3[[#This Row],[QTY]]</f>
        <v>1370.16</v>
      </c>
      <c r="J263" s="140" t="s">
        <v>2132</v>
      </c>
      <c r="K263" s="140"/>
      <c r="L263" s="140"/>
      <c r="M263" s="141">
        <v>46189</v>
      </c>
      <c r="N263" s="145">
        <v>46209</v>
      </c>
    </row>
    <row r="264" spans="1:14">
      <c r="A264" s="147" t="s">
        <v>2489</v>
      </c>
      <c r="B264" s="141">
        <v>46182</v>
      </c>
      <c r="C264" s="140" t="s">
        <v>1990</v>
      </c>
      <c r="D264" s="140" t="s">
        <v>2490</v>
      </c>
      <c r="E264" s="140"/>
      <c r="F264" s="140" t="s">
        <v>2491</v>
      </c>
      <c r="G264" s="140">
        <v>6</v>
      </c>
      <c r="H264" s="134">
        <v>69.55</v>
      </c>
      <c r="I264" s="134">
        <f>Table3[[#This Row],[Unit Price]]*Table3[[#This Row],[QTY]]</f>
        <v>417.29999999999995</v>
      </c>
      <c r="J264" s="140" t="s">
        <v>2472</v>
      </c>
      <c r="K264" s="140"/>
      <c r="L264" s="140"/>
      <c r="M264" s="133">
        <v>46211</v>
      </c>
      <c r="N264" s="145">
        <v>46230</v>
      </c>
    </row>
    <row r="265" spans="1:14">
      <c r="A265" s="147" t="s">
        <v>2492</v>
      </c>
      <c r="B265" s="141">
        <v>46182</v>
      </c>
      <c r="C265" s="140" t="s">
        <v>2493</v>
      </c>
      <c r="D265" s="140" t="s">
        <v>2494</v>
      </c>
      <c r="E265" s="140"/>
      <c r="F265" s="140" t="s">
        <v>2101</v>
      </c>
      <c r="G265" s="140">
        <v>3</v>
      </c>
      <c r="H265" s="134">
        <v>431.82</v>
      </c>
      <c r="I265" s="134">
        <f>Table3[[#This Row],[Unit Price]]*Table3[[#This Row],[QTY]]</f>
        <v>1295.46</v>
      </c>
      <c r="J265" s="140" t="s">
        <v>2472</v>
      </c>
      <c r="K265" s="140"/>
      <c r="L265" s="140"/>
      <c r="M265" s="133">
        <v>46211</v>
      </c>
      <c r="N265" s="145">
        <v>46230</v>
      </c>
    </row>
    <row r="266" spans="1:14">
      <c r="A266" s="147" t="s">
        <v>2495</v>
      </c>
      <c r="B266" s="141">
        <v>46185</v>
      </c>
      <c r="C266" s="140" t="s">
        <v>1990</v>
      </c>
      <c r="D266" s="140" t="s">
        <v>2496</v>
      </c>
      <c r="E266" s="140"/>
      <c r="F266" s="140" t="s">
        <v>2497</v>
      </c>
      <c r="G266" s="140">
        <v>1</v>
      </c>
      <c r="H266" s="134">
        <v>162.54</v>
      </c>
      <c r="I266" s="134">
        <f>Table3[[#This Row],[Unit Price]]*Table3[[#This Row],[QTY]]</f>
        <v>162.54</v>
      </c>
      <c r="J266" s="140" t="s">
        <v>2472</v>
      </c>
      <c r="K266" s="140"/>
      <c r="L266" s="140"/>
      <c r="M266" s="133">
        <v>46211</v>
      </c>
      <c r="N266" s="145">
        <v>46230</v>
      </c>
    </row>
    <row r="267" spans="1:14">
      <c r="A267" s="147" t="s">
        <v>2495</v>
      </c>
      <c r="B267" s="141">
        <v>46185</v>
      </c>
      <c r="C267" s="140" t="s">
        <v>1990</v>
      </c>
      <c r="D267" s="140" t="s">
        <v>2498</v>
      </c>
      <c r="E267" s="140"/>
      <c r="F267" s="140" t="s">
        <v>2499</v>
      </c>
      <c r="G267" s="140">
        <v>4</v>
      </c>
      <c r="H267" s="134">
        <v>194.66</v>
      </c>
      <c r="I267" s="134">
        <f>Table3[[#This Row],[Unit Price]]*Table3[[#This Row],[QTY]]</f>
        <v>778.64</v>
      </c>
      <c r="J267" s="140" t="s">
        <v>2472</v>
      </c>
      <c r="K267" s="140"/>
      <c r="L267" s="140"/>
      <c r="M267" s="133">
        <v>46211</v>
      </c>
      <c r="N267" s="145">
        <v>46230</v>
      </c>
    </row>
    <row r="268" spans="1:14">
      <c r="A268" s="147" t="s">
        <v>2500</v>
      </c>
      <c r="B268" s="141">
        <v>46185</v>
      </c>
      <c r="C268" s="140" t="s">
        <v>1990</v>
      </c>
      <c r="D268" s="140" t="s">
        <v>2501</v>
      </c>
      <c r="E268" s="140" t="s">
        <v>2502</v>
      </c>
      <c r="F268" s="140" t="s">
        <v>2503</v>
      </c>
      <c r="G268" s="140">
        <v>1</v>
      </c>
      <c r="H268" s="134">
        <v>1438.35</v>
      </c>
      <c r="I268" s="134">
        <f>Table3[[#This Row],[Unit Price]]*Table3[[#This Row],[QTY]]</f>
        <v>1438.35</v>
      </c>
      <c r="J268" s="140" t="s">
        <v>2472</v>
      </c>
      <c r="K268" s="140"/>
      <c r="L268" s="140"/>
      <c r="M268" s="133">
        <v>46211</v>
      </c>
      <c r="N268" s="145">
        <v>46230</v>
      </c>
    </row>
    <row r="269" spans="1:14">
      <c r="A269" s="147" t="s">
        <v>2504</v>
      </c>
      <c r="B269" s="141">
        <v>46185</v>
      </c>
      <c r="C269" s="140" t="s">
        <v>2505</v>
      </c>
      <c r="D269" s="140" t="s">
        <v>1229</v>
      </c>
      <c r="E269" s="140"/>
      <c r="F269" s="140" t="s">
        <v>2184</v>
      </c>
      <c r="G269" s="140">
        <v>1</v>
      </c>
      <c r="H269" s="134">
        <v>29.82</v>
      </c>
      <c r="I269" s="134">
        <f>Table3[[#This Row],[Unit Price]]*Table3[[#This Row],[QTY]]</f>
        <v>29.82</v>
      </c>
      <c r="J269" s="140" t="s">
        <v>2472</v>
      </c>
      <c r="K269" s="140"/>
      <c r="L269" s="140"/>
      <c r="M269" s="133">
        <v>46211</v>
      </c>
      <c r="N269" s="145">
        <v>46230</v>
      </c>
    </row>
    <row r="270" spans="1:14">
      <c r="A270" s="147" t="s">
        <v>2504</v>
      </c>
      <c r="B270" s="141">
        <v>46185</v>
      </c>
      <c r="C270" s="140" t="s">
        <v>2505</v>
      </c>
      <c r="D270" s="140" t="s">
        <v>2062</v>
      </c>
      <c r="E270" s="140"/>
      <c r="F270" s="140" t="s">
        <v>2063</v>
      </c>
      <c r="G270" s="140">
        <v>2</v>
      </c>
      <c r="H270" s="134">
        <v>146.97999999999999</v>
      </c>
      <c r="I270" s="134">
        <f>Table3[[#This Row],[Unit Price]]*Table3[[#This Row],[QTY]]</f>
        <v>293.95999999999998</v>
      </c>
      <c r="J270" s="140" t="s">
        <v>2472</v>
      </c>
      <c r="K270" s="140"/>
      <c r="L270" s="140"/>
      <c r="M270" s="133">
        <v>46211</v>
      </c>
      <c r="N270" s="145">
        <v>46230</v>
      </c>
    </row>
    <row r="271" spans="1:14">
      <c r="A271" s="147" t="s">
        <v>2506</v>
      </c>
      <c r="B271" s="141">
        <v>46185</v>
      </c>
      <c r="C271" s="140" t="s">
        <v>247</v>
      </c>
      <c r="D271" s="140" t="s">
        <v>1099</v>
      </c>
      <c r="E271" s="140"/>
      <c r="F271" s="140" t="s">
        <v>2507</v>
      </c>
      <c r="G271" s="140">
        <v>1</v>
      </c>
      <c r="H271" s="134">
        <v>16.329999999999998</v>
      </c>
      <c r="I271" s="134">
        <f>Table3[[#This Row],[Unit Price]]*Table3[[#This Row],[QTY]]</f>
        <v>16.329999999999998</v>
      </c>
      <c r="J271" s="140" t="s">
        <v>2472</v>
      </c>
      <c r="K271" s="140"/>
      <c r="L271" s="140"/>
      <c r="M271" s="133">
        <v>46211</v>
      </c>
      <c r="N271" s="145">
        <v>46230</v>
      </c>
    </row>
    <row r="272" spans="1:14">
      <c r="A272" s="147" t="s">
        <v>2508</v>
      </c>
      <c r="B272" s="141">
        <v>46185</v>
      </c>
      <c r="C272" s="140" t="s">
        <v>1990</v>
      </c>
      <c r="D272" s="140" t="s">
        <v>405</v>
      </c>
      <c r="E272" s="140"/>
      <c r="F272" s="140" t="s">
        <v>406</v>
      </c>
      <c r="G272" s="140">
        <v>5</v>
      </c>
      <c r="H272" s="134">
        <v>305.67</v>
      </c>
      <c r="I272" s="134">
        <f>Table3[[#This Row],[Unit Price]]*Table3[[#This Row],[QTY]]</f>
        <v>1528.3500000000001</v>
      </c>
      <c r="J272" s="140" t="s">
        <v>2472</v>
      </c>
      <c r="K272" s="140"/>
      <c r="L272" s="140"/>
      <c r="M272" s="133">
        <v>46211</v>
      </c>
      <c r="N272" s="145">
        <v>46230</v>
      </c>
    </row>
    <row r="273" spans="1:14">
      <c r="A273" s="147" t="s">
        <v>2509</v>
      </c>
      <c r="B273" s="141">
        <v>46188</v>
      </c>
      <c r="C273" s="140" t="s">
        <v>2510</v>
      </c>
      <c r="D273" s="140" t="s">
        <v>2408</v>
      </c>
      <c r="E273" s="140"/>
      <c r="F273" s="140" t="s">
        <v>2409</v>
      </c>
      <c r="G273" s="140">
        <v>1</v>
      </c>
      <c r="H273" s="134">
        <v>68.17</v>
      </c>
      <c r="I273" s="134">
        <f>Table3[[#This Row],[Unit Price]]*Table3[[#This Row],[QTY]]</f>
        <v>68.17</v>
      </c>
      <c r="J273" s="140" t="s">
        <v>2472</v>
      </c>
      <c r="K273" s="140"/>
      <c r="L273" s="140"/>
      <c r="M273" s="133">
        <v>46211</v>
      </c>
      <c r="N273" s="145">
        <v>46230</v>
      </c>
    </row>
    <row r="274" spans="1:14">
      <c r="A274" s="147" t="s">
        <v>2511</v>
      </c>
      <c r="B274" s="141">
        <v>46188</v>
      </c>
      <c r="C274" s="140" t="s">
        <v>292</v>
      </c>
      <c r="D274" s="140" t="s">
        <v>2512</v>
      </c>
      <c r="E274" s="140"/>
      <c r="F274" s="140" t="s">
        <v>2513</v>
      </c>
      <c r="G274" s="140">
        <v>1</v>
      </c>
      <c r="H274" s="134">
        <v>141.88</v>
      </c>
      <c r="I274" s="134">
        <f>Table3[[#This Row],[Unit Price]]*Table3[[#This Row],[QTY]]</f>
        <v>141.88</v>
      </c>
      <c r="J274" s="140" t="s">
        <v>2472</v>
      </c>
      <c r="K274" s="140"/>
      <c r="L274" s="140"/>
      <c r="M274" s="133">
        <v>46211</v>
      </c>
      <c r="N274" s="145">
        <v>46230</v>
      </c>
    </row>
    <row r="275" spans="1:14">
      <c r="A275" s="147" t="s">
        <v>2511</v>
      </c>
      <c r="B275" s="141">
        <v>46188</v>
      </c>
      <c r="C275" s="140" t="s">
        <v>292</v>
      </c>
      <c r="D275" s="140" t="s">
        <v>2514</v>
      </c>
      <c r="E275" s="140"/>
      <c r="F275" s="140" t="s">
        <v>2515</v>
      </c>
      <c r="G275" s="140">
        <v>1</v>
      </c>
      <c r="H275" s="134">
        <v>61.18</v>
      </c>
      <c r="I275" s="134">
        <f>Table3[[#This Row],[Unit Price]]*Table3[[#This Row],[QTY]]</f>
        <v>61.18</v>
      </c>
      <c r="J275" s="140"/>
      <c r="K275" s="140"/>
      <c r="L275" s="140"/>
      <c r="M275" s="141"/>
      <c r="N275" s="135"/>
    </row>
    <row r="276" spans="1:14">
      <c r="A276" s="147" t="s">
        <v>2511</v>
      </c>
      <c r="B276" s="141">
        <v>46188</v>
      </c>
      <c r="C276" s="140" t="s">
        <v>292</v>
      </c>
      <c r="D276" s="140" t="s">
        <v>2516</v>
      </c>
      <c r="E276" s="140"/>
      <c r="F276" s="140" t="s">
        <v>2517</v>
      </c>
      <c r="G276" s="140">
        <v>1</v>
      </c>
      <c r="H276" s="134">
        <v>29.41</v>
      </c>
      <c r="I276" s="134">
        <f>Table3[[#This Row],[Unit Price]]*Table3[[#This Row],[QTY]]</f>
        <v>29.41</v>
      </c>
      <c r="J276" s="140" t="s">
        <v>2472</v>
      </c>
      <c r="K276" s="140"/>
      <c r="L276" s="140"/>
      <c r="M276" s="133">
        <v>46211</v>
      </c>
      <c r="N276" s="145">
        <v>46230</v>
      </c>
    </row>
    <row r="277" spans="1:14">
      <c r="A277" s="147" t="s">
        <v>2518</v>
      </c>
      <c r="B277" s="141">
        <v>46188</v>
      </c>
      <c r="C277" s="140" t="s">
        <v>292</v>
      </c>
      <c r="D277" s="140" t="s">
        <v>587</v>
      </c>
      <c r="E277" s="140"/>
      <c r="F277" s="140" t="s">
        <v>2244</v>
      </c>
      <c r="G277" s="140">
        <v>4</v>
      </c>
      <c r="H277" s="134">
        <v>79.989999999999995</v>
      </c>
      <c r="I277" s="134">
        <f>Table3[[#This Row],[Unit Price]]*Table3[[#This Row],[QTY]]</f>
        <v>319.95999999999998</v>
      </c>
      <c r="J277" s="140" t="s">
        <v>2472</v>
      </c>
      <c r="K277" s="140"/>
      <c r="L277" s="140"/>
      <c r="M277" s="133">
        <v>46211</v>
      </c>
      <c r="N277" s="145">
        <v>46230</v>
      </c>
    </row>
    <row r="278" spans="1:14">
      <c r="A278" s="147" t="s">
        <v>2518</v>
      </c>
      <c r="B278" s="141">
        <v>46188</v>
      </c>
      <c r="C278" s="140" t="s">
        <v>292</v>
      </c>
      <c r="D278" s="140" t="s">
        <v>446</v>
      </c>
      <c r="E278" s="140"/>
      <c r="F278" s="140" t="s">
        <v>2101</v>
      </c>
      <c r="G278" s="140">
        <v>3</v>
      </c>
      <c r="H278" s="134">
        <v>431.82</v>
      </c>
      <c r="I278" s="134">
        <f>Table3[[#This Row],[Unit Price]]*Table3[[#This Row],[QTY]]</f>
        <v>1295.46</v>
      </c>
      <c r="J278" s="140" t="s">
        <v>2472</v>
      </c>
      <c r="K278" s="140"/>
      <c r="L278" s="140"/>
      <c r="M278" s="133">
        <v>46211</v>
      </c>
      <c r="N278" s="145">
        <v>46230</v>
      </c>
    </row>
    <row r="279" spans="1:14">
      <c r="A279" s="147" t="s">
        <v>2518</v>
      </c>
      <c r="B279" s="141">
        <v>46188</v>
      </c>
      <c r="C279" s="140" t="s">
        <v>292</v>
      </c>
      <c r="D279" s="140" t="s">
        <v>79</v>
      </c>
      <c r="E279" s="140"/>
      <c r="F279" s="140" t="s">
        <v>1059</v>
      </c>
      <c r="G279" s="140">
        <v>2</v>
      </c>
      <c r="H279" s="134">
        <v>42.46</v>
      </c>
      <c r="I279" s="134">
        <f>Table3[[#This Row],[Unit Price]]*Table3[[#This Row],[QTY]]</f>
        <v>84.92</v>
      </c>
      <c r="J279" s="140" t="s">
        <v>2472</v>
      </c>
      <c r="K279" s="140"/>
      <c r="L279" s="140"/>
      <c r="M279" s="133">
        <v>46211</v>
      </c>
      <c r="N279" s="145">
        <v>46230</v>
      </c>
    </row>
    <row r="280" spans="1:14">
      <c r="A280" s="147" t="s">
        <v>2518</v>
      </c>
      <c r="B280" s="141">
        <v>46188</v>
      </c>
      <c r="C280" s="140" t="s">
        <v>292</v>
      </c>
      <c r="D280" s="140" t="s">
        <v>216</v>
      </c>
      <c r="E280" s="140"/>
      <c r="F280" s="140" t="s">
        <v>941</v>
      </c>
      <c r="G280" s="140">
        <v>1</v>
      </c>
      <c r="H280" s="134">
        <v>1187.4100000000001</v>
      </c>
      <c r="I280" s="134">
        <f>Table3[[#This Row],[Unit Price]]*Table3[[#This Row],[QTY]]</f>
        <v>1187.4100000000001</v>
      </c>
      <c r="J280" s="140" t="s">
        <v>2472</v>
      </c>
      <c r="K280" s="140"/>
      <c r="L280" s="140"/>
      <c r="M280" s="133">
        <v>46211</v>
      </c>
      <c r="N280" s="145">
        <v>46230</v>
      </c>
    </row>
    <row r="281" spans="1:14">
      <c r="A281" s="147" t="s">
        <v>2519</v>
      </c>
      <c r="B281" s="141">
        <v>46190</v>
      </c>
      <c r="C281" s="140" t="s">
        <v>292</v>
      </c>
      <c r="D281" s="140" t="s">
        <v>2318</v>
      </c>
      <c r="E281" s="140"/>
      <c r="F281" s="140" t="s">
        <v>2319</v>
      </c>
      <c r="G281" s="140">
        <v>1</v>
      </c>
      <c r="H281" s="134">
        <v>160.04</v>
      </c>
      <c r="I281" s="134">
        <f>Table3[[#This Row],[Unit Price]]*Table3[[#This Row],[QTY]]</f>
        <v>160.04</v>
      </c>
      <c r="J281" s="140" t="s">
        <v>2472</v>
      </c>
      <c r="K281" s="140"/>
      <c r="L281" s="140"/>
      <c r="M281" s="133">
        <v>46211</v>
      </c>
      <c r="N281" s="145">
        <v>46230</v>
      </c>
    </row>
    <row r="282" spans="1:14">
      <c r="A282" s="147" t="s">
        <v>2519</v>
      </c>
      <c r="B282" s="141">
        <v>46190</v>
      </c>
      <c r="C282" s="140" t="s">
        <v>292</v>
      </c>
      <c r="D282" s="140" t="s">
        <v>2032</v>
      </c>
      <c r="E282" s="140"/>
      <c r="F282" s="140" t="s">
        <v>2033</v>
      </c>
      <c r="G282" s="140">
        <v>1</v>
      </c>
      <c r="H282" s="134">
        <v>147.61000000000001</v>
      </c>
      <c r="I282" s="134">
        <f>Table3[[#This Row],[Unit Price]]*Table3[[#This Row],[QTY]]</f>
        <v>147.61000000000001</v>
      </c>
      <c r="J282" s="140" t="s">
        <v>2472</v>
      </c>
      <c r="K282" s="140"/>
      <c r="L282" s="140"/>
      <c r="M282" s="133">
        <v>46211</v>
      </c>
      <c r="N282" s="145">
        <v>46230</v>
      </c>
    </row>
    <row r="283" spans="1:14">
      <c r="A283" s="147" t="s">
        <v>2519</v>
      </c>
      <c r="B283" s="141">
        <v>46190</v>
      </c>
      <c r="C283" s="140" t="s">
        <v>292</v>
      </c>
      <c r="D283" s="140" t="s">
        <v>2316</v>
      </c>
      <c r="E283" s="140"/>
      <c r="F283" s="140" t="s">
        <v>2317</v>
      </c>
      <c r="G283" s="140">
        <v>1</v>
      </c>
      <c r="H283" s="134">
        <v>568.92999999999995</v>
      </c>
      <c r="I283" s="134">
        <f>Table3[[#This Row],[Unit Price]]*Table3[[#This Row],[QTY]]</f>
        <v>568.92999999999995</v>
      </c>
      <c r="J283" s="140" t="s">
        <v>2472</v>
      </c>
      <c r="K283" s="140"/>
      <c r="L283" s="140"/>
      <c r="M283" s="133">
        <v>46211</v>
      </c>
      <c r="N283" s="145">
        <v>46230</v>
      </c>
    </row>
    <row r="284" spans="1:14">
      <c r="A284" s="147" t="s">
        <v>2519</v>
      </c>
      <c r="B284" s="141">
        <v>46190</v>
      </c>
      <c r="C284" s="140" t="s">
        <v>292</v>
      </c>
      <c r="D284" s="140" t="s">
        <v>1229</v>
      </c>
      <c r="E284" s="140"/>
      <c r="F284" s="140" t="s">
        <v>2184</v>
      </c>
      <c r="G284" s="140">
        <v>2</v>
      </c>
      <c r="H284" s="134">
        <v>29.82</v>
      </c>
      <c r="I284" s="134">
        <f>Table3[[#This Row],[Unit Price]]*Table3[[#This Row],[QTY]]</f>
        <v>59.64</v>
      </c>
      <c r="J284" s="140" t="s">
        <v>2472</v>
      </c>
      <c r="K284" s="140"/>
      <c r="L284" s="140"/>
      <c r="M284" s="133">
        <v>46211</v>
      </c>
      <c r="N284" s="145">
        <v>46230</v>
      </c>
    </row>
    <row r="285" spans="1:14">
      <c r="A285" s="147" t="s">
        <v>2520</v>
      </c>
      <c r="B285" s="141">
        <v>46192</v>
      </c>
      <c r="C285" s="140" t="s">
        <v>2521</v>
      </c>
      <c r="D285" s="140" t="s">
        <v>2522</v>
      </c>
      <c r="E285" s="140"/>
      <c r="F285" s="140" t="s">
        <v>2523</v>
      </c>
      <c r="G285" s="140">
        <v>1</v>
      </c>
      <c r="H285" s="134">
        <v>133.44</v>
      </c>
      <c r="I285" s="134">
        <f>Table3[[#This Row],[Unit Price]]*Table3[[#This Row],[QTY]]</f>
        <v>133.44</v>
      </c>
      <c r="J285" s="140" t="s">
        <v>2472</v>
      </c>
      <c r="K285" s="140"/>
      <c r="L285" s="140"/>
      <c r="M285" s="133">
        <v>46211</v>
      </c>
      <c r="N285" s="145">
        <v>46230</v>
      </c>
    </row>
    <row r="286" spans="1:14">
      <c r="A286" s="147" t="s">
        <v>2520</v>
      </c>
      <c r="B286" s="141">
        <v>46192</v>
      </c>
      <c r="C286" s="140" t="s">
        <v>2521</v>
      </c>
      <c r="D286" s="140" t="s">
        <v>2524</v>
      </c>
      <c r="E286" s="140"/>
      <c r="F286" s="140" t="s">
        <v>2525</v>
      </c>
      <c r="G286" s="140">
        <v>1</v>
      </c>
      <c r="H286" s="134">
        <v>659.31</v>
      </c>
      <c r="I286" s="134">
        <f>Table3[[#This Row],[Unit Price]]*Table3[[#This Row],[QTY]]</f>
        <v>659.31</v>
      </c>
      <c r="J286" s="140" t="s">
        <v>2472</v>
      </c>
      <c r="K286" s="140"/>
      <c r="L286" s="140"/>
      <c r="M286" s="133">
        <v>46211</v>
      </c>
      <c r="N286" s="145">
        <v>46230</v>
      </c>
    </row>
    <row r="287" spans="1:14">
      <c r="A287" s="147" t="s">
        <v>2526</v>
      </c>
      <c r="B287" s="141">
        <v>46195</v>
      </c>
      <c r="C287" s="140" t="s">
        <v>292</v>
      </c>
      <c r="D287" s="140" t="s">
        <v>1074</v>
      </c>
      <c r="E287" s="140"/>
      <c r="F287" s="140" t="s">
        <v>2305</v>
      </c>
      <c r="G287" s="140">
        <v>1</v>
      </c>
      <c r="H287" s="134">
        <v>1427.32</v>
      </c>
      <c r="I287" s="134">
        <f>Table3[[#This Row],[Unit Price]]*Table3[[#This Row],[QTY]]</f>
        <v>1427.32</v>
      </c>
      <c r="J287" s="140" t="s">
        <v>2472</v>
      </c>
      <c r="K287" s="140"/>
      <c r="L287" s="140"/>
      <c r="M287" s="133">
        <v>46211</v>
      </c>
      <c r="N287" s="145">
        <v>46230</v>
      </c>
    </row>
    <row r="288" spans="1:14">
      <c r="A288" s="147" t="s">
        <v>2526</v>
      </c>
      <c r="B288" s="141">
        <v>46195</v>
      </c>
      <c r="C288" s="140" t="s">
        <v>292</v>
      </c>
      <c r="D288" s="140" t="s">
        <v>2527</v>
      </c>
      <c r="E288" s="140"/>
      <c r="F288" s="140" t="s">
        <v>2528</v>
      </c>
      <c r="G288" s="140">
        <v>1</v>
      </c>
      <c r="H288" s="134">
        <v>1287.58</v>
      </c>
      <c r="I288" s="134">
        <f>Table3[[#This Row],[Unit Price]]*Table3[[#This Row],[QTY]]</f>
        <v>1287.58</v>
      </c>
      <c r="J288" s="140"/>
      <c r="K288" s="140"/>
      <c r="L288" s="140"/>
      <c r="M288" s="141"/>
      <c r="N288" s="156"/>
    </row>
    <row r="289" spans="1:14">
      <c r="A289" s="147" t="s">
        <v>2526</v>
      </c>
      <c r="B289" s="141">
        <v>46195</v>
      </c>
      <c r="C289" s="140" t="s">
        <v>292</v>
      </c>
      <c r="D289" s="140" t="s">
        <v>311</v>
      </c>
      <c r="E289" s="140"/>
      <c r="F289" s="140" t="s">
        <v>2015</v>
      </c>
      <c r="G289" s="140">
        <v>1</v>
      </c>
      <c r="H289" s="134">
        <v>1272.6400000000001</v>
      </c>
      <c r="I289" s="134">
        <f>Table3[[#This Row],[Unit Price]]*Table3[[#This Row],[QTY]]</f>
        <v>1272.6400000000001</v>
      </c>
      <c r="J289" s="140" t="s">
        <v>2472</v>
      </c>
      <c r="K289" s="140"/>
      <c r="L289" s="140"/>
      <c r="M289" s="133">
        <v>46211</v>
      </c>
      <c r="N289" s="145">
        <v>46230</v>
      </c>
    </row>
    <row r="290" spans="1:14">
      <c r="A290" s="147" t="s">
        <v>2526</v>
      </c>
      <c r="B290" s="141">
        <v>46195</v>
      </c>
      <c r="C290" s="140" t="s">
        <v>292</v>
      </c>
      <c r="D290" s="140" t="s">
        <v>110</v>
      </c>
      <c r="E290" s="140"/>
      <c r="F290" s="140" t="s">
        <v>2158</v>
      </c>
      <c r="G290" s="140">
        <v>2</v>
      </c>
      <c r="H290" s="134">
        <v>898.2</v>
      </c>
      <c r="I290" s="134">
        <f>Table3[[#This Row],[Unit Price]]*Table3[[#This Row],[QTY]]</f>
        <v>1796.4</v>
      </c>
      <c r="J290" s="140" t="s">
        <v>2472</v>
      </c>
      <c r="K290" s="140"/>
      <c r="L290" s="140"/>
      <c r="M290" s="133">
        <v>46211</v>
      </c>
      <c r="N290" s="145">
        <v>46230</v>
      </c>
    </row>
    <row r="291" spans="1:14">
      <c r="A291" s="147" t="s">
        <v>2526</v>
      </c>
      <c r="B291" s="141">
        <v>46195</v>
      </c>
      <c r="C291" s="140" t="s">
        <v>292</v>
      </c>
      <c r="D291" s="140" t="s">
        <v>741</v>
      </c>
      <c r="E291" s="140"/>
      <c r="F291" s="140" t="s">
        <v>742</v>
      </c>
      <c r="G291" s="140">
        <v>2</v>
      </c>
      <c r="H291" s="134">
        <v>886.36</v>
      </c>
      <c r="I291" s="134">
        <f>Table3[[#This Row],[Unit Price]]*Table3[[#This Row],[QTY]]</f>
        <v>1772.72</v>
      </c>
      <c r="J291" s="140" t="s">
        <v>2472</v>
      </c>
      <c r="K291" s="140"/>
      <c r="L291" s="140"/>
      <c r="M291" s="133">
        <v>46211</v>
      </c>
      <c r="N291" s="145">
        <v>46230</v>
      </c>
    </row>
    <row r="292" spans="1:14">
      <c r="A292" s="147" t="s">
        <v>2526</v>
      </c>
      <c r="B292" s="141">
        <v>46195</v>
      </c>
      <c r="C292" s="140" t="s">
        <v>292</v>
      </c>
      <c r="D292" s="140" t="s">
        <v>126</v>
      </c>
      <c r="E292" s="140"/>
      <c r="F292" s="140" t="s">
        <v>675</v>
      </c>
      <c r="G292" s="140">
        <v>2</v>
      </c>
      <c r="H292" s="134">
        <v>790.42</v>
      </c>
      <c r="I292" s="134">
        <f>Table3[[#This Row],[Unit Price]]*Table3[[#This Row],[QTY]]</f>
        <v>1580.84</v>
      </c>
      <c r="J292" s="140" t="s">
        <v>2472</v>
      </c>
      <c r="K292" s="140"/>
      <c r="L292" s="140"/>
      <c r="M292" s="133">
        <v>46211</v>
      </c>
      <c r="N292" s="145">
        <v>46230</v>
      </c>
    </row>
    <row r="293" spans="1:14">
      <c r="A293" s="147" t="s">
        <v>2526</v>
      </c>
      <c r="B293" s="141">
        <v>46195</v>
      </c>
      <c r="C293" s="140" t="s">
        <v>292</v>
      </c>
      <c r="D293" s="140" t="s">
        <v>267</v>
      </c>
      <c r="E293" s="140"/>
      <c r="F293" s="140" t="s">
        <v>268</v>
      </c>
      <c r="G293" s="140">
        <v>2</v>
      </c>
      <c r="H293" s="134">
        <v>723.56</v>
      </c>
      <c r="I293" s="134">
        <f>Table3[[#This Row],[Unit Price]]*Table3[[#This Row],[QTY]]</f>
        <v>1447.12</v>
      </c>
      <c r="J293" s="140" t="s">
        <v>2472</v>
      </c>
      <c r="K293" s="140"/>
      <c r="L293" s="140"/>
      <c r="M293" s="133">
        <v>46211</v>
      </c>
      <c r="N293" s="145">
        <v>46230</v>
      </c>
    </row>
    <row r="294" spans="1:14">
      <c r="A294" s="147" t="s">
        <v>2526</v>
      </c>
      <c r="B294" s="141">
        <v>46195</v>
      </c>
      <c r="C294" s="140" t="s">
        <v>292</v>
      </c>
      <c r="D294" s="140" t="s">
        <v>2529</v>
      </c>
      <c r="E294" s="140" t="s">
        <v>2034</v>
      </c>
      <c r="F294" s="140" t="s">
        <v>2035</v>
      </c>
      <c r="G294" s="140">
        <v>2</v>
      </c>
      <c r="H294" s="134">
        <v>679.33</v>
      </c>
      <c r="I294" s="134">
        <f>Table3[[#This Row],[Unit Price]]*Table3[[#This Row],[QTY]]</f>
        <v>1358.66</v>
      </c>
      <c r="J294" s="140" t="s">
        <v>2472</v>
      </c>
      <c r="K294" s="140"/>
      <c r="L294" s="140"/>
      <c r="M294" s="133">
        <v>46211</v>
      </c>
      <c r="N294" s="145">
        <v>46230</v>
      </c>
    </row>
    <row r="295" spans="1:14">
      <c r="A295" s="147" t="s">
        <v>2526</v>
      </c>
      <c r="B295" s="141">
        <v>46195</v>
      </c>
      <c r="C295" s="140" t="s">
        <v>292</v>
      </c>
      <c r="D295" s="140" t="s">
        <v>379</v>
      </c>
      <c r="E295" s="140"/>
      <c r="F295" s="140" t="s">
        <v>2420</v>
      </c>
      <c r="G295" s="140">
        <v>2</v>
      </c>
      <c r="H295" s="134">
        <v>631.67999999999995</v>
      </c>
      <c r="I295" s="134">
        <f>Table3[[#This Row],[Unit Price]]*Table3[[#This Row],[QTY]]</f>
        <v>1263.3599999999999</v>
      </c>
      <c r="J295" s="140" t="s">
        <v>2472</v>
      </c>
      <c r="K295" s="140"/>
      <c r="L295" s="140"/>
      <c r="M295" s="133">
        <v>46211</v>
      </c>
      <c r="N295" s="145">
        <v>46230</v>
      </c>
    </row>
    <row r="296" spans="1:14">
      <c r="A296" s="147" t="s">
        <v>2526</v>
      </c>
      <c r="B296" s="141">
        <v>46195</v>
      </c>
      <c r="C296" s="140" t="s">
        <v>292</v>
      </c>
      <c r="D296" s="140" t="s">
        <v>576</v>
      </c>
      <c r="E296" s="140"/>
      <c r="F296" s="140" t="s">
        <v>2008</v>
      </c>
      <c r="G296" s="140">
        <v>2</v>
      </c>
      <c r="H296" s="134">
        <v>629.66</v>
      </c>
      <c r="I296" s="134">
        <f>Table3[[#This Row],[Unit Price]]*Table3[[#This Row],[QTY]]</f>
        <v>1259.32</v>
      </c>
      <c r="J296" s="140" t="s">
        <v>2472</v>
      </c>
      <c r="K296" s="140"/>
      <c r="L296" s="140"/>
      <c r="M296" s="133">
        <v>46211</v>
      </c>
      <c r="N296" s="145">
        <v>46230</v>
      </c>
    </row>
    <row r="297" spans="1:14">
      <c r="A297" s="147" t="s">
        <v>2526</v>
      </c>
      <c r="B297" s="141">
        <v>46195</v>
      </c>
      <c r="C297" s="140" t="s">
        <v>292</v>
      </c>
      <c r="D297" s="140" t="s">
        <v>754</v>
      </c>
      <c r="E297" s="140"/>
      <c r="F297" s="140" t="s">
        <v>1905</v>
      </c>
      <c r="G297" s="140">
        <v>1</v>
      </c>
      <c r="H297" s="134">
        <v>404.45</v>
      </c>
      <c r="I297" s="134">
        <f>Table3[[#This Row],[Unit Price]]*Table3[[#This Row],[QTY]]</f>
        <v>404.45</v>
      </c>
      <c r="J297" s="140" t="s">
        <v>2472</v>
      </c>
      <c r="K297" s="140"/>
      <c r="L297" s="140"/>
      <c r="M297" s="133">
        <v>46211</v>
      </c>
      <c r="N297" s="145">
        <v>46230</v>
      </c>
    </row>
    <row r="298" spans="1:14">
      <c r="A298" s="147" t="s">
        <v>2526</v>
      </c>
      <c r="B298" s="141">
        <v>46195</v>
      </c>
      <c r="C298" s="140" t="s">
        <v>292</v>
      </c>
      <c r="D298" s="140" t="s">
        <v>2530</v>
      </c>
      <c r="E298" s="140"/>
      <c r="F298" s="140" t="s">
        <v>2531</v>
      </c>
      <c r="G298" s="140">
        <v>5</v>
      </c>
      <c r="H298" s="134">
        <v>133.88</v>
      </c>
      <c r="I298" s="134">
        <f>Table3[[#This Row],[Unit Price]]*Table3[[#This Row],[QTY]]</f>
        <v>669.4</v>
      </c>
      <c r="J298" s="140" t="s">
        <v>2472</v>
      </c>
      <c r="K298" s="140"/>
      <c r="L298" s="140"/>
      <c r="M298" s="133">
        <v>46211</v>
      </c>
      <c r="N298" s="145">
        <v>46230</v>
      </c>
    </row>
    <row r="299" spans="1:14">
      <c r="A299" s="147" t="s">
        <v>2526</v>
      </c>
      <c r="B299" s="141">
        <v>46195</v>
      </c>
      <c r="C299" s="140" t="s">
        <v>292</v>
      </c>
      <c r="D299" s="140" t="s">
        <v>2532</v>
      </c>
      <c r="E299" s="140"/>
      <c r="F299" s="140" t="s">
        <v>2533</v>
      </c>
      <c r="G299" s="140">
        <v>1</v>
      </c>
      <c r="H299" s="134">
        <v>516.22</v>
      </c>
      <c r="I299" s="134">
        <f>Table3[[#This Row],[Unit Price]]*Table3[[#This Row],[QTY]]</f>
        <v>516.22</v>
      </c>
      <c r="J299" s="140" t="s">
        <v>2472</v>
      </c>
      <c r="K299" s="140"/>
      <c r="L299" s="140"/>
      <c r="M299" s="133">
        <v>46211</v>
      </c>
      <c r="N299" s="145">
        <v>46230</v>
      </c>
    </row>
    <row r="300" spans="1:14">
      <c r="A300" s="147" t="s">
        <v>2534</v>
      </c>
      <c r="B300" s="141">
        <v>46195</v>
      </c>
      <c r="C300" s="140" t="s">
        <v>292</v>
      </c>
      <c r="D300" s="140" t="s">
        <v>1719</v>
      </c>
      <c r="E300" s="140"/>
      <c r="F300" s="140" t="s">
        <v>2535</v>
      </c>
      <c r="G300" s="140">
        <v>4</v>
      </c>
      <c r="H300" s="134">
        <v>272.51</v>
      </c>
      <c r="I300" s="134">
        <f>Table3[[#This Row],[Unit Price]]*Table3[[#This Row],[QTY]]</f>
        <v>1090.04</v>
      </c>
      <c r="J300" s="140" t="s">
        <v>2472</v>
      </c>
      <c r="K300" s="140"/>
      <c r="L300" s="140"/>
      <c r="M300" s="133">
        <v>46211</v>
      </c>
      <c r="N300" s="145">
        <v>46230</v>
      </c>
    </row>
    <row r="301" spans="1:14">
      <c r="A301" s="147" t="s">
        <v>2536</v>
      </c>
      <c r="B301" s="141">
        <v>46195</v>
      </c>
      <c r="C301" s="140" t="s">
        <v>2537</v>
      </c>
      <c r="D301" s="140" t="s">
        <v>1286</v>
      </c>
      <c r="E301" s="140"/>
      <c r="F301" s="140" t="s">
        <v>1737</v>
      </c>
      <c r="G301" s="140">
        <v>2</v>
      </c>
      <c r="H301" s="134">
        <v>16.329999999999998</v>
      </c>
      <c r="I301" s="134">
        <f>Table3[[#This Row],[Unit Price]]*Table3[[#This Row],[QTY]]</f>
        <v>32.659999999999997</v>
      </c>
      <c r="J301" s="140" t="s">
        <v>2472</v>
      </c>
      <c r="K301" s="140"/>
      <c r="L301" s="140"/>
      <c r="M301" s="133">
        <v>46211</v>
      </c>
      <c r="N301" s="145">
        <v>46230</v>
      </c>
    </row>
    <row r="302" spans="1:14">
      <c r="A302" s="147" t="s">
        <v>2538</v>
      </c>
      <c r="B302" s="141">
        <v>46196</v>
      </c>
      <c r="C302" s="140" t="s">
        <v>292</v>
      </c>
      <c r="D302" s="140" t="s">
        <v>2539</v>
      </c>
      <c r="E302" s="140" t="s">
        <v>2540</v>
      </c>
      <c r="F302" s="140" t="s">
        <v>2541</v>
      </c>
      <c r="G302" s="140">
        <v>1</v>
      </c>
      <c r="H302" s="134">
        <v>775.72</v>
      </c>
      <c r="I302" s="134">
        <f>Table3[[#This Row],[Unit Price]]*Table3[[#This Row],[QTY]]</f>
        <v>775.72</v>
      </c>
      <c r="J302" s="140" t="s">
        <v>2472</v>
      </c>
      <c r="K302" s="140"/>
      <c r="L302" s="140"/>
      <c r="M302" s="133">
        <v>46211</v>
      </c>
      <c r="N302" s="145">
        <v>46230</v>
      </c>
    </row>
    <row r="303" spans="1:14">
      <c r="A303" s="147" t="s">
        <v>2538</v>
      </c>
      <c r="B303" s="141">
        <v>46196</v>
      </c>
      <c r="C303" s="140" t="s">
        <v>292</v>
      </c>
      <c r="D303" s="140" t="s">
        <v>2527</v>
      </c>
      <c r="E303" s="140"/>
      <c r="F303" s="140" t="s">
        <v>2528</v>
      </c>
      <c r="G303" s="140">
        <v>1</v>
      </c>
      <c r="H303" s="134">
        <v>1287.58</v>
      </c>
      <c r="I303" s="134">
        <f>Table3[[#This Row],[Unit Price]]*Table3[[#This Row],[QTY]]</f>
        <v>1287.58</v>
      </c>
      <c r="J303" s="140"/>
      <c r="K303" s="140"/>
      <c r="L303" s="140"/>
      <c r="M303" s="141"/>
      <c r="N303" s="156"/>
    </row>
    <row r="304" spans="1:14">
      <c r="A304" s="147" t="s">
        <v>2542</v>
      </c>
      <c r="B304" s="141">
        <v>46196</v>
      </c>
      <c r="C304" s="140" t="s">
        <v>1425</v>
      </c>
      <c r="D304" s="140" t="s">
        <v>2502</v>
      </c>
      <c r="E304" s="140" t="s">
        <v>2501</v>
      </c>
      <c r="F304" s="140" t="s">
        <v>2503</v>
      </c>
      <c r="G304" s="140">
        <v>1</v>
      </c>
      <c r="H304" s="134">
        <v>1381.19</v>
      </c>
      <c r="I304" s="134">
        <f>Table3[[#This Row],[Unit Price]]*Table3[[#This Row],[QTY]]</f>
        <v>1381.19</v>
      </c>
      <c r="J304" s="140"/>
      <c r="K304" s="140"/>
      <c r="L304" s="140"/>
      <c r="M304" s="141"/>
      <c r="N304" s="156"/>
    </row>
    <row r="305" spans="1:14">
      <c r="A305" s="147" t="s">
        <v>2543</v>
      </c>
      <c r="B305" s="141">
        <v>46197</v>
      </c>
      <c r="C305" s="140" t="s">
        <v>292</v>
      </c>
      <c r="D305" s="140" t="s">
        <v>1628</v>
      </c>
      <c r="E305" s="140"/>
      <c r="F305" s="140" t="s">
        <v>2544</v>
      </c>
      <c r="G305" s="140">
        <v>10</v>
      </c>
      <c r="H305" s="134">
        <v>11.27</v>
      </c>
      <c r="I305" s="134">
        <f>Table3[[#This Row],[Unit Price]]*Table3[[#This Row],[QTY]]</f>
        <v>112.69999999999999</v>
      </c>
      <c r="J305" s="140" t="s">
        <v>2472</v>
      </c>
      <c r="K305" s="140"/>
      <c r="L305" s="140"/>
      <c r="M305" s="133">
        <v>46211</v>
      </c>
      <c r="N305" s="145">
        <v>46230</v>
      </c>
    </row>
    <row r="306" spans="1:14">
      <c r="A306" s="147" t="s">
        <v>2545</v>
      </c>
      <c r="B306" s="141">
        <v>46197</v>
      </c>
      <c r="C306" s="140" t="s">
        <v>88</v>
      </c>
      <c r="D306" s="140" t="s">
        <v>323</v>
      </c>
      <c r="E306" s="140"/>
      <c r="F306" s="140" t="s">
        <v>324</v>
      </c>
      <c r="G306" s="140">
        <v>1</v>
      </c>
      <c r="H306" s="134">
        <v>96.35</v>
      </c>
      <c r="I306" s="134">
        <f>Table3[[#This Row],[Unit Price]]*Table3[[#This Row],[QTY]]</f>
        <v>96.35</v>
      </c>
      <c r="J306" s="140" t="s">
        <v>2472</v>
      </c>
      <c r="K306" s="140"/>
      <c r="L306" s="140"/>
      <c r="M306" s="133">
        <v>46211</v>
      </c>
      <c r="N306" s="145">
        <v>46230</v>
      </c>
    </row>
    <row r="307" spans="1:14">
      <c r="A307" s="147" t="s">
        <v>2545</v>
      </c>
      <c r="B307" s="141">
        <v>46197</v>
      </c>
      <c r="C307" s="140" t="s">
        <v>88</v>
      </c>
      <c r="D307" s="140" t="s">
        <v>2498</v>
      </c>
      <c r="E307" s="140"/>
      <c r="F307" s="140" t="s">
        <v>2499</v>
      </c>
      <c r="G307" s="140">
        <v>1</v>
      </c>
      <c r="H307" s="134">
        <v>194.66</v>
      </c>
      <c r="I307" s="134">
        <f>Table3[[#This Row],[Unit Price]]*Table3[[#This Row],[QTY]]</f>
        <v>194.66</v>
      </c>
      <c r="J307" s="140" t="s">
        <v>2472</v>
      </c>
      <c r="K307" s="140"/>
      <c r="L307" s="140"/>
      <c r="M307" s="133">
        <v>46211</v>
      </c>
      <c r="N307" s="145">
        <v>46230</v>
      </c>
    </row>
    <row r="308" spans="1:14">
      <c r="A308" s="147" t="s">
        <v>2545</v>
      </c>
      <c r="B308" s="141">
        <v>46197</v>
      </c>
      <c r="C308" s="140" t="s">
        <v>88</v>
      </c>
      <c r="D308" s="140" t="s">
        <v>278</v>
      </c>
      <c r="E308" s="140" t="s">
        <v>276</v>
      </c>
      <c r="F308" s="140" t="s">
        <v>277</v>
      </c>
      <c r="G308" s="140">
        <v>1</v>
      </c>
      <c r="H308" s="134">
        <v>339.68</v>
      </c>
      <c r="I308" s="134">
        <f>Table3[[#This Row],[Unit Price]]*Table3[[#This Row],[QTY]]</f>
        <v>339.68</v>
      </c>
      <c r="J308" s="140" t="s">
        <v>2472</v>
      </c>
      <c r="K308" s="140"/>
      <c r="L308" s="140"/>
      <c r="M308" s="133">
        <v>46211</v>
      </c>
      <c r="N308" s="145">
        <v>46230</v>
      </c>
    </row>
    <row r="309" spans="1:14">
      <c r="A309" s="147" t="s">
        <v>2545</v>
      </c>
      <c r="B309" s="141">
        <v>46197</v>
      </c>
      <c r="C309" s="140" t="s">
        <v>88</v>
      </c>
      <c r="D309" s="140" t="s">
        <v>2546</v>
      </c>
      <c r="E309" s="140"/>
      <c r="F309" s="140" t="s">
        <v>2547</v>
      </c>
      <c r="G309" s="140">
        <v>5</v>
      </c>
      <c r="H309" s="134">
        <v>6.94</v>
      </c>
      <c r="I309" s="134">
        <f>Table3[[#This Row],[Unit Price]]*Table3[[#This Row],[QTY]]</f>
        <v>34.700000000000003</v>
      </c>
      <c r="J309" s="140" t="s">
        <v>2472</v>
      </c>
      <c r="K309" s="140"/>
      <c r="L309" s="140"/>
      <c r="M309" s="133">
        <v>46211</v>
      </c>
      <c r="N309" s="145">
        <v>46230</v>
      </c>
    </row>
    <row r="310" spans="1:14">
      <c r="A310" s="147" t="s">
        <v>2545</v>
      </c>
      <c r="B310" s="141">
        <v>46197</v>
      </c>
      <c r="C310" s="140" t="s">
        <v>88</v>
      </c>
      <c r="D310" s="140" t="s">
        <v>1922</v>
      </c>
      <c r="E310" s="140"/>
      <c r="F310" s="140" t="s">
        <v>2548</v>
      </c>
      <c r="G310" s="140">
        <v>1</v>
      </c>
      <c r="H310" s="134">
        <v>639.37</v>
      </c>
      <c r="I310" s="134">
        <f>Table3[[#This Row],[Unit Price]]*Table3[[#This Row],[QTY]]</f>
        <v>639.37</v>
      </c>
      <c r="J310" s="140"/>
      <c r="K310" s="140"/>
      <c r="L310" s="140"/>
      <c r="M310" s="141"/>
      <c r="N310" s="156"/>
    </row>
    <row r="311" spans="1:14">
      <c r="A311" s="147" t="s">
        <v>2545</v>
      </c>
      <c r="B311" s="141">
        <v>46197</v>
      </c>
      <c r="C311" s="140" t="s">
        <v>88</v>
      </c>
      <c r="D311" s="140" t="s">
        <v>110</v>
      </c>
      <c r="E311" s="140"/>
      <c r="F311" s="140" t="s">
        <v>2158</v>
      </c>
      <c r="G311" s="140">
        <v>1</v>
      </c>
      <c r="H311" s="134">
        <v>898.2</v>
      </c>
      <c r="I311" s="134">
        <f>Table3[[#This Row],[Unit Price]]*Table3[[#This Row],[QTY]]</f>
        <v>898.2</v>
      </c>
      <c r="J311" s="140" t="s">
        <v>2472</v>
      </c>
      <c r="K311" s="140"/>
      <c r="L311" s="140"/>
      <c r="M311" s="133">
        <v>46211</v>
      </c>
      <c r="N311" s="145">
        <v>46230</v>
      </c>
    </row>
    <row r="312" spans="1:14">
      <c r="A312" s="147" t="s">
        <v>2545</v>
      </c>
      <c r="B312" s="141">
        <v>46197</v>
      </c>
      <c r="C312" s="140" t="s">
        <v>88</v>
      </c>
      <c r="D312" s="140" t="s">
        <v>557</v>
      </c>
      <c r="E312" s="140"/>
      <c r="F312" s="140" t="s">
        <v>2549</v>
      </c>
      <c r="G312" s="140">
        <v>1</v>
      </c>
      <c r="H312" s="134">
        <v>407.36</v>
      </c>
      <c r="I312" s="134">
        <f>Table3[[#This Row],[Unit Price]]*Table3[[#This Row],[QTY]]</f>
        <v>407.36</v>
      </c>
      <c r="J312" s="140" t="s">
        <v>2472</v>
      </c>
      <c r="K312" s="140"/>
      <c r="L312" s="140"/>
      <c r="M312" s="133">
        <v>46211</v>
      </c>
      <c r="N312" s="145">
        <v>46230</v>
      </c>
    </row>
    <row r="313" spans="1:14">
      <c r="A313" s="147" t="s">
        <v>2545</v>
      </c>
      <c r="B313" s="141">
        <v>46197</v>
      </c>
      <c r="C313" s="140" t="s">
        <v>88</v>
      </c>
      <c r="D313" s="140" t="s">
        <v>2550</v>
      </c>
      <c r="E313" s="140" t="s">
        <v>2551</v>
      </c>
      <c r="F313" s="140" t="s">
        <v>2552</v>
      </c>
      <c r="G313" s="140">
        <v>1</v>
      </c>
      <c r="H313" s="134">
        <v>67.87</v>
      </c>
      <c r="I313" s="134">
        <f>Table3[[#This Row],[Unit Price]]*Table3[[#This Row],[QTY]]</f>
        <v>67.87</v>
      </c>
      <c r="J313" s="140" t="s">
        <v>2472</v>
      </c>
      <c r="K313" s="140"/>
      <c r="L313" s="140"/>
      <c r="M313" s="133">
        <v>46211</v>
      </c>
      <c r="N313" s="145">
        <v>46230</v>
      </c>
    </row>
    <row r="314" spans="1:14">
      <c r="A314" s="147" t="s">
        <v>2553</v>
      </c>
      <c r="B314" s="141">
        <v>46198</v>
      </c>
      <c r="C314" s="140" t="s">
        <v>2326</v>
      </c>
      <c r="D314" s="140" t="s">
        <v>2554</v>
      </c>
      <c r="E314" s="140"/>
      <c r="F314" s="140" t="s">
        <v>2555</v>
      </c>
      <c r="G314" s="140">
        <v>1</v>
      </c>
      <c r="H314" s="134">
        <v>347.85</v>
      </c>
      <c r="I314" s="134">
        <f>Table3[[#This Row],[Unit Price]]*Table3[[#This Row],[QTY]]</f>
        <v>347.85</v>
      </c>
      <c r="J314" s="140" t="s">
        <v>2472</v>
      </c>
      <c r="K314" s="140"/>
      <c r="L314" s="140"/>
      <c r="M314" s="133">
        <v>46211</v>
      </c>
      <c r="N314" s="145">
        <v>46230</v>
      </c>
    </row>
    <row r="315" spans="1:14">
      <c r="A315" s="147" t="s">
        <v>2556</v>
      </c>
      <c r="B315" s="141">
        <v>46199</v>
      </c>
      <c r="C315" s="140" t="s">
        <v>292</v>
      </c>
      <c r="D315" s="140" t="s">
        <v>2039</v>
      </c>
      <c r="E315" s="140"/>
      <c r="F315" s="140" t="s">
        <v>2040</v>
      </c>
      <c r="G315" s="140">
        <v>1</v>
      </c>
      <c r="H315" s="134">
        <v>271.08999999999997</v>
      </c>
      <c r="I315" s="134">
        <f>Table3[[#This Row],[Unit Price]]*Table3[[#This Row],[QTY]]</f>
        <v>271.08999999999997</v>
      </c>
      <c r="J315" s="140" t="s">
        <v>2472</v>
      </c>
      <c r="K315" s="140"/>
      <c r="L315" s="140"/>
      <c r="M315" s="133">
        <v>46211</v>
      </c>
      <c r="N315" s="145">
        <v>46230</v>
      </c>
    </row>
    <row r="316" spans="1:14">
      <c r="A316" s="147" t="s">
        <v>2556</v>
      </c>
      <c r="B316" s="141">
        <v>46199</v>
      </c>
      <c r="C316" s="140" t="s">
        <v>292</v>
      </c>
      <c r="D316" s="140" t="s">
        <v>2557</v>
      </c>
      <c r="E316" s="140"/>
      <c r="F316" s="140" t="s">
        <v>2558</v>
      </c>
      <c r="G316" s="140">
        <v>1</v>
      </c>
      <c r="H316" s="134">
        <v>64.25</v>
      </c>
      <c r="I316" s="134">
        <f>Table3[[#This Row],[Unit Price]]*Table3[[#This Row],[QTY]]</f>
        <v>64.25</v>
      </c>
      <c r="J316" s="140" t="s">
        <v>2472</v>
      </c>
      <c r="K316" s="140"/>
      <c r="L316" s="140"/>
      <c r="M316" s="133">
        <v>46211</v>
      </c>
      <c r="N316" s="145">
        <v>46230</v>
      </c>
    </row>
    <row r="317" spans="1:14">
      <c r="A317" s="147" t="s">
        <v>2556</v>
      </c>
      <c r="B317" s="141">
        <v>46199</v>
      </c>
      <c r="C317" s="140" t="s">
        <v>292</v>
      </c>
      <c r="D317" s="140" t="s">
        <v>2501</v>
      </c>
      <c r="E317" s="140" t="s">
        <v>2502</v>
      </c>
      <c r="F317" s="140" t="s">
        <v>2503</v>
      </c>
      <c r="G317" s="140">
        <v>1</v>
      </c>
      <c r="H317" s="134">
        <v>1438.35</v>
      </c>
      <c r="I317" s="134">
        <f>Table3[[#This Row],[Unit Price]]*Table3[[#This Row],[QTY]]</f>
        <v>1438.35</v>
      </c>
      <c r="J317" s="140" t="s">
        <v>2472</v>
      </c>
      <c r="K317" s="140"/>
      <c r="L317" s="140"/>
      <c r="M317" s="133">
        <v>46211</v>
      </c>
      <c r="N317" s="145">
        <v>46230</v>
      </c>
    </row>
    <row r="318" spans="1:14">
      <c r="A318" s="147" t="s">
        <v>2556</v>
      </c>
      <c r="B318" s="141">
        <v>46199</v>
      </c>
      <c r="C318" s="140" t="s">
        <v>292</v>
      </c>
      <c r="D318" s="140" t="s">
        <v>1215</v>
      </c>
      <c r="E318" s="140"/>
      <c r="F318" s="140" t="s">
        <v>2091</v>
      </c>
      <c r="G318" s="140">
        <v>4</v>
      </c>
      <c r="H318" s="134">
        <v>303.75</v>
      </c>
      <c r="I318" s="134">
        <f>Table3[[#This Row],[Unit Price]]*Table3[[#This Row],[QTY]]</f>
        <v>1215</v>
      </c>
      <c r="J318" s="140" t="s">
        <v>2472</v>
      </c>
      <c r="K318" s="140"/>
      <c r="L318" s="140"/>
      <c r="M318" s="133">
        <v>46211</v>
      </c>
      <c r="N318" s="145">
        <v>46230</v>
      </c>
    </row>
    <row r="319" spans="1:14">
      <c r="A319" s="147" t="s">
        <v>2556</v>
      </c>
      <c r="B319" s="141">
        <v>46199</v>
      </c>
      <c r="C319" s="140" t="s">
        <v>292</v>
      </c>
      <c r="D319" s="140" t="s">
        <v>430</v>
      </c>
      <c r="E319" s="140"/>
      <c r="F319" s="140" t="s">
        <v>431</v>
      </c>
      <c r="G319" s="140">
        <v>1</v>
      </c>
      <c r="H319" s="134">
        <v>125.99</v>
      </c>
      <c r="I319" s="134">
        <f>Table3[[#This Row],[Unit Price]]*Table3[[#This Row],[QTY]]</f>
        <v>125.99</v>
      </c>
      <c r="J319" s="140" t="s">
        <v>2472</v>
      </c>
      <c r="K319" s="140"/>
      <c r="L319" s="140"/>
      <c r="M319" s="133">
        <v>46211</v>
      </c>
      <c r="N319" s="145">
        <v>46230</v>
      </c>
    </row>
    <row r="320" spans="1:14">
      <c r="A320" s="147" t="s">
        <v>2556</v>
      </c>
      <c r="B320" s="141">
        <v>46199</v>
      </c>
      <c r="C320" s="140" t="s">
        <v>292</v>
      </c>
      <c r="D320" s="140" t="s">
        <v>1286</v>
      </c>
      <c r="E320" s="140"/>
      <c r="F320" s="140" t="s">
        <v>1737</v>
      </c>
      <c r="G320" s="140">
        <v>1</v>
      </c>
      <c r="H320" s="134">
        <v>16.329999999999998</v>
      </c>
      <c r="I320" s="134">
        <f>Table3[[#This Row],[Unit Price]]*Table3[[#This Row],[QTY]]</f>
        <v>16.329999999999998</v>
      </c>
      <c r="J320" s="140" t="s">
        <v>2472</v>
      </c>
      <c r="K320" s="140"/>
      <c r="L320" s="140"/>
      <c r="M320" s="133">
        <v>46211</v>
      </c>
      <c r="N320" s="145">
        <v>46230</v>
      </c>
    </row>
    <row r="321" spans="1:18">
      <c r="A321" s="147" t="s">
        <v>2556</v>
      </c>
      <c r="B321" s="141">
        <v>46199</v>
      </c>
      <c r="C321" s="140" t="s">
        <v>292</v>
      </c>
      <c r="D321" s="140" t="s">
        <v>2559</v>
      </c>
      <c r="E321" s="140"/>
      <c r="F321" s="140" t="s">
        <v>2560</v>
      </c>
      <c r="G321" s="140">
        <v>1</v>
      </c>
      <c r="H321" s="134">
        <v>542.19000000000005</v>
      </c>
      <c r="I321" s="134">
        <f>Table3[[#This Row],[Unit Price]]*Table3[[#This Row],[QTY]]</f>
        <v>542.19000000000005</v>
      </c>
      <c r="J321" s="140" t="s">
        <v>2472</v>
      </c>
      <c r="K321" s="140"/>
      <c r="L321" s="140"/>
      <c r="M321" s="133">
        <v>46211</v>
      </c>
      <c r="N321" s="145">
        <v>46230</v>
      </c>
    </row>
    <row r="322" spans="1:18">
      <c r="A322" s="147" t="s">
        <v>2556</v>
      </c>
      <c r="B322" s="141">
        <v>46199</v>
      </c>
      <c r="C322" s="140" t="s">
        <v>292</v>
      </c>
      <c r="D322" s="140" t="s">
        <v>1628</v>
      </c>
      <c r="E322" s="140"/>
      <c r="F322" s="140" t="s">
        <v>2544</v>
      </c>
      <c r="G322" s="140">
        <v>1</v>
      </c>
      <c r="H322" s="134">
        <v>11.27</v>
      </c>
      <c r="I322" s="134">
        <f>Table3[[#This Row],[Unit Price]]*Table3[[#This Row],[QTY]]</f>
        <v>11.27</v>
      </c>
      <c r="J322" s="140" t="s">
        <v>2472</v>
      </c>
      <c r="K322" s="140"/>
      <c r="L322" s="140"/>
      <c r="M322" s="133">
        <v>46211</v>
      </c>
      <c r="N322" s="145">
        <v>46230</v>
      </c>
    </row>
    <row r="323" spans="1:18">
      <c r="A323" s="147" t="s">
        <v>2556</v>
      </c>
      <c r="B323" s="141">
        <v>46199</v>
      </c>
      <c r="C323" s="140" t="s">
        <v>292</v>
      </c>
      <c r="D323" s="140" t="s">
        <v>335</v>
      </c>
      <c r="E323" s="140"/>
      <c r="F323" s="140" t="s">
        <v>2280</v>
      </c>
      <c r="G323" s="140">
        <v>1</v>
      </c>
      <c r="H323" s="134">
        <v>17.28</v>
      </c>
      <c r="I323" s="134">
        <f>Table3[[#This Row],[Unit Price]]*Table3[[#This Row],[QTY]]</f>
        <v>17.28</v>
      </c>
      <c r="J323" s="140" t="s">
        <v>2472</v>
      </c>
      <c r="K323" s="140"/>
      <c r="L323" s="140"/>
      <c r="M323" s="133">
        <v>46211</v>
      </c>
      <c r="N323" s="145">
        <v>46230</v>
      </c>
    </row>
    <row r="324" spans="1:18">
      <c r="A324" s="147" t="s">
        <v>2556</v>
      </c>
      <c r="B324" s="141">
        <v>46199</v>
      </c>
      <c r="C324" s="140" t="s">
        <v>292</v>
      </c>
      <c r="D324" s="140" t="s">
        <v>1074</v>
      </c>
      <c r="E324" s="140"/>
      <c r="F324" s="140" t="s">
        <v>2305</v>
      </c>
      <c r="G324" s="140">
        <v>1</v>
      </c>
      <c r="H324" s="134">
        <v>1427.32</v>
      </c>
      <c r="I324" s="134">
        <f>Table3[[#This Row],[Unit Price]]*Table3[[#This Row],[QTY]]</f>
        <v>1427.32</v>
      </c>
      <c r="J324" s="140" t="s">
        <v>2472</v>
      </c>
      <c r="K324" s="140"/>
      <c r="L324" s="140"/>
      <c r="M324" s="133">
        <v>46211</v>
      </c>
      <c r="N324" s="145">
        <v>46230</v>
      </c>
    </row>
    <row r="325" spans="1:18">
      <c r="A325" s="147" t="s">
        <v>2556</v>
      </c>
      <c r="B325" s="141">
        <v>46199</v>
      </c>
      <c r="C325" s="140" t="s">
        <v>292</v>
      </c>
      <c r="D325" s="140" t="s">
        <v>1260</v>
      </c>
      <c r="E325" s="140" t="s">
        <v>2561</v>
      </c>
      <c r="F325" s="140" t="s">
        <v>2092</v>
      </c>
      <c r="G325" s="140">
        <v>1</v>
      </c>
      <c r="H325" s="134">
        <v>524.73</v>
      </c>
      <c r="I325" s="134">
        <f>Table3[[#This Row],[Unit Price]]*Table3[[#This Row],[QTY]]</f>
        <v>524.73</v>
      </c>
      <c r="J325" s="140" t="s">
        <v>2472</v>
      </c>
      <c r="K325" s="140"/>
      <c r="L325" s="140"/>
      <c r="M325" s="133">
        <v>46211</v>
      </c>
      <c r="N325" s="145">
        <v>46230</v>
      </c>
    </row>
    <row r="326" spans="1:18">
      <c r="A326" s="147" t="s">
        <v>2562</v>
      </c>
      <c r="B326" s="141">
        <v>46199</v>
      </c>
      <c r="C326" s="140" t="s">
        <v>292</v>
      </c>
      <c r="D326" s="140" t="s">
        <v>1731</v>
      </c>
      <c r="E326" s="140"/>
      <c r="F326" s="140" t="s">
        <v>1732</v>
      </c>
      <c r="G326" s="140">
        <v>2</v>
      </c>
      <c r="H326" s="134">
        <v>666.89</v>
      </c>
      <c r="I326" s="134">
        <f>Table3[[#This Row],[Unit Price]]*Table3[[#This Row],[QTY]]</f>
        <v>1333.78</v>
      </c>
      <c r="J326" s="140"/>
      <c r="K326" s="140"/>
      <c r="L326" s="140"/>
      <c r="M326" s="141"/>
      <c r="N326" s="156"/>
    </row>
    <row r="327" spans="1:18">
      <c r="A327" s="147" t="s">
        <v>2563</v>
      </c>
      <c r="B327" s="141">
        <v>46206</v>
      </c>
      <c r="C327" s="140" t="s">
        <v>2099</v>
      </c>
      <c r="D327" s="140" t="s">
        <v>2175</v>
      </c>
      <c r="E327" s="140"/>
      <c r="F327" s="140" t="s">
        <v>2176</v>
      </c>
      <c r="G327" s="140">
        <v>2</v>
      </c>
      <c r="H327" s="134">
        <v>114.32</v>
      </c>
      <c r="I327" s="134">
        <f>Table3[[#This Row],[Unit Price]]*Table3[[#This Row],[QTY]]</f>
        <v>228.64</v>
      </c>
      <c r="J327" s="140"/>
      <c r="K327" s="140"/>
      <c r="L327" s="140"/>
      <c r="M327" s="141"/>
      <c r="N327" s="156"/>
    </row>
    <row r="328" spans="1:18">
      <c r="A328" s="147" t="s">
        <v>2563</v>
      </c>
      <c r="B328" s="141">
        <v>46206</v>
      </c>
      <c r="C328" s="140" t="s">
        <v>2099</v>
      </c>
      <c r="D328" s="140" t="s">
        <v>2564</v>
      </c>
      <c r="E328" s="140"/>
      <c r="F328" s="140" t="s">
        <v>2565</v>
      </c>
      <c r="G328" s="140">
        <v>1</v>
      </c>
      <c r="H328" s="134">
        <v>738.16</v>
      </c>
      <c r="I328" s="134">
        <f>Table3[[#This Row],[Unit Price]]*Table3[[#This Row],[QTY]]</f>
        <v>738.16</v>
      </c>
      <c r="J328" s="140"/>
      <c r="K328" s="140"/>
      <c r="L328" s="140"/>
      <c r="M328" s="141"/>
      <c r="N328" s="156"/>
    </row>
    <row r="329" spans="1:18">
      <c r="A329" s="147" t="s">
        <v>2563</v>
      </c>
      <c r="B329" s="141">
        <v>46206</v>
      </c>
      <c r="C329" s="140" t="s">
        <v>2099</v>
      </c>
      <c r="D329" s="140" t="s">
        <v>2566</v>
      </c>
      <c r="E329" s="140"/>
      <c r="F329" s="140" t="s">
        <v>2567</v>
      </c>
      <c r="G329" s="140">
        <v>10</v>
      </c>
      <c r="H329" s="134">
        <v>73</v>
      </c>
      <c r="I329" s="134">
        <f>Table3[[#This Row],[Unit Price]]*Table3[[#This Row],[QTY]]</f>
        <v>730</v>
      </c>
      <c r="J329" s="140"/>
      <c r="K329" s="140"/>
      <c r="L329" s="140"/>
      <c r="M329" s="141"/>
      <c r="N329" s="156"/>
    </row>
    <row r="330" spans="1:18">
      <c r="A330" s="147" t="s">
        <v>2568</v>
      </c>
      <c r="B330" s="141">
        <v>46206</v>
      </c>
      <c r="C330" s="140" t="s">
        <v>2493</v>
      </c>
      <c r="D330" s="140" t="s">
        <v>2569</v>
      </c>
      <c r="E330" s="140" t="s">
        <v>2482</v>
      </c>
      <c r="F330" s="140" t="s">
        <v>2483</v>
      </c>
      <c r="G330" s="140">
        <v>3</v>
      </c>
      <c r="H330" s="134">
        <v>297.22000000000003</v>
      </c>
      <c r="I330" s="134">
        <f>Table3[[#This Row],[Unit Price]]*Table3[[#This Row],[QTY]]</f>
        <v>891.66000000000008</v>
      </c>
      <c r="J330" s="140"/>
      <c r="K330" s="140"/>
      <c r="L330" s="140"/>
      <c r="M330" s="141"/>
      <c r="N330" s="156"/>
      <c r="Q330" s="110">
        <v>46230</v>
      </c>
      <c r="R330" s="1" t="s">
        <v>1998</v>
      </c>
    </row>
    <row r="331" spans="1:18">
      <c r="A331" s="147" t="s">
        <v>2570</v>
      </c>
      <c r="B331" s="141">
        <v>46206</v>
      </c>
      <c r="C331" s="140" t="s">
        <v>292</v>
      </c>
      <c r="D331" s="140" t="s">
        <v>1229</v>
      </c>
      <c r="E331" s="140"/>
      <c r="F331" s="140" t="s">
        <v>2184</v>
      </c>
      <c r="G331" s="140">
        <v>10</v>
      </c>
      <c r="H331" s="134">
        <v>29.82</v>
      </c>
      <c r="I331" s="134">
        <f>Table3[[#This Row],[Unit Price]]*Table3[[#This Row],[QTY]]</f>
        <v>298.2</v>
      </c>
      <c r="J331" s="140"/>
      <c r="K331" s="140"/>
      <c r="L331" s="140"/>
      <c r="M331" s="141"/>
      <c r="N331" s="156"/>
    </row>
    <row r="332" spans="1:18">
      <c r="A332" s="147" t="s">
        <v>2570</v>
      </c>
      <c r="B332" s="141">
        <v>46206</v>
      </c>
      <c r="C332" s="140" t="s">
        <v>292</v>
      </c>
      <c r="D332" s="140" t="s">
        <v>2571</v>
      </c>
      <c r="E332" s="140"/>
      <c r="F332" s="140" t="s">
        <v>2572</v>
      </c>
      <c r="G332" s="140">
        <v>1</v>
      </c>
      <c r="H332" s="134">
        <v>5962.75</v>
      </c>
      <c r="I332" s="134">
        <f>Table3[[#This Row],[Unit Price]]*Table3[[#This Row],[QTY]]</f>
        <v>5962.75</v>
      </c>
      <c r="J332" s="140"/>
      <c r="K332" s="140"/>
      <c r="L332" s="140"/>
      <c r="M332" s="141"/>
      <c r="N332" s="156"/>
    </row>
    <row r="333" spans="1:18">
      <c r="A333" s="147" t="s">
        <v>2573</v>
      </c>
      <c r="B333" s="141">
        <v>46218</v>
      </c>
      <c r="C333" s="140" t="s">
        <v>247</v>
      </c>
      <c r="D333" s="140" t="s">
        <v>2574</v>
      </c>
      <c r="E333" s="140"/>
      <c r="F333" s="140" t="s">
        <v>2575</v>
      </c>
      <c r="G333" s="140">
        <v>2</v>
      </c>
      <c r="H333" s="134">
        <v>93.38</v>
      </c>
      <c r="I333" s="134">
        <f>Table3[[#This Row],[Unit Price]]*Table3[[#This Row],[QTY]]</f>
        <v>186.76</v>
      </c>
      <c r="J333" s="140"/>
      <c r="K333" s="140"/>
      <c r="L333" s="140"/>
      <c r="M333" s="141"/>
      <c r="N333" s="156"/>
    </row>
    <row r="334" spans="1:18">
      <c r="A334" s="147" t="s">
        <v>2573</v>
      </c>
      <c r="B334" s="141">
        <v>46218</v>
      </c>
      <c r="C334" s="140" t="s">
        <v>247</v>
      </c>
      <c r="D334" s="140" t="s">
        <v>2576</v>
      </c>
      <c r="E334" s="140"/>
      <c r="F334" s="140" t="s">
        <v>2577</v>
      </c>
      <c r="G334" s="140">
        <v>4</v>
      </c>
      <c r="H334" s="134">
        <v>14.86</v>
      </c>
      <c r="I334" s="134">
        <f>Table3[[#This Row],[Unit Price]]*Table3[[#This Row],[QTY]]</f>
        <v>59.44</v>
      </c>
      <c r="J334" s="140"/>
      <c r="K334" s="140"/>
      <c r="L334" s="140"/>
      <c r="M334" s="141"/>
      <c r="N334" s="156"/>
    </row>
    <row r="335" spans="1:18">
      <c r="A335" s="147" t="s">
        <v>2573</v>
      </c>
      <c r="B335" s="141">
        <v>46218</v>
      </c>
      <c r="C335" s="140" t="s">
        <v>247</v>
      </c>
      <c r="D335" s="140" t="s">
        <v>2578</v>
      </c>
      <c r="E335" s="140" t="s">
        <v>2579</v>
      </c>
      <c r="F335" s="140" t="s">
        <v>2580</v>
      </c>
      <c r="G335" s="140">
        <v>2</v>
      </c>
      <c r="H335" s="134">
        <v>10.71</v>
      </c>
      <c r="I335" s="134">
        <f>Table3[[#This Row],[Unit Price]]*Table3[[#This Row],[QTY]]</f>
        <v>21.42</v>
      </c>
      <c r="J335" s="140"/>
      <c r="K335" s="140"/>
      <c r="L335" s="140"/>
      <c r="M335" s="141"/>
      <c r="N335" s="156"/>
    </row>
    <row r="336" spans="1:18">
      <c r="A336" s="147" t="s">
        <v>2573</v>
      </c>
      <c r="B336" s="141">
        <v>46218</v>
      </c>
      <c r="C336" s="140" t="s">
        <v>247</v>
      </c>
      <c r="D336" s="140" t="s">
        <v>2581</v>
      </c>
      <c r="E336" s="140"/>
      <c r="F336" s="140" t="s">
        <v>2582</v>
      </c>
      <c r="G336" s="140">
        <v>2</v>
      </c>
      <c r="H336" s="134">
        <v>173.35</v>
      </c>
      <c r="I336" s="134">
        <f>Table3[[#This Row],[Unit Price]]*Table3[[#This Row],[QTY]]</f>
        <v>346.7</v>
      </c>
      <c r="J336" s="140"/>
      <c r="K336" s="140"/>
      <c r="L336" s="140"/>
      <c r="M336" s="141"/>
      <c r="N336" s="156"/>
    </row>
    <row r="337" spans="1:14">
      <c r="A337" s="147" t="s">
        <v>2583</v>
      </c>
      <c r="B337" s="141">
        <v>46218</v>
      </c>
      <c r="C337" s="140" t="s">
        <v>292</v>
      </c>
      <c r="D337" s="140" t="s">
        <v>1872</v>
      </c>
      <c r="E337" s="140"/>
      <c r="F337" s="140" t="s">
        <v>2584</v>
      </c>
      <c r="G337" s="140">
        <v>10</v>
      </c>
      <c r="H337" s="134">
        <v>11.43</v>
      </c>
      <c r="I337" s="134">
        <f>Table3[[#This Row],[Unit Price]]*Table3[[#This Row],[QTY]]</f>
        <v>114.3</v>
      </c>
      <c r="J337" s="140"/>
      <c r="K337" s="140"/>
      <c r="L337" s="140"/>
      <c r="M337" s="141"/>
      <c r="N337" s="156"/>
    </row>
    <row r="338" spans="1:14">
      <c r="A338" s="147" t="s">
        <v>2585</v>
      </c>
      <c r="B338" s="141">
        <v>46218</v>
      </c>
      <c r="C338" s="140" t="s">
        <v>292</v>
      </c>
      <c r="D338" s="140" t="s">
        <v>110</v>
      </c>
      <c r="E338" s="140"/>
      <c r="F338" s="140" t="s">
        <v>2158</v>
      </c>
      <c r="G338" s="140">
        <v>1</v>
      </c>
      <c r="H338" s="134">
        <v>898.2</v>
      </c>
      <c r="I338" s="134">
        <f>Table3[[#This Row],[Unit Price]]*Table3[[#This Row],[QTY]]</f>
        <v>898.2</v>
      </c>
      <c r="J338" s="140"/>
      <c r="K338" s="140"/>
      <c r="L338" s="140"/>
      <c r="M338" s="141"/>
      <c r="N338" s="156"/>
    </row>
    <row r="339" spans="1:14">
      <c r="A339" s="147" t="s">
        <v>2585</v>
      </c>
      <c r="B339" s="141">
        <v>46218</v>
      </c>
      <c r="C339" s="140" t="s">
        <v>292</v>
      </c>
      <c r="D339" s="140" t="s">
        <v>335</v>
      </c>
      <c r="E339" s="140"/>
      <c r="F339" s="140" t="s">
        <v>2280</v>
      </c>
      <c r="G339" s="140">
        <v>10</v>
      </c>
      <c r="H339" s="134">
        <v>17.28</v>
      </c>
      <c r="I339" s="134">
        <f>Table3[[#This Row],[Unit Price]]*Table3[[#This Row],[QTY]]</f>
        <v>172.8</v>
      </c>
      <c r="J339" s="140"/>
      <c r="K339" s="140"/>
      <c r="L339" s="140"/>
      <c r="M339" s="141"/>
      <c r="N339" s="156"/>
    </row>
    <row r="340" spans="1:14">
      <c r="A340" s="147" t="s">
        <v>2585</v>
      </c>
      <c r="B340" s="141">
        <v>46218</v>
      </c>
      <c r="C340" s="140" t="s">
        <v>292</v>
      </c>
      <c r="D340" s="140" t="s">
        <v>527</v>
      </c>
      <c r="E340" s="140"/>
      <c r="F340" s="140" t="s">
        <v>528</v>
      </c>
      <c r="G340" s="140">
        <v>4</v>
      </c>
      <c r="H340" s="134">
        <v>47.36</v>
      </c>
      <c r="I340" s="134">
        <f>Table3[[#This Row],[Unit Price]]*Table3[[#This Row],[QTY]]</f>
        <v>189.44</v>
      </c>
      <c r="J340" s="140"/>
      <c r="K340" s="140"/>
      <c r="L340" s="140"/>
      <c r="M340" s="141"/>
      <c r="N340" s="156"/>
    </row>
    <row r="341" spans="1:14">
      <c r="A341" s="147" t="s">
        <v>2586</v>
      </c>
      <c r="B341" s="141">
        <v>46219</v>
      </c>
      <c r="C341" s="140" t="s">
        <v>292</v>
      </c>
      <c r="D341" s="140" t="s">
        <v>505</v>
      </c>
      <c r="E341" s="140"/>
      <c r="F341" s="140" t="s">
        <v>2587</v>
      </c>
      <c r="G341" s="140">
        <v>4</v>
      </c>
      <c r="H341" s="134">
        <v>17.260000000000002</v>
      </c>
      <c r="I341" s="134">
        <v>69.040000000000006</v>
      </c>
      <c r="J341" s="140"/>
      <c r="K341" s="140"/>
      <c r="L341" s="140"/>
      <c r="M341" s="141"/>
      <c r="N341" s="156"/>
    </row>
    <row r="342" spans="1:14">
      <c r="A342" s="147" t="s">
        <v>2588</v>
      </c>
      <c r="B342" s="141">
        <v>46223</v>
      </c>
      <c r="C342" s="140" t="s">
        <v>247</v>
      </c>
      <c r="D342" s="140" t="s">
        <v>1316</v>
      </c>
      <c r="E342" s="140"/>
      <c r="F342" s="140" t="s">
        <v>2348</v>
      </c>
      <c r="G342" s="140">
        <v>6</v>
      </c>
      <c r="H342" s="134">
        <v>8.98</v>
      </c>
      <c r="I342" s="134">
        <f>Table3[[#This Row],[Unit Price]]*Table3[[#This Row],[QTY]]</f>
        <v>53.88</v>
      </c>
      <c r="J342" s="140"/>
      <c r="K342" s="140"/>
      <c r="L342" s="140"/>
      <c r="M342" s="141"/>
      <c r="N342" s="156"/>
    </row>
    <row r="343" spans="1:14">
      <c r="A343" s="147" t="s">
        <v>2589</v>
      </c>
      <c r="B343" s="141">
        <v>46223</v>
      </c>
      <c r="C343" s="140" t="s">
        <v>292</v>
      </c>
      <c r="D343" s="140" t="s">
        <v>2590</v>
      </c>
      <c r="E343" s="140"/>
      <c r="F343" s="140" t="s">
        <v>2591</v>
      </c>
      <c r="G343" s="140">
        <v>5</v>
      </c>
      <c r="H343" s="134">
        <v>41.25</v>
      </c>
      <c r="I343" s="134">
        <f>Table3[[#This Row],[Unit Price]]*Table3[[#This Row],[QTY]]</f>
        <v>206.25</v>
      </c>
      <c r="J343" s="140"/>
      <c r="K343" s="140"/>
      <c r="L343" s="140"/>
      <c r="M343" s="141"/>
      <c r="N343" s="156"/>
    </row>
    <row r="344" spans="1:14">
      <c r="A344" s="147" t="s">
        <v>2592</v>
      </c>
      <c r="B344" s="141">
        <v>46225</v>
      </c>
      <c r="C344" s="140" t="s">
        <v>292</v>
      </c>
      <c r="D344" s="140" t="s">
        <v>2093</v>
      </c>
      <c r="E344" s="140"/>
      <c r="F344" s="140" t="s">
        <v>2094</v>
      </c>
      <c r="G344" s="140">
        <v>2</v>
      </c>
      <c r="H344" s="134"/>
      <c r="I344" s="134">
        <f>Table3[[#This Row],[Unit Price]]*Table3[[#This Row],[QTY]]</f>
        <v>0</v>
      </c>
      <c r="J344" s="140"/>
      <c r="K344" s="140"/>
      <c r="L344" s="140"/>
      <c r="M344" s="141"/>
      <c r="N344" s="156"/>
    </row>
    <row r="345" spans="1:14">
      <c r="A345" s="147" t="s">
        <v>2592</v>
      </c>
      <c r="B345" s="141">
        <v>46225</v>
      </c>
      <c r="C345" s="140" t="s">
        <v>292</v>
      </c>
      <c r="D345" s="140" t="s">
        <v>426</v>
      </c>
      <c r="E345" s="140"/>
      <c r="F345" s="140" t="s">
        <v>2593</v>
      </c>
      <c r="G345" s="140">
        <v>3</v>
      </c>
      <c r="H345" s="134"/>
      <c r="I345" s="134">
        <f>Table3[[#This Row],[Unit Price]]*Table3[[#This Row],[QTY]]</f>
        <v>0</v>
      </c>
      <c r="J345" s="140"/>
      <c r="K345" s="140"/>
      <c r="L345" s="140"/>
      <c r="M345" s="141"/>
      <c r="N345" s="156"/>
    </row>
    <row r="346" spans="1:14">
      <c r="A346" s="147" t="s">
        <v>2592</v>
      </c>
      <c r="B346" s="141">
        <v>46225</v>
      </c>
      <c r="C346" s="140" t="s">
        <v>292</v>
      </c>
      <c r="D346" s="140" t="s">
        <v>1386</v>
      </c>
      <c r="E346" s="140"/>
      <c r="F346" s="140" t="s">
        <v>2594</v>
      </c>
      <c r="G346" s="140">
        <v>1</v>
      </c>
      <c r="H346" s="134"/>
      <c r="I346" s="134">
        <f>Table3[[#This Row],[Unit Price]]*Table3[[#This Row],[QTY]]</f>
        <v>0</v>
      </c>
      <c r="J346" s="140"/>
      <c r="K346" s="140"/>
      <c r="L346" s="140"/>
      <c r="M346" s="141"/>
      <c r="N346" s="156"/>
    </row>
    <row r="347" spans="1:14">
      <c r="A347" s="147" t="s">
        <v>2592</v>
      </c>
      <c r="B347" s="141">
        <v>46225</v>
      </c>
      <c r="C347" s="140" t="s">
        <v>292</v>
      </c>
      <c r="D347" s="140" t="s">
        <v>2595</v>
      </c>
      <c r="E347" s="140"/>
      <c r="F347" s="140" t="s">
        <v>2596</v>
      </c>
      <c r="G347" s="140">
        <v>1</v>
      </c>
      <c r="H347" s="134"/>
      <c r="I347" s="134">
        <f>Table3[[#This Row],[Unit Price]]*Table3[[#This Row],[QTY]]</f>
        <v>0</v>
      </c>
      <c r="J347" s="140"/>
      <c r="K347" s="140"/>
      <c r="L347" s="140"/>
      <c r="M347" s="141"/>
      <c r="N347" s="156"/>
    </row>
    <row r="348" spans="1:14">
      <c r="A348" s="147" t="s">
        <v>2592</v>
      </c>
      <c r="B348" s="141">
        <v>46225</v>
      </c>
      <c r="C348" s="140" t="s">
        <v>292</v>
      </c>
      <c r="D348" s="140" t="s">
        <v>2597</v>
      </c>
      <c r="E348" s="140"/>
      <c r="F348" s="140" t="s">
        <v>2598</v>
      </c>
      <c r="G348" s="140">
        <v>10</v>
      </c>
      <c r="H348" s="134"/>
      <c r="I348" s="134">
        <f>Table3[[#This Row],[Unit Price]]*Table3[[#This Row],[QTY]]</f>
        <v>0</v>
      </c>
      <c r="J348" s="140"/>
      <c r="K348" s="140"/>
      <c r="L348" s="140"/>
      <c r="M348" s="141"/>
      <c r="N348" s="156"/>
    </row>
    <row r="349" spans="1:14">
      <c r="A349" s="147"/>
      <c r="B349" s="141"/>
      <c r="C349" s="140"/>
      <c r="D349" s="140"/>
      <c r="E349" s="140"/>
      <c r="F349" s="140"/>
      <c r="G349" s="140"/>
      <c r="H349" s="134"/>
      <c r="I349" s="134">
        <f>Table3[[#This Row],[Unit Price]]*Table3[[#This Row],[QTY]]</f>
        <v>0</v>
      </c>
      <c r="J349" s="140"/>
      <c r="K349" s="140"/>
      <c r="L349" s="140"/>
      <c r="M349" s="141"/>
      <c r="N349" s="156"/>
    </row>
    <row r="350" spans="1:14">
      <c r="A350" s="147"/>
      <c r="B350" s="141"/>
      <c r="C350" s="140"/>
      <c r="D350" s="140"/>
      <c r="E350" s="140"/>
      <c r="F350" s="140"/>
      <c r="G350" s="140"/>
      <c r="H350" s="134"/>
      <c r="I350" s="134">
        <f>Table3[[#This Row],[Unit Price]]*Table3[[#This Row],[QTY]]</f>
        <v>0</v>
      </c>
      <c r="J350" s="140"/>
      <c r="K350" s="140"/>
      <c r="L350" s="140"/>
      <c r="M350" s="141"/>
      <c r="N350" s="156"/>
    </row>
    <row r="351" spans="1:14">
      <c r="A351" s="147"/>
      <c r="B351" s="141"/>
      <c r="C351" s="140"/>
      <c r="D351" s="140"/>
      <c r="E351" s="140"/>
      <c r="F351" s="140"/>
      <c r="G351" s="140"/>
      <c r="H351" s="134"/>
      <c r="I351" s="134">
        <f>Table3[[#This Row],[Unit Price]]*Table3[[#This Row],[QTY]]</f>
        <v>0</v>
      </c>
      <c r="J351" s="140"/>
      <c r="K351" s="140"/>
      <c r="L351" s="140"/>
      <c r="M351" s="141"/>
      <c r="N351" s="156"/>
    </row>
    <row r="352" spans="1:14">
      <c r="A352" s="147"/>
      <c r="B352" s="141"/>
      <c r="C352" s="140"/>
      <c r="D352" s="140"/>
      <c r="E352" s="140"/>
      <c r="F352" s="140"/>
      <c r="G352" s="140"/>
      <c r="H352" s="134"/>
      <c r="I352" s="134">
        <f>Table3[[#This Row],[Unit Price]]*Table3[[#This Row],[QTY]]</f>
        <v>0</v>
      </c>
      <c r="J352" s="140"/>
      <c r="K352" s="140"/>
      <c r="L352" s="140"/>
      <c r="M352" s="141"/>
      <c r="N352" s="156"/>
    </row>
    <row r="353" spans="1:14">
      <c r="A353" s="147"/>
      <c r="B353" s="141"/>
      <c r="C353" s="140"/>
      <c r="D353" s="140"/>
      <c r="E353" s="140"/>
      <c r="F353" s="140"/>
      <c r="G353" s="140"/>
      <c r="H353" s="134"/>
      <c r="I353" s="134">
        <f>Table3[[#This Row],[Unit Price]]*Table3[[#This Row],[QTY]]</f>
        <v>0</v>
      </c>
      <c r="J353" s="140"/>
      <c r="K353" s="140"/>
      <c r="L353" s="140"/>
      <c r="M353" s="141"/>
      <c r="N353" s="156"/>
    </row>
    <row r="354" spans="1:14">
      <c r="A354" s="147"/>
      <c r="B354" s="141"/>
      <c r="C354" s="140"/>
      <c r="D354" s="140"/>
      <c r="E354" s="140"/>
      <c r="F354" s="140"/>
      <c r="G354" s="140"/>
      <c r="H354" s="134"/>
      <c r="I354" s="134">
        <f>Table3[[#This Row],[Unit Price]]*Table3[[#This Row],[QTY]]</f>
        <v>0</v>
      </c>
      <c r="J354" s="140"/>
      <c r="K354" s="140"/>
      <c r="L354" s="140"/>
      <c r="M354" s="141"/>
      <c r="N354" s="156"/>
    </row>
    <row r="355" spans="1:14">
      <c r="A355" s="147"/>
      <c r="B355" s="141"/>
      <c r="C355" s="140"/>
      <c r="D355" s="140"/>
      <c r="E355" s="140"/>
      <c r="F355" s="140"/>
      <c r="G355" s="140"/>
      <c r="H355" s="134"/>
      <c r="I355" s="134">
        <f>Table3[[#This Row],[Unit Price]]*Table3[[#This Row],[QTY]]</f>
        <v>0</v>
      </c>
      <c r="J355" s="140"/>
      <c r="K355" s="140"/>
      <c r="L355" s="140"/>
      <c r="M355" s="141"/>
      <c r="N355" s="156"/>
    </row>
    <row r="356" spans="1:14">
      <c r="A356" s="147"/>
      <c r="B356" s="141"/>
      <c r="C356" s="140"/>
      <c r="D356" s="140"/>
      <c r="E356" s="140"/>
      <c r="F356" s="140"/>
      <c r="G356" s="140"/>
      <c r="H356" s="134"/>
      <c r="I356" s="134">
        <f>Table3[[#This Row],[Unit Price]]*Table3[[#This Row],[QTY]]</f>
        <v>0</v>
      </c>
      <c r="J356" s="140"/>
      <c r="K356" s="140"/>
      <c r="L356" s="140"/>
      <c r="M356" s="141"/>
      <c r="N356" s="156"/>
    </row>
    <row r="357" spans="1:14">
      <c r="A357" s="147"/>
      <c r="B357" s="141"/>
      <c r="C357" s="140"/>
      <c r="D357" s="140"/>
      <c r="E357" s="140"/>
      <c r="F357" s="140"/>
      <c r="G357" s="140"/>
      <c r="H357" s="134"/>
      <c r="I357" s="134">
        <f>Table3[[#This Row],[Unit Price]]*Table3[[#This Row],[QTY]]</f>
        <v>0</v>
      </c>
      <c r="J357" s="140"/>
      <c r="K357" s="140"/>
      <c r="L357" s="140"/>
      <c r="M357" s="141"/>
      <c r="N357" s="156"/>
    </row>
    <row r="358" spans="1:14">
      <c r="A358" s="147"/>
      <c r="B358" s="141"/>
      <c r="C358" s="140"/>
      <c r="D358" s="140"/>
      <c r="E358" s="140"/>
      <c r="F358" s="140"/>
      <c r="G358" s="140"/>
      <c r="H358" s="134"/>
      <c r="I358" s="134">
        <f>Table3[[#This Row],[Unit Price]]*Table3[[#This Row],[QTY]]</f>
        <v>0</v>
      </c>
      <c r="J358" s="140"/>
      <c r="K358" s="140"/>
      <c r="L358" s="140"/>
      <c r="M358" s="141"/>
      <c r="N358" s="156"/>
    </row>
    <row r="359" spans="1:14">
      <c r="A359" s="147"/>
      <c r="B359" s="141"/>
      <c r="C359" s="140"/>
      <c r="D359" s="140"/>
      <c r="E359" s="140"/>
      <c r="F359" s="140"/>
      <c r="G359" s="140"/>
      <c r="H359" s="134"/>
      <c r="I359" s="134">
        <f>Table3[[#This Row],[Unit Price]]*Table3[[#This Row],[QTY]]</f>
        <v>0</v>
      </c>
      <c r="J359" s="140"/>
      <c r="K359" s="140"/>
      <c r="L359" s="140"/>
      <c r="M359" s="141"/>
      <c r="N359" s="156"/>
    </row>
    <row r="360" spans="1:14">
      <c r="A360" s="147"/>
      <c r="B360" s="141"/>
      <c r="C360" s="140"/>
      <c r="D360" s="140"/>
      <c r="E360" s="140"/>
      <c r="F360" s="140"/>
      <c r="G360" s="140"/>
      <c r="H360" s="134"/>
      <c r="I360" s="134">
        <f>Table3[[#This Row],[Unit Price]]*Table3[[#This Row],[QTY]]</f>
        <v>0</v>
      </c>
      <c r="J360" s="140"/>
      <c r="K360" s="140"/>
      <c r="L360" s="140"/>
      <c r="M360" s="141"/>
      <c r="N360" s="156"/>
    </row>
    <row r="361" spans="1:14">
      <c r="A361" s="147"/>
      <c r="B361" s="141"/>
      <c r="C361" s="140"/>
      <c r="D361" s="140"/>
      <c r="E361" s="140"/>
      <c r="F361" s="140"/>
      <c r="G361" s="140"/>
      <c r="H361" s="134"/>
      <c r="I361" s="134">
        <f>Table3[[#This Row],[Unit Price]]*Table3[[#This Row],[QTY]]</f>
        <v>0</v>
      </c>
      <c r="J361" s="140"/>
      <c r="K361" s="140"/>
      <c r="L361" s="140"/>
      <c r="M361" s="141"/>
      <c r="N361" s="156"/>
    </row>
    <row r="362" spans="1:14">
      <c r="A362" s="147"/>
      <c r="B362" s="141"/>
      <c r="C362" s="140"/>
      <c r="D362" s="140"/>
      <c r="E362" s="140"/>
      <c r="F362" s="140"/>
      <c r="G362" s="140"/>
      <c r="H362" s="134"/>
      <c r="I362" s="134">
        <f>Table3[[#This Row],[Unit Price]]*Table3[[#This Row],[QTY]]</f>
        <v>0</v>
      </c>
      <c r="J362" s="140"/>
      <c r="K362" s="140"/>
      <c r="L362" s="140"/>
      <c r="M362" s="141"/>
      <c r="N362" s="156"/>
    </row>
    <row r="363" spans="1:14">
      <c r="A363" s="147"/>
      <c r="B363" s="141"/>
      <c r="C363" s="140"/>
      <c r="D363" s="140"/>
      <c r="E363" s="140"/>
      <c r="F363" s="140"/>
      <c r="G363" s="140"/>
      <c r="H363" s="134"/>
      <c r="I363" s="134">
        <f>Table3[[#This Row],[Unit Price]]*Table3[[#This Row],[QTY]]</f>
        <v>0</v>
      </c>
      <c r="J363" s="140"/>
      <c r="K363" s="140"/>
      <c r="L363" s="140"/>
      <c r="M363" s="141"/>
      <c r="N363" s="156"/>
    </row>
    <row r="364" spans="1:14">
      <c r="A364" s="147"/>
      <c r="B364" s="141"/>
      <c r="C364" s="140"/>
      <c r="D364" s="140"/>
      <c r="E364" s="140"/>
      <c r="F364" s="140"/>
      <c r="G364" s="140"/>
      <c r="H364" s="134"/>
      <c r="I364" s="134">
        <f>Table3[[#This Row],[Unit Price]]*Table3[[#This Row],[QTY]]</f>
        <v>0</v>
      </c>
      <c r="J364" s="140"/>
      <c r="K364" s="140"/>
      <c r="L364" s="140"/>
      <c r="M364" s="141"/>
      <c r="N364" s="156"/>
    </row>
    <row r="365" spans="1:14">
      <c r="A365" s="147"/>
      <c r="B365" s="141"/>
      <c r="C365" s="140"/>
      <c r="D365" s="140"/>
      <c r="E365" s="140"/>
      <c r="F365" s="140"/>
      <c r="G365" s="140"/>
      <c r="H365" s="134"/>
      <c r="I365" s="134">
        <f>Table3[[#This Row],[Unit Price]]*Table3[[#This Row],[QTY]]</f>
        <v>0</v>
      </c>
      <c r="J365" s="140"/>
      <c r="K365" s="140"/>
      <c r="L365" s="140"/>
      <c r="M365" s="141"/>
      <c r="N365" s="156"/>
    </row>
    <row r="366" spans="1:14">
      <c r="A366" s="147"/>
      <c r="B366" s="141"/>
      <c r="C366" s="140"/>
      <c r="D366" s="140"/>
      <c r="E366" s="140"/>
      <c r="F366" s="140"/>
      <c r="G366" s="140"/>
      <c r="H366" s="134"/>
      <c r="I366" s="134">
        <f>Table3[[#This Row],[Unit Price]]*Table3[[#This Row],[QTY]]</f>
        <v>0</v>
      </c>
      <c r="J366" s="140"/>
      <c r="K366" s="140"/>
      <c r="L366" s="140"/>
      <c r="M366" s="141"/>
      <c r="N366" s="156"/>
    </row>
    <row r="367" spans="1:14">
      <c r="A367" s="147"/>
      <c r="B367" s="141"/>
      <c r="C367" s="140"/>
      <c r="D367" s="140"/>
      <c r="E367" s="140"/>
      <c r="F367" s="140"/>
      <c r="G367" s="140"/>
      <c r="H367" s="134"/>
      <c r="I367" s="134">
        <f>Table3[[#This Row],[Unit Price]]*Table3[[#This Row],[QTY]]</f>
        <v>0</v>
      </c>
      <c r="J367" s="140"/>
      <c r="K367" s="140"/>
      <c r="L367" s="140"/>
      <c r="M367" s="141"/>
      <c r="N367" s="156"/>
    </row>
    <row r="368" spans="1:14">
      <c r="A368" s="147"/>
      <c r="B368" s="141"/>
      <c r="C368" s="140"/>
      <c r="D368" s="140"/>
      <c r="E368" s="140"/>
      <c r="F368" s="140"/>
      <c r="G368" s="140"/>
      <c r="H368" s="134"/>
      <c r="I368" s="134">
        <f>Table3[[#This Row],[Unit Price]]*Table3[[#This Row],[QTY]]</f>
        <v>0</v>
      </c>
      <c r="J368" s="140"/>
      <c r="K368" s="140"/>
      <c r="L368" s="140"/>
      <c r="M368" s="141"/>
      <c r="N368" s="156"/>
    </row>
    <row r="369" spans="1:14">
      <c r="A369" s="147"/>
      <c r="B369" s="141"/>
      <c r="C369" s="140"/>
      <c r="D369" s="140"/>
      <c r="E369" s="140"/>
      <c r="F369" s="140"/>
      <c r="G369" s="140"/>
      <c r="H369" s="134"/>
      <c r="I369" s="134">
        <f>Table3[[#This Row],[Unit Price]]*Table3[[#This Row],[QTY]]</f>
        <v>0</v>
      </c>
      <c r="J369" s="140"/>
      <c r="K369" s="140"/>
      <c r="L369" s="140"/>
      <c r="M369" s="141"/>
      <c r="N369" s="156"/>
    </row>
    <row r="370" spans="1:14">
      <c r="A370" s="147"/>
      <c r="B370" s="141"/>
      <c r="C370" s="140"/>
      <c r="D370" s="140"/>
      <c r="E370" s="140"/>
      <c r="F370" s="140"/>
      <c r="G370" s="140"/>
      <c r="H370" s="134"/>
      <c r="I370" s="134">
        <f>Table3[[#This Row],[Unit Price]]*Table3[[#This Row],[QTY]]</f>
        <v>0</v>
      </c>
      <c r="J370" s="140"/>
      <c r="K370" s="140"/>
      <c r="L370" s="140"/>
      <c r="M370" s="141"/>
      <c r="N370" s="156"/>
    </row>
    <row r="371" spans="1:14">
      <c r="A371" s="147"/>
      <c r="B371" s="141"/>
      <c r="C371" s="140"/>
      <c r="D371" s="140"/>
      <c r="E371" s="140"/>
      <c r="F371" s="140"/>
      <c r="G371" s="140"/>
      <c r="H371" s="134"/>
      <c r="I371" s="134">
        <f>Table3[[#This Row],[Unit Price]]*Table3[[#This Row],[QTY]]</f>
        <v>0</v>
      </c>
      <c r="J371" s="140"/>
      <c r="K371" s="140"/>
      <c r="L371" s="140"/>
      <c r="M371" s="141"/>
      <c r="N371" s="156"/>
    </row>
    <row r="372" spans="1:14">
      <c r="A372" s="147"/>
      <c r="B372" s="141"/>
      <c r="C372" s="140"/>
      <c r="D372" s="140"/>
      <c r="E372" s="140"/>
      <c r="F372" s="140"/>
      <c r="G372" s="140"/>
      <c r="H372" s="134"/>
      <c r="I372" s="134">
        <f>Table3[[#This Row],[Unit Price]]*Table3[[#This Row],[QTY]]</f>
        <v>0</v>
      </c>
      <c r="J372" s="140"/>
      <c r="K372" s="140"/>
      <c r="L372" s="140"/>
      <c r="M372" s="141"/>
      <c r="N372" s="156"/>
    </row>
    <row r="373" spans="1:14">
      <c r="A373" s="147"/>
      <c r="B373" s="141"/>
      <c r="C373" s="140"/>
      <c r="D373" s="140"/>
      <c r="E373" s="140"/>
      <c r="F373" s="140"/>
      <c r="G373" s="140"/>
      <c r="H373" s="134"/>
      <c r="I373" s="134">
        <f>Table3[[#This Row],[Unit Price]]*Table3[[#This Row],[QTY]]</f>
        <v>0</v>
      </c>
      <c r="J373" s="140"/>
      <c r="K373" s="140"/>
      <c r="L373" s="140"/>
      <c r="M373" s="141"/>
      <c r="N373" s="156"/>
    </row>
    <row r="374" spans="1:14">
      <c r="A374" s="147"/>
      <c r="B374" s="141"/>
      <c r="C374" s="140"/>
      <c r="D374" s="140"/>
      <c r="E374" s="140"/>
      <c r="F374" s="140"/>
      <c r="G374" s="140"/>
      <c r="H374" s="134"/>
      <c r="I374" s="134">
        <f>Table3[[#This Row],[Unit Price]]*Table3[[#This Row],[QTY]]</f>
        <v>0</v>
      </c>
      <c r="J374" s="140"/>
      <c r="K374" s="140"/>
      <c r="L374" s="140"/>
      <c r="M374" s="141"/>
      <c r="N374" s="156"/>
    </row>
    <row r="375" spans="1:14">
      <c r="A375" s="147"/>
      <c r="B375" s="141"/>
      <c r="C375" s="140"/>
      <c r="D375" s="140"/>
      <c r="E375" s="140"/>
      <c r="F375" s="140"/>
      <c r="G375" s="140"/>
      <c r="H375" s="134"/>
      <c r="I375" s="134">
        <f>Table3[[#This Row],[Unit Price]]*Table3[[#This Row],[QTY]]</f>
        <v>0</v>
      </c>
      <c r="J375" s="140"/>
      <c r="K375" s="140"/>
      <c r="L375" s="140"/>
      <c r="M375" s="141"/>
      <c r="N375" s="156"/>
    </row>
    <row r="376" spans="1:14">
      <c r="A376" s="147"/>
      <c r="B376" s="141"/>
      <c r="C376" s="140"/>
      <c r="D376" s="140"/>
      <c r="E376" s="140"/>
      <c r="F376" s="140"/>
      <c r="G376" s="140"/>
      <c r="H376" s="134"/>
      <c r="I376" s="134">
        <f>Table3[[#This Row],[Unit Price]]*Table3[[#This Row],[QTY]]</f>
        <v>0</v>
      </c>
      <c r="J376" s="140"/>
      <c r="K376" s="140"/>
      <c r="L376" s="140"/>
      <c r="M376" s="141"/>
      <c r="N376" s="156"/>
    </row>
    <row r="377" spans="1:14">
      <c r="A377" s="147"/>
      <c r="B377" s="141"/>
      <c r="C377" s="140"/>
      <c r="D377" s="140"/>
      <c r="E377" s="140"/>
      <c r="F377" s="140"/>
      <c r="G377" s="140"/>
      <c r="H377" s="134"/>
      <c r="I377" s="134">
        <f>Table3[[#This Row],[Unit Price]]*Table3[[#This Row],[QTY]]</f>
        <v>0</v>
      </c>
      <c r="J377" s="140"/>
      <c r="K377" s="140"/>
      <c r="L377" s="140"/>
      <c r="M377" s="141"/>
      <c r="N377" s="156"/>
    </row>
    <row r="378" spans="1:14">
      <c r="A378" s="147"/>
      <c r="B378" s="141"/>
      <c r="C378" s="140"/>
      <c r="D378" s="140"/>
      <c r="E378" s="140"/>
      <c r="F378" s="140"/>
      <c r="G378" s="140"/>
      <c r="H378" s="134"/>
      <c r="I378" s="134">
        <f>Table3[[#This Row],[Unit Price]]*Table3[[#This Row],[QTY]]</f>
        <v>0</v>
      </c>
      <c r="J378" s="140"/>
      <c r="K378" s="140"/>
      <c r="L378" s="140"/>
      <c r="M378" s="141"/>
      <c r="N378" s="156"/>
    </row>
    <row r="379" spans="1:14">
      <c r="A379" s="147"/>
      <c r="B379" s="141"/>
      <c r="C379" s="140"/>
      <c r="D379" s="140"/>
      <c r="E379" s="140"/>
      <c r="F379" s="140"/>
      <c r="G379" s="140"/>
      <c r="H379" s="134"/>
      <c r="I379" s="134">
        <f>Table3[[#This Row],[Unit Price]]*Table3[[#This Row],[QTY]]</f>
        <v>0</v>
      </c>
      <c r="J379" s="140"/>
      <c r="K379" s="140"/>
      <c r="L379" s="140"/>
      <c r="M379" s="141"/>
      <c r="N379" s="156"/>
    </row>
    <row r="380" spans="1:14">
      <c r="A380" s="147"/>
      <c r="B380" s="141"/>
      <c r="C380" s="140"/>
      <c r="D380" s="140"/>
      <c r="E380" s="140"/>
      <c r="F380" s="140"/>
      <c r="G380" s="140"/>
      <c r="H380" s="134"/>
      <c r="I380" s="134">
        <f>Table3[[#This Row],[Unit Price]]*Table3[[#This Row],[QTY]]</f>
        <v>0</v>
      </c>
      <c r="J380" s="140"/>
      <c r="K380" s="140"/>
      <c r="L380" s="140"/>
      <c r="M380" s="141"/>
      <c r="N380" s="156"/>
    </row>
    <row r="381" spans="1:14">
      <c r="A381" s="147"/>
      <c r="B381" s="141"/>
      <c r="C381" s="140"/>
      <c r="D381" s="140"/>
      <c r="E381" s="140"/>
      <c r="F381" s="140"/>
      <c r="G381" s="140"/>
      <c r="H381" s="134"/>
      <c r="I381" s="134">
        <f>Table3[[#This Row],[Unit Price]]*Table3[[#This Row],[QTY]]</f>
        <v>0</v>
      </c>
      <c r="J381" s="140"/>
      <c r="K381" s="140"/>
      <c r="L381" s="140"/>
      <c r="M381" s="141"/>
      <c r="N381" s="156"/>
    </row>
    <row r="382" spans="1:14">
      <c r="A382" s="147"/>
      <c r="B382" s="141"/>
      <c r="C382" s="140"/>
      <c r="D382" s="140"/>
      <c r="E382" s="140"/>
      <c r="F382" s="140"/>
      <c r="G382" s="140"/>
      <c r="H382" s="134"/>
      <c r="I382" s="134">
        <f>Table3[[#This Row],[Unit Price]]*Table3[[#This Row],[QTY]]</f>
        <v>0</v>
      </c>
      <c r="J382" s="140"/>
      <c r="K382" s="140"/>
      <c r="L382" s="140"/>
      <c r="M382" s="141"/>
      <c r="N382" s="156"/>
    </row>
    <row r="383" spans="1:14">
      <c r="A383" s="147"/>
      <c r="B383" s="141"/>
      <c r="C383" s="140"/>
      <c r="D383" s="140"/>
      <c r="E383" s="140"/>
      <c r="F383" s="140"/>
      <c r="G383" s="140"/>
      <c r="H383" s="134"/>
      <c r="I383" s="134">
        <f>Table3[[#This Row],[Unit Price]]*Table3[[#This Row],[QTY]]</f>
        <v>0</v>
      </c>
      <c r="J383" s="140"/>
      <c r="K383" s="140"/>
      <c r="L383" s="140"/>
      <c r="M383" s="141"/>
      <c r="N383" s="156"/>
    </row>
    <row r="384" spans="1:14">
      <c r="A384" s="147"/>
      <c r="B384" s="141"/>
      <c r="C384" s="140"/>
      <c r="D384" s="140"/>
      <c r="E384" s="140"/>
      <c r="F384" s="140"/>
      <c r="G384" s="140"/>
      <c r="H384" s="134"/>
      <c r="I384" s="134">
        <f>Table3[[#This Row],[Unit Price]]*Table3[[#This Row],[QTY]]</f>
        <v>0</v>
      </c>
      <c r="J384" s="140"/>
      <c r="K384" s="140"/>
      <c r="L384" s="140"/>
      <c r="M384" s="141"/>
      <c r="N384" s="156"/>
    </row>
    <row r="385" spans="1:14">
      <c r="A385" s="147"/>
      <c r="B385" s="141"/>
      <c r="C385" s="140"/>
      <c r="D385" s="140"/>
      <c r="E385" s="140"/>
      <c r="F385" s="140"/>
      <c r="G385" s="140"/>
      <c r="H385" s="134"/>
      <c r="I385" s="134">
        <f>Table3[[#This Row],[Unit Price]]*Table3[[#This Row],[QTY]]</f>
        <v>0</v>
      </c>
      <c r="J385" s="140"/>
      <c r="K385" s="140"/>
      <c r="L385" s="140"/>
      <c r="M385" s="141"/>
      <c r="N385" s="156"/>
    </row>
    <row r="386" spans="1:14">
      <c r="A386" s="147"/>
      <c r="B386" s="141"/>
      <c r="C386" s="140"/>
      <c r="D386" s="140"/>
      <c r="E386" s="140"/>
      <c r="F386" s="140"/>
      <c r="G386" s="140"/>
      <c r="H386" s="134"/>
      <c r="I386" s="134">
        <f>Table3[[#This Row],[Unit Price]]*Table3[[#This Row],[QTY]]</f>
        <v>0</v>
      </c>
      <c r="J386" s="140"/>
      <c r="K386" s="140"/>
      <c r="L386" s="140"/>
      <c r="M386" s="141"/>
      <c r="N386" s="156"/>
    </row>
    <row r="387" spans="1:14">
      <c r="A387" s="147"/>
      <c r="B387" s="141"/>
      <c r="C387" s="140"/>
      <c r="D387" s="140"/>
      <c r="E387" s="140"/>
      <c r="F387" s="140"/>
      <c r="G387" s="140"/>
      <c r="H387" s="134"/>
      <c r="I387" s="134">
        <f>Table3[[#This Row],[Unit Price]]*Table3[[#This Row],[QTY]]</f>
        <v>0</v>
      </c>
      <c r="J387" s="140"/>
      <c r="K387" s="140"/>
      <c r="L387" s="140"/>
      <c r="M387" s="141"/>
      <c r="N387" s="156"/>
    </row>
    <row r="388" spans="1:14">
      <c r="A388" s="147"/>
      <c r="B388" s="141"/>
      <c r="C388" s="140"/>
      <c r="D388" s="140"/>
      <c r="E388" s="140"/>
      <c r="F388" s="140"/>
      <c r="G388" s="140"/>
      <c r="H388" s="134"/>
      <c r="I388" s="134">
        <f>Table3[[#This Row],[Unit Price]]*Table3[[#This Row],[QTY]]</f>
        <v>0</v>
      </c>
      <c r="J388" s="140"/>
      <c r="K388" s="140"/>
      <c r="L388" s="140"/>
      <c r="M388" s="141"/>
      <c r="N388" s="156"/>
    </row>
    <row r="389" spans="1:14">
      <c r="A389" s="147"/>
      <c r="B389" s="141"/>
      <c r="C389" s="140"/>
      <c r="D389" s="140"/>
      <c r="E389" s="140"/>
      <c r="F389" s="140"/>
      <c r="G389" s="140"/>
      <c r="H389" s="134"/>
      <c r="I389" s="134">
        <f>Table3[[#This Row],[Unit Price]]*Table3[[#This Row],[QTY]]</f>
        <v>0</v>
      </c>
      <c r="J389" s="140"/>
      <c r="K389" s="140"/>
      <c r="L389" s="140"/>
      <c r="M389" s="141"/>
      <c r="N389" s="156"/>
    </row>
    <row r="390" spans="1:14">
      <c r="A390" s="147"/>
      <c r="B390" s="141"/>
      <c r="C390" s="140"/>
      <c r="D390" s="140"/>
      <c r="E390" s="140"/>
      <c r="F390" s="140"/>
      <c r="G390" s="140"/>
      <c r="H390" s="134"/>
      <c r="I390" s="134">
        <f>Table3[[#This Row],[Unit Price]]*Table3[[#This Row],[QTY]]</f>
        <v>0</v>
      </c>
      <c r="J390" s="140"/>
      <c r="K390" s="140"/>
      <c r="L390" s="140"/>
      <c r="M390" s="141"/>
      <c r="N390" s="156"/>
    </row>
    <row r="391" spans="1:14">
      <c r="A391" s="147"/>
      <c r="B391" s="141"/>
      <c r="C391" s="140"/>
      <c r="D391" s="140"/>
      <c r="E391" s="140"/>
      <c r="F391" s="140"/>
      <c r="G391" s="140"/>
      <c r="H391" s="134"/>
      <c r="I391" s="134">
        <f>Table3[[#This Row],[Unit Price]]*Table3[[#This Row],[QTY]]</f>
        <v>0</v>
      </c>
      <c r="J391" s="140"/>
      <c r="K391" s="140"/>
      <c r="L391" s="140"/>
      <c r="M391" s="141"/>
      <c r="N391" s="156"/>
    </row>
    <row r="392" spans="1:14">
      <c r="A392" s="147"/>
      <c r="B392" s="141"/>
      <c r="C392" s="140"/>
      <c r="D392" s="140"/>
      <c r="E392" s="140"/>
      <c r="F392" s="140"/>
      <c r="G392" s="140"/>
      <c r="H392" s="134"/>
      <c r="I392" s="134">
        <f>Table3[[#This Row],[Unit Price]]*Table3[[#This Row],[QTY]]</f>
        <v>0</v>
      </c>
      <c r="J392" s="140"/>
      <c r="K392" s="140"/>
      <c r="L392" s="140"/>
      <c r="M392" s="141"/>
      <c r="N392" s="156"/>
    </row>
    <row r="393" spans="1:14">
      <c r="A393" s="147"/>
      <c r="B393" s="141"/>
      <c r="C393" s="140"/>
      <c r="D393" s="140"/>
      <c r="E393" s="140"/>
      <c r="F393" s="140"/>
      <c r="G393" s="140"/>
      <c r="H393" s="134"/>
      <c r="I393" s="134">
        <f>Table3[[#This Row],[Unit Price]]*Table3[[#This Row],[QTY]]</f>
        <v>0</v>
      </c>
      <c r="J393" s="140"/>
      <c r="K393" s="140"/>
      <c r="L393" s="140"/>
      <c r="M393" s="141"/>
      <c r="N393" s="156"/>
    </row>
    <row r="394" spans="1:14">
      <c r="A394" s="147"/>
      <c r="B394" s="141"/>
      <c r="C394" s="140"/>
      <c r="D394" s="140"/>
      <c r="E394" s="140"/>
      <c r="F394" s="140"/>
      <c r="G394" s="140"/>
      <c r="H394" s="134"/>
      <c r="I394" s="134">
        <f>Table3[[#This Row],[Unit Price]]*Table3[[#This Row],[QTY]]</f>
        <v>0</v>
      </c>
      <c r="J394" s="140"/>
      <c r="K394" s="140"/>
      <c r="L394" s="140"/>
      <c r="M394" s="141"/>
      <c r="N394" s="156"/>
    </row>
    <row r="395" spans="1:14">
      <c r="A395" s="147"/>
      <c r="B395" s="141"/>
      <c r="C395" s="140"/>
      <c r="D395" s="140"/>
      <c r="E395" s="140"/>
      <c r="F395" s="140"/>
      <c r="G395" s="140"/>
      <c r="H395" s="134"/>
      <c r="I395" s="134">
        <f>Table3[[#This Row],[Unit Price]]*Table3[[#This Row],[QTY]]</f>
        <v>0</v>
      </c>
      <c r="J395" s="140"/>
      <c r="K395" s="140"/>
      <c r="L395" s="140"/>
      <c r="M395" s="141"/>
      <c r="N395" s="156"/>
    </row>
    <row r="396" spans="1:14">
      <c r="A396" s="147"/>
      <c r="B396" s="141"/>
      <c r="C396" s="140"/>
      <c r="D396" s="140"/>
      <c r="E396" s="140"/>
      <c r="F396" s="140"/>
      <c r="G396" s="140"/>
      <c r="H396" s="134"/>
      <c r="I396" s="134">
        <f>Table3[[#This Row],[Unit Price]]*Table3[[#This Row],[QTY]]</f>
        <v>0</v>
      </c>
      <c r="J396" s="140"/>
      <c r="K396" s="140"/>
      <c r="L396" s="140"/>
      <c r="M396" s="141"/>
      <c r="N396" s="156"/>
    </row>
    <row r="397" spans="1:14">
      <c r="A397" s="147"/>
      <c r="B397" s="141"/>
      <c r="C397" s="140"/>
      <c r="D397" s="140"/>
      <c r="E397" s="140"/>
      <c r="F397" s="140"/>
      <c r="G397" s="140"/>
      <c r="H397" s="134"/>
      <c r="I397" s="134">
        <f>Table3[[#This Row],[Unit Price]]*Table3[[#This Row],[QTY]]</f>
        <v>0</v>
      </c>
      <c r="J397" s="140"/>
      <c r="K397" s="140"/>
      <c r="L397" s="140"/>
      <c r="M397" s="141"/>
      <c r="N397" s="156"/>
    </row>
    <row r="398" spans="1:14">
      <c r="A398" s="147"/>
      <c r="B398" s="141"/>
      <c r="C398" s="140"/>
      <c r="D398" s="140"/>
      <c r="E398" s="140"/>
      <c r="F398" s="140"/>
      <c r="G398" s="140"/>
      <c r="H398" s="134"/>
      <c r="I398" s="134">
        <f>Table3[[#This Row],[Unit Price]]*Table3[[#This Row],[QTY]]</f>
        <v>0</v>
      </c>
      <c r="J398" s="140"/>
      <c r="K398" s="140"/>
      <c r="L398" s="140"/>
      <c r="M398" s="141"/>
      <c r="N398" s="156"/>
    </row>
    <row r="399" spans="1:14">
      <c r="A399" s="147"/>
      <c r="B399" s="141"/>
      <c r="C399" s="140"/>
      <c r="D399" s="140"/>
      <c r="E399" s="140"/>
      <c r="F399" s="140"/>
      <c r="G399" s="140"/>
      <c r="H399" s="134"/>
      <c r="I399" s="134">
        <f>Table3[[#This Row],[Unit Price]]*Table3[[#This Row],[QTY]]</f>
        <v>0</v>
      </c>
      <c r="J399" s="140"/>
      <c r="K399" s="140"/>
      <c r="L399" s="140"/>
      <c r="M399" s="141"/>
      <c r="N399" s="156"/>
    </row>
    <row r="400" spans="1:14">
      <c r="A400" s="147"/>
      <c r="B400" s="141"/>
      <c r="C400" s="140"/>
      <c r="D400" s="140"/>
      <c r="E400" s="140"/>
      <c r="F400" s="140"/>
      <c r="G400" s="140"/>
      <c r="H400" s="134"/>
      <c r="I400" s="134">
        <f>Table3[[#This Row],[Unit Price]]*Table3[[#This Row],[QTY]]</f>
        <v>0</v>
      </c>
      <c r="J400" s="140"/>
      <c r="K400" s="140"/>
      <c r="L400" s="140"/>
      <c r="M400" s="141"/>
      <c r="N400" s="156"/>
    </row>
    <row r="401" spans="1:14">
      <c r="A401" s="147"/>
      <c r="B401" s="141"/>
      <c r="C401" s="140"/>
      <c r="D401" s="140"/>
      <c r="E401" s="140"/>
      <c r="F401" s="140"/>
      <c r="G401" s="140"/>
      <c r="H401" s="134"/>
      <c r="I401" s="134">
        <f>Table3[[#This Row],[Unit Price]]*Table3[[#This Row],[QTY]]</f>
        <v>0</v>
      </c>
      <c r="J401" s="140"/>
      <c r="K401" s="140"/>
      <c r="L401" s="140"/>
      <c r="M401" s="141"/>
      <c r="N401" s="156"/>
    </row>
    <row r="402" spans="1:14">
      <c r="A402" s="147"/>
      <c r="B402" s="141"/>
      <c r="C402" s="140"/>
      <c r="D402" s="140"/>
      <c r="E402" s="140"/>
      <c r="F402" s="140"/>
      <c r="G402" s="140"/>
      <c r="H402" s="134"/>
      <c r="I402" s="134">
        <f>Table3[[#This Row],[Unit Price]]*Table3[[#This Row],[QTY]]</f>
        <v>0</v>
      </c>
      <c r="J402" s="140"/>
      <c r="K402" s="140"/>
      <c r="L402" s="140"/>
      <c r="M402" s="141"/>
      <c r="N402" s="156"/>
    </row>
    <row r="403" spans="1:14">
      <c r="A403" s="147"/>
      <c r="B403" s="141"/>
      <c r="C403" s="140"/>
      <c r="D403" s="140"/>
      <c r="E403" s="140"/>
      <c r="F403" s="140"/>
      <c r="G403" s="140"/>
      <c r="H403" s="134"/>
      <c r="I403" s="134">
        <f>Table3[[#This Row],[Unit Price]]*Table3[[#This Row],[QTY]]</f>
        <v>0</v>
      </c>
      <c r="J403" s="140"/>
      <c r="K403" s="140"/>
      <c r="L403" s="140"/>
      <c r="M403" s="141"/>
      <c r="N403" s="156"/>
    </row>
    <row r="404" spans="1:14">
      <c r="A404" s="147"/>
      <c r="B404" s="141"/>
      <c r="C404" s="140"/>
      <c r="D404" s="140"/>
      <c r="E404" s="140"/>
      <c r="F404" s="140"/>
      <c r="G404" s="140"/>
      <c r="H404" s="134"/>
      <c r="I404" s="134">
        <f>Table3[[#This Row],[Unit Price]]*Table3[[#This Row],[QTY]]</f>
        <v>0</v>
      </c>
      <c r="J404" s="140"/>
      <c r="K404" s="140"/>
      <c r="L404" s="140"/>
      <c r="M404" s="141"/>
      <c r="N404" s="156"/>
    </row>
    <row r="405" spans="1:14">
      <c r="A405" s="147"/>
      <c r="B405" s="141"/>
      <c r="C405" s="140"/>
      <c r="D405" s="140"/>
      <c r="E405" s="140"/>
      <c r="F405" s="140"/>
      <c r="G405" s="140"/>
      <c r="H405" s="134"/>
      <c r="I405" s="134">
        <f>Table3[[#This Row],[Unit Price]]*Table3[[#This Row],[QTY]]</f>
        <v>0</v>
      </c>
      <c r="J405" s="140"/>
      <c r="K405" s="140"/>
      <c r="L405" s="140"/>
      <c r="M405" s="141"/>
      <c r="N405" s="156"/>
    </row>
    <row r="406" spans="1:14">
      <c r="A406" s="147"/>
      <c r="B406" s="141"/>
      <c r="C406" s="140"/>
      <c r="D406" s="140"/>
      <c r="E406" s="140"/>
      <c r="F406" s="140"/>
      <c r="G406" s="140"/>
      <c r="H406" s="134"/>
      <c r="I406" s="134">
        <f>Table3[[#This Row],[Unit Price]]*Table3[[#This Row],[QTY]]</f>
        <v>0</v>
      </c>
      <c r="J406" s="140"/>
      <c r="K406" s="140"/>
      <c r="L406" s="140"/>
      <c r="M406" s="141"/>
      <c r="N406" s="156"/>
    </row>
    <row r="407" spans="1:14">
      <c r="A407" s="147"/>
      <c r="B407" s="141"/>
      <c r="C407" s="140"/>
      <c r="D407" s="140"/>
      <c r="E407" s="140"/>
      <c r="F407" s="140"/>
      <c r="G407" s="140"/>
      <c r="H407" s="134"/>
      <c r="I407" s="134">
        <f>Table3[[#This Row],[Unit Price]]*Table3[[#This Row],[QTY]]</f>
        <v>0</v>
      </c>
      <c r="J407" s="140"/>
      <c r="K407" s="140"/>
      <c r="L407" s="140"/>
      <c r="M407" s="141"/>
      <c r="N407" s="156"/>
    </row>
    <row r="408" spans="1:14">
      <c r="A408" s="147"/>
      <c r="B408" s="141"/>
      <c r="C408" s="140"/>
      <c r="D408" s="140"/>
      <c r="E408" s="140"/>
      <c r="F408" s="140"/>
      <c r="G408" s="140"/>
      <c r="H408" s="134"/>
      <c r="I408" s="134">
        <f>Table3[[#This Row],[Unit Price]]*Table3[[#This Row],[QTY]]</f>
        <v>0</v>
      </c>
      <c r="J408" s="140"/>
      <c r="K408" s="140"/>
      <c r="L408" s="140"/>
      <c r="M408" s="141"/>
      <c r="N408" s="156"/>
    </row>
    <row r="409" spans="1:14">
      <c r="A409" s="147"/>
      <c r="B409" s="141"/>
      <c r="C409" s="140"/>
      <c r="D409" s="140"/>
      <c r="E409" s="140"/>
      <c r="F409" s="140"/>
      <c r="G409" s="140"/>
      <c r="H409" s="134"/>
      <c r="I409" s="134">
        <f>Table3[[#This Row],[Unit Price]]*Table3[[#This Row],[QTY]]</f>
        <v>0</v>
      </c>
      <c r="J409" s="140"/>
      <c r="K409" s="140"/>
      <c r="L409" s="140"/>
      <c r="M409" s="141"/>
      <c r="N409" s="156"/>
    </row>
    <row r="410" spans="1:14">
      <c r="A410" s="147"/>
      <c r="B410" s="141"/>
      <c r="C410" s="140"/>
      <c r="D410" s="140"/>
      <c r="E410" s="140"/>
      <c r="F410" s="140"/>
      <c r="G410" s="140"/>
      <c r="H410" s="134"/>
      <c r="I410" s="134">
        <f>Table3[[#This Row],[Unit Price]]*Table3[[#This Row],[QTY]]</f>
        <v>0</v>
      </c>
      <c r="J410" s="140"/>
      <c r="K410" s="140"/>
      <c r="L410" s="140"/>
      <c r="M410" s="141"/>
      <c r="N410" s="156"/>
    </row>
    <row r="411" spans="1:14">
      <c r="A411" s="147"/>
      <c r="B411" s="141"/>
      <c r="C411" s="140"/>
      <c r="D411" s="140"/>
      <c r="E411" s="140"/>
      <c r="F411" s="140"/>
      <c r="G411" s="140"/>
      <c r="H411" s="134"/>
      <c r="I411" s="134">
        <f>Table3[[#This Row],[Unit Price]]*Table3[[#This Row],[QTY]]</f>
        <v>0</v>
      </c>
      <c r="J411" s="140"/>
      <c r="K411" s="140"/>
      <c r="L411" s="140"/>
      <c r="M411" s="141"/>
      <c r="N411" s="156"/>
    </row>
    <row r="412" spans="1:14">
      <c r="A412" s="147"/>
      <c r="B412" s="141"/>
      <c r="C412" s="140"/>
      <c r="D412" s="140"/>
      <c r="E412" s="140"/>
      <c r="F412" s="140"/>
      <c r="G412" s="140"/>
      <c r="H412" s="134"/>
      <c r="I412" s="134">
        <f>Table3[[#This Row],[Unit Price]]*Table3[[#This Row],[QTY]]</f>
        <v>0</v>
      </c>
      <c r="J412" s="140"/>
      <c r="K412" s="140"/>
      <c r="L412" s="140"/>
      <c r="M412" s="141"/>
      <c r="N412" s="156"/>
    </row>
    <row r="413" spans="1:14">
      <c r="A413" s="147"/>
      <c r="B413" s="141"/>
      <c r="C413" s="140"/>
      <c r="D413" s="140"/>
      <c r="E413" s="140"/>
      <c r="F413" s="140"/>
      <c r="G413" s="140"/>
      <c r="H413" s="134"/>
      <c r="I413" s="134">
        <f>Table3[[#This Row],[Unit Price]]*Table3[[#This Row],[QTY]]</f>
        <v>0</v>
      </c>
      <c r="J413" s="140"/>
      <c r="K413" s="140"/>
      <c r="L413" s="140"/>
      <c r="M413" s="141"/>
      <c r="N413" s="156"/>
    </row>
    <row r="414" spans="1:14">
      <c r="A414" s="147"/>
      <c r="B414" s="141"/>
      <c r="C414" s="140"/>
      <c r="D414" s="140"/>
      <c r="E414" s="140"/>
      <c r="F414" s="140"/>
      <c r="G414" s="140"/>
      <c r="H414" s="134"/>
      <c r="I414" s="134">
        <f>Table3[[#This Row],[Unit Price]]*Table3[[#This Row],[QTY]]</f>
        <v>0</v>
      </c>
      <c r="J414" s="140"/>
      <c r="K414" s="140"/>
      <c r="L414" s="140"/>
      <c r="M414" s="141"/>
      <c r="N414" s="156"/>
    </row>
    <row r="415" spans="1:14">
      <c r="A415" s="147"/>
      <c r="B415" s="141"/>
      <c r="C415" s="140"/>
      <c r="D415" s="140"/>
      <c r="E415" s="140"/>
      <c r="F415" s="140"/>
      <c r="G415" s="140"/>
      <c r="H415" s="134"/>
      <c r="I415" s="134">
        <f>Table3[[#This Row],[Unit Price]]*Table3[[#This Row],[QTY]]</f>
        <v>0</v>
      </c>
      <c r="J415" s="140"/>
      <c r="K415" s="140"/>
      <c r="L415" s="140"/>
      <c r="M415" s="141"/>
      <c r="N415" s="156"/>
    </row>
    <row r="416" spans="1:14">
      <c r="A416" s="147"/>
      <c r="B416" s="141"/>
      <c r="C416" s="140"/>
      <c r="D416" s="140"/>
      <c r="E416" s="140"/>
      <c r="F416" s="140"/>
      <c r="G416" s="140"/>
      <c r="H416" s="134"/>
      <c r="I416" s="134">
        <f>Table3[[#This Row],[Unit Price]]*Table3[[#This Row],[QTY]]</f>
        <v>0</v>
      </c>
      <c r="J416" s="140"/>
      <c r="K416" s="140"/>
      <c r="L416" s="140"/>
      <c r="M416" s="141"/>
      <c r="N416" s="156"/>
    </row>
    <row r="417" spans="1:14">
      <c r="A417" s="147"/>
      <c r="B417" s="141"/>
      <c r="C417" s="140"/>
      <c r="D417" s="140"/>
      <c r="E417" s="140"/>
      <c r="F417" s="140"/>
      <c r="G417" s="140"/>
      <c r="H417" s="134"/>
      <c r="I417" s="134">
        <f>Table3[[#This Row],[Unit Price]]*Table3[[#This Row],[QTY]]</f>
        <v>0</v>
      </c>
      <c r="J417" s="140"/>
      <c r="K417" s="140"/>
      <c r="L417" s="140"/>
      <c r="M417" s="141"/>
      <c r="N417" s="156"/>
    </row>
    <row r="418" spans="1:14">
      <c r="A418" s="147"/>
      <c r="B418" s="141"/>
      <c r="C418" s="140"/>
      <c r="D418" s="140"/>
      <c r="E418" s="140"/>
      <c r="F418" s="140"/>
      <c r="G418" s="140"/>
      <c r="H418" s="134"/>
      <c r="I418" s="134">
        <f>Table3[[#This Row],[Unit Price]]*Table3[[#This Row],[QTY]]</f>
        <v>0</v>
      </c>
      <c r="J418" s="140"/>
      <c r="K418" s="140"/>
      <c r="L418" s="140"/>
      <c r="M418" s="141"/>
      <c r="N418" s="156"/>
    </row>
    <row r="419" spans="1:14">
      <c r="A419" s="147"/>
      <c r="B419" s="141"/>
      <c r="C419" s="140"/>
      <c r="D419" s="140"/>
      <c r="E419" s="140"/>
      <c r="F419" s="140"/>
      <c r="G419" s="140"/>
      <c r="H419" s="134"/>
      <c r="I419" s="134">
        <f>Table3[[#This Row],[Unit Price]]*Table3[[#This Row],[QTY]]</f>
        <v>0</v>
      </c>
      <c r="J419" s="140"/>
      <c r="K419" s="140"/>
      <c r="L419" s="140"/>
      <c r="M419" s="141"/>
      <c r="N419" s="156"/>
    </row>
    <row r="420" spans="1:14">
      <c r="A420" s="147"/>
      <c r="B420" s="141"/>
      <c r="C420" s="140"/>
      <c r="D420" s="140"/>
      <c r="E420" s="140"/>
      <c r="F420" s="140"/>
      <c r="G420" s="140"/>
      <c r="H420" s="134"/>
      <c r="I420" s="134">
        <f>Table3[[#This Row],[Unit Price]]*Table3[[#This Row],[QTY]]</f>
        <v>0</v>
      </c>
      <c r="J420" s="140"/>
      <c r="K420" s="140"/>
      <c r="L420" s="140"/>
      <c r="M420" s="141"/>
      <c r="N420" s="156"/>
    </row>
    <row r="421" spans="1:14">
      <c r="A421" s="147"/>
      <c r="B421" s="141"/>
      <c r="C421" s="140"/>
      <c r="D421" s="140"/>
      <c r="E421" s="140"/>
      <c r="F421" s="140"/>
      <c r="G421" s="140"/>
      <c r="H421" s="134"/>
      <c r="I421" s="134">
        <f>Table3[[#This Row],[Unit Price]]*Table3[[#This Row],[QTY]]</f>
        <v>0</v>
      </c>
      <c r="J421" s="140"/>
      <c r="K421" s="140"/>
      <c r="L421" s="140"/>
      <c r="M421" s="141"/>
      <c r="N421" s="156"/>
    </row>
    <row r="422" spans="1:14">
      <c r="A422" s="147"/>
      <c r="B422" s="141"/>
      <c r="C422" s="140"/>
      <c r="D422" s="140"/>
      <c r="E422" s="140"/>
      <c r="F422" s="140"/>
      <c r="G422" s="140"/>
      <c r="H422" s="134"/>
      <c r="I422" s="134">
        <f>Table3[[#This Row],[Unit Price]]*Table3[[#This Row],[QTY]]</f>
        <v>0</v>
      </c>
      <c r="J422" s="140"/>
      <c r="K422" s="140"/>
      <c r="L422" s="140"/>
      <c r="M422" s="141"/>
      <c r="N422" s="156"/>
    </row>
    <row r="423" spans="1:14">
      <c r="A423" s="147"/>
      <c r="B423" s="141"/>
      <c r="C423" s="140"/>
      <c r="D423" s="140"/>
      <c r="E423" s="140"/>
      <c r="F423" s="140"/>
      <c r="G423" s="140"/>
      <c r="H423" s="134"/>
      <c r="I423" s="134">
        <f>Table3[[#This Row],[Unit Price]]*Table3[[#This Row],[QTY]]</f>
        <v>0</v>
      </c>
      <c r="J423" s="140"/>
      <c r="K423" s="140"/>
      <c r="L423" s="140"/>
      <c r="M423" s="141"/>
      <c r="N423" s="156"/>
    </row>
    <row r="424" spans="1:14">
      <c r="A424" s="147"/>
      <c r="B424" s="141"/>
      <c r="C424" s="140"/>
      <c r="D424" s="140"/>
      <c r="E424" s="140"/>
      <c r="F424" s="140"/>
      <c r="G424" s="140"/>
      <c r="H424" s="134"/>
      <c r="I424" s="134">
        <f>Table3[[#This Row],[Unit Price]]*Table3[[#This Row],[QTY]]</f>
        <v>0</v>
      </c>
      <c r="J424" s="140"/>
      <c r="K424" s="140"/>
      <c r="L424" s="140"/>
      <c r="M424" s="141"/>
      <c r="N424" s="156"/>
    </row>
    <row r="425" spans="1:14">
      <c r="A425" s="147"/>
      <c r="B425" s="141"/>
      <c r="C425" s="140"/>
      <c r="D425" s="140"/>
      <c r="E425" s="140"/>
      <c r="F425" s="140"/>
      <c r="G425" s="140"/>
      <c r="H425" s="134"/>
      <c r="I425" s="134">
        <f>Table3[[#This Row],[Unit Price]]*Table3[[#This Row],[QTY]]</f>
        <v>0</v>
      </c>
      <c r="J425" s="140"/>
      <c r="K425" s="140"/>
      <c r="L425" s="140"/>
      <c r="M425" s="141"/>
      <c r="N425" s="156"/>
    </row>
    <row r="426" spans="1:14">
      <c r="A426" s="147"/>
      <c r="B426" s="141"/>
      <c r="C426" s="140"/>
      <c r="D426" s="140"/>
      <c r="E426" s="140"/>
      <c r="F426" s="140"/>
      <c r="G426" s="140"/>
      <c r="H426" s="134"/>
      <c r="I426" s="134">
        <f>Table3[[#This Row],[Unit Price]]*Table3[[#This Row],[QTY]]</f>
        <v>0</v>
      </c>
      <c r="J426" s="140"/>
      <c r="K426" s="140"/>
      <c r="L426" s="140"/>
      <c r="M426" s="141"/>
      <c r="N426" s="156"/>
    </row>
    <row r="427" spans="1:14">
      <c r="A427" s="147"/>
      <c r="B427" s="141"/>
      <c r="C427" s="140"/>
      <c r="D427" s="140"/>
      <c r="E427" s="140"/>
      <c r="F427" s="140"/>
      <c r="G427" s="140"/>
      <c r="H427" s="134"/>
      <c r="I427" s="134">
        <f>Table3[[#This Row],[Unit Price]]*Table3[[#This Row],[QTY]]</f>
        <v>0</v>
      </c>
      <c r="J427" s="140"/>
      <c r="K427" s="140"/>
      <c r="L427" s="140"/>
      <c r="M427" s="141"/>
      <c r="N427" s="156"/>
    </row>
    <row r="428" spans="1:14">
      <c r="A428" s="147"/>
      <c r="B428" s="141"/>
      <c r="C428" s="140"/>
      <c r="D428" s="140"/>
      <c r="E428" s="140"/>
      <c r="F428" s="140"/>
      <c r="G428" s="140"/>
      <c r="H428" s="134"/>
      <c r="I428" s="134">
        <f>Table3[[#This Row],[Unit Price]]*Table3[[#This Row],[QTY]]</f>
        <v>0</v>
      </c>
      <c r="J428" s="140"/>
      <c r="K428" s="140"/>
      <c r="L428" s="140"/>
      <c r="M428" s="141"/>
      <c r="N428" s="156"/>
    </row>
    <row r="429" spans="1:14">
      <c r="A429" s="147"/>
      <c r="B429" s="141"/>
      <c r="C429" s="140"/>
      <c r="D429" s="140"/>
      <c r="E429" s="140"/>
      <c r="F429" s="140"/>
      <c r="G429" s="140"/>
      <c r="H429" s="134"/>
      <c r="I429" s="134">
        <f>Table3[[#This Row],[Unit Price]]*Table3[[#This Row],[QTY]]</f>
        <v>0</v>
      </c>
      <c r="J429" s="140"/>
      <c r="K429" s="140"/>
      <c r="L429" s="140"/>
      <c r="M429" s="141"/>
      <c r="N429" s="156"/>
    </row>
    <row r="430" spans="1:14">
      <c r="A430" s="147"/>
      <c r="B430" s="141"/>
      <c r="C430" s="140"/>
      <c r="D430" s="140"/>
      <c r="E430" s="140"/>
      <c r="F430" s="140"/>
      <c r="G430" s="140"/>
      <c r="H430" s="134"/>
      <c r="I430" s="134">
        <f>Table3[[#This Row],[Unit Price]]*Table3[[#This Row],[QTY]]</f>
        <v>0</v>
      </c>
      <c r="J430" s="140"/>
      <c r="K430" s="140"/>
      <c r="L430" s="140"/>
      <c r="M430" s="141"/>
      <c r="N430" s="156"/>
    </row>
    <row r="431" spans="1:14">
      <c r="A431" s="147"/>
      <c r="B431" s="141"/>
      <c r="C431" s="140"/>
      <c r="D431" s="140"/>
      <c r="E431" s="140"/>
      <c r="F431" s="140"/>
      <c r="G431" s="140"/>
      <c r="H431" s="134"/>
      <c r="I431" s="134">
        <f>Table3[[#This Row],[Unit Price]]*Table3[[#This Row],[QTY]]</f>
        <v>0</v>
      </c>
      <c r="J431" s="140"/>
      <c r="K431" s="140"/>
      <c r="L431" s="140"/>
      <c r="M431" s="141"/>
      <c r="N431" s="156"/>
    </row>
    <row r="432" spans="1:14">
      <c r="A432" s="147"/>
      <c r="B432" s="141"/>
      <c r="C432" s="140"/>
      <c r="D432" s="140"/>
      <c r="E432" s="140"/>
      <c r="F432" s="140"/>
      <c r="G432" s="140"/>
      <c r="H432" s="134"/>
      <c r="I432" s="134">
        <f>Table3[[#This Row],[Unit Price]]*Table3[[#This Row],[QTY]]</f>
        <v>0</v>
      </c>
      <c r="J432" s="140"/>
      <c r="K432" s="140"/>
      <c r="L432" s="140"/>
      <c r="M432" s="141"/>
      <c r="N432" s="156"/>
    </row>
    <row r="433" spans="1:14">
      <c r="A433" s="147"/>
      <c r="B433" s="141"/>
      <c r="C433" s="140"/>
      <c r="D433" s="140"/>
      <c r="E433" s="140"/>
      <c r="F433" s="140"/>
      <c r="G433" s="140"/>
      <c r="H433" s="134"/>
      <c r="I433" s="134">
        <f>Table3[[#This Row],[Unit Price]]*Table3[[#This Row],[QTY]]</f>
        <v>0</v>
      </c>
      <c r="J433" s="140"/>
      <c r="K433" s="140"/>
      <c r="L433" s="140"/>
      <c r="M433" s="141"/>
      <c r="N433" s="156"/>
    </row>
    <row r="434" spans="1:14">
      <c r="A434" s="147"/>
      <c r="B434" s="141"/>
      <c r="C434" s="140"/>
      <c r="D434" s="140"/>
      <c r="E434" s="140"/>
      <c r="F434" s="140"/>
      <c r="G434" s="140"/>
      <c r="H434" s="134"/>
      <c r="I434" s="134">
        <f>Table3[[#This Row],[Unit Price]]*Table3[[#This Row],[QTY]]</f>
        <v>0</v>
      </c>
      <c r="J434" s="140"/>
      <c r="K434" s="140"/>
      <c r="L434" s="140"/>
      <c r="M434" s="141"/>
      <c r="N434" s="156"/>
    </row>
    <row r="435" spans="1:14">
      <c r="A435" s="147"/>
      <c r="B435" s="141"/>
      <c r="C435" s="140"/>
      <c r="D435" s="140"/>
      <c r="E435" s="140"/>
      <c r="F435" s="140"/>
      <c r="G435" s="140"/>
      <c r="H435" s="134"/>
      <c r="I435" s="134">
        <f>Table3[[#This Row],[Unit Price]]*Table3[[#This Row],[QTY]]</f>
        <v>0</v>
      </c>
      <c r="J435" s="140"/>
      <c r="K435" s="140"/>
      <c r="L435" s="140"/>
      <c r="M435" s="141"/>
      <c r="N435" s="156"/>
    </row>
    <row r="436" spans="1:14">
      <c r="A436" s="147"/>
      <c r="B436" s="141"/>
      <c r="C436" s="140"/>
      <c r="D436" s="140"/>
      <c r="E436" s="140"/>
      <c r="F436" s="140"/>
      <c r="G436" s="140"/>
      <c r="H436" s="134"/>
      <c r="I436" s="134">
        <f>Table3[[#This Row],[Unit Price]]*Table3[[#This Row],[QTY]]</f>
        <v>0</v>
      </c>
      <c r="J436" s="140"/>
      <c r="K436" s="140"/>
      <c r="L436" s="140"/>
      <c r="M436" s="141"/>
      <c r="N436" s="156"/>
    </row>
    <row r="437" spans="1:14">
      <c r="A437" s="147"/>
      <c r="B437" s="141"/>
      <c r="C437" s="140"/>
      <c r="D437" s="140"/>
      <c r="E437" s="140"/>
      <c r="F437" s="140"/>
      <c r="G437" s="140"/>
      <c r="H437" s="134"/>
      <c r="I437" s="134">
        <f>Table3[[#This Row],[Unit Price]]*Table3[[#This Row],[QTY]]</f>
        <v>0</v>
      </c>
      <c r="J437" s="140"/>
      <c r="K437" s="140"/>
      <c r="L437" s="140"/>
      <c r="M437" s="141"/>
      <c r="N437" s="156"/>
    </row>
    <row r="438" spans="1:14">
      <c r="A438" s="147"/>
      <c r="B438" s="141"/>
      <c r="C438" s="140"/>
      <c r="D438" s="140"/>
      <c r="E438" s="140"/>
      <c r="F438" s="140"/>
      <c r="G438" s="140"/>
      <c r="H438" s="134"/>
      <c r="I438" s="134">
        <f>Table3[[#This Row],[Unit Price]]*Table3[[#This Row],[QTY]]</f>
        <v>0</v>
      </c>
      <c r="J438" s="140"/>
      <c r="K438" s="140"/>
      <c r="L438" s="140"/>
      <c r="M438" s="141"/>
      <c r="N438" s="156"/>
    </row>
    <row r="439" spans="1:14">
      <c r="A439" s="147"/>
      <c r="B439" s="141"/>
      <c r="C439" s="140"/>
      <c r="D439" s="140"/>
      <c r="E439" s="140"/>
      <c r="F439" s="140"/>
      <c r="G439" s="140"/>
      <c r="H439" s="134"/>
      <c r="I439" s="134">
        <f>Table3[[#This Row],[Unit Price]]*Table3[[#This Row],[QTY]]</f>
        <v>0</v>
      </c>
      <c r="J439" s="140"/>
      <c r="K439" s="140"/>
      <c r="L439" s="140"/>
      <c r="M439" s="141"/>
      <c r="N439" s="156"/>
    </row>
    <row r="440" spans="1:14">
      <c r="A440" s="147"/>
      <c r="B440" s="141"/>
      <c r="C440" s="140"/>
      <c r="D440" s="140"/>
      <c r="E440" s="140"/>
      <c r="F440" s="140"/>
      <c r="G440" s="140"/>
      <c r="H440" s="134"/>
      <c r="I440" s="134">
        <f>Table3[[#This Row],[Unit Price]]*Table3[[#This Row],[QTY]]</f>
        <v>0</v>
      </c>
      <c r="J440" s="140"/>
      <c r="K440" s="140"/>
      <c r="L440" s="140"/>
      <c r="M440" s="141"/>
      <c r="N440" s="156"/>
    </row>
    <row r="441" spans="1:14">
      <c r="A441" s="147"/>
      <c r="B441" s="141"/>
      <c r="C441" s="140"/>
      <c r="D441" s="140"/>
      <c r="E441" s="140"/>
      <c r="F441" s="140"/>
      <c r="G441" s="140"/>
      <c r="H441" s="134"/>
      <c r="I441" s="134">
        <f>Table3[[#This Row],[Unit Price]]*Table3[[#This Row],[QTY]]</f>
        <v>0</v>
      </c>
      <c r="J441" s="140"/>
      <c r="K441" s="140"/>
      <c r="L441" s="140"/>
      <c r="M441" s="141"/>
      <c r="N441" s="156"/>
    </row>
    <row r="442" spans="1:14">
      <c r="A442" s="147"/>
      <c r="B442" s="141"/>
      <c r="C442" s="140"/>
      <c r="D442" s="140"/>
      <c r="E442" s="140"/>
      <c r="F442" s="140"/>
      <c r="G442" s="140"/>
      <c r="H442" s="134"/>
      <c r="I442" s="134">
        <f>Table3[[#This Row],[Unit Price]]*Table3[[#This Row],[QTY]]</f>
        <v>0</v>
      </c>
      <c r="J442" s="140"/>
      <c r="K442" s="140"/>
      <c r="L442" s="140"/>
      <c r="M442" s="141"/>
      <c r="N442" s="156"/>
    </row>
    <row r="443" spans="1:14">
      <c r="A443" s="147"/>
      <c r="B443" s="141"/>
      <c r="C443" s="140"/>
      <c r="D443" s="140"/>
      <c r="E443" s="140"/>
      <c r="F443" s="140"/>
      <c r="G443" s="140"/>
      <c r="H443" s="134"/>
      <c r="I443" s="134">
        <f>Table3[[#This Row],[Unit Price]]*Table3[[#This Row],[QTY]]</f>
        <v>0</v>
      </c>
      <c r="J443" s="140"/>
      <c r="K443" s="140"/>
      <c r="L443" s="140"/>
      <c r="M443" s="141"/>
      <c r="N443" s="156"/>
    </row>
    <row r="444" spans="1:14">
      <c r="A444" s="147"/>
      <c r="B444" s="141"/>
      <c r="C444" s="140"/>
      <c r="D444" s="140"/>
      <c r="E444" s="140"/>
      <c r="F444" s="140"/>
      <c r="G444" s="140"/>
      <c r="H444" s="134"/>
      <c r="I444" s="134">
        <f>Table3[[#This Row],[Unit Price]]*Table3[[#This Row],[QTY]]</f>
        <v>0</v>
      </c>
      <c r="J444" s="140"/>
      <c r="K444" s="140"/>
      <c r="L444" s="140"/>
      <c r="M444" s="141"/>
      <c r="N444" s="156"/>
    </row>
    <row r="445" spans="1:14">
      <c r="A445" s="147"/>
      <c r="B445" s="141"/>
      <c r="C445" s="140"/>
      <c r="D445" s="140"/>
      <c r="E445" s="140"/>
      <c r="F445" s="140"/>
      <c r="G445" s="140"/>
      <c r="H445" s="134"/>
      <c r="I445" s="134">
        <f>Table3[[#This Row],[Unit Price]]*Table3[[#This Row],[QTY]]</f>
        <v>0</v>
      </c>
      <c r="J445" s="140"/>
      <c r="K445" s="140"/>
      <c r="L445" s="140"/>
      <c r="M445" s="141"/>
      <c r="N445" s="156"/>
    </row>
    <row r="446" spans="1:14">
      <c r="A446" s="147"/>
      <c r="B446" s="141"/>
      <c r="C446" s="140"/>
      <c r="D446" s="140"/>
      <c r="E446" s="140"/>
      <c r="F446" s="140"/>
      <c r="G446" s="140"/>
      <c r="H446" s="134"/>
      <c r="I446" s="134">
        <f>Table3[[#This Row],[Unit Price]]*Table3[[#This Row],[QTY]]</f>
        <v>0</v>
      </c>
      <c r="J446" s="140"/>
      <c r="K446" s="140"/>
      <c r="L446" s="140"/>
      <c r="M446" s="141"/>
      <c r="N446" s="156"/>
    </row>
    <row r="447" spans="1:14">
      <c r="A447" s="147"/>
      <c r="B447" s="141"/>
      <c r="C447" s="140"/>
      <c r="D447" s="140"/>
      <c r="E447" s="140"/>
      <c r="F447" s="140"/>
      <c r="G447" s="140"/>
      <c r="H447" s="134"/>
      <c r="I447" s="134">
        <f>Table3[[#This Row],[Unit Price]]*Table3[[#This Row],[QTY]]</f>
        <v>0</v>
      </c>
      <c r="J447" s="140"/>
      <c r="K447" s="140"/>
      <c r="L447" s="140"/>
      <c r="M447" s="141"/>
      <c r="N447" s="156"/>
    </row>
    <row r="448" spans="1:14">
      <c r="A448" s="147"/>
      <c r="B448" s="141"/>
      <c r="C448" s="140"/>
      <c r="D448" s="140"/>
      <c r="E448" s="140"/>
      <c r="F448" s="140"/>
      <c r="G448" s="140"/>
      <c r="H448" s="134"/>
      <c r="I448" s="134">
        <f>Table3[[#This Row],[Unit Price]]*Table3[[#This Row],[QTY]]</f>
        <v>0</v>
      </c>
      <c r="J448" s="140"/>
      <c r="K448" s="140"/>
      <c r="L448" s="140"/>
      <c r="M448" s="141"/>
      <c r="N448" s="156"/>
    </row>
    <row r="449" spans="1:14">
      <c r="A449" s="147"/>
      <c r="B449" s="141"/>
      <c r="C449" s="140"/>
      <c r="D449" s="140"/>
      <c r="E449" s="140"/>
      <c r="F449" s="140"/>
      <c r="G449" s="140"/>
      <c r="H449" s="134"/>
      <c r="I449" s="134">
        <f>Table3[[#This Row],[Unit Price]]*Table3[[#This Row],[QTY]]</f>
        <v>0</v>
      </c>
      <c r="J449" s="140"/>
      <c r="K449" s="140"/>
      <c r="L449" s="140"/>
      <c r="M449" s="141"/>
      <c r="N449" s="156"/>
    </row>
    <row r="450" spans="1:14">
      <c r="A450" s="147"/>
      <c r="B450" s="141"/>
      <c r="C450" s="140"/>
      <c r="D450" s="140"/>
      <c r="E450" s="140"/>
      <c r="F450" s="140"/>
      <c r="G450" s="140"/>
      <c r="H450" s="134"/>
      <c r="I450" s="134">
        <f>Table3[[#This Row],[Unit Price]]*Table3[[#This Row],[QTY]]</f>
        <v>0</v>
      </c>
      <c r="J450" s="140"/>
      <c r="K450" s="140"/>
      <c r="L450" s="140"/>
      <c r="M450" s="141"/>
      <c r="N450" s="156"/>
    </row>
    <row r="451" spans="1:14">
      <c r="A451" s="147"/>
      <c r="B451" s="141"/>
      <c r="C451" s="140"/>
      <c r="D451" s="140"/>
      <c r="E451" s="140"/>
      <c r="F451" s="140"/>
      <c r="G451" s="140"/>
      <c r="H451" s="134"/>
      <c r="I451" s="134">
        <f>Table3[[#This Row],[Unit Price]]*Table3[[#This Row],[QTY]]</f>
        <v>0</v>
      </c>
      <c r="J451" s="140"/>
      <c r="K451" s="140"/>
      <c r="L451" s="140"/>
      <c r="M451" s="141"/>
      <c r="N451" s="156"/>
    </row>
    <row r="452" spans="1:14">
      <c r="A452" s="147"/>
      <c r="B452" s="141"/>
      <c r="C452" s="140"/>
      <c r="D452" s="140"/>
      <c r="E452" s="140"/>
      <c r="F452" s="140"/>
      <c r="G452" s="140"/>
      <c r="H452" s="134"/>
      <c r="I452" s="134">
        <f>Table3[[#This Row],[Unit Price]]*Table3[[#This Row],[QTY]]</f>
        <v>0</v>
      </c>
      <c r="J452" s="140"/>
      <c r="K452" s="140"/>
      <c r="L452" s="140"/>
      <c r="M452" s="141"/>
      <c r="N452" s="156"/>
    </row>
    <row r="453" spans="1:14">
      <c r="A453" s="147"/>
      <c r="B453" s="141"/>
      <c r="C453" s="140"/>
      <c r="D453" s="140"/>
      <c r="E453" s="140"/>
      <c r="F453" s="140"/>
      <c r="G453" s="140"/>
      <c r="H453" s="134"/>
      <c r="I453" s="134">
        <f>Table3[[#This Row],[Unit Price]]*Table3[[#This Row],[QTY]]</f>
        <v>0</v>
      </c>
      <c r="J453" s="140"/>
      <c r="K453" s="140"/>
      <c r="L453" s="140"/>
      <c r="M453" s="141"/>
      <c r="N453" s="156"/>
    </row>
    <row r="454" spans="1:14">
      <c r="A454" s="147"/>
      <c r="B454" s="141"/>
      <c r="C454" s="140"/>
      <c r="D454" s="140"/>
      <c r="E454" s="140"/>
      <c r="F454" s="140"/>
      <c r="G454" s="140"/>
      <c r="H454" s="134"/>
      <c r="I454" s="134">
        <f>Table3[[#This Row],[Unit Price]]*Table3[[#This Row],[QTY]]</f>
        <v>0</v>
      </c>
      <c r="J454" s="140"/>
      <c r="K454" s="140"/>
      <c r="L454" s="140"/>
      <c r="M454" s="141"/>
      <c r="N454" s="156"/>
    </row>
    <row r="455" spans="1:14">
      <c r="A455" s="147"/>
      <c r="B455" s="141"/>
      <c r="C455" s="140"/>
      <c r="D455" s="140"/>
      <c r="E455" s="140"/>
      <c r="F455" s="140"/>
      <c r="G455" s="140"/>
      <c r="H455" s="134"/>
      <c r="I455" s="134">
        <f>Table3[[#This Row],[Unit Price]]*Table3[[#This Row],[QTY]]</f>
        <v>0</v>
      </c>
      <c r="J455" s="140"/>
      <c r="K455" s="140"/>
      <c r="L455" s="140"/>
      <c r="M455" s="141"/>
      <c r="N455" s="156"/>
    </row>
    <row r="456" spans="1:14">
      <c r="A456" s="147"/>
      <c r="B456" s="141"/>
      <c r="C456" s="140"/>
      <c r="D456" s="140"/>
      <c r="E456" s="140"/>
      <c r="F456" s="140"/>
      <c r="G456" s="140"/>
      <c r="H456" s="134"/>
      <c r="I456" s="134">
        <f>Table3[[#This Row],[Unit Price]]*Table3[[#This Row],[QTY]]</f>
        <v>0</v>
      </c>
      <c r="J456" s="140"/>
      <c r="K456" s="140"/>
      <c r="L456" s="140"/>
      <c r="M456" s="141"/>
      <c r="N456" s="156"/>
    </row>
    <row r="457" spans="1:14">
      <c r="A457" s="147"/>
      <c r="B457" s="141"/>
      <c r="C457" s="140"/>
      <c r="D457" s="140"/>
      <c r="E457" s="140"/>
      <c r="F457" s="140"/>
      <c r="G457" s="140"/>
      <c r="H457" s="134"/>
      <c r="I457" s="134">
        <f>Table3[[#This Row],[Unit Price]]*Table3[[#This Row],[QTY]]</f>
        <v>0</v>
      </c>
      <c r="J457" s="140"/>
      <c r="K457" s="140"/>
      <c r="L457" s="140"/>
      <c r="M457" s="141"/>
      <c r="N457" s="156"/>
    </row>
    <row r="458" spans="1:14">
      <c r="A458" s="147"/>
      <c r="B458" s="141"/>
      <c r="C458" s="140"/>
      <c r="D458" s="140"/>
      <c r="E458" s="140"/>
      <c r="F458" s="140"/>
      <c r="G458" s="140"/>
      <c r="H458" s="134"/>
      <c r="I458" s="134">
        <f>Table3[[#This Row],[Unit Price]]*Table3[[#This Row],[QTY]]</f>
        <v>0</v>
      </c>
      <c r="J458" s="140"/>
      <c r="K458" s="140"/>
      <c r="L458" s="140"/>
      <c r="M458" s="141"/>
      <c r="N458" s="156"/>
    </row>
    <row r="459" spans="1:14">
      <c r="A459" s="147"/>
      <c r="B459" s="141"/>
      <c r="C459" s="140"/>
      <c r="D459" s="140"/>
      <c r="E459" s="140"/>
      <c r="F459" s="140"/>
      <c r="G459" s="140"/>
      <c r="H459" s="134"/>
      <c r="I459" s="134">
        <f>Table3[[#This Row],[Unit Price]]*Table3[[#This Row],[QTY]]</f>
        <v>0</v>
      </c>
      <c r="J459" s="140"/>
      <c r="K459" s="140"/>
      <c r="L459" s="140"/>
      <c r="M459" s="141"/>
      <c r="N459" s="156"/>
    </row>
    <row r="460" spans="1:14">
      <c r="A460" s="147"/>
      <c r="B460" s="141"/>
      <c r="C460" s="140"/>
      <c r="D460" s="140"/>
      <c r="E460" s="140"/>
      <c r="F460" s="140"/>
      <c r="G460" s="140"/>
      <c r="H460" s="134"/>
      <c r="I460" s="134">
        <f>Table3[[#This Row],[Unit Price]]*Table3[[#This Row],[QTY]]</f>
        <v>0</v>
      </c>
      <c r="J460" s="140"/>
      <c r="K460" s="140"/>
      <c r="L460" s="140"/>
      <c r="M460" s="141"/>
      <c r="N460" s="156"/>
    </row>
    <row r="461" spans="1:14">
      <c r="A461" s="147"/>
      <c r="B461" s="141"/>
      <c r="C461" s="140"/>
      <c r="D461" s="140"/>
      <c r="E461" s="140"/>
      <c r="F461" s="140"/>
      <c r="G461" s="140"/>
      <c r="H461" s="134"/>
      <c r="I461" s="134">
        <f>Table3[[#This Row],[Unit Price]]*Table3[[#This Row],[QTY]]</f>
        <v>0</v>
      </c>
      <c r="J461" s="140"/>
      <c r="K461" s="140"/>
      <c r="L461" s="140"/>
      <c r="M461" s="141"/>
      <c r="N461" s="156"/>
    </row>
    <row r="462" spans="1:14">
      <c r="A462" s="147"/>
      <c r="B462" s="141"/>
      <c r="C462" s="140"/>
      <c r="D462" s="140"/>
      <c r="E462" s="140"/>
      <c r="F462" s="140"/>
      <c r="G462" s="140"/>
      <c r="H462" s="134"/>
      <c r="I462" s="134">
        <f>Table3[[#This Row],[Unit Price]]*Table3[[#This Row],[QTY]]</f>
        <v>0</v>
      </c>
      <c r="J462" s="140"/>
      <c r="K462" s="140"/>
      <c r="L462" s="140"/>
      <c r="M462" s="141"/>
      <c r="N462" s="156"/>
    </row>
    <row r="463" spans="1:14">
      <c r="A463" s="147"/>
      <c r="B463" s="141"/>
      <c r="C463" s="140"/>
      <c r="D463" s="140"/>
      <c r="E463" s="140"/>
      <c r="F463" s="140"/>
      <c r="G463" s="140"/>
      <c r="H463" s="134"/>
      <c r="I463" s="134">
        <f>Table3[[#This Row],[Unit Price]]*Table3[[#This Row],[QTY]]</f>
        <v>0</v>
      </c>
      <c r="J463" s="140"/>
      <c r="K463" s="140"/>
      <c r="L463" s="140"/>
      <c r="M463" s="141"/>
      <c r="N463" s="156"/>
    </row>
    <row r="464" spans="1:14">
      <c r="A464" s="147"/>
      <c r="B464" s="141"/>
      <c r="C464" s="140"/>
      <c r="D464" s="140"/>
      <c r="E464" s="140"/>
      <c r="F464" s="140"/>
      <c r="G464" s="140"/>
      <c r="H464" s="134"/>
      <c r="I464" s="134">
        <f>Table3[[#This Row],[Unit Price]]*Table3[[#This Row],[QTY]]</f>
        <v>0</v>
      </c>
      <c r="J464" s="140"/>
      <c r="K464" s="140"/>
      <c r="L464" s="140"/>
      <c r="M464" s="141"/>
      <c r="N464" s="156"/>
    </row>
    <row r="465" spans="1:14">
      <c r="A465" s="147"/>
      <c r="B465" s="141"/>
      <c r="C465" s="140"/>
      <c r="D465" s="140"/>
      <c r="E465" s="140"/>
      <c r="F465" s="140"/>
      <c r="G465" s="140"/>
      <c r="H465" s="134"/>
      <c r="I465" s="134">
        <f>Table3[[#This Row],[Unit Price]]*Table3[[#This Row],[QTY]]</f>
        <v>0</v>
      </c>
      <c r="J465" s="140"/>
      <c r="K465" s="140"/>
      <c r="L465" s="140"/>
      <c r="M465" s="141"/>
      <c r="N465" s="156"/>
    </row>
    <row r="466" spans="1:14">
      <c r="A466" s="147"/>
      <c r="B466" s="141"/>
      <c r="C466" s="140"/>
      <c r="D466" s="140"/>
      <c r="E466" s="140"/>
      <c r="F466" s="140"/>
      <c r="G466" s="140"/>
      <c r="H466" s="134"/>
      <c r="I466" s="134">
        <f>Table3[[#This Row],[Unit Price]]*Table3[[#This Row],[QTY]]</f>
        <v>0</v>
      </c>
      <c r="J466" s="140"/>
      <c r="K466" s="140"/>
      <c r="L466" s="140"/>
      <c r="M466" s="141"/>
      <c r="N466" s="156"/>
    </row>
    <row r="467" spans="1:14">
      <c r="A467" s="147"/>
      <c r="B467" s="141"/>
      <c r="C467" s="140"/>
      <c r="D467" s="140"/>
      <c r="E467" s="140"/>
      <c r="F467" s="140"/>
      <c r="G467" s="140"/>
      <c r="H467" s="134"/>
      <c r="I467" s="134">
        <f>Table3[[#This Row],[Unit Price]]*Table3[[#This Row],[QTY]]</f>
        <v>0</v>
      </c>
      <c r="J467" s="140"/>
      <c r="K467" s="140"/>
      <c r="L467" s="140"/>
      <c r="M467" s="141"/>
      <c r="N467" s="156"/>
    </row>
    <row r="468" spans="1:14">
      <c r="A468" s="147"/>
      <c r="B468" s="141"/>
      <c r="C468" s="140"/>
      <c r="D468" s="140"/>
      <c r="E468" s="140"/>
      <c r="F468" s="140"/>
      <c r="G468" s="140"/>
      <c r="H468" s="134"/>
      <c r="I468" s="134">
        <f>Table3[[#This Row],[Unit Price]]*Table3[[#This Row],[QTY]]</f>
        <v>0</v>
      </c>
      <c r="J468" s="140"/>
      <c r="K468" s="140"/>
      <c r="L468" s="140"/>
      <c r="M468" s="141"/>
      <c r="N468" s="156"/>
    </row>
    <row r="469" spans="1:14">
      <c r="A469" s="147"/>
      <c r="B469" s="141"/>
      <c r="C469" s="140"/>
      <c r="D469" s="140"/>
      <c r="E469" s="140"/>
      <c r="F469" s="140"/>
      <c r="G469" s="140"/>
      <c r="H469" s="134"/>
      <c r="I469" s="134">
        <f>Table3[[#This Row],[Unit Price]]*Table3[[#This Row],[QTY]]</f>
        <v>0</v>
      </c>
      <c r="J469" s="140"/>
      <c r="K469" s="140"/>
      <c r="L469" s="140"/>
      <c r="M469" s="141"/>
      <c r="N469" s="156"/>
    </row>
    <row r="470" spans="1:14">
      <c r="A470" s="147"/>
      <c r="B470" s="141"/>
      <c r="C470" s="140"/>
      <c r="D470" s="140"/>
      <c r="E470" s="140"/>
      <c r="F470" s="140"/>
      <c r="G470" s="140"/>
      <c r="H470" s="134"/>
      <c r="I470" s="134">
        <f>Table3[[#This Row],[Unit Price]]*Table3[[#This Row],[QTY]]</f>
        <v>0</v>
      </c>
      <c r="J470" s="140"/>
      <c r="K470" s="140"/>
      <c r="L470" s="140"/>
      <c r="M470" s="141"/>
      <c r="N470" s="156"/>
    </row>
    <row r="471" spans="1:14">
      <c r="A471" s="147"/>
      <c r="B471" s="141"/>
      <c r="C471" s="140"/>
      <c r="D471" s="140"/>
      <c r="E471" s="140"/>
      <c r="F471" s="140"/>
      <c r="G471" s="140"/>
      <c r="H471" s="134"/>
      <c r="I471" s="134">
        <f>Table3[[#This Row],[Unit Price]]*Table3[[#This Row],[QTY]]</f>
        <v>0</v>
      </c>
      <c r="J471" s="140"/>
      <c r="K471" s="140"/>
      <c r="L471" s="140"/>
      <c r="M471" s="141"/>
      <c r="N471" s="156"/>
    </row>
    <row r="472" spans="1:14">
      <c r="A472" s="147"/>
      <c r="B472" s="141"/>
      <c r="C472" s="140"/>
      <c r="D472" s="140"/>
      <c r="E472" s="140"/>
      <c r="F472" s="140"/>
      <c r="G472" s="140"/>
      <c r="H472" s="134"/>
      <c r="I472" s="134">
        <f>Table3[[#This Row],[Unit Price]]*Table3[[#This Row],[QTY]]</f>
        <v>0</v>
      </c>
      <c r="J472" s="140"/>
      <c r="K472" s="140"/>
      <c r="L472" s="140"/>
      <c r="M472" s="141"/>
      <c r="N472" s="156"/>
    </row>
    <row r="473" spans="1:14">
      <c r="A473" s="147"/>
      <c r="B473" s="141"/>
      <c r="C473" s="140"/>
      <c r="D473" s="140"/>
      <c r="E473" s="140"/>
      <c r="F473" s="140"/>
      <c r="G473" s="140"/>
      <c r="H473" s="134"/>
      <c r="I473" s="134">
        <f>Table3[[#This Row],[Unit Price]]*Table3[[#This Row],[QTY]]</f>
        <v>0</v>
      </c>
      <c r="J473" s="140"/>
      <c r="K473" s="140"/>
      <c r="L473" s="140"/>
      <c r="M473" s="141"/>
      <c r="N473" s="156"/>
    </row>
    <row r="474" spans="1:14">
      <c r="A474" s="147"/>
      <c r="B474" s="141"/>
      <c r="C474" s="140"/>
      <c r="D474" s="140"/>
      <c r="E474" s="140"/>
      <c r="F474" s="140"/>
      <c r="G474" s="140"/>
      <c r="H474" s="134"/>
      <c r="I474" s="134">
        <f>Table3[[#This Row],[Unit Price]]*Table3[[#This Row],[QTY]]</f>
        <v>0</v>
      </c>
      <c r="J474" s="140"/>
      <c r="K474" s="140"/>
      <c r="L474" s="140"/>
      <c r="M474" s="141"/>
      <c r="N474" s="156"/>
    </row>
    <row r="475" spans="1:14">
      <c r="A475" s="147"/>
      <c r="B475" s="141"/>
      <c r="C475" s="140"/>
      <c r="D475" s="140"/>
      <c r="E475" s="140"/>
      <c r="F475" s="140"/>
      <c r="G475" s="140"/>
      <c r="H475" s="134"/>
      <c r="I475" s="134">
        <f>Table3[[#This Row],[Unit Price]]*Table3[[#This Row],[QTY]]</f>
        <v>0</v>
      </c>
      <c r="J475" s="140"/>
      <c r="K475" s="140"/>
      <c r="L475" s="140"/>
      <c r="M475" s="141"/>
      <c r="N475" s="156"/>
    </row>
    <row r="476" spans="1:14">
      <c r="A476" s="147"/>
      <c r="B476" s="141"/>
      <c r="C476" s="140"/>
      <c r="D476" s="140"/>
      <c r="E476" s="140"/>
      <c r="F476" s="140"/>
      <c r="G476" s="140"/>
      <c r="H476" s="134"/>
      <c r="I476" s="134">
        <f>Table3[[#This Row],[Unit Price]]*Table3[[#This Row],[QTY]]</f>
        <v>0</v>
      </c>
      <c r="J476" s="140"/>
      <c r="K476" s="140"/>
      <c r="L476" s="140"/>
      <c r="M476" s="141"/>
      <c r="N476" s="156"/>
    </row>
    <row r="477" spans="1:14">
      <c r="A477" s="147"/>
      <c r="B477" s="141"/>
      <c r="C477" s="140"/>
      <c r="D477" s="140"/>
      <c r="E477" s="140"/>
      <c r="F477" s="140"/>
      <c r="G477" s="140"/>
      <c r="H477" s="134"/>
      <c r="I477" s="134">
        <f>Table3[[#This Row],[Unit Price]]*Table3[[#This Row],[QTY]]</f>
        <v>0</v>
      </c>
      <c r="J477" s="140"/>
      <c r="K477" s="140"/>
      <c r="L477" s="140"/>
      <c r="M477" s="141"/>
      <c r="N477" s="156"/>
    </row>
    <row r="478" spans="1:14">
      <c r="A478" s="147"/>
      <c r="B478" s="141"/>
      <c r="C478" s="140"/>
      <c r="D478" s="140"/>
      <c r="E478" s="140"/>
      <c r="F478" s="140"/>
      <c r="G478" s="140"/>
      <c r="H478" s="134"/>
      <c r="I478" s="134">
        <f>Table3[[#This Row],[Unit Price]]*Table3[[#This Row],[QTY]]</f>
        <v>0</v>
      </c>
      <c r="J478" s="140"/>
      <c r="K478" s="140"/>
      <c r="L478" s="140"/>
      <c r="M478" s="141"/>
      <c r="N478" s="156"/>
    </row>
    <row r="479" spans="1:14">
      <c r="A479" s="147"/>
      <c r="B479" s="141"/>
      <c r="C479" s="140"/>
      <c r="D479" s="140"/>
      <c r="E479" s="140"/>
      <c r="F479" s="140"/>
      <c r="G479" s="140"/>
      <c r="H479" s="134"/>
      <c r="I479" s="134">
        <f>Table3[[#This Row],[Unit Price]]*Table3[[#This Row],[QTY]]</f>
        <v>0</v>
      </c>
      <c r="J479" s="140"/>
      <c r="K479" s="140"/>
      <c r="L479" s="140"/>
      <c r="M479" s="141"/>
      <c r="N479" s="156"/>
    </row>
    <row r="480" spans="1:14">
      <c r="A480" s="147"/>
      <c r="B480" s="141"/>
      <c r="C480" s="140"/>
      <c r="D480" s="140"/>
      <c r="E480" s="140"/>
      <c r="F480" s="140"/>
      <c r="G480" s="140"/>
      <c r="H480" s="134"/>
      <c r="I480" s="134">
        <f>Table3[[#This Row],[Unit Price]]*Table3[[#This Row],[QTY]]</f>
        <v>0</v>
      </c>
      <c r="J480" s="140"/>
      <c r="K480" s="140"/>
      <c r="L480" s="140"/>
      <c r="M480" s="141"/>
      <c r="N480" s="156"/>
    </row>
    <row r="481" spans="1:14">
      <c r="A481" s="147"/>
      <c r="B481" s="141"/>
      <c r="C481" s="140"/>
      <c r="D481" s="140"/>
      <c r="E481" s="140"/>
      <c r="F481" s="140"/>
      <c r="G481" s="140"/>
      <c r="H481" s="134"/>
      <c r="I481" s="134">
        <f>Table3[[#This Row],[Unit Price]]*Table3[[#This Row],[QTY]]</f>
        <v>0</v>
      </c>
      <c r="J481" s="140"/>
      <c r="K481" s="140"/>
      <c r="L481" s="140"/>
      <c r="M481" s="141"/>
      <c r="N481" s="156"/>
    </row>
    <row r="482" spans="1:14">
      <c r="A482" s="147"/>
      <c r="B482" s="141"/>
      <c r="C482" s="140"/>
      <c r="D482" s="140"/>
      <c r="E482" s="140"/>
      <c r="F482" s="140"/>
      <c r="G482" s="140"/>
      <c r="H482" s="134"/>
      <c r="I482" s="134">
        <f>Table3[[#This Row],[Unit Price]]*Table3[[#This Row],[QTY]]</f>
        <v>0</v>
      </c>
      <c r="J482" s="140"/>
      <c r="K482" s="140"/>
      <c r="L482" s="140"/>
      <c r="M482" s="141"/>
      <c r="N482" s="156"/>
    </row>
    <row r="483" spans="1:14">
      <c r="A483" s="147"/>
      <c r="B483" s="141"/>
      <c r="C483" s="140"/>
      <c r="D483" s="140"/>
      <c r="E483" s="140"/>
      <c r="F483" s="140"/>
      <c r="G483" s="140"/>
      <c r="H483" s="134"/>
      <c r="I483" s="134">
        <f>Table3[[#This Row],[Unit Price]]*Table3[[#This Row],[QTY]]</f>
        <v>0</v>
      </c>
      <c r="J483" s="140"/>
      <c r="K483" s="140"/>
      <c r="L483" s="140"/>
      <c r="M483" s="141"/>
      <c r="N483" s="156"/>
    </row>
    <row r="484" spans="1:14">
      <c r="A484" s="147"/>
      <c r="B484" s="141"/>
      <c r="C484" s="140"/>
      <c r="D484" s="140"/>
      <c r="E484" s="140"/>
      <c r="F484" s="140"/>
      <c r="G484" s="140"/>
      <c r="H484" s="134"/>
      <c r="I484" s="134">
        <f>Table3[[#This Row],[Unit Price]]*Table3[[#This Row],[QTY]]</f>
        <v>0</v>
      </c>
      <c r="J484" s="140"/>
      <c r="K484" s="140"/>
      <c r="L484" s="140"/>
      <c r="M484" s="141"/>
      <c r="N484" s="156"/>
    </row>
    <row r="485" spans="1:14">
      <c r="A485" s="147"/>
      <c r="B485" s="141"/>
      <c r="C485" s="140"/>
      <c r="D485" s="140"/>
      <c r="E485" s="140"/>
      <c r="F485" s="140"/>
      <c r="G485" s="140"/>
      <c r="H485" s="134"/>
      <c r="I485" s="134">
        <f>Table3[[#This Row],[Unit Price]]*Table3[[#This Row],[QTY]]</f>
        <v>0</v>
      </c>
      <c r="J485" s="140"/>
      <c r="K485" s="140"/>
      <c r="L485" s="140"/>
      <c r="M485" s="141"/>
      <c r="N485" s="156"/>
    </row>
    <row r="486" spans="1:14">
      <c r="A486" s="147"/>
      <c r="B486" s="141"/>
      <c r="C486" s="140"/>
      <c r="D486" s="140"/>
      <c r="E486" s="140"/>
      <c r="F486" s="140"/>
      <c r="G486" s="140"/>
      <c r="H486" s="134"/>
      <c r="I486" s="134">
        <f>Table3[[#This Row],[Unit Price]]*Table3[[#This Row],[QTY]]</f>
        <v>0</v>
      </c>
      <c r="J486" s="140"/>
      <c r="K486" s="140"/>
      <c r="L486" s="140"/>
      <c r="M486" s="141"/>
      <c r="N486" s="156"/>
    </row>
    <row r="487" spans="1:14">
      <c r="A487" s="147"/>
      <c r="B487" s="141"/>
      <c r="C487" s="140"/>
      <c r="D487" s="140"/>
      <c r="E487" s="140"/>
      <c r="F487" s="140"/>
      <c r="G487" s="140"/>
      <c r="H487" s="134"/>
      <c r="I487" s="134">
        <f>Table3[[#This Row],[Unit Price]]*Table3[[#This Row],[QTY]]</f>
        <v>0</v>
      </c>
      <c r="J487" s="140"/>
      <c r="K487" s="140"/>
      <c r="L487" s="140"/>
      <c r="M487" s="141"/>
      <c r="N487" s="156"/>
    </row>
    <row r="488" spans="1:14">
      <c r="A488" s="147"/>
      <c r="B488" s="141"/>
      <c r="C488" s="140"/>
      <c r="D488" s="140"/>
      <c r="E488" s="140"/>
      <c r="F488" s="140"/>
      <c r="G488" s="140"/>
      <c r="H488" s="134"/>
      <c r="I488" s="134">
        <f>Table3[[#This Row],[Unit Price]]*Table3[[#This Row],[QTY]]</f>
        <v>0</v>
      </c>
      <c r="J488" s="140"/>
      <c r="K488" s="140"/>
      <c r="L488" s="140"/>
      <c r="M488" s="141"/>
      <c r="N488" s="156"/>
    </row>
    <row r="489" spans="1:14">
      <c r="A489" s="147"/>
      <c r="B489" s="141"/>
      <c r="C489" s="140"/>
      <c r="D489" s="140"/>
      <c r="E489" s="140"/>
      <c r="F489" s="140"/>
      <c r="G489" s="140"/>
      <c r="H489" s="134"/>
      <c r="I489" s="134">
        <f>Table3[[#This Row],[Unit Price]]*Table3[[#This Row],[QTY]]</f>
        <v>0</v>
      </c>
      <c r="J489" s="140"/>
      <c r="K489" s="140"/>
      <c r="L489" s="140"/>
      <c r="M489" s="141"/>
      <c r="N489" s="156"/>
    </row>
    <row r="490" spans="1:14">
      <c r="A490" s="147"/>
      <c r="B490" s="141"/>
      <c r="C490" s="140"/>
      <c r="D490" s="140"/>
      <c r="E490" s="140"/>
      <c r="F490" s="140"/>
      <c r="G490" s="140"/>
      <c r="H490" s="134"/>
      <c r="I490" s="134">
        <f>Table3[[#This Row],[Unit Price]]*Table3[[#This Row],[QTY]]</f>
        <v>0</v>
      </c>
      <c r="J490" s="140"/>
      <c r="K490" s="140"/>
      <c r="L490" s="140"/>
      <c r="M490" s="141"/>
      <c r="N490" s="156"/>
    </row>
    <row r="491" spans="1:14">
      <c r="A491" s="147"/>
      <c r="B491" s="141"/>
      <c r="C491" s="140"/>
      <c r="D491" s="140"/>
      <c r="E491" s="140"/>
      <c r="F491" s="140"/>
      <c r="G491" s="140"/>
      <c r="H491" s="134"/>
      <c r="I491" s="134">
        <f>Table3[[#This Row],[Unit Price]]*Table3[[#This Row],[QTY]]</f>
        <v>0</v>
      </c>
      <c r="J491" s="140"/>
      <c r="K491" s="140"/>
      <c r="L491" s="140"/>
      <c r="M491" s="141"/>
      <c r="N491" s="156"/>
    </row>
    <row r="492" spans="1:14">
      <c r="A492" s="147"/>
      <c r="B492" s="141"/>
      <c r="C492" s="140"/>
      <c r="D492" s="140"/>
      <c r="E492" s="140"/>
      <c r="F492" s="140"/>
      <c r="G492" s="140"/>
      <c r="H492" s="134"/>
      <c r="I492" s="134">
        <f>Table3[[#This Row],[Unit Price]]*Table3[[#This Row],[QTY]]</f>
        <v>0</v>
      </c>
      <c r="J492" s="140"/>
      <c r="K492" s="140"/>
      <c r="L492" s="140"/>
      <c r="M492" s="141"/>
      <c r="N492" s="156"/>
    </row>
    <row r="493" spans="1:14">
      <c r="A493" s="147"/>
      <c r="B493" s="141"/>
      <c r="C493" s="140"/>
      <c r="D493" s="140"/>
      <c r="E493" s="140"/>
      <c r="F493" s="140"/>
      <c r="G493" s="140"/>
      <c r="H493" s="134"/>
      <c r="I493" s="134">
        <f>Table3[[#This Row],[Unit Price]]*Table3[[#This Row],[QTY]]</f>
        <v>0</v>
      </c>
      <c r="J493" s="140"/>
      <c r="K493" s="140"/>
      <c r="L493" s="140"/>
      <c r="M493" s="141"/>
      <c r="N493" s="156"/>
    </row>
    <row r="494" spans="1:14">
      <c r="A494" s="147"/>
      <c r="B494" s="141"/>
      <c r="C494" s="140"/>
      <c r="D494" s="140"/>
      <c r="E494" s="140"/>
      <c r="F494" s="140"/>
      <c r="G494" s="140"/>
      <c r="H494" s="134"/>
      <c r="I494" s="134">
        <f>Table3[[#This Row],[Unit Price]]*Table3[[#This Row],[QTY]]</f>
        <v>0</v>
      </c>
      <c r="J494" s="140"/>
      <c r="K494" s="140"/>
      <c r="L494" s="140"/>
      <c r="M494" s="141"/>
      <c r="N494" s="156"/>
    </row>
    <row r="495" spans="1:14">
      <c r="A495" s="147"/>
      <c r="B495" s="141"/>
      <c r="C495" s="140"/>
      <c r="D495" s="140"/>
      <c r="E495" s="140"/>
      <c r="F495" s="140"/>
      <c r="G495" s="140"/>
      <c r="H495" s="134"/>
      <c r="I495" s="134">
        <f>Table3[[#This Row],[Unit Price]]*Table3[[#This Row],[QTY]]</f>
        <v>0</v>
      </c>
      <c r="J495" s="140"/>
      <c r="K495" s="140"/>
      <c r="L495" s="140"/>
      <c r="M495" s="141"/>
      <c r="N495" s="156"/>
    </row>
    <row r="496" spans="1:14">
      <c r="A496" s="147"/>
      <c r="B496" s="141"/>
      <c r="C496" s="140"/>
      <c r="D496" s="140"/>
      <c r="E496" s="140"/>
      <c r="F496" s="140"/>
      <c r="G496" s="140"/>
      <c r="H496" s="134"/>
      <c r="I496" s="134">
        <f>Table3[[#This Row],[Unit Price]]*Table3[[#This Row],[QTY]]</f>
        <v>0</v>
      </c>
      <c r="J496" s="140"/>
      <c r="K496" s="140"/>
      <c r="L496" s="140"/>
      <c r="M496" s="141"/>
      <c r="N496" s="156"/>
    </row>
    <row r="497" spans="1:14">
      <c r="A497" s="147"/>
      <c r="B497" s="141"/>
      <c r="C497" s="140"/>
      <c r="D497" s="140"/>
      <c r="E497" s="140"/>
      <c r="F497" s="140"/>
      <c r="G497" s="140"/>
      <c r="H497" s="134"/>
      <c r="I497" s="134">
        <f>Table3[[#This Row],[Unit Price]]*Table3[[#This Row],[QTY]]</f>
        <v>0</v>
      </c>
      <c r="J497" s="140"/>
      <c r="K497" s="140"/>
      <c r="L497" s="140"/>
      <c r="M497" s="141"/>
      <c r="N497" s="156"/>
    </row>
    <row r="498" spans="1:14">
      <c r="A498" s="147"/>
      <c r="B498" s="141"/>
      <c r="C498" s="140"/>
      <c r="D498" s="140"/>
      <c r="E498" s="140"/>
      <c r="F498" s="140"/>
      <c r="G498" s="140"/>
      <c r="H498" s="134"/>
      <c r="I498" s="134">
        <f>Table3[[#This Row],[Unit Price]]*Table3[[#This Row],[QTY]]</f>
        <v>0</v>
      </c>
      <c r="J498" s="140"/>
      <c r="K498" s="140"/>
      <c r="L498" s="140"/>
      <c r="M498" s="141"/>
      <c r="N498" s="156"/>
    </row>
    <row r="499" spans="1:14">
      <c r="A499" s="147"/>
      <c r="B499" s="141"/>
      <c r="C499" s="140"/>
      <c r="D499" s="140"/>
      <c r="E499" s="140"/>
      <c r="F499" s="140"/>
      <c r="G499" s="140"/>
      <c r="H499" s="134"/>
      <c r="I499" s="134">
        <f>Table3[[#This Row],[Unit Price]]*Table3[[#This Row],[QTY]]</f>
        <v>0</v>
      </c>
      <c r="J499" s="140"/>
      <c r="K499" s="140"/>
      <c r="L499" s="140"/>
      <c r="M499" s="141"/>
      <c r="N499" s="156"/>
    </row>
    <row r="500" spans="1:14">
      <c r="A500" s="147"/>
      <c r="B500" s="141"/>
      <c r="C500" s="140"/>
      <c r="D500" s="140"/>
      <c r="E500" s="140"/>
      <c r="F500" s="140"/>
      <c r="G500" s="140"/>
      <c r="H500" s="134"/>
      <c r="I500" s="134">
        <f>Table3[[#This Row],[Unit Price]]*Table3[[#This Row],[QTY]]</f>
        <v>0</v>
      </c>
      <c r="J500" s="140"/>
      <c r="K500" s="140"/>
      <c r="L500" s="140"/>
      <c r="M500" s="141"/>
      <c r="N500" s="156"/>
    </row>
    <row r="501" spans="1:14">
      <c r="A501" s="147"/>
      <c r="B501" s="141"/>
      <c r="C501" s="140"/>
      <c r="D501" s="140"/>
      <c r="E501" s="140"/>
      <c r="F501" s="140"/>
      <c r="G501" s="140"/>
      <c r="H501" s="134"/>
      <c r="I501" s="134">
        <f>Table3[[#This Row],[Unit Price]]*Table3[[#This Row],[QTY]]</f>
        <v>0</v>
      </c>
      <c r="J501" s="140"/>
      <c r="K501" s="140"/>
      <c r="L501" s="140"/>
      <c r="M501" s="141"/>
      <c r="N501" s="156"/>
    </row>
    <row r="502" spans="1:14">
      <c r="A502" s="147"/>
      <c r="B502" s="141"/>
      <c r="C502" s="140"/>
      <c r="D502" s="140"/>
      <c r="E502" s="140"/>
      <c r="F502" s="140"/>
      <c r="G502" s="140"/>
      <c r="H502" s="134"/>
      <c r="I502" s="134">
        <f>Table3[[#This Row],[Unit Price]]*Table3[[#This Row],[QTY]]</f>
        <v>0</v>
      </c>
      <c r="J502" s="140"/>
      <c r="K502" s="140"/>
      <c r="L502" s="140"/>
      <c r="M502" s="141"/>
      <c r="N502" s="156"/>
    </row>
    <row r="503" spans="1:14">
      <c r="A503" s="147"/>
      <c r="B503" s="141"/>
      <c r="C503" s="140"/>
      <c r="D503" s="140"/>
      <c r="E503" s="140"/>
      <c r="F503" s="140"/>
      <c r="G503" s="140"/>
      <c r="H503" s="134"/>
      <c r="I503" s="134">
        <f>Table3[[#This Row],[Unit Price]]*Table3[[#This Row],[QTY]]</f>
        <v>0</v>
      </c>
      <c r="J503" s="140"/>
      <c r="K503" s="140"/>
      <c r="L503" s="140"/>
      <c r="M503" s="141"/>
      <c r="N503" s="156"/>
    </row>
    <row r="504" spans="1:14">
      <c r="A504" s="147"/>
      <c r="B504" s="141"/>
      <c r="C504" s="140"/>
      <c r="D504" s="140"/>
      <c r="E504" s="140"/>
      <c r="F504" s="140"/>
      <c r="G504" s="140"/>
      <c r="H504" s="134"/>
      <c r="I504" s="134">
        <f>Table3[[#This Row],[Unit Price]]*Table3[[#This Row],[QTY]]</f>
        <v>0</v>
      </c>
      <c r="J504" s="140"/>
      <c r="K504" s="140"/>
      <c r="L504" s="140"/>
      <c r="M504" s="141"/>
      <c r="N504" s="156"/>
    </row>
    <row r="505" spans="1:14">
      <c r="A505" s="147"/>
      <c r="B505" s="141"/>
      <c r="C505" s="140"/>
      <c r="D505" s="140"/>
      <c r="E505" s="140"/>
      <c r="F505" s="140"/>
      <c r="G505" s="140"/>
      <c r="H505" s="134"/>
      <c r="I505" s="134">
        <f>Table3[[#This Row],[Unit Price]]*Table3[[#This Row],[QTY]]</f>
        <v>0</v>
      </c>
      <c r="J505" s="140"/>
      <c r="K505" s="140"/>
      <c r="L505" s="140"/>
      <c r="M505" s="141"/>
      <c r="N505" s="156"/>
    </row>
    <row r="506" spans="1:14">
      <c r="A506" s="147"/>
      <c r="B506" s="141"/>
      <c r="C506" s="140"/>
      <c r="D506" s="140"/>
      <c r="E506" s="140"/>
      <c r="F506" s="140"/>
      <c r="G506" s="140"/>
      <c r="H506" s="134"/>
      <c r="I506" s="134">
        <f>Table3[[#This Row],[Unit Price]]*Table3[[#This Row],[QTY]]</f>
        <v>0</v>
      </c>
      <c r="J506" s="140"/>
      <c r="K506" s="140"/>
      <c r="L506" s="140"/>
      <c r="M506" s="141"/>
      <c r="N506" s="156"/>
    </row>
    <row r="507" spans="1:14">
      <c r="A507" s="147"/>
      <c r="B507" s="141"/>
      <c r="C507" s="140"/>
      <c r="D507" s="140"/>
      <c r="E507" s="140"/>
      <c r="F507" s="140"/>
      <c r="G507" s="140"/>
      <c r="H507" s="134"/>
      <c r="I507" s="134">
        <f>Table3[[#This Row],[Unit Price]]*Table3[[#This Row],[QTY]]</f>
        <v>0</v>
      </c>
      <c r="J507" s="140"/>
      <c r="K507" s="140"/>
      <c r="L507" s="140"/>
      <c r="M507" s="141"/>
      <c r="N507" s="156"/>
    </row>
    <row r="508" spans="1:14">
      <c r="A508" s="147"/>
      <c r="B508" s="141"/>
      <c r="C508" s="140"/>
      <c r="D508" s="140"/>
      <c r="E508" s="140"/>
      <c r="F508" s="140"/>
      <c r="G508" s="140"/>
      <c r="H508" s="134"/>
      <c r="I508" s="134">
        <f>Table3[[#This Row],[Unit Price]]*Table3[[#This Row],[QTY]]</f>
        <v>0</v>
      </c>
      <c r="J508" s="140"/>
      <c r="K508" s="140"/>
      <c r="L508" s="140"/>
      <c r="M508" s="141"/>
      <c r="N508" s="156"/>
    </row>
    <row r="509" spans="1:14">
      <c r="A509" s="147"/>
      <c r="B509" s="141"/>
      <c r="C509" s="140"/>
      <c r="D509" s="140"/>
      <c r="E509" s="140"/>
      <c r="F509" s="140"/>
      <c r="G509" s="140"/>
      <c r="H509" s="134"/>
      <c r="I509" s="134">
        <f>Table3[[#This Row],[Unit Price]]*Table3[[#This Row],[QTY]]</f>
        <v>0</v>
      </c>
      <c r="J509" s="140"/>
      <c r="K509" s="140"/>
      <c r="L509" s="140"/>
      <c r="M509" s="141"/>
      <c r="N509" s="156"/>
    </row>
    <row r="510" spans="1:14">
      <c r="A510" s="212"/>
      <c r="B510" s="213"/>
      <c r="C510" s="150"/>
      <c r="D510" s="150"/>
      <c r="E510" s="150"/>
      <c r="F510" s="150"/>
      <c r="G510" s="150"/>
      <c r="H510" s="151"/>
      <c r="I510" s="151">
        <f>Table3[[#This Row],[Unit Price]]*Table3[[#This Row],[QTY]]</f>
        <v>0</v>
      </c>
      <c r="J510" s="150"/>
      <c r="K510" s="150"/>
      <c r="L510" s="150"/>
      <c r="M510" s="213"/>
      <c r="N510" s="214"/>
    </row>
  </sheetData>
  <phoneticPr fontId="4" type="noConversion"/>
  <conditionalFormatting sqref="O152">
    <cfRule type="containsText" dxfId="68" priority="4" operator="containsText" text="LIBERADO">
      <formula>NOT(ISERROR(SEARCH("LIBERADO",O152)))</formula>
    </cfRule>
  </conditionalFormatting>
  <conditionalFormatting sqref="R1:R1048576">
    <cfRule type="containsText" dxfId="67" priority="1" operator="containsText" text="REP. ESTOQUE">
      <formula>NOT(ISERROR(SEARCH("REP. ESTOQUE",R1)))</formula>
    </cfRule>
    <cfRule type="containsText" dxfId="66" priority="2" operator="containsText" text="LIBERADO">
      <formula>NOT(ISERROR(SEARCH("LIBERADO",R1)))</formula>
    </cfRule>
  </conditionalFormatting>
  <conditionalFormatting sqref="R152 A152:A156">
    <cfRule type="containsText" dxfId="65" priority="3" operator="containsText" text="LIBERADO">
      <formula>NOT(ISERROR(SEARCH("LIBERADO",A152)))</formula>
    </cfRule>
  </conditionalFormatting>
  <dataValidations count="1">
    <dataValidation allowBlank="1" showInputMessage="1" showErrorMessage="1" sqref="U123 R1:R1048576" xr:uid="{4C3539BD-1EE5-4466-9BC5-DB6DD75718C7}"/>
  </dataValidations>
  <pageMargins left="0.7" right="0.7" top="0.75" bottom="0.75" header="0.3" footer="0.3"/>
  <pageSetup paperSize="9" scale="1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8CADA1-82F1-417C-AECA-B2DFC322AF88}">
          <x14:formula1>
            <xm:f>DB!$A$2:$A$5</xm:f>
          </x14:formula1>
          <xm:sqref>K59:K91 K2:K19 K21:K57</xm:sqref>
        </x14:dataValidation>
        <x14:dataValidation type="list" allowBlank="1" showInputMessage="1" showErrorMessage="1" xr:uid="{C5CCAC11-C222-4806-AD50-22814123F6B6}">
          <x14:formula1>
            <xm:f>DB!$A$2:$A$7</xm:f>
          </x14:formula1>
          <xm:sqref>K58 K20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A30E-A0B7-437C-8070-4BC50CAC06F0}">
  <dimension ref="A1:I8"/>
  <sheetViews>
    <sheetView workbookViewId="0">
      <selection activeCell="D12" sqref="D12"/>
    </sheetView>
  </sheetViews>
  <sheetFormatPr defaultRowHeight="14.45"/>
  <cols>
    <col min="1" max="1" width="24.7109375" customWidth="1"/>
    <col min="4" max="4" width="17.85546875" customWidth="1"/>
    <col min="5" max="5" width="24.5703125" bestFit="1" customWidth="1"/>
    <col min="7" max="7" width="22.42578125" bestFit="1" customWidth="1"/>
    <col min="9" max="9" width="10.5703125" bestFit="1" customWidth="1"/>
  </cols>
  <sheetData>
    <row r="1" spans="1:9">
      <c r="A1" s="198" t="s">
        <v>14</v>
      </c>
      <c r="B1" s="199" t="s">
        <v>2599</v>
      </c>
      <c r="C1" s="200" t="s">
        <v>2600</v>
      </c>
      <c r="D1" s="201" t="s">
        <v>12</v>
      </c>
      <c r="E1" s="200" t="s">
        <v>2601</v>
      </c>
      <c r="F1" s="202"/>
      <c r="G1" s="200" t="s">
        <v>2602</v>
      </c>
      <c r="I1" s="203" t="s">
        <v>29</v>
      </c>
    </row>
    <row r="2" spans="1:9">
      <c r="A2" t="s">
        <v>73</v>
      </c>
      <c r="B2" t="s">
        <v>269</v>
      </c>
      <c r="C2" t="s">
        <v>2603</v>
      </c>
      <c r="D2" t="s">
        <v>39</v>
      </c>
      <c r="E2" t="s">
        <v>2604</v>
      </c>
      <c r="G2" t="s">
        <v>2605</v>
      </c>
      <c r="I2" s="112" t="s">
        <v>2606</v>
      </c>
    </row>
    <row r="3" spans="1:9">
      <c r="A3" t="s">
        <v>2607</v>
      </c>
      <c r="B3" t="s">
        <v>37</v>
      </c>
      <c r="C3" t="s">
        <v>2608</v>
      </c>
      <c r="D3" t="s">
        <v>73</v>
      </c>
      <c r="E3" t="s">
        <v>2609</v>
      </c>
      <c r="G3" t="s">
        <v>2610</v>
      </c>
      <c r="I3" s="112" t="s">
        <v>2611</v>
      </c>
    </row>
    <row r="4" spans="1:9">
      <c r="A4" t="s">
        <v>2612</v>
      </c>
      <c r="G4" t="s">
        <v>2613</v>
      </c>
    </row>
    <row r="5" spans="1:9">
      <c r="A5" t="s">
        <v>81</v>
      </c>
      <c r="G5" t="s">
        <v>2614</v>
      </c>
    </row>
    <row r="6" spans="1:9">
      <c r="A6" t="s">
        <v>2605</v>
      </c>
      <c r="G6" t="s">
        <v>2615</v>
      </c>
    </row>
    <row r="7" spans="1:9">
      <c r="A7" t="s">
        <v>289</v>
      </c>
    </row>
    <row r="8" spans="1:9">
      <c r="A8" t="s">
        <v>2616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L723"/>
  <sheetViews>
    <sheetView workbookViewId="0">
      <selection activeCell="E160" sqref="E160"/>
    </sheetView>
  </sheetViews>
  <sheetFormatPr defaultRowHeight="14.45"/>
  <cols>
    <col min="1" max="1" width="19.7109375" style="129" customWidth="1"/>
    <col min="2" max="2" width="15.28515625" style="130" customWidth="1"/>
    <col min="3" max="3" width="20.5703125" style="114" customWidth="1"/>
    <col min="4" max="4" width="16.5703125" style="114" customWidth="1"/>
    <col min="5" max="5" width="59.5703125" style="114" customWidth="1"/>
    <col min="6" max="6" width="22" style="122" customWidth="1"/>
    <col min="7" max="7" width="24.7109375" style="122" customWidth="1"/>
    <col min="8" max="8" width="16.5703125" style="122" customWidth="1"/>
    <col min="9" max="9" width="17.7109375" style="4" customWidth="1"/>
    <col min="10" max="10" width="28.28515625" style="122" customWidth="1"/>
    <col min="11" max="11" width="27.28515625" style="122" bestFit="1" customWidth="1"/>
    <col min="12" max="12" width="14" style="122" customWidth="1"/>
  </cols>
  <sheetData>
    <row r="1" spans="1:12">
      <c r="A1" s="5" t="s">
        <v>2617</v>
      </c>
      <c r="B1" s="5" t="s">
        <v>2618</v>
      </c>
      <c r="C1" s="6" t="s">
        <v>2619</v>
      </c>
      <c r="D1" s="6" t="s">
        <v>2620</v>
      </c>
      <c r="E1" s="6" t="s">
        <v>2621</v>
      </c>
      <c r="F1" s="121" t="s">
        <v>2622</v>
      </c>
      <c r="G1" s="121" t="s">
        <v>2623</v>
      </c>
      <c r="H1" s="121" t="s">
        <v>2624</v>
      </c>
      <c r="I1" s="5" t="s">
        <v>2625</v>
      </c>
      <c r="J1" s="121" t="s">
        <v>2626</v>
      </c>
      <c r="K1" s="121" t="s">
        <v>2627</v>
      </c>
      <c r="L1" s="126" t="s">
        <v>25</v>
      </c>
    </row>
    <row r="2" spans="1:12" hidden="1">
      <c r="A2" s="8">
        <v>50110193</v>
      </c>
      <c r="B2" s="7">
        <v>45667</v>
      </c>
      <c r="C2" s="8" t="s">
        <v>125</v>
      </c>
      <c r="D2" s="8" t="s">
        <v>2628</v>
      </c>
      <c r="E2" s="8" t="s">
        <v>2629</v>
      </c>
      <c r="F2" s="8">
        <v>1</v>
      </c>
      <c r="G2" s="9">
        <v>1</v>
      </c>
      <c r="H2" s="9" t="s">
        <v>2603</v>
      </c>
      <c r="I2" s="7"/>
      <c r="J2" s="9" t="s">
        <v>2609</v>
      </c>
      <c r="K2" s="32" t="s">
        <v>2630</v>
      </c>
      <c r="L2" s="10">
        <f>MONTH(Table4[[#This Row],[Order Date]])</f>
        <v>1</v>
      </c>
    </row>
    <row r="3" spans="1:12" hidden="1">
      <c r="A3" s="8">
        <v>50110193</v>
      </c>
      <c r="B3" s="7">
        <v>45667</v>
      </c>
      <c r="C3" s="8" t="s">
        <v>125</v>
      </c>
      <c r="D3" s="8" t="s">
        <v>2631</v>
      </c>
      <c r="E3" s="8" t="s">
        <v>2632</v>
      </c>
      <c r="F3" s="8">
        <v>1</v>
      </c>
      <c r="G3" s="9">
        <v>1</v>
      </c>
      <c r="H3" s="9" t="s">
        <v>2603</v>
      </c>
      <c r="I3" s="7"/>
      <c r="J3" s="9" t="s">
        <v>2609</v>
      </c>
      <c r="K3" s="32" t="s">
        <v>2630</v>
      </c>
      <c r="L3" s="10">
        <f>MONTH(Table4[[#This Row],[Order Date]])</f>
        <v>1</v>
      </c>
    </row>
    <row r="4" spans="1:12" hidden="1">
      <c r="A4" s="8">
        <v>44000216</v>
      </c>
      <c r="B4" s="7">
        <v>45667</v>
      </c>
      <c r="C4" s="8" t="s">
        <v>162</v>
      </c>
      <c r="D4" s="8" t="s">
        <v>585</v>
      </c>
      <c r="E4" s="8" t="s">
        <v>586</v>
      </c>
      <c r="F4" s="8">
        <v>1</v>
      </c>
      <c r="G4" s="9">
        <v>1</v>
      </c>
      <c r="H4" s="9" t="s">
        <v>2603</v>
      </c>
      <c r="I4" s="7">
        <v>45667</v>
      </c>
      <c r="J4" s="9" t="s">
        <v>2604</v>
      </c>
      <c r="K4" s="32" t="s">
        <v>2630</v>
      </c>
      <c r="L4" s="10">
        <f>MONTH(Table4[[#This Row],[Order Date]])</f>
        <v>1</v>
      </c>
    </row>
    <row r="5" spans="1:12" hidden="1">
      <c r="A5" s="8">
        <v>50000530</v>
      </c>
      <c r="B5" s="7">
        <v>45667</v>
      </c>
      <c r="C5" s="9" t="s">
        <v>134</v>
      </c>
      <c r="D5" s="8" t="s">
        <v>329</v>
      </c>
      <c r="E5" s="8" t="s">
        <v>1923</v>
      </c>
      <c r="F5" s="8">
        <v>1</v>
      </c>
      <c r="G5" s="9">
        <v>1</v>
      </c>
      <c r="H5" s="9" t="s">
        <v>2603</v>
      </c>
      <c r="I5" s="7">
        <v>45667</v>
      </c>
      <c r="J5" s="9" t="s">
        <v>2604</v>
      </c>
      <c r="K5" s="32" t="s">
        <v>2630</v>
      </c>
      <c r="L5" s="10">
        <f>MONTH(Table4[[#This Row],[Order Date]])</f>
        <v>1</v>
      </c>
    </row>
    <row r="6" spans="1:12" hidden="1">
      <c r="A6" s="8">
        <v>50000260</v>
      </c>
      <c r="B6" s="7">
        <v>45667</v>
      </c>
      <c r="C6" s="8" t="s">
        <v>327</v>
      </c>
      <c r="D6" s="8" t="s">
        <v>2633</v>
      </c>
      <c r="E6" s="8" t="s">
        <v>1930</v>
      </c>
      <c r="F6" s="8">
        <v>1</v>
      </c>
      <c r="G6" s="9">
        <v>0</v>
      </c>
      <c r="H6" s="9" t="s">
        <v>2603</v>
      </c>
      <c r="I6" s="7"/>
      <c r="J6" s="9" t="s">
        <v>2604</v>
      </c>
      <c r="K6" s="32" t="s">
        <v>2630</v>
      </c>
      <c r="L6" s="10">
        <f>MONTH(Table4[[#This Row],[Order Date]])</f>
        <v>1</v>
      </c>
    </row>
    <row r="7" spans="1:12" hidden="1">
      <c r="A7" s="8">
        <v>50000202</v>
      </c>
      <c r="B7" s="7">
        <v>45670</v>
      </c>
      <c r="C7" s="11" t="s">
        <v>1322</v>
      </c>
      <c r="D7" s="8" t="s">
        <v>222</v>
      </c>
      <c r="E7" s="8" t="s">
        <v>2634</v>
      </c>
      <c r="F7" s="8">
        <v>1</v>
      </c>
      <c r="G7" s="9">
        <v>1</v>
      </c>
      <c r="H7" s="9" t="s">
        <v>2603</v>
      </c>
      <c r="I7" s="7">
        <v>45670</v>
      </c>
      <c r="J7" s="9" t="s">
        <v>2604</v>
      </c>
      <c r="K7" s="32" t="s">
        <v>2630</v>
      </c>
      <c r="L7" s="10">
        <f>MONTH(Table4[[#This Row],[Order Date]])</f>
        <v>1</v>
      </c>
    </row>
    <row r="8" spans="1:12" hidden="1">
      <c r="A8" s="8">
        <v>50000202</v>
      </c>
      <c r="B8" s="7">
        <v>45670</v>
      </c>
      <c r="C8" s="8" t="s">
        <v>1322</v>
      </c>
      <c r="D8" s="8" t="s">
        <v>362</v>
      </c>
      <c r="E8" s="8" t="s">
        <v>2635</v>
      </c>
      <c r="F8" s="8">
        <v>1</v>
      </c>
      <c r="G8" s="9">
        <v>1</v>
      </c>
      <c r="H8" s="9" t="s">
        <v>2603</v>
      </c>
      <c r="I8" s="7">
        <v>45670</v>
      </c>
      <c r="J8" s="9" t="s">
        <v>2604</v>
      </c>
      <c r="K8" s="32" t="s">
        <v>2630</v>
      </c>
      <c r="L8" s="10">
        <f>MONTH(Table4[[#This Row],[Order Date]])</f>
        <v>1</v>
      </c>
    </row>
    <row r="9" spans="1:12" hidden="1">
      <c r="A9" s="8">
        <v>48000432</v>
      </c>
      <c r="B9" s="7">
        <v>45673</v>
      </c>
      <c r="C9" s="8" t="s">
        <v>134</v>
      </c>
      <c r="D9" s="8" t="s">
        <v>1074</v>
      </c>
      <c r="E9" s="8" t="s">
        <v>2636</v>
      </c>
      <c r="F9" s="8">
        <v>1</v>
      </c>
      <c r="G9" s="9">
        <v>1</v>
      </c>
      <c r="H9" s="9" t="s">
        <v>2608</v>
      </c>
      <c r="I9" s="7">
        <v>45673</v>
      </c>
      <c r="J9" s="9" t="s">
        <v>2604</v>
      </c>
      <c r="K9" s="32" t="s">
        <v>2630</v>
      </c>
      <c r="L9" s="10">
        <f>MONTH(Table4[[#This Row],[Order Date]])</f>
        <v>1</v>
      </c>
    </row>
    <row r="10" spans="1:12" hidden="1">
      <c r="A10" s="8">
        <v>51000323</v>
      </c>
      <c r="B10" s="7">
        <v>45673</v>
      </c>
      <c r="C10" s="8" t="s">
        <v>101</v>
      </c>
      <c r="D10" s="8" t="s">
        <v>2637</v>
      </c>
      <c r="E10" s="8" t="s">
        <v>2638</v>
      </c>
      <c r="F10" s="8">
        <v>1</v>
      </c>
      <c r="G10" s="9">
        <v>0</v>
      </c>
      <c r="H10" s="9" t="s">
        <v>2603</v>
      </c>
      <c r="I10" s="7"/>
      <c r="J10" s="9" t="s">
        <v>2604</v>
      </c>
      <c r="K10" s="32" t="s">
        <v>2630</v>
      </c>
      <c r="L10" s="10">
        <f>MONTH(Table4[[#This Row],[Order Date]])</f>
        <v>1</v>
      </c>
    </row>
    <row r="11" spans="1:12" hidden="1">
      <c r="A11" s="8">
        <v>50110229</v>
      </c>
      <c r="B11" s="7">
        <v>45673</v>
      </c>
      <c r="C11" s="8" t="s">
        <v>345</v>
      </c>
      <c r="D11" s="8" t="s">
        <v>2639</v>
      </c>
      <c r="E11" s="8" t="s">
        <v>2640</v>
      </c>
      <c r="F11" s="8">
        <v>1</v>
      </c>
      <c r="G11" s="9">
        <v>1</v>
      </c>
      <c r="H11" s="9" t="s">
        <v>2603</v>
      </c>
      <c r="I11" s="7"/>
      <c r="J11" s="9" t="s">
        <v>2604</v>
      </c>
      <c r="K11" s="32" t="s">
        <v>2630</v>
      </c>
      <c r="L11" s="10">
        <f>MONTH(Table4[[#This Row],[Order Date]])</f>
        <v>1</v>
      </c>
    </row>
    <row r="12" spans="1:12" hidden="1">
      <c r="A12" s="8">
        <v>50000202</v>
      </c>
      <c r="B12" s="7">
        <v>45673</v>
      </c>
      <c r="C12" s="8" t="s">
        <v>1322</v>
      </c>
      <c r="D12" s="8" t="s">
        <v>517</v>
      </c>
      <c r="E12" s="8" t="s">
        <v>2641</v>
      </c>
      <c r="F12" s="8">
        <v>1</v>
      </c>
      <c r="G12" s="9">
        <v>1</v>
      </c>
      <c r="H12" s="9" t="s">
        <v>2603</v>
      </c>
      <c r="I12" s="7">
        <v>45673</v>
      </c>
      <c r="J12" s="9" t="s">
        <v>2604</v>
      </c>
      <c r="K12" s="32" t="s">
        <v>2630</v>
      </c>
      <c r="L12" s="10">
        <f>MONTH(Table4[[#This Row],[Order Date]])</f>
        <v>1</v>
      </c>
    </row>
    <row r="13" spans="1:12" hidden="1">
      <c r="A13" s="8">
        <v>48000044</v>
      </c>
      <c r="B13" s="7">
        <v>45673</v>
      </c>
      <c r="C13" s="8" t="s">
        <v>154</v>
      </c>
      <c r="D13" s="8" t="s">
        <v>2642</v>
      </c>
      <c r="E13" s="8" t="s">
        <v>2643</v>
      </c>
      <c r="F13" s="8">
        <v>2</v>
      </c>
      <c r="G13" s="9">
        <v>2</v>
      </c>
      <c r="H13" s="9" t="s">
        <v>2603</v>
      </c>
      <c r="I13" s="7">
        <v>45673</v>
      </c>
      <c r="J13" s="9" t="s">
        <v>2604</v>
      </c>
      <c r="K13" s="32" t="s">
        <v>2630</v>
      </c>
      <c r="L13" s="10">
        <f>MONTH(Table4[[#This Row],[Order Date]])</f>
        <v>1</v>
      </c>
    </row>
    <row r="14" spans="1:12" hidden="1">
      <c r="A14" s="8">
        <v>50110229</v>
      </c>
      <c r="B14" s="7">
        <v>45673</v>
      </c>
      <c r="C14" s="8" t="s">
        <v>345</v>
      </c>
      <c r="D14" s="8" t="s">
        <v>671</v>
      </c>
      <c r="E14" s="8" t="s">
        <v>2644</v>
      </c>
      <c r="F14" s="8">
        <v>1</v>
      </c>
      <c r="G14" s="9">
        <v>1</v>
      </c>
      <c r="H14" s="9" t="s">
        <v>2603</v>
      </c>
      <c r="I14" s="7"/>
      <c r="J14" s="9" t="s">
        <v>2609</v>
      </c>
      <c r="K14" s="32" t="s">
        <v>2630</v>
      </c>
      <c r="L14" s="10">
        <f>MONTH(Table4[[#This Row],[Order Date]])</f>
        <v>1</v>
      </c>
    </row>
    <row r="15" spans="1:12" hidden="1">
      <c r="A15" s="8">
        <v>50110229</v>
      </c>
      <c r="B15" s="7">
        <v>45673</v>
      </c>
      <c r="C15" s="8" t="s">
        <v>345</v>
      </c>
      <c r="D15" s="8" t="s">
        <v>1401</v>
      </c>
      <c r="E15" s="8" t="s">
        <v>1402</v>
      </c>
      <c r="F15" s="8">
        <v>1</v>
      </c>
      <c r="G15" s="9">
        <v>1</v>
      </c>
      <c r="H15" s="9" t="s">
        <v>2603</v>
      </c>
      <c r="I15" s="7"/>
      <c r="J15" s="9" t="s">
        <v>2609</v>
      </c>
      <c r="K15" s="32" t="s">
        <v>2630</v>
      </c>
      <c r="L15" s="10">
        <f>MONTH(Table4[[#This Row],[Order Date]])</f>
        <v>1</v>
      </c>
    </row>
    <row r="16" spans="1:12" hidden="1">
      <c r="A16" s="8">
        <v>44000059</v>
      </c>
      <c r="B16" s="7">
        <v>45673</v>
      </c>
      <c r="C16" s="8" t="s">
        <v>134</v>
      </c>
      <c r="D16" s="8" t="s">
        <v>335</v>
      </c>
      <c r="E16" s="8" t="s">
        <v>591</v>
      </c>
      <c r="F16" s="8">
        <v>2</v>
      </c>
      <c r="G16" s="9">
        <v>2</v>
      </c>
      <c r="H16" s="9" t="s">
        <v>2603</v>
      </c>
      <c r="I16" s="7">
        <v>45673</v>
      </c>
      <c r="J16" s="9" t="s">
        <v>2604</v>
      </c>
      <c r="K16" s="32" t="s">
        <v>2630</v>
      </c>
      <c r="L16" s="10">
        <f>MONTH(Table4[[#This Row],[Order Date]])</f>
        <v>1</v>
      </c>
    </row>
    <row r="17" spans="1:12" hidden="1">
      <c r="A17" s="8">
        <v>50000530</v>
      </c>
      <c r="B17" s="7">
        <v>45673</v>
      </c>
      <c r="C17" s="8" t="s">
        <v>365</v>
      </c>
      <c r="D17" s="8" t="s">
        <v>79</v>
      </c>
      <c r="E17" s="8" t="s">
        <v>2645</v>
      </c>
      <c r="F17" s="8">
        <v>1</v>
      </c>
      <c r="G17" s="9">
        <v>1</v>
      </c>
      <c r="H17" s="9" t="s">
        <v>2603</v>
      </c>
      <c r="I17" s="7">
        <v>45673</v>
      </c>
      <c r="J17" s="9" t="s">
        <v>2604</v>
      </c>
      <c r="K17" s="32" t="s">
        <v>2630</v>
      </c>
      <c r="L17" s="10">
        <f>MONTH(Table4[[#This Row],[Order Date]])</f>
        <v>1</v>
      </c>
    </row>
    <row r="18" spans="1:12" hidden="1">
      <c r="A18" s="8">
        <v>50000530</v>
      </c>
      <c r="B18" s="7">
        <v>45673</v>
      </c>
      <c r="C18" s="8" t="s">
        <v>365</v>
      </c>
      <c r="D18" s="8" t="s">
        <v>82</v>
      </c>
      <c r="E18" s="8" t="s">
        <v>2081</v>
      </c>
      <c r="F18" s="8">
        <v>1</v>
      </c>
      <c r="G18" s="9">
        <v>1</v>
      </c>
      <c r="H18" s="9" t="s">
        <v>2603</v>
      </c>
      <c r="I18" s="7">
        <v>45673</v>
      </c>
      <c r="J18" s="9" t="s">
        <v>2604</v>
      </c>
      <c r="K18" s="32" t="s">
        <v>2630</v>
      </c>
      <c r="L18" s="10">
        <f>MONTH(Table4[[#This Row],[Order Date]])</f>
        <v>1</v>
      </c>
    </row>
    <row r="19" spans="1:12" hidden="1">
      <c r="A19" s="8">
        <v>51000136</v>
      </c>
      <c r="B19" s="7">
        <v>45674</v>
      </c>
      <c r="C19" s="8" t="s">
        <v>101</v>
      </c>
      <c r="D19" s="8" t="s">
        <v>2646</v>
      </c>
      <c r="E19" s="8" t="s">
        <v>2647</v>
      </c>
      <c r="F19" s="8">
        <v>1</v>
      </c>
      <c r="G19" s="9">
        <v>1</v>
      </c>
      <c r="H19" s="9" t="s">
        <v>2603</v>
      </c>
      <c r="I19" s="7">
        <v>45674</v>
      </c>
      <c r="J19" s="9" t="s">
        <v>2609</v>
      </c>
      <c r="K19" s="32" t="s">
        <v>2630</v>
      </c>
      <c r="L19" s="10">
        <f>MONTH(Table4[[#This Row],[Order Date]])</f>
        <v>1</v>
      </c>
    </row>
    <row r="20" spans="1:12" hidden="1">
      <c r="A20" s="8">
        <v>51000136</v>
      </c>
      <c r="B20" s="7">
        <v>45674</v>
      </c>
      <c r="C20" s="8" t="s">
        <v>101</v>
      </c>
      <c r="D20" s="8" t="s">
        <v>2648</v>
      </c>
      <c r="E20" s="8" t="s">
        <v>2649</v>
      </c>
      <c r="F20" s="8">
        <v>1</v>
      </c>
      <c r="G20" s="9">
        <v>1</v>
      </c>
      <c r="H20" s="9" t="s">
        <v>2603</v>
      </c>
      <c r="I20" s="12">
        <v>45677</v>
      </c>
      <c r="J20" s="9" t="s">
        <v>2609</v>
      </c>
      <c r="K20" s="32" t="s">
        <v>2630</v>
      </c>
      <c r="L20" s="10">
        <f>MONTH(Table4[[#This Row],[Order Date]])</f>
        <v>1</v>
      </c>
    </row>
    <row r="21" spans="1:12" hidden="1">
      <c r="A21" s="8">
        <v>51000136</v>
      </c>
      <c r="B21" s="7">
        <v>45674</v>
      </c>
      <c r="C21" s="8" t="s">
        <v>101</v>
      </c>
      <c r="D21" s="8" t="s">
        <v>103</v>
      </c>
      <c r="E21" s="8" t="s">
        <v>2650</v>
      </c>
      <c r="F21" s="8">
        <v>1</v>
      </c>
      <c r="G21" s="9">
        <v>1</v>
      </c>
      <c r="H21" s="9" t="s">
        <v>2608</v>
      </c>
      <c r="I21" s="7">
        <v>45674</v>
      </c>
      <c r="J21" s="9" t="s">
        <v>2604</v>
      </c>
      <c r="K21" s="32" t="s">
        <v>2630</v>
      </c>
      <c r="L21" s="10">
        <f>MONTH(Table4[[#This Row],[Order Date]])</f>
        <v>1</v>
      </c>
    </row>
    <row r="22" spans="1:12" hidden="1">
      <c r="A22" s="8">
        <v>51000136</v>
      </c>
      <c r="B22" s="7">
        <v>45674</v>
      </c>
      <c r="C22" s="8" t="s">
        <v>101</v>
      </c>
      <c r="D22" s="8" t="s">
        <v>2651</v>
      </c>
      <c r="E22" s="8" t="s">
        <v>2652</v>
      </c>
      <c r="F22" s="8">
        <v>1</v>
      </c>
      <c r="G22" s="9">
        <v>1</v>
      </c>
      <c r="H22" s="9" t="s">
        <v>2603</v>
      </c>
      <c r="I22" s="7">
        <v>45674</v>
      </c>
      <c r="J22" s="9" t="s">
        <v>2604</v>
      </c>
      <c r="K22" s="32" t="s">
        <v>2630</v>
      </c>
      <c r="L22" s="10">
        <f>MONTH(Table4[[#This Row],[Order Date]])</f>
        <v>1</v>
      </c>
    </row>
    <row r="23" spans="1:12" hidden="1">
      <c r="A23" s="8">
        <v>50110193</v>
      </c>
      <c r="B23" s="12">
        <v>45677</v>
      </c>
      <c r="C23" s="8" t="s">
        <v>125</v>
      </c>
      <c r="D23" s="8" t="s">
        <v>2653</v>
      </c>
      <c r="E23" s="8" t="s">
        <v>1000</v>
      </c>
      <c r="F23" s="8">
        <v>1</v>
      </c>
      <c r="G23" s="9">
        <v>1</v>
      </c>
      <c r="H23" s="9" t="s">
        <v>2603</v>
      </c>
      <c r="I23" s="12">
        <v>45677</v>
      </c>
      <c r="J23" s="9" t="s">
        <v>2604</v>
      </c>
      <c r="K23" s="32" t="s">
        <v>2630</v>
      </c>
      <c r="L23" s="10">
        <f>MONTH(Table4[[#This Row],[Order Date]])</f>
        <v>1</v>
      </c>
    </row>
    <row r="24" spans="1:12" hidden="1">
      <c r="A24" s="8">
        <v>50110229</v>
      </c>
      <c r="B24" s="12">
        <v>45677</v>
      </c>
      <c r="C24" s="8" t="s">
        <v>345</v>
      </c>
      <c r="D24" s="8" t="s">
        <v>222</v>
      </c>
      <c r="E24" s="8" t="s">
        <v>223</v>
      </c>
      <c r="F24" s="8">
        <v>2</v>
      </c>
      <c r="G24" s="9">
        <v>2</v>
      </c>
      <c r="H24" s="9" t="s">
        <v>2603</v>
      </c>
      <c r="I24" s="7"/>
      <c r="J24" s="9" t="s">
        <v>2609</v>
      </c>
      <c r="K24" s="32" t="s">
        <v>2630</v>
      </c>
      <c r="L24" s="10">
        <f>MONTH(Table4[[#This Row],[Order Date]])</f>
        <v>1</v>
      </c>
    </row>
    <row r="25" spans="1:12" hidden="1">
      <c r="A25" s="8">
        <v>51000136</v>
      </c>
      <c r="B25" s="12">
        <v>45677</v>
      </c>
      <c r="C25" s="8" t="s">
        <v>101</v>
      </c>
      <c r="D25" s="8" t="s">
        <v>243</v>
      </c>
      <c r="E25" s="8" t="s">
        <v>244</v>
      </c>
      <c r="F25" s="8">
        <v>1</v>
      </c>
      <c r="G25" s="9">
        <v>1</v>
      </c>
      <c r="H25" s="9" t="s">
        <v>2603</v>
      </c>
      <c r="I25" s="12">
        <v>45677</v>
      </c>
      <c r="J25" s="9" t="s">
        <v>2604</v>
      </c>
      <c r="K25" s="32" t="s">
        <v>2630</v>
      </c>
      <c r="L25" s="10">
        <f>MONTH(Table4[[#This Row],[Order Date]])</f>
        <v>1</v>
      </c>
    </row>
    <row r="26" spans="1:12" hidden="1">
      <c r="A26" s="8">
        <v>44000216</v>
      </c>
      <c r="B26" s="12">
        <v>45677</v>
      </c>
      <c r="C26" s="8" t="s">
        <v>162</v>
      </c>
      <c r="D26" s="8" t="s">
        <v>2654</v>
      </c>
      <c r="E26" s="8" t="s">
        <v>2655</v>
      </c>
      <c r="F26" s="8">
        <v>1</v>
      </c>
      <c r="G26" s="9">
        <v>1</v>
      </c>
      <c r="H26" s="9" t="s">
        <v>2603</v>
      </c>
      <c r="I26" s="7">
        <v>45672</v>
      </c>
      <c r="J26" s="9" t="s">
        <v>2604</v>
      </c>
      <c r="K26" s="32" t="s">
        <v>2630</v>
      </c>
      <c r="L26" s="10">
        <f>MONTH(Table4[[#This Row],[Order Date]])</f>
        <v>1</v>
      </c>
    </row>
    <row r="27" spans="1:12" hidden="1">
      <c r="A27" s="8">
        <v>48300301</v>
      </c>
      <c r="B27" s="12">
        <v>45677</v>
      </c>
      <c r="C27" s="8" t="s">
        <v>134</v>
      </c>
      <c r="D27" s="8" t="s">
        <v>1735</v>
      </c>
      <c r="E27" s="8" t="s">
        <v>1957</v>
      </c>
      <c r="F27" s="8">
        <v>1</v>
      </c>
      <c r="G27" s="9">
        <v>1</v>
      </c>
      <c r="H27" s="9" t="s">
        <v>2603</v>
      </c>
      <c r="I27" s="12">
        <v>45677</v>
      </c>
      <c r="J27" s="9" t="s">
        <v>2604</v>
      </c>
      <c r="K27" s="32" t="s">
        <v>2630</v>
      </c>
      <c r="L27" s="10">
        <f>MONTH(Table4[[#This Row],[Order Date]])</f>
        <v>1</v>
      </c>
    </row>
    <row r="28" spans="1:12" hidden="1">
      <c r="A28" s="8">
        <v>50110193</v>
      </c>
      <c r="B28" s="12">
        <v>45677</v>
      </c>
      <c r="C28" s="8" t="s">
        <v>125</v>
      </c>
      <c r="D28" s="8" t="s">
        <v>2656</v>
      </c>
      <c r="E28" s="8" t="s">
        <v>2657</v>
      </c>
      <c r="F28" s="8">
        <v>2</v>
      </c>
      <c r="G28" s="9">
        <v>2</v>
      </c>
      <c r="H28" s="9" t="s">
        <v>2603</v>
      </c>
      <c r="I28" s="7"/>
      <c r="J28" s="9" t="s">
        <v>2604</v>
      </c>
      <c r="K28" s="32" t="s">
        <v>2630</v>
      </c>
      <c r="L28" s="10">
        <f>MONTH(Table4[[#This Row],[Order Date]])</f>
        <v>1</v>
      </c>
    </row>
    <row r="29" spans="1:12" hidden="1">
      <c r="A29" s="8">
        <v>50000343</v>
      </c>
      <c r="B29" s="7">
        <v>45678</v>
      </c>
      <c r="C29" s="8" t="s">
        <v>33</v>
      </c>
      <c r="D29" s="8" t="s">
        <v>216</v>
      </c>
      <c r="E29" s="8" t="s">
        <v>217</v>
      </c>
      <c r="F29" s="8">
        <v>1</v>
      </c>
      <c r="G29" s="9">
        <v>1</v>
      </c>
      <c r="H29" s="9" t="s">
        <v>2603</v>
      </c>
      <c r="I29" s="7">
        <v>45663</v>
      </c>
      <c r="J29" s="9" t="s">
        <v>2604</v>
      </c>
      <c r="K29" s="32" t="s">
        <v>2630</v>
      </c>
      <c r="L29" s="10">
        <f>MONTH(Table4[[#This Row],[Order Date]])</f>
        <v>1</v>
      </c>
    </row>
    <row r="30" spans="1:12" hidden="1">
      <c r="A30" s="8" t="s">
        <v>2658</v>
      </c>
      <c r="B30" s="12">
        <v>45678</v>
      </c>
      <c r="C30" s="8" t="s">
        <v>1945</v>
      </c>
      <c r="D30" s="8" t="s">
        <v>2659</v>
      </c>
      <c r="E30" s="8" t="s">
        <v>2660</v>
      </c>
      <c r="F30" s="8">
        <v>1</v>
      </c>
      <c r="G30" s="9">
        <v>1</v>
      </c>
      <c r="H30" s="9" t="s">
        <v>2608</v>
      </c>
      <c r="I30" s="7">
        <v>45672</v>
      </c>
      <c r="J30" s="9" t="s">
        <v>2604</v>
      </c>
      <c r="K30" s="32" t="s">
        <v>2630</v>
      </c>
      <c r="L30" s="10">
        <f>MONTH(Table4[[#This Row],[Order Date]])</f>
        <v>1</v>
      </c>
    </row>
    <row r="31" spans="1:12" hidden="1">
      <c r="A31" s="8" t="s">
        <v>2658</v>
      </c>
      <c r="B31" s="12">
        <v>45678</v>
      </c>
      <c r="C31" s="8" t="s">
        <v>1945</v>
      </c>
      <c r="D31" s="8" t="s">
        <v>2661</v>
      </c>
      <c r="E31" s="8" t="s">
        <v>2662</v>
      </c>
      <c r="F31" s="8">
        <v>4</v>
      </c>
      <c r="G31" s="9">
        <v>4</v>
      </c>
      <c r="H31" s="9" t="s">
        <v>2608</v>
      </c>
      <c r="I31" s="7">
        <v>45672</v>
      </c>
      <c r="J31" s="9" t="s">
        <v>2604</v>
      </c>
      <c r="K31" s="32" t="s">
        <v>2630</v>
      </c>
      <c r="L31" s="10">
        <f>MONTH(Table4[[#This Row],[Order Date]])</f>
        <v>1</v>
      </c>
    </row>
    <row r="32" spans="1:12" hidden="1">
      <c r="A32" s="8" t="s">
        <v>2658</v>
      </c>
      <c r="B32" s="12">
        <v>45678</v>
      </c>
      <c r="C32" s="8" t="s">
        <v>1945</v>
      </c>
      <c r="D32" s="8" t="s">
        <v>2663</v>
      </c>
      <c r="E32" s="8" t="s">
        <v>2664</v>
      </c>
      <c r="F32" s="8">
        <v>4</v>
      </c>
      <c r="G32" s="9">
        <v>0</v>
      </c>
      <c r="H32" s="9" t="s">
        <v>2608</v>
      </c>
      <c r="I32" s="7"/>
      <c r="J32" s="9" t="s">
        <v>2604</v>
      </c>
      <c r="K32" s="32" t="s">
        <v>2630</v>
      </c>
      <c r="L32" s="10">
        <f>MONTH(Table4[[#This Row],[Order Date]])</f>
        <v>1</v>
      </c>
    </row>
    <row r="33" spans="1:12" hidden="1">
      <c r="A33" s="8">
        <v>48300301</v>
      </c>
      <c r="B33" s="12">
        <v>45679</v>
      </c>
      <c r="C33" s="8" t="s">
        <v>134</v>
      </c>
      <c r="D33" s="8" t="s">
        <v>2665</v>
      </c>
      <c r="E33" s="8" t="s">
        <v>2666</v>
      </c>
      <c r="F33" s="8">
        <v>1</v>
      </c>
      <c r="G33" s="9">
        <v>1</v>
      </c>
      <c r="H33" s="9" t="s">
        <v>2608</v>
      </c>
      <c r="I33" s="7"/>
      <c r="J33" s="9" t="s">
        <v>2604</v>
      </c>
      <c r="K33" s="32" t="s">
        <v>2630</v>
      </c>
      <c r="L33" s="10">
        <f>MONTH(Table4[[#This Row],[Order Date]])</f>
        <v>1</v>
      </c>
    </row>
    <row r="34" spans="1:12" hidden="1">
      <c r="A34" s="8">
        <v>60002072</v>
      </c>
      <c r="B34" s="12">
        <v>45679</v>
      </c>
      <c r="C34" s="8" t="s">
        <v>94</v>
      </c>
      <c r="D34" s="8" t="s">
        <v>2667</v>
      </c>
      <c r="E34" s="8" t="s">
        <v>2668</v>
      </c>
      <c r="F34" s="8">
        <v>1</v>
      </c>
      <c r="G34" s="9">
        <v>1</v>
      </c>
      <c r="H34" s="9" t="s">
        <v>2603</v>
      </c>
      <c r="I34" s="7">
        <v>45673</v>
      </c>
      <c r="J34" s="9" t="s">
        <v>2604</v>
      </c>
      <c r="K34" s="32" t="s">
        <v>2630</v>
      </c>
      <c r="L34" s="10">
        <f>MONTH(Table4[[#This Row],[Order Date]])</f>
        <v>1</v>
      </c>
    </row>
    <row r="35" spans="1:12" hidden="1">
      <c r="A35" s="8">
        <v>60002072</v>
      </c>
      <c r="B35" s="12">
        <v>45679</v>
      </c>
      <c r="C35" s="8" t="s">
        <v>94</v>
      </c>
      <c r="D35" s="8" t="s">
        <v>2669</v>
      </c>
      <c r="E35" s="8" t="s">
        <v>2670</v>
      </c>
      <c r="F35" s="8">
        <v>1</v>
      </c>
      <c r="G35" s="9">
        <v>1</v>
      </c>
      <c r="H35" s="9" t="s">
        <v>2603</v>
      </c>
      <c r="I35" s="7">
        <v>45673</v>
      </c>
      <c r="J35" s="9" t="s">
        <v>2604</v>
      </c>
      <c r="K35" s="32" t="s">
        <v>2630</v>
      </c>
      <c r="L35" s="10">
        <f>MONTH(Table4[[#This Row],[Order Date]])</f>
        <v>1</v>
      </c>
    </row>
    <row r="36" spans="1:12" hidden="1">
      <c r="A36" s="8">
        <v>48000482</v>
      </c>
      <c r="B36" s="7">
        <v>45681</v>
      </c>
      <c r="C36" s="8" t="s">
        <v>704</v>
      </c>
      <c r="D36" s="8" t="s">
        <v>448</v>
      </c>
      <c r="E36" s="8" t="s">
        <v>449</v>
      </c>
      <c r="F36" s="8">
        <v>1</v>
      </c>
      <c r="G36" s="9">
        <v>1</v>
      </c>
      <c r="H36" s="9" t="s">
        <v>2603</v>
      </c>
      <c r="I36" s="7">
        <v>45667</v>
      </c>
      <c r="J36" s="9" t="s">
        <v>2604</v>
      </c>
      <c r="K36" s="32" t="s">
        <v>2630</v>
      </c>
      <c r="L36" s="10">
        <f>MONTH(Table4[[#This Row],[Order Date]])</f>
        <v>1</v>
      </c>
    </row>
    <row r="37" spans="1:12" hidden="1">
      <c r="A37" s="8">
        <v>60002072</v>
      </c>
      <c r="B37" s="12">
        <v>45681</v>
      </c>
      <c r="C37" s="8" t="s">
        <v>94</v>
      </c>
      <c r="D37" s="8" t="s">
        <v>341</v>
      </c>
      <c r="E37" s="8" t="s">
        <v>2671</v>
      </c>
      <c r="F37" s="8">
        <v>1</v>
      </c>
      <c r="G37" s="9">
        <v>1</v>
      </c>
      <c r="H37" s="9" t="s">
        <v>2603</v>
      </c>
      <c r="I37" s="7"/>
      <c r="J37" s="9" t="s">
        <v>2609</v>
      </c>
      <c r="K37" s="32" t="s">
        <v>2630</v>
      </c>
      <c r="L37" s="10">
        <f>MONTH(Table4[[#This Row],[Order Date]])</f>
        <v>1</v>
      </c>
    </row>
    <row r="38" spans="1:12" hidden="1">
      <c r="A38" s="8">
        <v>50110229</v>
      </c>
      <c r="B38" s="12">
        <v>45681</v>
      </c>
      <c r="C38" s="8" t="s">
        <v>345</v>
      </c>
      <c r="D38" s="8" t="s">
        <v>472</v>
      </c>
      <c r="E38" s="8" t="s">
        <v>2672</v>
      </c>
      <c r="F38" s="8">
        <v>1</v>
      </c>
      <c r="G38" s="9">
        <v>1</v>
      </c>
      <c r="H38" s="9" t="s">
        <v>2603</v>
      </c>
      <c r="I38" s="7"/>
      <c r="J38" s="9" t="s">
        <v>2604</v>
      </c>
      <c r="K38" s="32" t="s">
        <v>2630</v>
      </c>
      <c r="L38" s="10">
        <f>MONTH(Table4[[#This Row],[Order Date]])</f>
        <v>1</v>
      </c>
    </row>
    <row r="39" spans="1:12" hidden="1">
      <c r="A39" s="8">
        <v>50000202</v>
      </c>
      <c r="B39" s="12">
        <v>45681</v>
      </c>
      <c r="C39" s="8" t="s">
        <v>1322</v>
      </c>
      <c r="D39" s="8" t="s">
        <v>2653</v>
      </c>
      <c r="E39" s="8" t="s">
        <v>2673</v>
      </c>
      <c r="F39" s="8">
        <v>1</v>
      </c>
      <c r="G39" s="9">
        <v>1</v>
      </c>
      <c r="H39" s="9" t="s">
        <v>2603</v>
      </c>
      <c r="I39" s="7">
        <v>45671</v>
      </c>
      <c r="J39" s="9" t="s">
        <v>2604</v>
      </c>
      <c r="K39" s="32" t="s">
        <v>2630</v>
      </c>
      <c r="L39" s="10">
        <f>MONTH(Table4[[#This Row],[Order Date]])</f>
        <v>1</v>
      </c>
    </row>
    <row r="40" spans="1:12" hidden="1">
      <c r="A40" s="8">
        <v>43000422</v>
      </c>
      <c r="B40" s="12">
        <v>45681</v>
      </c>
      <c r="C40" s="8" t="s">
        <v>298</v>
      </c>
      <c r="D40" s="8" t="s">
        <v>2674</v>
      </c>
      <c r="E40" s="8" t="s">
        <v>2675</v>
      </c>
      <c r="F40" s="8">
        <v>1</v>
      </c>
      <c r="G40" s="9">
        <v>1</v>
      </c>
      <c r="H40" s="9" t="s">
        <v>2603</v>
      </c>
      <c r="I40" s="7">
        <v>45672</v>
      </c>
      <c r="J40" s="9" t="s">
        <v>2604</v>
      </c>
      <c r="K40" s="32" t="s">
        <v>2630</v>
      </c>
      <c r="L40" s="10">
        <f>MONTH(Table4[[#This Row],[Order Date]])</f>
        <v>1</v>
      </c>
    </row>
    <row r="41" spans="1:12" hidden="1">
      <c r="A41" s="8">
        <v>47100399</v>
      </c>
      <c r="B41" s="12">
        <v>45681</v>
      </c>
      <c r="C41" s="8" t="s">
        <v>1549</v>
      </c>
      <c r="D41" s="8" t="s">
        <v>2676</v>
      </c>
      <c r="E41" s="8" t="s">
        <v>2677</v>
      </c>
      <c r="F41" s="8">
        <v>1</v>
      </c>
      <c r="G41" s="9">
        <v>1</v>
      </c>
      <c r="H41" s="9" t="s">
        <v>2603</v>
      </c>
      <c r="I41" s="7"/>
      <c r="J41" s="9" t="s">
        <v>2604</v>
      </c>
      <c r="K41" s="32" t="s">
        <v>2630</v>
      </c>
      <c r="L41" s="10">
        <f>MONTH(Table4[[#This Row],[Order Date]])</f>
        <v>1</v>
      </c>
    </row>
    <row r="42" spans="1:12" hidden="1">
      <c r="A42" s="8">
        <v>47100399</v>
      </c>
      <c r="B42" s="12">
        <v>45681</v>
      </c>
      <c r="C42" s="8" t="s">
        <v>1549</v>
      </c>
      <c r="D42" s="8" t="s">
        <v>2039</v>
      </c>
      <c r="E42" s="8" t="s">
        <v>2678</v>
      </c>
      <c r="F42" s="8">
        <v>1</v>
      </c>
      <c r="G42" s="9">
        <v>1</v>
      </c>
      <c r="H42" s="9" t="s">
        <v>2603</v>
      </c>
      <c r="I42" s="7">
        <v>45664</v>
      </c>
      <c r="J42" s="9" t="s">
        <v>2604</v>
      </c>
      <c r="K42" s="32" t="s">
        <v>2630</v>
      </c>
      <c r="L42" s="10">
        <f>MONTH(Table4[[#This Row],[Order Date]])</f>
        <v>1</v>
      </c>
    </row>
    <row r="43" spans="1:12" hidden="1">
      <c r="A43" s="8">
        <v>47100399</v>
      </c>
      <c r="B43" s="12">
        <v>45681</v>
      </c>
      <c r="C43" s="8" t="s">
        <v>1549</v>
      </c>
      <c r="D43" s="8" t="s">
        <v>2679</v>
      </c>
      <c r="E43" s="8" t="s">
        <v>532</v>
      </c>
      <c r="F43" s="8">
        <v>1</v>
      </c>
      <c r="G43" s="9">
        <v>1</v>
      </c>
      <c r="H43" s="9" t="s">
        <v>2603</v>
      </c>
      <c r="I43" s="7">
        <v>45664</v>
      </c>
      <c r="J43" s="9" t="s">
        <v>2604</v>
      </c>
      <c r="K43" s="32" t="s">
        <v>2630</v>
      </c>
      <c r="L43" s="10">
        <f>MONTH(Table4[[#This Row],[Order Date]])</f>
        <v>1</v>
      </c>
    </row>
    <row r="44" spans="1:12" hidden="1">
      <c r="A44" s="8">
        <v>50110057</v>
      </c>
      <c r="B44" s="12">
        <v>45681</v>
      </c>
      <c r="C44" s="8" t="s">
        <v>1945</v>
      </c>
      <c r="D44" s="8" t="s">
        <v>1876</v>
      </c>
      <c r="E44" s="8" t="s">
        <v>1877</v>
      </c>
      <c r="F44" s="8">
        <v>4</v>
      </c>
      <c r="G44" s="9">
        <v>4</v>
      </c>
      <c r="H44" s="9" t="s">
        <v>2603</v>
      </c>
      <c r="I44" s="7"/>
      <c r="J44" s="9" t="s">
        <v>2604</v>
      </c>
      <c r="K44" s="32" t="s">
        <v>2630</v>
      </c>
      <c r="L44" s="10">
        <f>MONTH(Table4[[#This Row],[Order Date]])</f>
        <v>1</v>
      </c>
    </row>
    <row r="45" spans="1:12" hidden="1">
      <c r="A45" s="8">
        <v>50110193</v>
      </c>
      <c r="B45" s="12">
        <v>45681</v>
      </c>
      <c r="C45" s="8" t="s">
        <v>125</v>
      </c>
      <c r="D45" s="8" t="s">
        <v>79</v>
      </c>
      <c r="E45" s="8" t="s">
        <v>2680</v>
      </c>
      <c r="F45" s="8">
        <v>1</v>
      </c>
      <c r="G45" s="9">
        <v>1</v>
      </c>
      <c r="H45" s="9" t="s">
        <v>2603</v>
      </c>
      <c r="I45" s="7">
        <v>45681</v>
      </c>
      <c r="J45" s="9" t="s">
        <v>2609</v>
      </c>
      <c r="K45" s="32" t="s">
        <v>2630</v>
      </c>
      <c r="L45" s="10">
        <f>MONTH(Table4[[#This Row],[Order Date]])</f>
        <v>1</v>
      </c>
    </row>
    <row r="46" spans="1:12" hidden="1">
      <c r="A46" s="8">
        <v>50110193</v>
      </c>
      <c r="B46" s="12">
        <v>45681</v>
      </c>
      <c r="C46" s="8" t="s">
        <v>125</v>
      </c>
      <c r="D46" s="8" t="s">
        <v>82</v>
      </c>
      <c r="E46" s="8" t="s">
        <v>2081</v>
      </c>
      <c r="F46" s="8">
        <v>1</v>
      </c>
      <c r="G46" s="9">
        <v>1</v>
      </c>
      <c r="H46" s="9" t="s">
        <v>2603</v>
      </c>
      <c r="I46" s="7">
        <v>45681</v>
      </c>
      <c r="J46" s="9" t="s">
        <v>2609</v>
      </c>
      <c r="K46" s="32" t="s">
        <v>2630</v>
      </c>
      <c r="L46" s="10">
        <f>MONTH(Table4[[#This Row],[Order Date]])</f>
        <v>1</v>
      </c>
    </row>
    <row r="47" spans="1:12" hidden="1">
      <c r="A47" s="8">
        <v>48000432</v>
      </c>
      <c r="B47" s="12">
        <v>45681</v>
      </c>
      <c r="C47" s="8" t="s">
        <v>134</v>
      </c>
      <c r="D47" s="8" t="s">
        <v>2681</v>
      </c>
      <c r="E47" s="8" t="s">
        <v>2682</v>
      </c>
      <c r="F47" s="8">
        <v>1</v>
      </c>
      <c r="G47" s="9">
        <v>1</v>
      </c>
      <c r="H47" s="9" t="s">
        <v>2603</v>
      </c>
      <c r="I47" s="7">
        <v>45681</v>
      </c>
      <c r="J47" s="9" t="s">
        <v>2604</v>
      </c>
      <c r="K47" s="32" t="s">
        <v>2630</v>
      </c>
      <c r="L47" s="10">
        <f>MONTH(Table4[[#This Row],[Order Date]])</f>
        <v>1</v>
      </c>
    </row>
    <row r="48" spans="1:12" hidden="1">
      <c r="A48" s="8">
        <v>50110193</v>
      </c>
      <c r="B48" s="12">
        <v>45681</v>
      </c>
      <c r="C48" s="8" t="s">
        <v>125</v>
      </c>
      <c r="D48" s="8" t="s">
        <v>2683</v>
      </c>
      <c r="E48" s="8" t="s">
        <v>2684</v>
      </c>
      <c r="F48" s="8">
        <v>1</v>
      </c>
      <c r="G48" s="9">
        <v>1</v>
      </c>
      <c r="H48" s="9" t="s">
        <v>2603</v>
      </c>
      <c r="I48" s="7"/>
      <c r="J48" s="9" t="s">
        <v>2609</v>
      </c>
      <c r="K48" s="32" t="s">
        <v>2630</v>
      </c>
      <c r="L48" s="10">
        <f>MONTH(Table4[[#This Row],[Order Date]])</f>
        <v>1</v>
      </c>
    </row>
    <row r="49" spans="1:12" hidden="1">
      <c r="A49" s="8">
        <v>50110193</v>
      </c>
      <c r="B49" s="12">
        <v>45681</v>
      </c>
      <c r="C49" s="8" t="s">
        <v>125</v>
      </c>
      <c r="D49" s="8" t="s">
        <v>1519</v>
      </c>
      <c r="E49" s="8" t="s">
        <v>2685</v>
      </c>
      <c r="F49" s="8">
        <v>1</v>
      </c>
      <c r="G49" s="9">
        <v>1</v>
      </c>
      <c r="H49" s="9" t="s">
        <v>2603</v>
      </c>
      <c r="I49" s="7">
        <v>45681</v>
      </c>
      <c r="J49" s="9" t="s">
        <v>2609</v>
      </c>
      <c r="K49" s="32" t="s">
        <v>2630</v>
      </c>
      <c r="L49" s="10">
        <f>MONTH(Table4[[#This Row],[Order Date]])</f>
        <v>1</v>
      </c>
    </row>
    <row r="50" spans="1:12" hidden="1">
      <c r="A50" s="8">
        <v>50110193</v>
      </c>
      <c r="B50" s="12">
        <v>45681</v>
      </c>
      <c r="C50" s="8" t="s">
        <v>125</v>
      </c>
      <c r="D50" s="8" t="s">
        <v>2686</v>
      </c>
      <c r="E50" s="8" t="s">
        <v>2687</v>
      </c>
      <c r="F50" s="8">
        <v>1</v>
      </c>
      <c r="G50" s="9">
        <v>1</v>
      </c>
      <c r="H50" s="9" t="s">
        <v>2603</v>
      </c>
      <c r="I50" s="7"/>
      <c r="J50" s="9" t="s">
        <v>2609</v>
      </c>
      <c r="K50" s="32" t="s">
        <v>2630</v>
      </c>
      <c r="L50" s="10">
        <f>MONTH(Table4[[#This Row],[Order Date]])</f>
        <v>1</v>
      </c>
    </row>
    <row r="51" spans="1:12" hidden="1">
      <c r="A51" s="8">
        <v>50000530</v>
      </c>
      <c r="B51" s="12">
        <v>45681</v>
      </c>
      <c r="C51" s="8" t="s">
        <v>365</v>
      </c>
      <c r="D51" s="8" t="s">
        <v>2688</v>
      </c>
      <c r="E51" s="8" t="s">
        <v>2689</v>
      </c>
      <c r="F51" s="8">
        <v>1</v>
      </c>
      <c r="G51" s="9">
        <v>1</v>
      </c>
      <c r="H51" s="9" t="s">
        <v>2603</v>
      </c>
      <c r="I51" s="7">
        <v>45673</v>
      </c>
      <c r="J51" s="9" t="s">
        <v>2604</v>
      </c>
      <c r="K51" s="32" t="s">
        <v>2630</v>
      </c>
      <c r="L51" s="10">
        <f>MONTH(Table4[[#This Row],[Order Date]])</f>
        <v>1</v>
      </c>
    </row>
    <row r="52" spans="1:12" hidden="1">
      <c r="A52" s="8">
        <v>50000530</v>
      </c>
      <c r="B52" s="12">
        <v>45681</v>
      </c>
      <c r="C52" s="8" t="s">
        <v>365</v>
      </c>
      <c r="D52" s="8" t="s">
        <v>2532</v>
      </c>
      <c r="E52" s="8" t="s">
        <v>2690</v>
      </c>
      <c r="F52" s="8">
        <v>1</v>
      </c>
      <c r="G52" s="9">
        <v>1</v>
      </c>
      <c r="H52" s="9" t="s">
        <v>2603</v>
      </c>
      <c r="I52" s="7">
        <v>45673</v>
      </c>
      <c r="J52" s="9" t="s">
        <v>2604</v>
      </c>
      <c r="K52" s="32" t="s">
        <v>2630</v>
      </c>
      <c r="L52" s="10">
        <f>MONTH(Table4[[#This Row],[Order Date]])</f>
        <v>1</v>
      </c>
    </row>
    <row r="53" spans="1:12" hidden="1">
      <c r="A53" s="8">
        <v>48000044</v>
      </c>
      <c r="B53" s="12">
        <v>45681</v>
      </c>
      <c r="C53" s="8" t="s">
        <v>154</v>
      </c>
      <c r="D53" s="8" t="s">
        <v>448</v>
      </c>
      <c r="E53" s="8" t="s">
        <v>2691</v>
      </c>
      <c r="F53" s="8">
        <v>1</v>
      </c>
      <c r="G53" s="9">
        <v>1</v>
      </c>
      <c r="H53" s="9" t="s">
        <v>2603</v>
      </c>
      <c r="I53" s="7">
        <v>45678</v>
      </c>
      <c r="J53" s="9" t="s">
        <v>2604</v>
      </c>
      <c r="K53" s="32" t="s">
        <v>2630</v>
      </c>
      <c r="L53" s="10">
        <f>MONTH(Table4[[#This Row],[Order Date]])</f>
        <v>1</v>
      </c>
    </row>
    <row r="54" spans="1:12" hidden="1">
      <c r="A54" s="8">
        <v>48000044</v>
      </c>
      <c r="B54" s="12">
        <v>45681</v>
      </c>
      <c r="C54" s="8" t="s">
        <v>154</v>
      </c>
      <c r="D54" s="8" t="s">
        <v>446</v>
      </c>
      <c r="E54" s="8" t="s">
        <v>509</v>
      </c>
      <c r="F54" s="8">
        <v>1</v>
      </c>
      <c r="G54" s="9">
        <v>1</v>
      </c>
      <c r="H54" s="9" t="s">
        <v>2603</v>
      </c>
      <c r="I54" s="7">
        <v>45665</v>
      </c>
      <c r="J54" s="9" t="s">
        <v>2604</v>
      </c>
      <c r="K54" s="32" t="s">
        <v>2630</v>
      </c>
      <c r="L54" s="10">
        <f>MONTH(Table4[[#This Row],[Order Date]])</f>
        <v>1</v>
      </c>
    </row>
    <row r="55" spans="1:12" hidden="1">
      <c r="A55" s="8">
        <v>41000142</v>
      </c>
      <c r="B55" s="15">
        <v>45686</v>
      </c>
      <c r="C55" s="13" t="s">
        <v>777</v>
      </c>
      <c r="D55" s="13" t="s">
        <v>335</v>
      </c>
      <c r="E55" s="13" t="s">
        <v>2692</v>
      </c>
      <c r="F55" s="13">
        <v>2</v>
      </c>
      <c r="G55" s="14">
        <v>2</v>
      </c>
      <c r="H55" s="9" t="s">
        <v>2608</v>
      </c>
      <c r="I55" s="19">
        <v>45663</v>
      </c>
      <c r="J55" s="9" t="s">
        <v>2604</v>
      </c>
      <c r="K55" s="32" t="s">
        <v>2630</v>
      </c>
      <c r="L55" s="16">
        <f>MONTH(Table4[[#This Row],[Order Date]])</f>
        <v>1</v>
      </c>
    </row>
    <row r="56" spans="1:12" hidden="1">
      <c r="A56" s="8">
        <v>50110057</v>
      </c>
      <c r="B56" s="12">
        <v>45691</v>
      </c>
      <c r="C56" s="8" t="s">
        <v>88</v>
      </c>
      <c r="D56" s="8" t="s">
        <v>2693</v>
      </c>
      <c r="E56" s="8" t="s">
        <v>2694</v>
      </c>
      <c r="F56" s="8">
        <v>1</v>
      </c>
      <c r="G56" s="9">
        <v>0</v>
      </c>
      <c r="H56" s="9" t="s">
        <v>2603</v>
      </c>
      <c r="I56" s="7">
        <v>45706</v>
      </c>
      <c r="J56" s="9" t="s">
        <v>2604</v>
      </c>
      <c r="K56" s="32" t="s">
        <v>2630</v>
      </c>
      <c r="L56" s="10">
        <f>MONTH(Table4[[#This Row],[Order Date]])</f>
        <v>2</v>
      </c>
    </row>
    <row r="57" spans="1:12" hidden="1">
      <c r="A57" s="8">
        <v>50110057</v>
      </c>
      <c r="B57" s="12">
        <v>45691</v>
      </c>
      <c r="C57" s="8" t="s">
        <v>88</v>
      </c>
      <c r="D57" s="8" t="s">
        <v>2695</v>
      </c>
      <c r="E57" s="8" t="s">
        <v>2696</v>
      </c>
      <c r="F57" s="8">
        <v>1</v>
      </c>
      <c r="G57" s="9">
        <v>1</v>
      </c>
      <c r="H57" s="9" t="s">
        <v>2603</v>
      </c>
      <c r="I57" s="7">
        <v>45706</v>
      </c>
      <c r="J57" s="9" t="s">
        <v>2604</v>
      </c>
      <c r="K57" s="32" t="s">
        <v>2630</v>
      </c>
      <c r="L57" s="10">
        <f>MONTH(Table4[[#This Row],[Order Date]])</f>
        <v>2</v>
      </c>
    </row>
    <row r="58" spans="1:12" hidden="1">
      <c r="A58" s="8">
        <v>50110057</v>
      </c>
      <c r="B58" s="12">
        <v>45691</v>
      </c>
      <c r="C58" s="8" t="s">
        <v>88</v>
      </c>
      <c r="D58" s="8" t="s">
        <v>2697</v>
      </c>
      <c r="E58" s="8" t="s">
        <v>2698</v>
      </c>
      <c r="F58" s="8">
        <v>1</v>
      </c>
      <c r="G58" s="9">
        <v>1</v>
      </c>
      <c r="H58" s="9" t="s">
        <v>2603</v>
      </c>
      <c r="I58" s="7">
        <v>45706</v>
      </c>
      <c r="J58" s="9" t="s">
        <v>2604</v>
      </c>
      <c r="K58" s="32" t="s">
        <v>2630</v>
      </c>
      <c r="L58" s="10">
        <f>MONTH(Table4[[#This Row],[Order Date]])</f>
        <v>2</v>
      </c>
    </row>
    <row r="59" spans="1:12" hidden="1">
      <c r="A59" s="8">
        <v>50110372</v>
      </c>
      <c r="B59" s="12">
        <v>45691</v>
      </c>
      <c r="C59" s="8" t="s">
        <v>33</v>
      </c>
      <c r="D59" s="8" t="s">
        <v>2699</v>
      </c>
      <c r="E59" s="8" t="s">
        <v>2700</v>
      </c>
      <c r="F59" s="8">
        <v>1</v>
      </c>
      <c r="G59" s="9">
        <v>1</v>
      </c>
      <c r="H59" s="20" t="s">
        <v>2608</v>
      </c>
      <c r="I59" s="7">
        <v>45705</v>
      </c>
      <c r="J59" s="20" t="s">
        <v>2604</v>
      </c>
      <c r="K59" s="32" t="s">
        <v>2630</v>
      </c>
      <c r="L59" s="10">
        <f>MONTH(Table4[[#This Row],[Order Date]])</f>
        <v>2</v>
      </c>
    </row>
    <row r="60" spans="1:12" hidden="1">
      <c r="A60" s="8">
        <v>50110057</v>
      </c>
      <c r="B60" s="12">
        <v>45691</v>
      </c>
      <c r="C60" s="8" t="s">
        <v>88</v>
      </c>
      <c r="D60" s="8" t="s">
        <v>2701</v>
      </c>
      <c r="E60" s="8" t="s">
        <v>2702</v>
      </c>
      <c r="F60" s="8">
        <v>1</v>
      </c>
      <c r="G60" s="9">
        <v>1</v>
      </c>
      <c r="H60" s="9" t="s">
        <v>2603</v>
      </c>
      <c r="I60" s="7"/>
      <c r="J60" s="20" t="s">
        <v>2609</v>
      </c>
      <c r="K60" s="32" t="s">
        <v>2630</v>
      </c>
      <c r="L60" s="10">
        <f>MONTH(Table4[[#This Row],[Order Date]])</f>
        <v>2</v>
      </c>
    </row>
    <row r="61" spans="1:12" hidden="1">
      <c r="A61" s="8">
        <v>43000422</v>
      </c>
      <c r="B61" s="12">
        <v>45691</v>
      </c>
      <c r="C61" s="8" t="s">
        <v>298</v>
      </c>
      <c r="D61" s="8" t="s">
        <v>2529</v>
      </c>
      <c r="E61" s="8" t="s">
        <v>2703</v>
      </c>
      <c r="F61" s="8">
        <v>1</v>
      </c>
      <c r="G61" s="9">
        <v>1</v>
      </c>
      <c r="H61" s="9" t="s">
        <v>2603</v>
      </c>
      <c r="I61" s="7">
        <v>45681</v>
      </c>
      <c r="J61" s="9" t="s">
        <v>2604</v>
      </c>
      <c r="K61" s="32" t="s">
        <v>2630</v>
      </c>
      <c r="L61" s="10">
        <f>MONTH(Table4[[#This Row],[Order Date]])</f>
        <v>2</v>
      </c>
    </row>
    <row r="62" spans="1:12" hidden="1">
      <c r="A62" s="8">
        <v>48000482</v>
      </c>
      <c r="B62" s="12">
        <v>45691</v>
      </c>
      <c r="C62" s="8" t="s">
        <v>704</v>
      </c>
      <c r="D62" s="8" t="s">
        <v>1650</v>
      </c>
      <c r="E62" s="8" t="s">
        <v>2704</v>
      </c>
      <c r="F62" s="8">
        <v>1</v>
      </c>
      <c r="G62" s="9">
        <v>1</v>
      </c>
      <c r="H62" s="9" t="s">
        <v>2603</v>
      </c>
      <c r="I62" s="7">
        <v>45691</v>
      </c>
      <c r="J62" s="9" t="s">
        <v>2604</v>
      </c>
      <c r="K62" s="32" t="s">
        <v>2630</v>
      </c>
      <c r="L62" s="10">
        <f>MONTH(Table4[[#This Row],[Order Date]])</f>
        <v>2</v>
      </c>
    </row>
    <row r="63" spans="1:12" hidden="1">
      <c r="A63" s="8">
        <v>48000482</v>
      </c>
      <c r="B63" s="12">
        <v>45691</v>
      </c>
      <c r="C63" s="8" t="s">
        <v>704</v>
      </c>
      <c r="D63" s="8" t="s">
        <v>446</v>
      </c>
      <c r="E63" s="8" t="s">
        <v>509</v>
      </c>
      <c r="F63" s="8">
        <v>1</v>
      </c>
      <c r="G63" s="9">
        <v>1</v>
      </c>
      <c r="H63" s="9" t="s">
        <v>2603</v>
      </c>
      <c r="I63" s="7">
        <v>45672</v>
      </c>
      <c r="J63" s="9" t="s">
        <v>2604</v>
      </c>
      <c r="K63" s="32" t="s">
        <v>2630</v>
      </c>
      <c r="L63" s="10">
        <f>MONTH(Table4[[#This Row],[Order Date]])</f>
        <v>2</v>
      </c>
    </row>
    <row r="64" spans="1:12" hidden="1">
      <c r="A64" s="8">
        <v>50000530</v>
      </c>
      <c r="B64" s="12">
        <v>45691</v>
      </c>
      <c r="C64" s="8" t="s">
        <v>365</v>
      </c>
      <c r="D64" s="8" t="s">
        <v>1064</v>
      </c>
      <c r="E64" s="8" t="s">
        <v>2705</v>
      </c>
      <c r="F64" s="8">
        <v>1</v>
      </c>
      <c r="G64" s="9">
        <v>1</v>
      </c>
      <c r="H64" s="20" t="s">
        <v>2608</v>
      </c>
      <c r="I64" s="7">
        <v>45688</v>
      </c>
      <c r="J64" s="9" t="s">
        <v>2604</v>
      </c>
      <c r="K64" s="32" t="s">
        <v>2630</v>
      </c>
      <c r="L64" s="10">
        <f>MONTH(Table4[[#This Row],[Order Date]])</f>
        <v>2</v>
      </c>
    </row>
    <row r="65" spans="1:12" hidden="1">
      <c r="A65" s="8">
        <v>50000530</v>
      </c>
      <c r="B65" s="12">
        <v>45691</v>
      </c>
      <c r="C65" s="8" t="s">
        <v>365</v>
      </c>
      <c r="D65" s="8" t="s">
        <v>70</v>
      </c>
      <c r="E65" s="8" t="s">
        <v>352</v>
      </c>
      <c r="F65" s="8">
        <v>1</v>
      </c>
      <c r="G65" s="9">
        <v>1</v>
      </c>
      <c r="H65" s="9" t="s">
        <v>2603</v>
      </c>
      <c r="I65" s="7">
        <v>45688</v>
      </c>
      <c r="J65" s="9" t="s">
        <v>2604</v>
      </c>
      <c r="K65" s="32" t="s">
        <v>2630</v>
      </c>
      <c r="L65" s="10">
        <f>MONTH(Table4[[#This Row],[Order Date]])</f>
        <v>2</v>
      </c>
    </row>
    <row r="66" spans="1:12" hidden="1">
      <c r="A66" s="8">
        <v>44000010</v>
      </c>
      <c r="B66" s="12">
        <v>45691</v>
      </c>
      <c r="C66" s="8" t="s">
        <v>1030</v>
      </c>
      <c r="D66" s="25" t="s">
        <v>587</v>
      </c>
      <c r="E66" s="8" t="s">
        <v>2706</v>
      </c>
      <c r="F66" s="8">
        <v>1</v>
      </c>
      <c r="G66" s="9">
        <v>1</v>
      </c>
      <c r="H66" s="9" t="s">
        <v>2603</v>
      </c>
      <c r="I66" s="7">
        <v>45705</v>
      </c>
      <c r="J66" s="9" t="s">
        <v>2604</v>
      </c>
      <c r="K66" s="32" t="s">
        <v>2630</v>
      </c>
      <c r="L66" s="10">
        <f>MONTH(Table4[[#This Row],[Order Date]])</f>
        <v>2</v>
      </c>
    </row>
    <row r="67" spans="1:12" hidden="1">
      <c r="A67" s="8">
        <v>50110193</v>
      </c>
      <c r="B67" s="12">
        <v>45691</v>
      </c>
      <c r="C67" s="8" t="s">
        <v>125</v>
      </c>
      <c r="D67" s="25" t="s">
        <v>813</v>
      </c>
      <c r="E67" s="8" t="s">
        <v>2707</v>
      </c>
      <c r="F67" s="8">
        <v>1</v>
      </c>
      <c r="G67" s="9">
        <v>1</v>
      </c>
      <c r="H67" s="9" t="s">
        <v>2603</v>
      </c>
      <c r="I67" s="7">
        <v>45693</v>
      </c>
      <c r="J67" s="20" t="s">
        <v>2609</v>
      </c>
      <c r="K67" s="32" t="s">
        <v>2630</v>
      </c>
      <c r="L67" s="10">
        <f>MONTH(Table4[[#This Row],[Order Date]])</f>
        <v>2</v>
      </c>
    </row>
    <row r="68" spans="1:12" hidden="1">
      <c r="A68" s="8">
        <v>48300301</v>
      </c>
      <c r="B68" s="12">
        <v>45692</v>
      </c>
      <c r="C68" s="8" t="s">
        <v>134</v>
      </c>
      <c r="D68" s="25" t="s">
        <v>803</v>
      </c>
      <c r="E68" s="8" t="s">
        <v>804</v>
      </c>
      <c r="F68" s="8">
        <v>1</v>
      </c>
      <c r="G68" s="9">
        <v>1</v>
      </c>
      <c r="H68" s="9" t="s">
        <v>2603</v>
      </c>
      <c r="I68" s="7">
        <v>45679</v>
      </c>
      <c r="J68" s="9" t="s">
        <v>2604</v>
      </c>
      <c r="K68" s="32" t="s">
        <v>2630</v>
      </c>
      <c r="L68" s="10">
        <f>MONTH(Table4[[#This Row],[Order Date]])</f>
        <v>2</v>
      </c>
    </row>
    <row r="69" spans="1:12" hidden="1">
      <c r="A69" s="8">
        <v>60002072</v>
      </c>
      <c r="B69" s="12">
        <v>45692</v>
      </c>
      <c r="C69" s="8" t="s">
        <v>94</v>
      </c>
      <c r="D69" s="25" t="s">
        <v>2708</v>
      </c>
      <c r="E69" s="8" t="s">
        <v>742</v>
      </c>
      <c r="F69" s="8">
        <v>1</v>
      </c>
      <c r="G69" s="9">
        <v>1</v>
      </c>
      <c r="H69" s="9" t="s">
        <v>2603</v>
      </c>
      <c r="I69" s="7">
        <v>45692</v>
      </c>
      <c r="J69" s="9" t="s">
        <v>2604</v>
      </c>
      <c r="K69" s="32" t="s">
        <v>2630</v>
      </c>
      <c r="L69" s="10">
        <f>MONTH(Table4[[#This Row],[Order Date]])</f>
        <v>2</v>
      </c>
    </row>
    <row r="70" spans="1:12" hidden="1">
      <c r="A70" s="8">
        <v>50000343</v>
      </c>
      <c r="B70" s="12">
        <v>45692</v>
      </c>
      <c r="C70" s="8" t="s">
        <v>33</v>
      </c>
      <c r="D70" s="25" t="s">
        <v>220</v>
      </c>
      <c r="E70" s="8" t="s">
        <v>2709</v>
      </c>
      <c r="F70" s="8">
        <v>1</v>
      </c>
      <c r="G70" s="9">
        <v>1</v>
      </c>
      <c r="H70" s="9" t="s">
        <v>2603</v>
      </c>
      <c r="I70" s="7">
        <v>45693</v>
      </c>
      <c r="J70" s="20" t="s">
        <v>2609</v>
      </c>
      <c r="K70" s="32" t="s">
        <v>2630</v>
      </c>
      <c r="L70" s="10">
        <f>MONTH(Table4[[#This Row],[Order Date]])</f>
        <v>2</v>
      </c>
    </row>
    <row r="71" spans="1:12" hidden="1">
      <c r="A71" s="8">
        <v>50000202</v>
      </c>
      <c r="B71" s="12">
        <v>45692</v>
      </c>
      <c r="C71" s="8" t="s">
        <v>1322</v>
      </c>
      <c r="D71" s="25" t="s">
        <v>1074</v>
      </c>
      <c r="E71" s="8" t="s">
        <v>2710</v>
      </c>
      <c r="F71" s="8">
        <v>1</v>
      </c>
      <c r="G71" s="9">
        <v>1</v>
      </c>
      <c r="H71" s="9" t="s">
        <v>2603</v>
      </c>
      <c r="I71" s="7">
        <v>45663</v>
      </c>
      <c r="J71" s="9" t="s">
        <v>2604</v>
      </c>
      <c r="K71" s="32" t="s">
        <v>2630</v>
      </c>
      <c r="L71" s="10">
        <f>MONTH(Table4[[#This Row],[Order Date]])</f>
        <v>2</v>
      </c>
    </row>
    <row r="72" spans="1:12" hidden="1">
      <c r="A72" s="8">
        <v>48000482</v>
      </c>
      <c r="B72" s="12">
        <v>45692</v>
      </c>
      <c r="C72" s="8" t="s">
        <v>704</v>
      </c>
      <c r="D72" s="25" t="s">
        <v>587</v>
      </c>
      <c r="E72" s="8" t="s">
        <v>588</v>
      </c>
      <c r="F72" s="8">
        <v>1</v>
      </c>
      <c r="G72" s="9">
        <v>1</v>
      </c>
      <c r="H72" s="9" t="s">
        <v>2603</v>
      </c>
      <c r="I72" s="7">
        <v>45705</v>
      </c>
      <c r="J72" s="9" t="s">
        <v>2604</v>
      </c>
      <c r="K72" s="32" t="s">
        <v>2630</v>
      </c>
      <c r="L72" s="10">
        <f>MONTH(Table4[[#This Row],[Order Date]])</f>
        <v>2</v>
      </c>
    </row>
    <row r="73" spans="1:12" hidden="1">
      <c r="A73" s="8">
        <v>44000059</v>
      </c>
      <c r="B73" s="12">
        <v>45692</v>
      </c>
      <c r="C73" s="8" t="s">
        <v>134</v>
      </c>
      <c r="D73" s="25" t="s">
        <v>846</v>
      </c>
      <c r="E73" s="8" t="s">
        <v>847</v>
      </c>
      <c r="F73" s="8">
        <v>1</v>
      </c>
      <c r="G73" s="9">
        <v>1</v>
      </c>
      <c r="H73" s="9" t="s">
        <v>2603</v>
      </c>
      <c r="I73" s="7">
        <v>45681</v>
      </c>
      <c r="J73" s="9" t="s">
        <v>2604</v>
      </c>
      <c r="K73" s="32" t="s">
        <v>2630</v>
      </c>
      <c r="L73" s="10">
        <f>MONTH(Table4[[#This Row],[Order Date]])</f>
        <v>2</v>
      </c>
    </row>
    <row r="74" spans="1:12" hidden="1">
      <c r="A74" s="8">
        <v>44000059</v>
      </c>
      <c r="B74" s="12">
        <v>45692</v>
      </c>
      <c r="C74" s="8" t="s">
        <v>134</v>
      </c>
      <c r="D74" s="25" t="s">
        <v>2711</v>
      </c>
      <c r="E74" s="8" t="s">
        <v>2712</v>
      </c>
      <c r="F74" s="8">
        <v>1</v>
      </c>
      <c r="G74" s="9">
        <v>1</v>
      </c>
      <c r="H74" s="9" t="s">
        <v>2603</v>
      </c>
      <c r="I74" s="7">
        <v>45692</v>
      </c>
      <c r="J74" s="9" t="s">
        <v>2604</v>
      </c>
      <c r="K74" s="32" t="s">
        <v>2630</v>
      </c>
      <c r="L74" s="10">
        <f>MONTH(Table4[[#This Row],[Order Date]])</f>
        <v>2</v>
      </c>
    </row>
    <row r="75" spans="1:12" hidden="1">
      <c r="A75" s="8">
        <v>50110372</v>
      </c>
      <c r="B75" s="12">
        <v>45692</v>
      </c>
      <c r="C75" s="8" t="s">
        <v>33</v>
      </c>
      <c r="D75" s="25" t="s">
        <v>2713</v>
      </c>
      <c r="E75" s="8" t="s">
        <v>2714</v>
      </c>
      <c r="F75" s="8">
        <v>1</v>
      </c>
      <c r="G75" s="9">
        <v>0</v>
      </c>
      <c r="H75" s="20" t="s">
        <v>2608</v>
      </c>
      <c r="I75" s="7"/>
      <c r="J75" s="9" t="s">
        <v>2604</v>
      </c>
      <c r="K75" s="32" t="s">
        <v>2630</v>
      </c>
      <c r="L75" s="10">
        <f>MONTH(Table4[[#This Row],[Order Date]])</f>
        <v>2</v>
      </c>
    </row>
    <row r="76" spans="1:12" hidden="1">
      <c r="A76" s="8">
        <v>50110372</v>
      </c>
      <c r="B76" s="12">
        <v>45692</v>
      </c>
      <c r="C76" s="8" t="s">
        <v>33</v>
      </c>
      <c r="D76" s="8" t="s">
        <v>2715</v>
      </c>
      <c r="E76" s="8" t="s">
        <v>2716</v>
      </c>
      <c r="F76" s="8">
        <v>1</v>
      </c>
      <c r="G76" s="9">
        <v>1</v>
      </c>
      <c r="H76" s="20" t="s">
        <v>2608</v>
      </c>
      <c r="I76" s="7">
        <v>45692</v>
      </c>
      <c r="J76" s="9" t="s">
        <v>2604</v>
      </c>
      <c r="K76" s="32" t="s">
        <v>2630</v>
      </c>
      <c r="L76" s="10">
        <f>MONTH(Table4[[#This Row],[Order Date]])</f>
        <v>2</v>
      </c>
    </row>
    <row r="77" spans="1:12" hidden="1">
      <c r="A77" s="8">
        <v>51000136</v>
      </c>
      <c r="B77" s="12">
        <v>45693</v>
      </c>
      <c r="C77" s="8" t="s">
        <v>101</v>
      </c>
      <c r="D77" s="8" t="s">
        <v>2717</v>
      </c>
      <c r="E77" s="8" t="s">
        <v>2718</v>
      </c>
      <c r="F77" s="8">
        <v>1</v>
      </c>
      <c r="G77" s="9">
        <v>0</v>
      </c>
      <c r="H77" s="9" t="s">
        <v>2603</v>
      </c>
      <c r="I77" s="7"/>
      <c r="J77" s="9" t="s">
        <v>2604</v>
      </c>
      <c r="K77" s="32" t="s">
        <v>2630</v>
      </c>
      <c r="L77" s="10">
        <f>MONTH(Table4[[#This Row],[Order Date]])</f>
        <v>2</v>
      </c>
    </row>
    <row r="78" spans="1:12" hidden="1">
      <c r="A78" s="8">
        <v>50000343</v>
      </c>
      <c r="B78" s="12">
        <v>45694</v>
      </c>
      <c r="C78" s="8" t="s">
        <v>33</v>
      </c>
      <c r="D78" s="8" t="s">
        <v>2380</v>
      </c>
      <c r="E78" s="8" t="s">
        <v>2719</v>
      </c>
      <c r="F78" s="8">
        <v>1</v>
      </c>
      <c r="G78" s="9">
        <v>1</v>
      </c>
      <c r="H78" s="9" t="s">
        <v>2603</v>
      </c>
      <c r="I78" s="7">
        <v>45692</v>
      </c>
      <c r="J78" s="9" t="s">
        <v>2604</v>
      </c>
      <c r="K78" s="32" t="s">
        <v>2630</v>
      </c>
      <c r="L78" s="10">
        <f>MONTH(Table4[[#This Row],[Order Date]])</f>
        <v>2</v>
      </c>
    </row>
    <row r="79" spans="1:12" hidden="1">
      <c r="A79" s="8" t="s">
        <v>2720</v>
      </c>
      <c r="B79" s="12">
        <v>45694</v>
      </c>
      <c r="C79" s="8" t="s">
        <v>434</v>
      </c>
      <c r="D79" s="8" t="s">
        <v>1494</v>
      </c>
      <c r="E79" s="8" t="s">
        <v>2721</v>
      </c>
      <c r="F79" s="8">
        <v>1</v>
      </c>
      <c r="G79" s="9">
        <v>1</v>
      </c>
      <c r="H79" s="9" t="s">
        <v>2603</v>
      </c>
      <c r="I79" s="7">
        <v>45693</v>
      </c>
      <c r="J79" s="9" t="s">
        <v>2604</v>
      </c>
      <c r="K79" s="32" t="s">
        <v>2630</v>
      </c>
      <c r="L79" s="10">
        <f>MONTH(Table4[[#This Row],[Order Date]])</f>
        <v>2</v>
      </c>
    </row>
    <row r="80" spans="1:12" hidden="1">
      <c r="A80" s="8">
        <v>60002095</v>
      </c>
      <c r="B80" s="12">
        <v>45695</v>
      </c>
      <c r="C80" s="8" t="s">
        <v>33</v>
      </c>
      <c r="D80" s="8" t="s">
        <v>750</v>
      </c>
      <c r="E80" s="8" t="s">
        <v>2722</v>
      </c>
      <c r="F80" s="8">
        <v>1</v>
      </c>
      <c r="G80" s="9">
        <v>0</v>
      </c>
      <c r="H80" s="20" t="s">
        <v>2608</v>
      </c>
      <c r="I80" s="7"/>
      <c r="J80" s="9" t="s">
        <v>2604</v>
      </c>
      <c r="K80" s="32" t="s">
        <v>2630</v>
      </c>
      <c r="L80" s="10">
        <f>MONTH(Table4[[#This Row],[Order Date]])</f>
        <v>2</v>
      </c>
    </row>
    <row r="81" spans="1:12" hidden="1">
      <c r="A81" s="8" t="s">
        <v>2723</v>
      </c>
      <c r="B81" s="12">
        <v>45695</v>
      </c>
      <c r="C81" s="8" t="s">
        <v>1030</v>
      </c>
      <c r="D81" s="8" t="s">
        <v>2724</v>
      </c>
      <c r="E81" s="8" t="s">
        <v>2725</v>
      </c>
      <c r="F81" s="8">
        <v>1</v>
      </c>
      <c r="G81" s="9">
        <v>1</v>
      </c>
      <c r="H81" s="9" t="s">
        <v>2603</v>
      </c>
      <c r="I81" s="7">
        <v>45677</v>
      </c>
      <c r="J81" s="9" t="s">
        <v>2604</v>
      </c>
      <c r="K81" s="32" t="s">
        <v>2630</v>
      </c>
      <c r="L81" s="10">
        <f>MONTH(Table4[[#This Row],[Order Date]])</f>
        <v>2</v>
      </c>
    </row>
    <row r="82" spans="1:12" hidden="1">
      <c r="A82" s="8">
        <v>44000321</v>
      </c>
      <c r="B82" s="12">
        <v>45695</v>
      </c>
      <c r="C82" s="8" t="s">
        <v>2726</v>
      </c>
      <c r="D82" s="8" t="s">
        <v>2727</v>
      </c>
      <c r="E82" s="8" t="s">
        <v>2728</v>
      </c>
      <c r="F82" s="8">
        <v>1</v>
      </c>
      <c r="G82" s="9">
        <v>1</v>
      </c>
      <c r="H82" s="9" t="s">
        <v>2603</v>
      </c>
      <c r="I82" s="7">
        <v>45672</v>
      </c>
      <c r="J82" s="9" t="s">
        <v>2604</v>
      </c>
      <c r="K82" s="32" t="s">
        <v>2630</v>
      </c>
      <c r="L82" s="10">
        <f>MONTH(Table4[[#This Row],[Order Date]])</f>
        <v>2</v>
      </c>
    </row>
    <row r="83" spans="1:12" hidden="1">
      <c r="A83" s="8">
        <v>44000321</v>
      </c>
      <c r="B83" s="12">
        <v>45695</v>
      </c>
      <c r="C83" s="8" t="s">
        <v>2726</v>
      </c>
      <c r="D83" s="8" t="s">
        <v>1037</v>
      </c>
      <c r="E83" s="8" t="s">
        <v>2729</v>
      </c>
      <c r="F83" s="8">
        <v>1</v>
      </c>
      <c r="G83" s="9">
        <v>1</v>
      </c>
      <c r="H83" s="9" t="s">
        <v>2603</v>
      </c>
      <c r="I83" s="7">
        <v>45672</v>
      </c>
      <c r="J83" s="9" t="s">
        <v>2604</v>
      </c>
      <c r="K83" s="32" t="s">
        <v>2630</v>
      </c>
      <c r="L83" s="10">
        <f>MONTH(Table4[[#This Row],[Order Date]])</f>
        <v>2</v>
      </c>
    </row>
    <row r="84" spans="1:12" hidden="1">
      <c r="A84" s="8">
        <v>50000343</v>
      </c>
      <c r="B84" s="12">
        <v>45698</v>
      </c>
      <c r="C84" s="8" t="s">
        <v>33</v>
      </c>
      <c r="D84" s="8" t="s">
        <v>70</v>
      </c>
      <c r="E84" s="8" t="s">
        <v>352</v>
      </c>
      <c r="F84" s="8">
        <v>1</v>
      </c>
      <c r="G84" s="9">
        <v>1</v>
      </c>
      <c r="H84" s="9" t="s">
        <v>2603</v>
      </c>
      <c r="I84" s="7">
        <v>45698</v>
      </c>
      <c r="J84" s="20" t="s">
        <v>2609</v>
      </c>
      <c r="K84" s="32" t="s">
        <v>2630</v>
      </c>
      <c r="L84" s="10">
        <f>MONTH(Table4[[#This Row],[Order Date]])</f>
        <v>2</v>
      </c>
    </row>
    <row r="85" spans="1:12" hidden="1">
      <c r="A85" s="8">
        <v>48300375</v>
      </c>
      <c r="B85" s="12">
        <v>45698</v>
      </c>
      <c r="C85" s="8" t="s">
        <v>915</v>
      </c>
      <c r="D85" s="8" t="s">
        <v>2730</v>
      </c>
      <c r="E85" s="8" t="s">
        <v>2731</v>
      </c>
      <c r="F85" s="8">
        <v>1</v>
      </c>
      <c r="G85" s="9">
        <v>1</v>
      </c>
      <c r="H85" s="9" t="s">
        <v>2603</v>
      </c>
      <c r="I85" s="7"/>
      <c r="J85" s="9" t="s">
        <v>2604</v>
      </c>
      <c r="K85" s="32" t="s">
        <v>2630</v>
      </c>
      <c r="L85" s="10">
        <f>MONTH(Table4[[#This Row],[Order Date]])</f>
        <v>2</v>
      </c>
    </row>
    <row r="86" spans="1:12" hidden="1">
      <c r="A86" s="8">
        <v>50110372</v>
      </c>
      <c r="B86" s="12">
        <v>45698</v>
      </c>
      <c r="C86" s="8" t="s">
        <v>33</v>
      </c>
      <c r="D86" s="8" t="s">
        <v>329</v>
      </c>
      <c r="E86" s="8" t="s">
        <v>346</v>
      </c>
      <c r="F86" s="8">
        <v>1</v>
      </c>
      <c r="G86" s="9">
        <v>1</v>
      </c>
      <c r="H86" s="9" t="s">
        <v>2603</v>
      </c>
      <c r="I86" s="7">
        <v>45695</v>
      </c>
      <c r="J86" s="9" t="s">
        <v>2604</v>
      </c>
      <c r="K86" s="32" t="s">
        <v>2630</v>
      </c>
      <c r="L86" s="10">
        <f>MONTH(Table4[[#This Row],[Order Date]])</f>
        <v>2</v>
      </c>
    </row>
    <row r="87" spans="1:12" hidden="1">
      <c r="A87" s="8">
        <v>50110229</v>
      </c>
      <c r="B87" s="12">
        <v>45698</v>
      </c>
      <c r="C87" s="8" t="s">
        <v>345</v>
      </c>
      <c r="D87" s="8" t="s">
        <v>866</v>
      </c>
      <c r="E87" s="8" t="s">
        <v>2732</v>
      </c>
      <c r="F87" s="8">
        <v>1</v>
      </c>
      <c r="G87" s="9">
        <v>1</v>
      </c>
      <c r="H87" s="9" t="s">
        <v>2603</v>
      </c>
      <c r="I87" s="7">
        <v>45698</v>
      </c>
      <c r="J87" s="9" t="s">
        <v>2604</v>
      </c>
      <c r="K87" s="32" t="s">
        <v>2630</v>
      </c>
      <c r="L87" s="10">
        <f>MONTH(Table4[[#This Row],[Order Date]])</f>
        <v>2</v>
      </c>
    </row>
    <row r="88" spans="1:12" hidden="1">
      <c r="A88" s="8">
        <v>50300097</v>
      </c>
      <c r="B88" s="12">
        <v>45699</v>
      </c>
      <c r="C88" s="8" t="s">
        <v>333</v>
      </c>
      <c r="D88" s="8" t="s">
        <v>1267</v>
      </c>
      <c r="E88" s="8" t="s">
        <v>2733</v>
      </c>
      <c r="F88" s="8">
        <v>1</v>
      </c>
      <c r="G88" s="9">
        <v>1</v>
      </c>
      <c r="H88" s="9" t="s">
        <v>2603</v>
      </c>
      <c r="I88" s="7">
        <v>45691</v>
      </c>
      <c r="J88" s="9" t="s">
        <v>2604</v>
      </c>
      <c r="K88" s="32" t="s">
        <v>2630</v>
      </c>
      <c r="L88" s="10">
        <f>MONTH(Table4[[#This Row],[Order Date]])</f>
        <v>2</v>
      </c>
    </row>
    <row r="89" spans="1:12" hidden="1">
      <c r="A89" s="8">
        <v>60002095</v>
      </c>
      <c r="B89" s="12">
        <v>45701</v>
      </c>
      <c r="C89" s="8" t="s">
        <v>33</v>
      </c>
      <c r="D89" s="8" t="s">
        <v>1172</v>
      </c>
      <c r="E89" s="8" t="s">
        <v>2734</v>
      </c>
      <c r="F89" s="8">
        <v>1</v>
      </c>
      <c r="G89" s="9">
        <v>1</v>
      </c>
      <c r="H89" s="9" t="s">
        <v>2603</v>
      </c>
      <c r="I89" s="7">
        <v>45701</v>
      </c>
      <c r="J89" s="9" t="s">
        <v>2604</v>
      </c>
      <c r="K89" s="32" t="s">
        <v>2630</v>
      </c>
      <c r="L89" s="10">
        <f>MONTH(Table4[[#This Row],[Order Date]])</f>
        <v>2</v>
      </c>
    </row>
    <row r="90" spans="1:12" hidden="1">
      <c r="A90" s="8">
        <v>47200115</v>
      </c>
      <c r="B90" s="12">
        <v>45706</v>
      </c>
      <c r="C90" s="8" t="s">
        <v>2735</v>
      </c>
      <c r="D90" s="8" t="s">
        <v>183</v>
      </c>
      <c r="E90" s="8" t="s">
        <v>2736</v>
      </c>
      <c r="F90" s="8">
        <v>1</v>
      </c>
      <c r="G90" s="9">
        <v>1</v>
      </c>
      <c r="H90" s="9" t="s">
        <v>2603</v>
      </c>
      <c r="I90" s="7">
        <v>45642</v>
      </c>
      <c r="J90" s="9" t="s">
        <v>2604</v>
      </c>
      <c r="K90" s="32" t="s">
        <v>2630</v>
      </c>
      <c r="L90" s="10">
        <f>MONTH(Table4[[#This Row],[Order Date]])</f>
        <v>2</v>
      </c>
    </row>
    <row r="91" spans="1:12" hidden="1">
      <c r="A91" s="8">
        <v>60002072</v>
      </c>
      <c r="B91" s="12">
        <v>45707</v>
      </c>
      <c r="C91" s="8" t="s">
        <v>94</v>
      </c>
      <c r="D91" s="8" t="s">
        <v>517</v>
      </c>
      <c r="E91" s="8" t="s">
        <v>2737</v>
      </c>
      <c r="F91" s="8">
        <v>1</v>
      </c>
      <c r="G91" s="9">
        <v>1</v>
      </c>
      <c r="H91" s="9" t="s">
        <v>2603</v>
      </c>
      <c r="I91" s="7">
        <v>45693</v>
      </c>
      <c r="J91" s="9" t="s">
        <v>2604</v>
      </c>
      <c r="K91" s="32" t="s">
        <v>2630</v>
      </c>
      <c r="L91" s="10">
        <f>MONTH(Table4[[#This Row],[Order Date]])</f>
        <v>2</v>
      </c>
    </row>
    <row r="92" spans="1:12" hidden="1">
      <c r="A92" s="8">
        <v>60002072</v>
      </c>
      <c r="B92" s="12">
        <v>45707</v>
      </c>
      <c r="C92" s="8" t="s">
        <v>94</v>
      </c>
      <c r="D92" s="8" t="s">
        <v>1154</v>
      </c>
      <c r="E92" s="8" t="s">
        <v>2738</v>
      </c>
      <c r="F92" s="8">
        <v>1</v>
      </c>
      <c r="G92" s="9">
        <v>1</v>
      </c>
      <c r="H92" s="9" t="s">
        <v>2603</v>
      </c>
      <c r="I92" s="7">
        <v>45693</v>
      </c>
      <c r="J92" s="9" t="s">
        <v>2604</v>
      </c>
      <c r="K92" s="32" t="s">
        <v>2630</v>
      </c>
      <c r="L92" s="10">
        <f>MONTH(Table4[[#This Row],[Order Date]])</f>
        <v>2</v>
      </c>
    </row>
    <row r="93" spans="1:12" hidden="1">
      <c r="A93" s="8">
        <v>50000202</v>
      </c>
      <c r="B93" s="12">
        <v>45707</v>
      </c>
      <c r="C93" s="8" t="s">
        <v>1322</v>
      </c>
      <c r="D93" s="8" t="s">
        <v>2739</v>
      </c>
      <c r="E93" s="8" t="s">
        <v>2740</v>
      </c>
      <c r="F93" s="8">
        <v>1</v>
      </c>
      <c r="G93" s="9">
        <v>1</v>
      </c>
      <c r="H93" s="9" t="s">
        <v>2603</v>
      </c>
      <c r="I93" s="7">
        <v>45705</v>
      </c>
      <c r="J93" s="9" t="s">
        <v>2604</v>
      </c>
      <c r="K93" s="32" t="s">
        <v>2630</v>
      </c>
      <c r="L93" s="10">
        <f>MONTH(Table4[[#This Row],[Order Date]])</f>
        <v>2</v>
      </c>
    </row>
    <row r="94" spans="1:12" hidden="1">
      <c r="A94" s="8">
        <v>48300375</v>
      </c>
      <c r="B94" s="12">
        <v>45707</v>
      </c>
      <c r="C94" s="8" t="s">
        <v>915</v>
      </c>
      <c r="D94" s="8" t="s">
        <v>446</v>
      </c>
      <c r="E94" s="8" t="s">
        <v>2741</v>
      </c>
      <c r="F94" s="8">
        <v>1</v>
      </c>
      <c r="G94" s="9">
        <v>1</v>
      </c>
      <c r="H94" s="9" t="s">
        <v>2603</v>
      </c>
      <c r="I94" s="7">
        <v>45636</v>
      </c>
      <c r="J94" s="9" t="s">
        <v>2604</v>
      </c>
      <c r="K94" s="32" t="s">
        <v>2630</v>
      </c>
      <c r="L94" s="10">
        <f>MONTH(Table4[[#This Row],[Order Date]])</f>
        <v>2</v>
      </c>
    </row>
    <row r="95" spans="1:12" hidden="1">
      <c r="A95" s="8" t="s">
        <v>2658</v>
      </c>
      <c r="B95" s="12">
        <v>45707</v>
      </c>
      <c r="C95" s="8" t="s">
        <v>1945</v>
      </c>
      <c r="D95" s="8" t="s">
        <v>2742</v>
      </c>
      <c r="E95" s="8" t="s">
        <v>2743</v>
      </c>
      <c r="F95" s="8">
        <v>1</v>
      </c>
      <c r="G95" s="9">
        <v>1</v>
      </c>
      <c r="H95" s="9" t="s">
        <v>2603</v>
      </c>
      <c r="I95" s="7">
        <v>45692</v>
      </c>
      <c r="J95" s="9" t="s">
        <v>2604</v>
      </c>
      <c r="K95" s="32" t="s">
        <v>2630</v>
      </c>
      <c r="L95" s="10">
        <f>MONTH(Table4[[#This Row],[Order Date]])</f>
        <v>2</v>
      </c>
    </row>
    <row r="96" spans="1:12" hidden="1">
      <c r="A96" s="8">
        <v>50110193</v>
      </c>
      <c r="B96" s="12">
        <v>45707</v>
      </c>
      <c r="C96" s="8" t="s">
        <v>125</v>
      </c>
      <c r="D96" s="8" t="s">
        <v>430</v>
      </c>
      <c r="E96" s="8" t="s">
        <v>431</v>
      </c>
      <c r="F96" s="8">
        <v>1</v>
      </c>
      <c r="G96" s="9">
        <v>1</v>
      </c>
      <c r="H96" s="9" t="s">
        <v>2603</v>
      </c>
      <c r="I96" s="7">
        <v>45701</v>
      </c>
      <c r="J96" s="9" t="s">
        <v>2604</v>
      </c>
      <c r="K96" s="32" t="s">
        <v>2630</v>
      </c>
      <c r="L96" s="10">
        <f>MONTH(Table4[[#This Row],[Order Date]])</f>
        <v>2</v>
      </c>
    </row>
    <row r="97" spans="1:12" hidden="1">
      <c r="A97" s="8">
        <v>48000432</v>
      </c>
      <c r="B97" s="12">
        <v>45707</v>
      </c>
      <c r="C97" s="8" t="s">
        <v>134</v>
      </c>
      <c r="D97" s="8" t="s">
        <v>513</v>
      </c>
      <c r="E97" s="8" t="s">
        <v>2293</v>
      </c>
      <c r="F97" s="8">
        <v>1</v>
      </c>
      <c r="G97" s="9">
        <v>1</v>
      </c>
      <c r="H97" s="9" t="s">
        <v>2603</v>
      </c>
      <c r="I97" s="7">
        <v>45700</v>
      </c>
      <c r="J97" s="9" t="s">
        <v>2604</v>
      </c>
      <c r="K97" s="32" t="s">
        <v>2630</v>
      </c>
      <c r="L97" s="10">
        <f>MONTH(Table4[[#This Row],[Order Date]])</f>
        <v>2</v>
      </c>
    </row>
    <row r="98" spans="1:12" hidden="1">
      <c r="A98" s="8">
        <v>43000422</v>
      </c>
      <c r="B98" s="12">
        <v>45708</v>
      </c>
      <c r="C98" s="8" t="s">
        <v>298</v>
      </c>
      <c r="D98" s="8" t="s">
        <v>2744</v>
      </c>
      <c r="E98" s="8" t="s">
        <v>1850</v>
      </c>
      <c r="F98" s="8">
        <v>1</v>
      </c>
      <c r="G98" s="9">
        <v>1</v>
      </c>
      <c r="H98" s="9" t="s">
        <v>2603</v>
      </c>
      <c r="I98" s="7">
        <v>45693</v>
      </c>
      <c r="J98" s="9" t="s">
        <v>2604</v>
      </c>
      <c r="K98" s="32" t="s">
        <v>2630</v>
      </c>
      <c r="L98" s="10">
        <f>MONTH(Table4[[#This Row],[Order Date]])</f>
        <v>2</v>
      </c>
    </row>
    <row r="99" spans="1:12" hidden="1">
      <c r="A99" s="8">
        <v>51000323</v>
      </c>
      <c r="B99" s="12">
        <v>45708</v>
      </c>
      <c r="C99" s="8" t="s">
        <v>101</v>
      </c>
      <c r="D99" s="8" t="s">
        <v>2259</v>
      </c>
      <c r="E99" s="8" t="s">
        <v>2745</v>
      </c>
      <c r="F99" s="8">
        <v>1</v>
      </c>
      <c r="G99" s="9">
        <v>1</v>
      </c>
      <c r="H99" s="9" t="s">
        <v>2603</v>
      </c>
      <c r="I99" s="7">
        <v>45708</v>
      </c>
      <c r="J99" s="9" t="s">
        <v>2604</v>
      </c>
      <c r="K99" s="32" t="s">
        <v>2630</v>
      </c>
      <c r="L99" s="10">
        <f>MONTH(Table4[[#This Row],[Order Date]])</f>
        <v>2</v>
      </c>
    </row>
    <row r="100" spans="1:12" hidden="1">
      <c r="A100" s="8">
        <v>51000323</v>
      </c>
      <c r="B100" s="12">
        <v>45708</v>
      </c>
      <c r="C100" s="8" t="s">
        <v>101</v>
      </c>
      <c r="D100" s="8" t="s">
        <v>335</v>
      </c>
      <c r="E100" s="8" t="s">
        <v>2746</v>
      </c>
      <c r="F100" s="8">
        <v>2</v>
      </c>
      <c r="G100" s="9">
        <v>2</v>
      </c>
      <c r="H100" s="9" t="s">
        <v>2603</v>
      </c>
      <c r="I100" s="7">
        <v>45707</v>
      </c>
      <c r="J100" s="9" t="s">
        <v>2604</v>
      </c>
      <c r="K100" s="32" t="s">
        <v>2630</v>
      </c>
      <c r="L100" s="10">
        <f>MONTH(Table4[[#This Row],[Order Date]])</f>
        <v>2</v>
      </c>
    </row>
    <row r="101" spans="1:12" hidden="1">
      <c r="A101" s="8">
        <v>50110193</v>
      </c>
      <c r="B101" s="12">
        <v>45708</v>
      </c>
      <c r="C101" s="8" t="s">
        <v>125</v>
      </c>
      <c r="D101" s="8" t="s">
        <v>2747</v>
      </c>
      <c r="E101" s="8" t="s">
        <v>2748</v>
      </c>
      <c r="F101" s="8">
        <v>1</v>
      </c>
      <c r="G101" s="9">
        <v>1</v>
      </c>
      <c r="H101" s="9" t="s">
        <v>2603</v>
      </c>
      <c r="I101" s="7">
        <v>45708</v>
      </c>
      <c r="J101" s="9" t="s">
        <v>2604</v>
      </c>
      <c r="K101" s="32" t="s">
        <v>2630</v>
      </c>
      <c r="L101" s="10">
        <f>MONTH(Table4[[#This Row],[Order Date]])</f>
        <v>2</v>
      </c>
    </row>
    <row r="102" spans="1:12" hidden="1">
      <c r="A102" s="8">
        <v>50110193</v>
      </c>
      <c r="B102" s="12">
        <v>45708</v>
      </c>
      <c r="C102" s="8" t="s">
        <v>125</v>
      </c>
      <c r="D102" s="8" t="s">
        <v>1051</v>
      </c>
      <c r="E102" s="8" t="s">
        <v>1052</v>
      </c>
      <c r="F102" s="8">
        <v>1</v>
      </c>
      <c r="G102" s="9">
        <v>1</v>
      </c>
      <c r="H102" s="9" t="s">
        <v>2603</v>
      </c>
      <c r="I102" s="7">
        <v>45708</v>
      </c>
      <c r="J102" s="9" t="s">
        <v>2604</v>
      </c>
      <c r="K102" s="32" t="s">
        <v>2630</v>
      </c>
      <c r="L102" s="10">
        <f>MONTH(Table4[[#This Row],[Order Date]])</f>
        <v>2</v>
      </c>
    </row>
    <row r="103" spans="1:12" hidden="1">
      <c r="A103" s="8">
        <v>50110193</v>
      </c>
      <c r="B103" s="12">
        <v>45708</v>
      </c>
      <c r="C103" s="8" t="s">
        <v>125</v>
      </c>
      <c r="D103" s="8" t="s">
        <v>2749</v>
      </c>
      <c r="E103" s="8" t="s">
        <v>2750</v>
      </c>
      <c r="F103" s="8">
        <v>1</v>
      </c>
      <c r="G103" s="9">
        <v>1</v>
      </c>
      <c r="H103" s="9" t="s">
        <v>2603</v>
      </c>
      <c r="I103" s="7">
        <v>45708</v>
      </c>
      <c r="J103" s="9" t="s">
        <v>2604</v>
      </c>
      <c r="K103" s="32" t="s">
        <v>2630</v>
      </c>
      <c r="L103" s="10">
        <f>MONTH(Table4[[#This Row],[Order Date]])</f>
        <v>2</v>
      </c>
    </row>
    <row r="104" spans="1:12" hidden="1">
      <c r="A104" s="8">
        <v>50000202</v>
      </c>
      <c r="B104" s="12">
        <v>45708</v>
      </c>
      <c r="C104" s="8" t="s">
        <v>1322</v>
      </c>
      <c r="D104" s="8" t="s">
        <v>201</v>
      </c>
      <c r="E104" s="8" t="s">
        <v>2751</v>
      </c>
      <c r="F104" s="8">
        <v>1</v>
      </c>
      <c r="G104" s="9">
        <v>1</v>
      </c>
      <c r="H104" s="9" t="s">
        <v>2603</v>
      </c>
      <c r="I104" s="7">
        <v>45699</v>
      </c>
      <c r="J104" s="9" t="s">
        <v>2604</v>
      </c>
      <c r="K104" s="32" t="s">
        <v>2630</v>
      </c>
      <c r="L104" s="10">
        <f>MONTH(Table4[[#This Row],[Order Date]])</f>
        <v>2</v>
      </c>
    </row>
    <row r="105" spans="1:12" hidden="1">
      <c r="A105" s="8">
        <v>50000260</v>
      </c>
      <c r="B105" s="12">
        <v>45709</v>
      </c>
      <c r="C105" s="8" t="s">
        <v>327</v>
      </c>
      <c r="D105" s="8" t="s">
        <v>1876</v>
      </c>
      <c r="E105" s="8" t="s">
        <v>2752</v>
      </c>
      <c r="F105" s="8">
        <v>3</v>
      </c>
      <c r="G105" s="9">
        <v>0</v>
      </c>
      <c r="H105" s="20" t="s">
        <v>2608</v>
      </c>
      <c r="I105" s="7"/>
      <c r="J105" s="9" t="s">
        <v>2604</v>
      </c>
      <c r="K105" s="32" t="s">
        <v>2630</v>
      </c>
      <c r="L105" s="10">
        <f>MONTH(Table4[[#This Row],[Order Date]])</f>
        <v>2</v>
      </c>
    </row>
    <row r="106" spans="1:12" hidden="1">
      <c r="A106" s="8">
        <v>50000260</v>
      </c>
      <c r="B106" s="12">
        <v>45709</v>
      </c>
      <c r="C106" s="8" t="s">
        <v>327</v>
      </c>
      <c r="D106" s="8" t="s">
        <v>2753</v>
      </c>
      <c r="E106" s="8" t="s">
        <v>2754</v>
      </c>
      <c r="F106" s="8">
        <v>1</v>
      </c>
      <c r="G106" s="9">
        <v>1</v>
      </c>
      <c r="H106" s="9" t="s">
        <v>2603</v>
      </c>
      <c r="I106" s="7">
        <v>45707</v>
      </c>
      <c r="J106" s="9" t="s">
        <v>2604</v>
      </c>
      <c r="K106" s="32" t="s">
        <v>2630</v>
      </c>
      <c r="L106" s="10">
        <f>MONTH(Table4[[#This Row],[Order Date]])</f>
        <v>2</v>
      </c>
    </row>
    <row r="107" spans="1:12" hidden="1">
      <c r="A107" s="8">
        <v>50000260</v>
      </c>
      <c r="B107" s="12">
        <v>45709</v>
      </c>
      <c r="C107" s="8" t="s">
        <v>327</v>
      </c>
      <c r="D107" s="8" t="s">
        <v>1872</v>
      </c>
      <c r="E107" s="8" t="s">
        <v>1873</v>
      </c>
      <c r="F107" s="8">
        <v>1</v>
      </c>
      <c r="G107" s="9">
        <v>1</v>
      </c>
      <c r="H107" s="9" t="s">
        <v>2603</v>
      </c>
      <c r="I107" s="7">
        <v>45707</v>
      </c>
      <c r="J107" s="9" t="s">
        <v>2604</v>
      </c>
      <c r="K107" s="32" t="s">
        <v>2630</v>
      </c>
      <c r="L107" s="10">
        <f>MONTH(Table4[[#This Row],[Order Date]])</f>
        <v>2</v>
      </c>
    </row>
    <row r="108" spans="1:12" hidden="1">
      <c r="A108" s="8">
        <v>50000260</v>
      </c>
      <c r="B108" s="12">
        <v>45709</v>
      </c>
      <c r="C108" s="8" t="s">
        <v>327</v>
      </c>
      <c r="D108" s="8" t="s">
        <v>222</v>
      </c>
      <c r="E108" s="8" t="s">
        <v>2755</v>
      </c>
      <c r="F108" s="8">
        <v>3</v>
      </c>
      <c r="G108" s="9">
        <v>3</v>
      </c>
      <c r="H108" s="9" t="s">
        <v>2603</v>
      </c>
      <c r="I108" s="7">
        <v>45707</v>
      </c>
      <c r="J108" s="9" t="s">
        <v>2604</v>
      </c>
      <c r="K108" s="32" t="s">
        <v>2630</v>
      </c>
      <c r="L108" s="10">
        <f>MONTH(Table4[[#This Row],[Order Date]])</f>
        <v>2</v>
      </c>
    </row>
    <row r="109" spans="1:12" hidden="1">
      <c r="A109" s="8">
        <v>50000260</v>
      </c>
      <c r="B109" s="12">
        <v>45709</v>
      </c>
      <c r="C109" s="8" t="s">
        <v>327</v>
      </c>
      <c r="D109" s="8" t="s">
        <v>2756</v>
      </c>
      <c r="E109" s="8" t="s">
        <v>2757</v>
      </c>
      <c r="F109" s="8">
        <v>1</v>
      </c>
      <c r="G109" s="9">
        <v>0</v>
      </c>
      <c r="H109" s="20" t="s">
        <v>2608</v>
      </c>
      <c r="I109" s="7"/>
      <c r="J109" s="9" t="s">
        <v>2604</v>
      </c>
      <c r="K109" s="32" t="s">
        <v>2630</v>
      </c>
      <c r="L109" s="10">
        <f>MONTH(Table4[[#This Row],[Order Date]])</f>
        <v>2</v>
      </c>
    </row>
    <row r="110" spans="1:12" hidden="1">
      <c r="A110" s="8">
        <v>51000174</v>
      </c>
      <c r="B110" s="12">
        <v>45709</v>
      </c>
      <c r="C110" s="8" t="s">
        <v>154</v>
      </c>
      <c r="D110" s="8" t="s">
        <v>2653</v>
      </c>
      <c r="E110" s="8" t="s">
        <v>1000</v>
      </c>
      <c r="F110" s="8">
        <v>1</v>
      </c>
      <c r="G110" s="9">
        <v>1</v>
      </c>
      <c r="H110" s="9" t="s">
        <v>2603</v>
      </c>
      <c r="I110" s="7">
        <v>45705</v>
      </c>
      <c r="J110" s="9" t="s">
        <v>2604</v>
      </c>
      <c r="K110" s="32" t="s">
        <v>2630</v>
      </c>
      <c r="L110" s="10">
        <f>MONTH(Table4[[#This Row],[Order Date]])</f>
        <v>2</v>
      </c>
    </row>
    <row r="111" spans="1:12" hidden="1">
      <c r="A111" s="8">
        <v>50110372</v>
      </c>
      <c r="B111" s="12">
        <v>45712</v>
      </c>
      <c r="C111" s="8" t="s">
        <v>33</v>
      </c>
      <c r="D111" s="8" t="s">
        <v>2758</v>
      </c>
      <c r="E111" s="8" t="s">
        <v>2759</v>
      </c>
      <c r="F111" s="8">
        <v>1</v>
      </c>
      <c r="G111" s="9">
        <v>0</v>
      </c>
      <c r="H111" s="20" t="s">
        <v>2608</v>
      </c>
      <c r="I111" s="7"/>
      <c r="J111" s="9" t="s">
        <v>2604</v>
      </c>
      <c r="K111" s="32" t="s">
        <v>2630</v>
      </c>
      <c r="L111" s="10">
        <f>MONTH(Table4[[#This Row],[Order Date]])</f>
        <v>2</v>
      </c>
    </row>
    <row r="112" spans="1:12" hidden="1">
      <c r="A112" s="24">
        <v>48300301</v>
      </c>
      <c r="B112" s="21">
        <v>45712</v>
      </c>
      <c r="C112" s="8" t="s">
        <v>134</v>
      </c>
      <c r="D112" s="8" t="s">
        <v>2760</v>
      </c>
      <c r="E112" s="8" t="s">
        <v>2761</v>
      </c>
      <c r="F112" s="8">
        <v>1</v>
      </c>
      <c r="G112" s="9">
        <v>1</v>
      </c>
      <c r="H112" s="9" t="s">
        <v>2603</v>
      </c>
      <c r="I112" s="22">
        <v>45680</v>
      </c>
      <c r="J112" s="9" t="s">
        <v>2604</v>
      </c>
      <c r="K112" s="32" t="s">
        <v>2630</v>
      </c>
      <c r="L112" s="23">
        <f>MONTH(Table4[[#This Row],[Order Date]])</f>
        <v>2</v>
      </c>
    </row>
    <row r="113" spans="1:12" hidden="1">
      <c r="A113" s="8">
        <v>50000530</v>
      </c>
      <c r="B113" s="12">
        <v>45714</v>
      </c>
      <c r="C113" s="8" t="s">
        <v>365</v>
      </c>
      <c r="D113" s="8" t="s">
        <v>2762</v>
      </c>
      <c r="E113" s="8" t="s">
        <v>217</v>
      </c>
      <c r="F113" s="8">
        <v>1</v>
      </c>
      <c r="G113" s="9">
        <v>1</v>
      </c>
      <c r="H113" s="9" t="s">
        <v>2603</v>
      </c>
      <c r="I113" s="7">
        <v>45712</v>
      </c>
      <c r="J113" s="9" t="s">
        <v>2604</v>
      </c>
      <c r="K113" s="32" t="s">
        <v>2630</v>
      </c>
      <c r="L113" s="10">
        <f>MONTH(Table4[[#This Row],[Order Date]])</f>
        <v>2</v>
      </c>
    </row>
    <row r="114" spans="1:12" hidden="1">
      <c r="A114" s="8">
        <v>50110193</v>
      </c>
      <c r="B114" s="12">
        <v>45714</v>
      </c>
      <c r="C114" s="8" t="s">
        <v>125</v>
      </c>
      <c r="D114" s="8" t="s">
        <v>472</v>
      </c>
      <c r="E114" s="8" t="s">
        <v>2763</v>
      </c>
      <c r="F114" s="8">
        <v>1</v>
      </c>
      <c r="G114" s="9">
        <v>1</v>
      </c>
      <c r="H114" s="9" t="s">
        <v>2603</v>
      </c>
      <c r="I114" s="7"/>
      <c r="J114" s="20" t="s">
        <v>2609</v>
      </c>
      <c r="K114" s="32" t="s">
        <v>2630</v>
      </c>
      <c r="L114" s="10">
        <f>MONTH(Table4[[#This Row],[Order Date]])</f>
        <v>2</v>
      </c>
    </row>
    <row r="115" spans="1:12" hidden="1">
      <c r="A115" s="8">
        <v>50110229</v>
      </c>
      <c r="B115" s="12">
        <v>45714</v>
      </c>
      <c r="C115" s="8" t="s">
        <v>345</v>
      </c>
      <c r="D115" s="8" t="s">
        <v>472</v>
      </c>
      <c r="E115" s="8" t="s">
        <v>2763</v>
      </c>
      <c r="F115" s="8">
        <v>1</v>
      </c>
      <c r="G115" s="9">
        <v>1</v>
      </c>
      <c r="H115" s="9" t="s">
        <v>2603</v>
      </c>
      <c r="I115" s="7"/>
      <c r="J115" s="20" t="s">
        <v>2609</v>
      </c>
      <c r="K115" s="32" t="s">
        <v>2630</v>
      </c>
      <c r="L115" s="10">
        <f>MONTH(Table4[[#This Row],[Order Date]])</f>
        <v>2</v>
      </c>
    </row>
    <row r="116" spans="1:12" hidden="1">
      <c r="A116" s="8">
        <v>50110372</v>
      </c>
      <c r="B116" s="12">
        <v>45714</v>
      </c>
      <c r="C116" s="8" t="s">
        <v>33</v>
      </c>
      <c r="D116" s="8" t="s">
        <v>472</v>
      </c>
      <c r="E116" s="8" t="s">
        <v>2763</v>
      </c>
      <c r="F116" s="8">
        <v>1</v>
      </c>
      <c r="G116" s="9">
        <v>1</v>
      </c>
      <c r="H116" s="9" t="s">
        <v>2603</v>
      </c>
      <c r="I116" s="7"/>
      <c r="J116" s="20" t="s">
        <v>2609</v>
      </c>
      <c r="K116" s="32" t="s">
        <v>2630</v>
      </c>
      <c r="L116" s="10">
        <f>MONTH(Table4[[#This Row],[Order Date]])</f>
        <v>2</v>
      </c>
    </row>
    <row r="117" spans="1:12" hidden="1">
      <c r="A117" s="8">
        <v>60002072</v>
      </c>
      <c r="B117" s="12">
        <v>45714</v>
      </c>
      <c r="C117" s="8" t="s">
        <v>94</v>
      </c>
      <c r="D117" s="8" t="s">
        <v>2708</v>
      </c>
      <c r="E117" s="8" t="s">
        <v>742</v>
      </c>
      <c r="F117" s="8">
        <v>1</v>
      </c>
      <c r="G117" s="9">
        <v>1</v>
      </c>
      <c r="H117" s="20" t="s">
        <v>2608</v>
      </c>
      <c r="I117" s="7">
        <v>45713</v>
      </c>
      <c r="J117" s="9" t="s">
        <v>2604</v>
      </c>
      <c r="K117" s="32" t="s">
        <v>2630</v>
      </c>
      <c r="L117" s="10">
        <f>MONTH(Table4[[#This Row],[Order Date]])</f>
        <v>2</v>
      </c>
    </row>
    <row r="118" spans="1:12" hidden="1">
      <c r="A118" s="8">
        <v>44000058</v>
      </c>
      <c r="B118" s="12">
        <v>45714</v>
      </c>
      <c r="C118" s="8" t="s">
        <v>2764</v>
      </c>
      <c r="D118" s="8" t="s">
        <v>2011</v>
      </c>
      <c r="E118" s="8" t="s">
        <v>2765</v>
      </c>
      <c r="F118" s="8">
        <v>1</v>
      </c>
      <c r="G118" s="9">
        <v>1</v>
      </c>
      <c r="H118" s="9" t="s">
        <v>2603</v>
      </c>
      <c r="I118" s="7">
        <v>45714</v>
      </c>
      <c r="J118" s="9" t="s">
        <v>2604</v>
      </c>
      <c r="K118" s="32" t="s">
        <v>2630</v>
      </c>
      <c r="L118" s="10">
        <f>MONTH(Table4[[#This Row],[Order Date]])</f>
        <v>2</v>
      </c>
    </row>
    <row r="119" spans="1:12" hidden="1">
      <c r="A119" s="8">
        <v>44000058</v>
      </c>
      <c r="B119" s="12">
        <v>45714</v>
      </c>
      <c r="C119" s="8" t="s">
        <v>2764</v>
      </c>
      <c r="D119" s="8" t="s">
        <v>2017</v>
      </c>
      <c r="E119" s="8" t="s">
        <v>2766</v>
      </c>
      <c r="F119" s="8">
        <v>1</v>
      </c>
      <c r="G119" s="9">
        <v>1</v>
      </c>
      <c r="H119" s="9" t="s">
        <v>2603</v>
      </c>
      <c r="I119" s="7">
        <v>45714</v>
      </c>
      <c r="J119" s="9" t="s">
        <v>2604</v>
      </c>
      <c r="K119" s="32" t="s">
        <v>2630</v>
      </c>
      <c r="L119" s="10">
        <f>MONTH(Table4[[#This Row],[Order Date]])</f>
        <v>2</v>
      </c>
    </row>
    <row r="120" spans="1:12" hidden="1">
      <c r="A120" s="8">
        <v>60002095</v>
      </c>
      <c r="B120" s="12">
        <v>45714</v>
      </c>
      <c r="C120" s="8" t="s">
        <v>33</v>
      </c>
      <c r="D120" s="8" t="s">
        <v>281</v>
      </c>
      <c r="E120" s="8" t="s">
        <v>282</v>
      </c>
      <c r="F120" s="8">
        <v>1</v>
      </c>
      <c r="G120" s="9">
        <v>0</v>
      </c>
      <c r="H120" s="9" t="s">
        <v>2603</v>
      </c>
      <c r="I120" s="7"/>
      <c r="J120" s="9" t="s">
        <v>2604</v>
      </c>
      <c r="K120" s="32" t="s">
        <v>2630</v>
      </c>
      <c r="L120" s="10">
        <f>MONTH(Table4[[#This Row],[Order Date]])</f>
        <v>2</v>
      </c>
    </row>
    <row r="121" spans="1:12" hidden="1">
      <c r="A121" s="8">
        <v>50110193</v>
      </c>
      <c r="B121" s="12">
        <v>45715</v>
      </c>
      <c r="C121" s="8" t="s">
        <v>125</v>
      </c>
      <c r="D121" s="8" t="s">
        <v>2767</v>
      </c>
      <c r="E121" s="8" t="s">
        <v>2768</v>
      </c>
      <c r="F121" s="8">
        <v>1</v>
      </c>
      <c r="G121" s="9">
        <v>1</v>
      </c>
      <c r="H121" s="9" t="s">
        <v>2603</v>
      </c>
      <c r="I121" s="7">
        <v>45663</v>
      </c>
      <c r="J121" s="9" t="s">
        <v>2604</v>
      </c>
      <c r="K121" s="32" t="s">
        <v>2630</v>
      </c>
      <c r="L121" s="10">
        <f>MONTH(Table4[[#This Row],[Order Date]])</f>
        <v>2</v>
      </c>
    </row>
    <row r="122" spans="1:12" hidden="1">
      <c r="A122" s="8">
        <v>51000136</v>
      </c>
      <c r="B122" s="12">
        <v>45715</v>
      </c>
      <c r="C122" s="8" t="s">
        <v>101</v>
      </c>
      <c r="D122" s="8" t="s">
        <v>885</v>
      </c>
      <c r="E122" s="8" t="s">
        <v>2769</v>
      </c>
      <c r="F122" s="8">
        <v>1</v>
      </c>
      <c r="G122" s="9">
        <v>1</v>
      </c>
      <c r="H122" s="9" t="s">
        <v>2603</v>
      </c>
      <c r="I122" s="7"/>
      <c r="J122" s="20" t="s">
        <v>2609</v>
      </c>
      <c r="K122" s="32" t="s">
        <v>2630</v>
      </c>
      <c r="L122" s="10">
        <f>MONTH(Table4[[#This Row],[Order Date]])</f>
        <v>2</v>
      </c>
    </row>
    <row r="123" spans="1:12" hidden="1">
      <c r="A123" s="8">
        <v>51000136</v>
      </c>
      <c r="B123" s="12">
        <v>45715</v>
      </c>
      <c r="C123" s="8" t="s">
        <v>101</v>
      </c>
      <c r="D123" s="8" t="s">
        <v>2770</v>
      </c>
      <c r="E123" s="8" t="s">
        <v>2771</v>
      </c>
      <c r="F123" s="8">
        <v>1</v>
      </c>
      <c r="G123" s="9">
        <v>1</v>
      </c>
      <c r="H123" s="9" t="s">
        <v>2603</v>
      </c>
      <c r="I123" s="7">
        <v>45715</v>
      </c>
      <c r="J123" s="9" t="s">
        <v>2604</v>
      </c>
      <c r="K123" s="32" t="s">
        <v>2630</v>
      </c>
      <c r="L123" s="10">
        <f>MONTH(Table4[[#This Row],[Order Date]])</f>
        <v>2</v>
      </c>
    </row>
    <row r="124" spans="1:12" hidden="1">
      <c r="A124" s="8">
        <v>51000136</v>
      </c>
      <c r="B124" s="12">
        <v>45715</v>
      </c>
      <c r="C124" s="8" t="s">
        <v>101</v>
      </c>
      <c r="D124" s="8" t="s">
        <v>2772</v>
      </c>
      <c r="E124" s="8" t="s">
        <v>2773</v>
      </c>
      <c r="F124" s="8">
        <v>1</v>
      </c>
      <c r="G124" s="9">
        <v>1</v>
      </c>
      <c r="H124" s="9" t="s">
        <v>2603</v>
      </c>
      <c r="I124" s="7"/>
      <c r="J124" s="20" t="s">
        <v>2609</v>
      </c>
      <c r="K124" s="32" t="s">
        <v>2630</v>
      </c>
      <c r="L124" s="10">
        <f>MONTH(Table4[[#This Row],[Order Date]])</f>
        <v>2</v>
      </c>
    </row>
    <row r="125" spans="1:12" hidden="1">
      <c r="A125" s="8">
        <v>51000136</v>
      </c>
      <c r="B125" s="12">
        <v>45715</v>
      </c>
      <c r="C125" s="8" t="s">
        <v>101</v>
      </c>
      <c r="D125" s="8" t="s">
        <v>2774</v>
      </c>
      <c r="E125" s="8" t="s">
        <v>2775</v>
      </c>
      <c r="F125" s="8">
        <v>1</v>
      </c>
      <c r="G125" s="9">
        <v>1</v>
      </c>
      <c r="H125" s="9" t="s">
        <v>2603</v>
      </c>
      <c r="I125" s="7">
        <v>45723</v>
      </c>
      <c r="J125" s="9" t="s">
        <v>2604</v>
      </c>
      <c r="K125" s="32" t="s">
        <v>2630</v>
      </c>
      <c r="L125" s="10">
        <f>MONTH(Table4[[#This Row],[Order Date]])</f>
        <v>2</v>
      </c>
    </row>
    <row r="126" spans="1:12" hidden="1">
      <c r="A126" s="8">
        <v>51000136</v>
      </c>
      <c r="B126" s="12">
        <v>45715</v>
      </c>
      <c r="C126" s="8" t="s">
        <v>101</v>
      </c>
      <c r="D126" s="8" t="s">
        <v>2776</v>
      </c>
      <c r="E126" s="8" t="s">
        <v>2777</v>
      </c>
      <c r="F126" s="8">
        <v>1</v>
      </c>
      <c r="G126" s="9">
        <v>1</v>
      </c>
      <c r="H126" s="9" t="s">
        <v>2603</v>
      </c>
      <c r="I126" s="7">
        <v>45723</v>
      </c>
      <c r="J126" s="9" t="s">
        <v>2604</v>
      </c>
      <c r="K126" s="32" t="s">
        <v>2630</v>
      </c>
      <c r="L126" s="10">
        <f>MONTH(Table4[[#This Row],[Order Date]])</f>
        <v>2</v>
      </c>
    </row>
    <row r="127" spans="1:12" hidden="1">
      <c r="A127" s="8">
        <v>51000136</v>
      </c>
      <c r="B127" s="12">
        <v>45715</v>
      </c>
      <c r="C127" s="8" t="s">
        <v>101</v>
      </c>
      <c r="D127" s="8" t="s">
        <v>2778</v>
      </c>
      <c r="E127" s="8" t="s">
        <v>2779</v>
      </c>
      <c r="F127" s="8">
        <v>1</v>
      </c>
      <c r="G127" s="9">
        <v>0</v>
      </c>
      <c r="H127" s="9" t="s">
        <v>2603</v>
      </c>
      <c r="I127" s="7"/>
      <c r="J127" s="9" t="s">
        <v>2604</v>
      </c>
      <c r="K127" s="32" t="s">
        <v>2630</v>
      </c>
      <c r="L127" s="10">
        <f>MONTH(Table4[[#This Row],[Order Date]])</f>
        <v>2</v>
      </c>
    </row>
    <row r="128" spans="1:12" hidden="1">
      <c r="A128" s="8">
        <v>51000323</v>
      </c>
      <c r="B128" s="12">
        <v>45715</v>
      </c>
      <c r="C128" s="8" t="s">
        <v>101</v>
      </c>
      <c r="D128" s="8" t="s">
        <v>2780</v>
      </c>
      <c r="E128" s="8" t="s">
        <v>2781</v>
      </c>
      <c r="F128" s="8">
        <v>1</v>
      </c>
      <c r="G128" s="9">
        <v>1</v>
      </c>
      <c r="H128" s="9" t="s">
        <v>2603</v>
      </c>
      <c r="I128" s="7">
        <v>45715</v>
      </c>
      <c r="J128" s="9" t="s">
        <v>2604</v>
      </c>
      <c r="K128" s="32" t="s">
        <v>2630</v>
      </c>
      <c r="L128" s="10">
        <f>MONTH(Table4[[#This Row],[Order Date]])</f>
        <v>2</v>
      </c>
    </row>
    <row r="129" spans="1:12" hidden="1">
      <c r="A129" s="8">
        <v>51000323</v>
      </c>
      <c r="B129" s="12">
        <v>45715</v>
      </c>
      <c r="C129" s="8" t="s">
        <v>101</v>
      </c>
      <c r="D129" s="8" t="s">
        <v>323</v>
      </c>
      <c r="E129" s="8" t="s">
        <v>2782</v>
      </c>
      <c r="F129" s="8">
        <v>1</v>
      </c>
      <c r="G129" s="9">
        <v>1</v>
      </c>
      <c r="H129" s="9" t="s">
        <v>2603</v>
      </c>
      <c r="I129" s="7"/>
      <c r="J129" s="20" t="s">
        <v>2609</v>
      </c>
      <c r="K129" s="32" t="s">
        <v>2630</v>
      </c>
      <c r="L129" s="10">
        <f>MONTH(Table4[[#This Row],[Order Date]])</f>
        <v>2</v>
      </c>
    </row>
    <row r="130" spans="1:12" hidden="1">
      <c r="A130" s="8" t="s">
        <v>2783</v>
      </c>
      <c r="B130" s="12">
        <v>45715</v>
      </c>
      <c r="C130" s="8" t="s">
        <v>2784</v>
      </c>
      <c r="D130" s="8" t="s">
        <v>2785</v>
      </c>
      <c r="E130" s="8" t="s">
        <v>2786</v>
      </c>
      <c r="F130" s="8">
        <v>1</v>
      </c>
      <c r="G130" s="9">
        <v>1</v>
      </c>
      <c r="H130" s="9" t="s">
        <v>2603</v>
      </c>
      <c r="I130" s="7">
        <v>45679</v>
      </c>
      <c r="J130" s="9" t="s">
        <v>2604</v>
      </c>
      <c r="K130" s="32" t="s">
        <v>2630</v>
      </c>
      <c r="L130" s="10">
        <f>MONTH(Table4[[#This Row],[Order Date]])</f>
        <v>2</v>
      </c>
    </row>
    <row r="131" spans="1:12" hidden="1">
      <c r="A131" s="8">
        <v>50000530</v>
      </c>
      <c r="B131" s="12">
        <v>45715</v>
      </c>
      <c r="C131" s="8" t="s">
        <v>365</v>
      </c>
      <c r="D131" s="8" t="s">
        <v>1326</v>
      </c>
      <c r="E131" s="8" t="s">
        <v>2787</v>
      </c>
      <c r="F131" s="8">
        <v>1</v>
      </c>
      <c r="G131" s="9">
        <v>1</v>
      </c>
      <c r="H131" s="9" t="s">
        <v>2603</v>
      </c>
      <c r="I131" s="7">
        <v>45713</v>
      </c>
      <c r="J131" s="9" t="s">
        <v>2604</v>
      </c>
      <c r="K131" s="32" t="s">
        <v>2630</v>
      </c>
      <c r="L131" s="10">
        <f>MONTH(Table4[[#This Row],[Order Date]])</f>
        <v>2</v>
      </c>
    </row>
    <row r="132" spans="1:12" hidden="1">
      <c r="A132" s="8">
        <v>50300141</v>
      </c>
      <c r="B132" s="12">
        <v>45715</v>
      </c>
      <c r="C132" s="8" t="s">
        <v>434</v>
      </c>
      <c r="D132" s="8" t="s">
        <v>278</v>
      </c>
      <c r="E132" s="8" t="s">
        <v>2788</v>
      </c>
      <c r="F132" s="8">
        <v>1</v>
      </c>
      <c r="G132" s="9">
        <v>1</v>
      </c>
      <c r="H132" s="9" t="s">
        <v>2603</v>
      </c>
      <c r="I132" s="7">
        <v>45709</v>
      </c>
      <c r="J132" s="9" t="s">
        <v>2604</v>
      </c>
      <c r="K132" s="32" t="s">
        <v>2630</v>
      </c>
      <c r="L132" s="10">
        <f>MONTH(Table4[[#This Row],[Order Date]])</f>
        <v>2</v>
      </c>
    </row>
    <row r="133" spans="1:12" hidden="1">
      <c r="A133" s="8">
        <v>50000260</v>
      </c>
      <c r="B133" s="12">
        <v>45715</v>
      </c>
      <c r="C133" s="8" t="s">
        <v>327</v>
      </c>
      <c r="D133" s="8" t="s">
        <v>379</v>
      </c>
      <c r="E133" s="8" t="s">
        <v>2789</v>
      </c>
      <c r="F133" s="8">
        <v>1</v>
      </c>
      <c r="G133" s="9">
        <v>1</v>
      </c>
      <c r="H133" s="9" t="s">
        <v>2603</v>
      </c>
      <c r="I133" s="7">
        <v>45713</v>
      </c>
      <c r="J133" s="9" t="s">
        <v>2604</v>
      </c>
      <c r="K133" s="32" t="s">
        <v>2630</v>
      </c>
      <c r="L133" s="10">
        <f>MONTH(Table4[[#This Row],[Order Date]])</f>
        <v>2</v>
      </c>
    </row>
    <row r="134" spans="1:12" hidden="1">
      <c r="A134" s="8">
        <v>50000260</v>
      </c>
      <c r="B134" s="12">
        <v>45715</v>
      </c>
      <c r="C134" s="8" t="s">
        <v>327</v>
      </c>
      <c r="D134" s="8" t="s">
        <v>329</v>
      </c>
      <c r="E134" s="8" t="s">
        <v>1923</v>
      </c>
      <c r="F134" s="8">
        <v>1</v>
      </c>
      <c r="G134" s="9">
        <v>1</v>
      </c>
      <c r="H134" s="9" t="s">
        <v>2603</v>
      </c>
      <c r="I134" s="7">
        <v>45713</v>
      </c>
      <c r="J134" s="9" t="s">
        <v>2604</v>
      </c>
      <c r="K134" s="32" t="s">
        <v>2630</v>
      </c>
      <c r="L134" s="10">
        <f>MONTH(Table4[[#This Row],[Order Date]])</f>
        <v>2</v>
      </c>
    </row>
    <row r="135" spans="1:12" hidden="1">
      <c r="A135" s="8">
        <f>-D1393</f>
        <v>0</v>
      </c>
      <c r="B135" s="12">
        <v>45715</v>
      </c>
      <c r="C135" s="8" t="s">
        <v>1322</v>
      </c>
      <c r="D135" s="8" t="s">
        <v>335</v>
      </c>
      <c r="E135" s="8" t="s">
        <v>336</v>
      </c>
      <c r="F135" s="8">
        <v>2</v>
      </c>
      <c r="G135" s="9">
        <v>2</v>
      </c>
      <c r="H135" s="9" t="s">
        <v>2603</v>
      </c>
      <c r="I135" s="7">
        <v>45714</v>
      </c>
      <c r="J135" s="9" t="s">
        <v>2604</v>
      </c>
      <c r="K135" s="32" t="s">
        <v>2630</v>
      </c>
      <c r="L135" s="10">
        <f>MONTH(Table4[[#This Row],[Order Date]])</f>
        <v>2</v>
      </c>
    </row>
    <row r="136" spans="1:12" hidden="1">
      <c r="A136" s="8">
        <v>50000202</v>
      </c>
      <c r="B136" s="12">
        <v>45715</v>
      </c>
      <c r="C136" s="8" t="s">
        <v>1322</v>
      </c>
      <c r="D136" s="8" t="s">
        <v>2259</v>
      </c>
      <c r="E136" s="8" t="s">
        <v>2790</v>
      </c>
      <c r="F136" s="8">
        <v>2</v>
      </c>
      <c r="G136" s="9">
        <v>2</v>
      </c>
      <c r="H136" s="9" t="s">
        <v>2603</v>
      </c>
      <c r="I136" s="7">
        <v>45715</v>
      </c>
      <c r="J136" s="9" t="s">
        <v>2604</v>
      </c>
      <c r="K136" s="32" t="s">
        <v>2630</v>
      </c>
      <c r="L136" s="10">
        <f>MONTH(Table4[[#This Row],[Order Date]])</f>
        <v>2</v>
      </c>
    </row>
    <row r="137" spans="1:12" hidden="1">
      <c r="A137" s="8" t="s">
        <v>2791</v>
      </c>
      <c r="B137" s="12">
        <v>45716</v>
      </c>
      <c r="C137" s="8" t="s">
        <v>2792</v>
      </c>
      <c r="D137" s="8" t="s">
        <v>609</v>
      </c>
      <c r="E137" s="8" t="s">
        <v>2793</v>
      </c>
      <c r="F137" s="8">
        <v>1</v>
      </c>
      <c r="G137" s="9">
        <v>1</v>
      </c>
      <c r="H137" s="9" t="s">
        <v>2603</v>
      </c>
      <c r="I137" s="7">
        <v>45713</v>
      </c>
      <c r="J137" s="9" t="s">
        <v>2604</v>
      </c>
      <c r="K137" s="32" t="s">
        <v>2630</v>
      </c>
      <c r="L137" s="10">
        <f>MONTH(Table4[[#This Row],[Order Date]])</f>
        <v>2</v>
      </c>
    </row>
    <row r="138" spans="1:12" hidden="1">
      <c r="A138" s="8" t="s">
        <v>2791</v>
      </c>
      <c r="B138" s="12">
        <v>45716</v>
      </c>
      <c r="C138" s="8" t="s">
        <v>2792</v>
      </c>
      <c r="D138" s="8" t="s">
        <v>803</v>
      </c>
      <c r="E138" s="8" t="s">
        <v>2794</v>
      </c>
      <c r="F138" s="8">
        <v>1</v>
      </c>
      <c r="G138" s="9">
        <v>1</v>
      </c>
      <c r="H138" s="9" t="s">
        <v>2603</v>
      </c>
      <c r="I138" s="7">
        <v>45713</v>
      </c>
      <c r="J138" s="9" t="s">
        <v>2604</v>
      </c>
      <c r="K138" s="32" t="s">
        <v>2630</v>
      </c>
      <c r="L138" s="10">
        <f>MONTH(Table4[[#This Row],[Order Date]])</f>
        <v>2</v>
      </c>
    </row>
    <row r="139" spans="1:12" hidden="1">
      <c r="A139" s="8" t="s">
        <v>2791</v>
      </c>
      <c r="B139" s="12">
        <v>45716</v>
      </c>
      <c r="C139" s="8" t="s">
        <v>2792</v>
      </c>
      <c r="D139" s="8" t="s">
        <v>2559</v>
      </c>
      <c r="E139" s="8" t="s">
        <v>2795</v>
      </c>
      <c r="F139" s="8">
        <v>1</v>
      </c>
      <c r="G139" s="9">
        <v>0</v>
      </c>
      <c r="H139" s="20" t="s">
        <v>2608</v>
      </c>
      <c r="I139" s="7"/>
      <c r="J139" s="9" t="s">
        <v>2604</v>
      </c>
      <c r="K139" s="32" t="s">
        <v>2630</v>
      </c>
      <c r="L139" s="10">
        <f>MONTH(Table4[[#This Row],[Order Date]])</f>
        <v>2</v>
      </c>
    </row>
    <row r="140" spans="1:12" ht="15.6" hidden="1">
      <c r="A140" s="8" t="s">
        <v>2791</v>
      </c>
      <c r="B140" s="12">
        <v>45716</v>
      </c>
      <c r="C140" s="8" t="s">
        <v>2792</v>
      </c>
      <c r="D140" s="8" t="s">
        <v>2796</v>
      </c>
      <c r="E140" s="26" t="s">
        <v>2797</v>
      </c>
      <c r="F140" s="8">
        <v>1</v>
      </c>
      <c r="G140" s="9">
        <v>0</v>
      </c>
      <c r="H140" s="20" t="s">
        <v>2608</v>
      </c>
      <c r="I140" s="7"/>
      <c r="J140" s="9" t="s">
        <v>2604</v>
      </c>
      <c r="K140" s="32" t="s">
        <v>2630</v>
      </c>
      <c r="L140" s="10">
        <f>MONTH(Table4[[#This Row],[Order Date]])</f>
        <v>2</v>
      </c>
    </row>
    <row r="141" spans="1:12" ht="15.6" hidden="1">
      <c r="A141" s="24">
        <v>41000142</v>
      </c>
      <c r="B141" s="21">
        <v>45716</v>
      </c>
      <c r="C141" s="8" t="s">
        <v>777</v>
      </c>
      <c r="D141" s="8" t="s">
        <v>253</v>
      </c>
      <c r="E141" s="26" t="s">
        <v>2798</v>
      </c>
      <c r="F141" s="8">
        <v>1</v>
      </c>
      <c r="G141" s="9">
        <v>1</v>
      </c>
      <c r="H141" s="9" t="s">
        <v>2603</v>
      </c>
      <c r="I141" s="22">
        <v>45623</v>
      </c>
      <c r="J141" s="9" t="s">
        <v>2604</v>
      </c>
      <c r="K141" s="32" t="s">
        <v>2630</v>
      </c>
      <c r="L141" s="23">
        <f>MONTH(Table4[[#This Row],[Order Date]])</f>
        <v>2</v>
      </c>
    </row>
    <row r="142" spans="1:12" ht="15.6">
      <c r="A142" s="157"/>
      <c r="B142" s="158"/>
      <c r="C142" s="24"/>
      <c r="D142" s="24"/>
      <c r="E142" s="159"/>
      <c r="F142" s="115"/>
      <c r="G142" s="115"/>
      <c r="H142" s="160"/>
      <c r="I142" s="22"/>
      <c r="J142" s="116"/>
      <c r="K142" s="117"/>
      <c r="L142" s="127">
        <f>MONTH(Table4[[#This Row],[Order Date]])</f>
        <v>1</v>
      </c>
    </row>
    <row r="143" spans="1:12" ht="15.6">
      <c r="A143" s="157"/>
      <c r="B143" s="158"/>
      <c r="C143" s="24"/>
      <c r="D143" s="24"/>
      <c r="E143" s="159"/>
      <c r="F143" s="115"/>
      <c r="G143" s="115"/>
      <c r="H143" s="160"/>
      <c r="I143" s="22"/>
      <c r="J143" s="116"/>
      <c r="K143" s="117"/>
      <c r="L143" s="127">
        <f>MONTH(Table4[[#This Row],[Order Date]])</f>
        <v>1</v>
      </c>
    </row>
    <row r="144" spans="1:12" ht="15.6">
      <c r="A144" s="157"/>
      <c r="B144" s="161"/>
      <c r="C144" s="24"/>
      <c r="D144" s="24"/>
      <c r="E144" s="159"/>
      <c r="F144" s="115"/>
      <c r="G144" s="115"/>
      <c r="H144" s="160"/>
      <c r="I144" s="22"/>
      <c r="J144" s="116"/>
      <c r="K144" s="117"/>
      <c r="L144" s="127">
        <f>MONTH(Table4[[#This Row],[Order Date]])</f>
        <v>1</v>
      </c>
    </row>
    <row r="145" spans="1:12" ht="15.6">
      <c r="A145" s="157"/>
      <c r="B145" s="161"/>
      <c r="C145" s="24"/>
      <c r="D145" s="24"/>
      <c r="E145" s="159"/>
      <c r="F145" s="115"/>
      <c r="G145" s="115"/>
      <c r="H145" s="160"/>
      <c r="I145" s="22"/>
      <c r="J145" s="116"/>
      <c r="K145" s="117"/>
      <c r="L145" s="127">
        <f>MONTH(Table4[[#This Row],[Order Date]])</f>
        <v>1</v>
      </c>
    </row>
    <row r="146" spans="1:12" ht="15.6">
      <c r="A146" s="157"/>
      <c r="B146" s="161"/>
      <c r="C146" s="24"/>
      <c r="D146" s="24"/>
      <c r="E146" s="159"/>
      <c r="F146" s="115"/>
      <c r="G146" s="115"/>
      <c r="H146" s="160"/>
      <c r="I146" s="22"/>
      <c r="J146" s="116"/>
      <c r="K146" s="117"/>
      <c r="L146" s="127">
        <f>MONTH(Table4[[#This Row],[Order Date]])</f>
        <v>1</v>
      </c>
    </row>
    <row r="147" spans="1:12" ht="15.6">
      <c r="A147" s="24"/>
      <c r="B147" s="158"/>
      <c r="C147" s="24"/>
      <c r="D147" s="24"/>
      <c r="E147" s="159"/>
      <c r="F147" s="115"/>
      <c r="G147" s="115"/>
      <c r="H147" s="160"/>
      <c r="I147" s="22"/>
      <c r="J147" s="116"/>
      <c r="K147" s="117"/>
      <c r="L147" s="127">
        <f>MONTH(Table4[[#This Row],[Order Date]])</f>
        <v>1</v>
      </c>
    </row>
    <row r="148" spans="1:12" ht="15.6">
      <c r="A148" s="8"/>
      <c r="B148" s="158"/>
      <c r="C148" s="24"/>
      <c r="D148" s="24"/>
      <c r="E148" s="162"/>
      <c r="F148" s="115"/>
      <c r="G148" s="115"/>
      <c r="H148" s="160"/>
      <c r="I148" s="22"/>
      <c r="J148" s="116"/>
      <c r="K148" s="117"/>
      <c r="L148" s="127">
        <f>MONTH(Table4[[#This Row],[Order Date]])</f>
        <v>1</v>
      </c>
    </row>
    <row r="149" spans="1:12" ht="15.6">
      <c r="A149" s="24"/>
      <c r="B149" s="158"/>
      <c r="C149" s="24"/>
      <c r="D149" s="24"/>
      <c r="E149" s="163"/>
      <c r="F149" s="115"/>
      <c r="G149" s="115"/>
      <c r="H149" s="160"/>
      <c r="I149" s="22"/>
      <c r="J149" s="115"/>
      <c r="K149" s="117"/>
      <c r="L149" s="127">
        <f>MONTH(Table4[[#This Row],[Order Date]])</f>
        <v>1</v>
      </c>
    </row>
    <row r="150" spans="1:12" ht="15.6">
      <c r="A150" s="8"/>
      <c r="B150" s="161"/>
      <c r="C150" s="8"/>
      <c r="D150" s="8"/>
      <c r="E150" s="26"/>
      <c r="F150" s="116"/>
      <c r="G150" s="116"/>
      <c r="H150" s="123"/>
      <c r="I150" s="7"/>
      <c r="J150" s="116"/>
      <c r="K150" s="117"/>
      <c r="L150" s="123">
        <f>MONTH(Table4[[#This Row],[Order Date]])</f>
        <v>1</v>
      </c>
    </row>
    <row r="151" spans="1:12">
      <c r="A151" s="8"/>
      <c r="B151" s="161"/>
      <c r="C151" s="8"/>
      <c r="D151" s="8"/>
      <c r="E151" s="8"/>
      <c r="F151" s="116"/>
      <c r="G151" s="116"/>
      <c r="H151" s="123"/>
      <c r="I151" s="7"/>
      <c r="J151" s="116"/>
      <c r="K151" s="117"/>
      <c r="L151" s="123">
        <f>MONTH(Table4[[#This Row],[Order Date]])</f>
        <v>1</v>
      </c>
    </row>
    <row r="152" spans="1:12">
      <c r="A152" s="31"/>
      <c r="B152" s="164"/>
      <c r="C152" s="31"/>
      <c r="D152" s="31"/>
      <c r="E152" s="31"/>
      <c r="F152" s="117"/>
      <c r="G152" s="117"/>
      <c r="H152" s="117"/>
      <c r="I152" s="33"/>
      <c r="J152" s="117"/>
      <c r="K152" s="117"/>
      <c r="L152" s="117">
        <v>3</v>
      </c>
    </row>
    <row r="153" spans="1:12">
      <c r="A153" s="31"/>
      <c r="B153" s="164"/>
      <c r="C153" s="31"/>
      <c r="D153" s="31"/>
      <c r="E153" s="31"/>
      <c r="F153" s="117"/>
      <c r="G153" s="117"/>
      <c r="H153" s="117"/>
      <c r="I153" s="33"/>
      <c r="J153" s="117"/>
      <c r="K153" s="117"/>
      <c r="L153" s="117">
        <v>3</v>
      </c>
    </row>
    <row r="154" spans="1:12">
      <c r="A154" s="31"/>
      <c r="B154" s="164"/>
      <c r="C154" s="31"/>
      <c r="D154" s="31"/>
      <c r="E154" s="31"/>
      <c r="F154" s="117"/>
      <c r="G154" s="117"/>
      <c r="H154" s="117"/>
      <c r="I154" s="33"/>
      <c r="J154" s="117"/>
      <c r="K154" s="117"/>
      <c r="L154" s="117">
        <v>3</v>
      </c>
    </row>
    <row r="155" spans="1:12">
      <c r="A155" s="31"/>
      <c r="B155" s="164"/>
      <c r="C155" s="31"/>
      <c r="D155" s="31"/>
      <c r="E155" s="31"/>
      <c r="F155" s="117"/>
      <c r="G155" s="117"/>
      <c r="H155" s="117"/>
      <c r="I155" s="33"/>
      <c r="J155" s="117"/>
      <c r="K155" s="117"/>
      <c r="L155" s="117">
        <v>3</v>
      </c>
    </row>
    <row r="156" spans="1:12">
      <c r="A156" s="31"/>
      <c r="B156" s="164"/>
      <c r="C156" s="31"/>
      <c r="D156" s="31"/>
      <c r="E156" s="31"/>
      <c r="F156" s="117"/>
      <c r="G156" s="117"/>
      <c r="H156" s="117"/>
      <c r="I156" s="33"/>
      <c r="J156" s="117"/>
      <c r="K156" s="117"/>
      <c r="L156" s="117">
        <v>3</v>
      </c>
    </row>
    <row r="157" spans="1:12">
      <c r="A157" s="31"/>
      <c r="B157" s="164"/>
      <c r="C157" s="31"/>
      <c r="D157" s="31"/>
      <c r="E157" s="32"/>
      <c r="F157" s="117"/>
      <c r="G157" s="117"/>
      <c r="H157" s="117"/>
      <c r="I157" s="33"/>
      <c r="J157" s="117"/>
      <c r="K157" s="117"/>
      <c r="L157" s="117">
        <v>3</v>
      </c>
    </row>
    <row r="158" spans="1:12">
      <c r="A158" s="31"/>
      <c r="B158" s="164"/>
      <c r="C158" s="31"/>
      <c r="D158" s="31"/>
      <c r="E158" s="165"/>
      <c r="F158" s="117"/>
      <c r="G158" s="117"/>
      <c r="H158" s="117"/>
      <c r="I158" s="33"/>
      <c r="J158" s="117"/>
      <c r="K158" s="117"/>
      <c r="L158" s="117">
        <v>3</v>
      </c>
    </row>
    <row r="159" spans="1:12">
      <c r="A159" s="31"/>
      <c r="B159" s="164"/>
      <c r="C159" s="31"/>
      <c r="D159" s="31"/>
      <c r="E159" s="31"/>
      <c r="F159" s="117"/>
      <c r="G159" s="117"/>
      <c r="H159" s="117"/>
      <c r="I159" s="33"/>
      <c r="J159" s="117"/>
      <c r="K159" s="117"/>
      <c r="L159" s="117">
        <v>3</v>
      </c>
    </row>
    <row r="160" spans="1:12">
      <c r="A160" s="31"/>
      <c r="B160" s="164"/>
      <c r="C160" s="31"/>
      <c r="D160" s="31"/>
      <c r="E160" s="31"/>
      <c r="F160" s="117"/>
      <c r="G160" s="117"/>
      <c r="H160" s="117"/>
      <c r="I160" s="33"/>
      <c r="J160" s="117"/>
      <c r="K160" s="117"/>
      <c r="L160" s="117">
        <v>3</v>
      </c>
    </row>
    <row r="161" spans="1:12">
      <c r="A161" s="31"/>
      <c r="B161" s="164"/>
      <c r="C161" s="31"/>
      <c r="D161" s="31"/>
      <c r="E161" s="31"/>
      <c r="F161" s="117"/>
      <c r="G161" s="117"/>
      <c r="H161" s="117"/>
      <c r="I161" s="33"/>
      <c r="J161" s="117"/>
      <c r="K161" s="117"/>
      <c r="L161" s="117">
        <v>3</v>
      </c>
    </row>
    <row r="162" spans="1:12" hidden="1">
      <c r="A162" s="31">
        <v>61000037</v>
      </c>
      <c r="B162" s="40">
        <v>45708</v>
      </c>
      <c r="C162" s="31" t="s">
        <v>541</v>
      </c>
      <c r="D162" s="31" t="s">
        <v>2799</v>
      </c>
      <c r="E162" s="31" t="s">
        <v>2800</v>
      </c>
      <c r="F162" s="31">
        <v>1</v>
      </c>
      <c r="G162" s="32">
        <v>1</v>
      </c>
      <c r="H162" s="32" t="s">
        <v>2608</v>
      </c>
      <c r="I162" s="33">
        <v>45728</v>
      </c>
      <c r="J162" s="32" t="s">
        <v>2604</v>
      </c>
      <c r="K162" s="32" t="s">
        <v>2630</v>
      </c>
      <c r="L162" s="32">
        <v>2</v>
      </c>
    </row>
    <row r="163" spans="1:12" s="27" customFormat="1">
      <c r="A163" s="31"/>
      <c r="B163" s="164"/>
      <c r="C163" s="31"/>
      <c r="D163" s="31"/>
      <c r="E163" s="31"/>
      <c r="F163" s="117"/>
      <c r="G163" s="117"/>
      <c r="H163" s="117"/>
      <c r="I163" s="33"/>
      <c r="J163" s="117"/>
      <c r="K163" s="117"/>
      <c r="L163" s="117">
        <v>3</v>
      </c>
    </row>
    <row r="164" spans="1:12">
      <c r="A164" s="31"/>
      <c r="B164" s="164"/>
      <c r="C164" s="31"/>
      <c r="D164" s="31"/>
      <c r="E164" s="31"/>
      <c r="F164" s="117"/>
      <c r="G164" s="117"/>
      <c r="H164" s="117"/>
      <c r="I164" s="33"/>
      <c r="J164" s="117"/>
      <c r="K164" s="117"/>
      <c r="L164" s="117">
        <v>3</v>
      </c>
    </row>
    <row r="165" spans="1:12">
      <c r="A165" s="31"/>
      <c r="B165" s="164"/>
      <c r="C165" s="31"/>
      <c r="D165" s="31"/>
      <c r="E165" s="31"/>
      <c r="F165" s="117"/>
      <c r="G165" s="117"/>
      <c r="H165" s="117"/>
      <c r="I165" s="33"/>
      <c r="J165" s="117"/>
      <c r="K165" s="117"/>
      <c r="L165" s="117">
        <v>3</v>
      </c>
    </row>
    <row r="166" spans="1:12">
      <c r="A166" s="31"/>
      <c r="B166" s="164"/>
      <c r="C166" s="31"/>
      <c r="D166" s="31"/>
      <c r="E166" s="31"/>
      <c r="F166" s="117"/>
      <c r="G166" s="117"/>
      <c r="H166" s="117"/>
      <c r="I166" s="33"/>
      <c r="J166" s="117"/>
      <c r="K166" s="117"/>
      <c r="L166" s="117">
        <v>3</v>
      </c>
    </row>
    <row r="167" spans="1:12">
      <c r="A167" s="31"/>
      <c r="B167" s="164"/>
      <c r="C167" s="31"/>
      <c r="D167" s="31"/>
      <c r="E167" s="31"/>
      <c r="F167" s="117"/>
      <c r="G167" s="117"/>
      <c r="H167" s="117"/>
      <c r="I167" s="33"/>
      <c r="J167" s="117"/>
      <c r="K167" s="117"/>
      <c r="L167" s="117">
        <v>3</v>
      </c>
    </row>
    <row r="168" spans="1:12">
      <c r="A168" s="31"/>
      <c r="B168" s="164"/>
      <c r="C168" s="31"/>
      <c r="D168" s="31"/>
      <c r="E168" s="31"/>
      <c r="F168" s="117"/>
      <c r="G168" s="117"/>
      <c r="H168" s="117"/>
      <c r="I168" s="33"/>
      <c r="J168" s="117"/>
      <c r="K168" s="117"/>
      <c r="L168" s="117">
        <v>3</v>
      </c>
    </row>
    <row r="169" spans="1:12">
      <c r="A169" s="31"/>
      <c r="B169" s="164"/>
      <c r="C169" s="31"/>
      <c r="D169" s="31"/>
      <c r="E169" s="31"/>
      <c r="F169" s="117"/>
      <c r="G169" s="117"/>
      <c r="H169" s="117"/>
      <c r="I169" s="33"/>
      <c r="J169" s="117"/>
      <c r="K169" s="117"/>
      <c r="L169" s="117">
        <v>3</v>
      </c>
    </row>
    <row r="170" spans="1:12">
      <c r="A170" s="31"/>
      <c r="B170" s="164"/>
      <c r="C170" s="31"/>
      <c r="D170" s="31"/>
      <c r="E170" s="31"/>
      <c r="F170" s="117"/>
      <c r="G170" s="117"/>
      <c r="H170" s="117"/>
      <c r="I170" s="33"/>
      <c r="J170" s="117"/>
      <c r="K170" s="117"/>
      <c r="L170" s="117">
        <v>3</v>
      </c>
    </row>
    <row r="171" spans="1:12">
      <c r="A171" s="31"/>
      <c r="B171" s="164"/>
      <c r="C171" s="31"/>
      <c r="D171" s="31"/>
      <c r="E171" s="31"/>
      <c r="F171" s="117"/>
      <c r="G171" s="117"/>
      <c r="H171" s="117"/>
      <c r="I171" s="33"/>
      <c r="J171" s="117"/>
      <c r="K171" s="117"/>
      <c r="L171" s="117">
        <v>3</v>
      </c>
    </row>
    <row r="172" spans="1:12">
      <c r="A172" s="32"/>
      <c r="B172" s="164"/>
      <c r="C172" s="31"/>
      <c r="D172" s="31"/>
      <c r="E172" s="31"/>
      <c r="F172" s="117"/>
      <c r="G172" s="117"/>
      <c r="H172" s="117"/>
      <c r="I172" s="33"/>
      <c r="J172" s="117"/>
      <c r="K172" s="117"/>
      <c r="L172" s="117">
        <v>3</v>
      </c>
    </row>
    <row r="173" spans="1:12">
      <c r="A173" s="31"/>
      <c r="B173" s="164"/>
      <c r="C173" s="31"/>
      <c r="D173" s="31"/>
      <c r="E173" s="31"/>
      <c r="F173" s="117"/>
      <c r="G173" s="117"/>
      <c r="H173" s="117"/>
      <c r="I173" s="33"/>
      <c r="J173" s="166"/>
      <c r="K173" s="166"/>
      <c r="L173" s="117">
        <v>3</v>
      </c>
    </row>
    <row r="174" spans="1:12">
      <c r="A174" s="31"/>
      <c r="B174" s="164"/>
      <c r="C174" s="31"/>
      <c r="D174" s="31"/>
      <c r="E174" s="31"/>
      <c r="F174" s="117"/>
      <c r="G174" s="117"/>
      <c r="H174" s="117"/>
      <c r="I174" s="33"/>
      <c r="J174" s="166"/>
      <c r="K174" s="166"/>
      <c r="L174" s="117">
        <v>3</v>
      </c>
    </row>
    <row r="175" spans="1:12">
      <c r="A175" s="31"/>
      <c r="B175" s="164"/>
      <c r="C175" s="31"/>
      <c r="D175" s="31"/>
      <c r="E175" s="31"/>
      <c r="F175" s="117"/>
      <c r="G175" s="117"/>
      <c r="H175" s="117"/>
      <c r="I175" s="33"/>
      <c r="J175" s="166"/>
      <c r="K175" s="166"/>
      <c r="L175" s="117">
        <v>3</v>
      </c>
    </row>
    <row r="176" spans="1:12">
      <c r="A176" s="31"/>
      <c r="B176" s="164"/>
      <c r="C176" s="31"/>
      <c r="D176" s="31"/>
      <c r="E176" s="31"/>
      <c r="F176" s="117"/>
      <c r="G176" s="117"/>
      <c r="H176" s="117"/>
      <c r="I176" s="33"/>
      <c r="J176" s="166"/>
      <c r="K176" s="166"/>
      <c r="L176" s="117">
        <v>3</v>
      </c>
    </row>
    <row r="177" spans="1:12">
      <c r="A177" s="31"/>
      <c r="B177" s="164"/>
      <c r="C177" s="31"/>
      <c r="D177" s="31"/>
      <c r="E177" s="31"/>
      <c r="F177" s="117"/>
      <c r="G177" s="117"/>
      <c r="H177" s="117"/>
      <c r="I177" s="33"/>
      <c r="J177" s="166"/>
      <c r="K177" s="166"/>
      <c r="L177" s="117">
        <v>3</v>
      </c>
    </row>
    <row r="178" spans="1:12">
      <c r="A178" s="31"/>
      <c r="B178" s="164"/>
      <c r="C178" s="31"/>
      <c r="D178" s="31"/>
      <c r="E178" s="31"/>
      <c r="F178" s="117"/>
      <c r="G178" s="117"/>
      <c r="H178" s="117"/>
      <c r="I178" s="33"/>
      <c r="J178" s="166"/>
      <c r="K178" s="166"/>
      <c r="L178" s="117">
        <v>3</v>
      </c>
    </row>
    <row r="179" spans="1:12">
      <c r="A179" s="31"/>
      <c r="B179" s="164"/>
      <c r="C179" s="31"/>
      <c r="D179" s="31"/>
      <c r="E179" s="31"/>
      <c r="F179" s="117"/>
      <c r="G179" s="117"/>
      <c r="H179" s="117"/>
      <c r="I179" s="33"/>
      <c r="J179" s="166"/>
      <c r="K179" s="166"/>
      <c r="L179" s="117">
        <v>3</v>
      </c>
    </row>
    <row r="180" spans="1:12">
      <c r="A180" s="31"/>
      <c r="B180" s="164"/>
      <c r="C180" s="31"/>
      <c r="D180" s="31"/>
      <c r="E180" s="31"/>
      <c r="F180" s="117"/>
      <c r="G180" s="117"/>
      <c r="H180" s="117"/>
      <c r="I180" s="33"/>
      <c r="J180" s="166"/>
      <c r="K180" s="166"/>
      <c r="L180" s="117">
        <v>3</v>
      </c>
    </row>
    <row r="181" spans="1:12">
      <c r="A181" s="31"/>
      <c r="B181" s="164"/>
      <c r="C181" s="31"/>
      <c r="D181" s="31"/>
      <c r="E181" s="31"/>
      <c r="F181" s="117"/>
      <c r="G181" s="117"/>
      <c r="H181" s="117"/>
      <c r="I181" s="33"/>
      <c r="J181" s="166"/>
      <c r="K181" s="166"/>
      <c r="L181" s="117">
        <v>3</v>
      </c>
    </row>
    <row r="182" spans="1:12">
      <c r="A182" s="31"/>
      <c r="B182" s="164"/>
      <c r="C182" s="31"/>
      <c r="D182" s="31"/>
      <c r="E182" s="31"/>
      <c r="F182" s="117"/>
      <c r="G182" s="117"/>
      <c r="H182" s="117"/>
      <c r="I182" s="33"/>
      <c r="J182" s="166"/>
      <c r="K182" s="166"/>
      <c r="L182" s="117">
        <v>3</v>
      </c>
    </row>
    <row r="183" spans="1:12">
      <c r="A183" s="31"/>
      <c r="B183" s="164"/>
      <c r="C183" s="31"/>
      <c r="D183" s="31"/>
      <c r="E183" s="31"/>
      <c r="F183" s="117"/>
      <c r="G183" s="117"/>
      <c r="H183" s="117"/>
      <c r="I183" s="33"/>
      <c r="J183" s="166"/>
      <c r="K183" s="117"/>
      <c r="L183" s="117">
        <v>3</v>
      </c>
    </row>
    <row r="184" spans="1:12">
      <c r="A184" s="31"/>
      <c r="B184" s="164"/>
      <c r="C184" s="31"/>
      <c r="D184" s="31"/>
      <c r="E184" s="31"/>
      <c r="F184" s="117"/>
      <c r="G184" s="117"/>
      <c r="H184" s="117"/>
      <c r="I184" s="33"/>
      <c r="J184" s="166"/>
      <c r="K184" s="166"/>
      <c r="L184" s="117">
        <v>3</v>
      </c>
    </row>
    <row r="185" spans="1:12">
      <c r="A185" s="31"/>
      <c r="B185" s="164"/>
      <c r="C185" s="31"/>
      <c r="D185" s="31"/>
      <c r="E185" s="31"/>
      <c r="F185" s="117"/>
      <c r="G185" s="117"/>
      <c r="H185" s="117"/>
      <c r="I185" s="33"/>
      <c r="J185" s="166"/>
      <c r="K185" s="166"/>
      <c r="L185" s="117">
        <v>3</v>
      </c>
    </row>
    <row r="186" spans="1:12">
      <c r="A186" s="31"/>
      <c r="B186" s="164"/>
      <c r="C186" s="31"/>
      <c r="D186" s="31"/>
      <c r="E186" s="31"/>
      <c r="F186" s="117"/>
      <c r="G186" s="117"/>
      <c r="H186" s="117"/>
      <c r="I186" s="33"/>
      <c r="J186" s="166"/>
      <c r="K186" s="166"/>
      <c r="L186" s="117">
        <v>3</v>
      </c>
    </row>
    <row r="187" spans="1:12">
      <c r="A187" s="31"/>
      <c r="B187" s="164"/>
      <c r="C187" s="31"/>
      <c r="D187" s="31"/>
      <c r="E187" s="31"/>
      <c r="F187" s="117"/>
      <c r="G187" s="117"/>
      <c r="H187" s="117"/>
      <c r="I187" s="33"/>
      <c r="J187" s="166"/>
      <c r="K187" s="166"/>
      <c r="L187" s="117">
        <v>3</v>
      </c>
    </row>
    <row r="188" spans="1:12">
      <c r="A188" s="31"/>
      <c r="B188" s="164"/>
      <c r="C188" s="31"/>
      <c r="D188" s="31"/>
      <c r="E188" s="31"/>
      <c r="F188" s="117"/>
      <c r="G188" s="117"/>
      <c r="H188" s="117"/>
      <c r="I188" s="33"/>
      <c r="J188" s="166"/>
      <c r="K188" s="166"/>
      <c r="L188" s="117">
        <v>3</v>
      </c>
    </row>
    <row r="189" spans="1:12">
      <c r="A189" s="31"/>
      <c r="B189" s="164"/>
      <c r="C189" s="31"/>
      <c r="D189" s="31"/>
      <c r="E189" s="31"/>
      <c r="F189" s="117"/>
      <c r="G189" s="117"/>
      <c r="H189" s="117"/>
      <c r="I189" s="33"/>
      <c r="J189" s="166"/>
      <c r="K189" s="166"/>
      <c r="L189" s="117">
        <v>3</v>
      </c>
    </row>
    <row r="190" spans="1:12">
      <c r="A190" s="31"/>
      <c r="B190" s="164"/>
      <c r="C190" s="31"/>
      <c r="D190" s="31"/>
      <c r="E190" s="31"/>
      <c r="F190" s="117"/>
      <c r="G190" s="117"/>
      <c r="H190" s="117"/>
      <c r="I190" s="33"/>
      <c r="J190" s="166"/>
      <c r="K190" s="166"/>
      <c r="L190" s="117">
        <v>3</v>
      </c>
    </row>
    <row r="191" spans="1:12">
      <c r="A191" s="31"/>
      <c r="B191" s="164"/>
      <c r="C191" s="31"/>
      <c r="D191" s="31"/>
      <c r="E191" s="31"/>
      <c r="F191" s="117"/>
      <c r="G191" s="117"/>
      <c r="H191" s="117"/>
      <c r="I191" s="33"/>
      <c r="J191" s="166"/>
      <c r="K191" s="166"/>
      <c r="L191" s="117">
        <v>3</v>
      </c>
    </row>
    <row r="192" spans="1:12">
      <c r="A192" s="31"/>
      <c r="B192" s="164"/>
      <c r="C192" s="31"/>
      <c r="D192" s="31"/>
      <c r="E192" s="31"/>
      <c r="F192" s="117"/>
      <c r="G192" s="117"/>
      <c r="H192" s="117"/>
      <c r="I192" s="33"/>
      <c r="J192" s="166"/>
      <c r="K192" s="166"/>
      <c r="L192" s="117">
        <v>3</v>
      </c>
    </row>
    <row r="193" spans="1:12">
      <c r="A193" s="31"/>
      <c r="B193" s="164"/>
      <c r="C193" s="31"/>
      <c r="D193" s="31"/>
      <c r="E193" s="31"/>
      <c r="F193" s="117"/>
      <c r="G193" s="117"/>
      <c r="H193" s="117"/>
      <c r="I193" s="33"/>
      <c r="J193" s="166"/>
      <c r="K193" s="166"/>
      <c r="L193" s="117">
        <v>3</v>
      </c>
    </row>
    <row r="194" spans="1:12">
      <c r="A194" s="31"/>
      <c r="B194" s="164"/>
      <c r="C194" s="31"/>
      <c r="D194" s="31"/>
      <c r="E194" s="31"/>
      <c r="F194" s="117"/>
      <c r="G194" s="117"/>
      <c r="H194" s="117"/>
      <c r="I194" s="33"/>
      <c r="J194" s="166"/>
      <c r="K194" s="166"/>
      <c r="L194" s="117">
        <v>3</v>
      </c>
    </row>
    <row r="195" spans="1:12">
      <c r="A195" s="31"/>
      <c r="B195" s="164"/>
      <c r="C195" s="31"/>
      <c r="D195" s="31"/>
      <c r="E195" s="31"/>
      <c r="F195" s="117"/>
      <c r="G195" s="117"/>
      <c r="H195" s="117"/>
      <c r="I195" s="33"/>
      <c r="J195" s="166"/>
      <c r="K195" s="166"/>
      <c r="L195" s="117">
        <v>3</v>
      </c>
    </row>
    <row r="196" spans="1:12">
      <c r="A196" s="31"/>
      <c r="B196" s="164"/>
      <c r="C196" s="31"/>
      <c r="D196" s="31"/>
      <c r="E196" s="31"/>
      <c r="F196" s="117"/>
      <c r="G196" s="117"/>
      <c r="H196" s="117"/>
      <c r="I196" s="33"/>
      <c r="J196" s="166"/>
      <c r="K196" s="166"/>
      <c r="L196" s="117">
        <v>3</v>
      </c>
    </row>
    <row r="197" spans="1:12">
      <c r="A197" s="31"/>
      <c r="B197" s="164"/>
      <c r="C197" s="31"/>
      <c r="D197" s="31"/>
      <c r="E197" s="31"/>
      <c r="F197" s="117"/>
      <c r="G197" s="117"/>
      <c r="H197" s="117"/>
      <c r="I197" s="33"/>
      <c r="J197" s="166"/>
      <c r="K197" s="166"/>
      <c r="L197" s="117">
        <v>3</v>
      </c>
    </row>
    <row r="198" spans="1:12">
      <c r="A198" s="31"/>
      <c r="B198" s="164"/>
      <c r="C198" s="31"/>
      <c r="D198" s="31"/>
      <c r="E198" s="31"/>
      <c r="F198" s="117"/>
      <c r="G198" s="117"/>
      <c r="H198" s="117"/>
      <c r="I198" s="33"/>
      <c r="J198" s="166"/>
      <c r="K198" s="166"/>
      <c r="L198" s="117">
        <v>3</v>
      </c>
    </row>
    <row r="199" spans="1:12">
      <c r="A199" s="31"/>
      <c r="B199" s="164"/>
      <c r="C199" s="31"/>
      <c r="D199" s="31"/>
      <c r="E199" s="31"/>
      <c r="F199" s="117"/>
      <c r="G199" s="117"/>
      <c r="H199" s="117"/>
      <c r="I199" s="33"/>
      <c r="J199" s="166"/>
      <c r="K199" s="166"/>
      <c r="L199" s="117">
        <v>3</v>
      </c>
    </row>
    <row r="200" spans="1:12">
      <c r="A200" s="31"/>
      <c r="B200" s="164"/>
      <c r="C200" s="31"/>
      <c r="D200" s="31"/>
      <c r="E200" s="31"/>
      <c r="F200" s="117"/>
      <c r="G200" s="117"/>
      <c r="H200" s="117"/>
      <c r="I200" s="33"/>
      <c r="J200" s="166"/>
      <c r="K200" s="166"/>
      <c r="L200" s="117">
        <v>3</v>
      </c>
    </row>
    <row r="201" spans="1:12">
      <c r="A201" s="31"/>
      <c r="B201" s="164"/>
      <c r="C201" s="31"/>
      <c r="D201" s="31"/>
      <c r="E201" s="31"/>
      <c r="F201" s="117"/>
      <c r="G201" s="117"/>
      <c r="H201" s="117"/>
      <c r="I201" s="33"/>
      <c r="J201" s="166"/>
      <c r="K201" s="166"/>
      <c r="L201" s="117">
        <v>3</v>
      </c>
    </row>
    <row r="202" spans="1:12">
      <c r="A202" s="31"/>
      <c r="B202" s="164"/>
      <c r="C202" s="31"/>
      <c r="D202" s="31"/>
      <c r="E202" s="31"/>
      <c r="F202" s="117"/>
      <c r="G202" s="117"/>
      <c r="H202" s="117"/>
      <c r="I202" s="33"/>
      <c r="J202" s="166"/>
      <c r="K202" s="166"/>
      <c r="L202" s="117">
        <v>3</v>
      </c>
    </row>
    <row r="203" spans="1:12">
      <c r="A203" s="31"/>
      <c r="B203" s="164"/>
      <c r="C203" s="31"/>
      <c r="D203" s="31"/>
      <c r="E203" s="31"/>
      <c r="F203" s="117"/>
      <c r="G203" s="117"/>
      <c r="H203" s="117"/>
      <c r="I203" s="33"/>
      <c r="J203" s="166"/>
      <c r="K203" s="166"/>
      <c r="L203" s="117">
        <v>3</v>
      </c>
    </row>
    <row r="204" spans="1:12">
      <c r="A204" s="31"/>
      <c r="B204" s="164"/>
      <c r="C204" s="31"/>
      <c r="D204" s="31"/>
      <c r="E204" s="31"/>
      <c r="F204" s="117"/>
      <c r="G204" s="117"/>
      <c r="H204" s="117"/>
      <c r="I204" s="33"/>
      <c r="J204" s="166"/>
      <c r="K204" s="166"/>
      <c r="L204" s="117">
        <v>3</v>
      </c>
    </row>
    <row r="205" spans="1:12">
      <c r="A205" s="31"/>
      <c r="B205" s="164"/>
      <c r="C205" s="31"/>
      <c r="D205" s="31"/>
      <c r="E205" s="31"/>
      <c r="F205" s="117"/>
      <c r="G205" s="117"/>
      <c r="H205" s="117"/>
      <c r="I205" s="33"/>
      <c r="J205" s="166"/>
      <c r="K205" s="166"/>
      <c r="L205" s="117">
        <v>3</v>
      </c>
    </row>
    <row r="206" spans="1:12">
      <c r="A206" s="31"/>
      <c r="B206" s="164"/>
      <c r="C206" s="31"/>
      <c r="D206" s="31"/>
      <c r="E206" s="31"/>
      <c r="F206" s="117"/>
      <c r="G206" s="117"/>
      <c r="H206" s="117"/>
      <c r="I206" s="33"/>
      <c r="J206" s="166"/>
      <c r="K206" s="166"/>
      <c r="L206" s="117">
        <v>3</v>
      </c>
    </row>
    <row r="207" spans="1:12">
      <c r="A207" s="31"/>
      <c r="B207" s="164"/>
      <c r="C207" s="31"/>
      <c r="D207" s="31"/>
      <c r="E207" s="31"/>
      <c r="F207" s="117"/>
      <c r="G207" s="117"/>
      <c r="H207" s="117"/>
      <c r="I207" s="33"/>
      <c r="J207" s="166"/>
      <c r="K207" s="166"/>
      <c r="L207" s="117">
        <v>3</v>
      </c>
    </row>
    <row r="208" spans="1:12">
      <c r="A208" s="31"/>
      <c r="B208" s="164"/>
      <c r="C208" s="31"/>
      <c r="D208" s="31"/>
      <c r="E208" s="31"/>
      <c r="F208" s="117"/>
      <c r="G208" s="117"/>
      <c r="H208" s="117"/>
      <c r="I208" s="33"/>
      <c r="J208" s="166"/>
      <c r="K208" s="166"/>
      <c r="L208" s="117">
        <v>3</v>
      </c>
    </row>
    <row r="209" spans="1:12">
      <c r="A209" s="31"/>
      <c r="B209" s="164"/>
      <c r="C209" s="31"/>
      <c r="D209" s="31"/>
      <c r="E209" s="31"/>
      <c r="F209" s="117"/>
      <c r="G209" s="117"/>
      <c r="H209" s="117"/>
      <c r="I209" s="33"/>
      <c r="J209" s="166"/>
      <c r="K209" s="166"/>
      <c r="L209" s="117">
        <v>3</v>
      </c>
    </row>
    <row r="210" spans="1:12">
      <c r="A210" s="31"/>
      <c r="B210" s="164"/>
      <c r="C210" s="31"/>
      <c r="D210" s="31"/>
      <c r="E210" s="31"/>
      <c r="F210" s="117"/>
      <c r="G210" s="117"/>
      <c r="H210" s="117"/>
      <c r="I210" s="33"/>
      <c r="J210" s="166"/>
      <c r="K210" s="166"/>
      <c r="L210" s="117">
        <v>3</v>
      </c>
    </row>
    <row r="211" spans="1:12">
      <c r="A211" s="31"/>
      <c r="B211" s="164"/>
      <c r="C211" s="31"/>
      <c r="D211" s="31"/>
      <c r="E211" s="31"/>
      <c r="F211" s="117"/>
      <c r="G211" s="117"/>
      <c r="H211" s="117"/>
      <c r="I211" s="33"/>
      <c r="J211" s="166"/>
      <c r="K211" s="166"/>
      <c r="L211" s="117">
        <v>3</v>
      </c>
    </row>
    <row r="212" spans="1:12">
      <c r="A212" s="31"/>
      <c r="B212" s="164"/>
      <c r="C212" s="31"/>
      <c r="D212" s="31"/>
      <c r="E212" s="31"/>
      <c r="F212" s="117"/>
      <c r="G212" s="117"/>
      <c r="H212" s="117"/>
      <c r="I212" s="33"/>
      <c r="J212" s="166"/>
      <c r="K212" s="166"/>
      <c r="L212" s="117">
        <v>3</v>
      </c>
    </row>
    <row r="213" spans="1:12">
      <c r="A213" s="31"/>
      <c r="B213" s="164"/>
      <c r="C213" s="31"/>
      <c r="D213" s="31"/>
      <c r="E213" s="31"/>
      <c r="F213" s="117"/>
      <c r="G213" s="117"/>
      <c r="H213" s="117"/>
      <c r="I213" s="33"/>
      <c r="J213" s="166"/>
      <c r="K213" s="166"/>
      <c r="L213" s="117">
        <v>3</v>
      </c>
    </row>
    <row r="214" spans="1:12">
      <c r="A214" s="31"/>
      <c r="B214" s="164"/>
      <c r="C214" s="31"/>
      <c r="D214" s="31"/>
      <c r="E214" s="31"/>
      <c r="F214" s="117"/>
      <c r="G214" s="117"/>
      <c r="H214" s="117"/>
      <c r="I214" s="33"/>
      <c r="J214" s="166"/>
      <c r="K214" s="166"/>
      <c r="L214" s="117">
        <v>3</v>
      </c>
    </row>
    <row r="215" spans="1:12">
      <c r="A215" s="31"/>
      <c r="B215" s="164"/>
      <c r="C215" s="31"/>
      <c r="D215" s="31"/>
      <c r="E215" s="31"/>
      <c r="F215" s="117"/>
      <c r="G215" s="117"/>
      <c r="H215" s="117"/>
      <c r="I215" s="33"/>
      <c r="J215" s="166"/>
      <c r="K215" s="166"/>
      <c r="L215" s="117">
        <v>3</v>
      </c>
    </row>
    <row r="216" spans="1:12">
      <c r="A216" s="31"/>
      <c r="B216" s="164"/>
      <c r="C216" s="31"/>
      <c r="D216" s="31"/>
      <c r="E216" s="31"/>
      <c r="F216" s="117"/>
      <c r="G216" s="117"/>
      <c r="H216" s="117"/>
      <c r="I216" s="33"/>
      <c r="J216" s="166"/>
      <c r="K216" s="166"/>
      <c r="L216" s="117">
        <v>3</v>
      </c>
    </row>
    <row r="217" spans="1:12">
      <c r="A217" s="31"/>
      <c r="B217" s="164"/>
      <c r="C217" s="31"/>
      <c r="D217" s="31"/>
      <c r="E217" s="31"/>
      <c r="F217" s="117"/>
      <c r="G217" s="117"/>
      <c r="H217" s="117"/>
      <c r="I217" s="33"/>
      <c r="J217" s="166"/>
      <c r="K217" s="166"/>
      <c r="L217" s="117">
        <v>3</v>
      </c>
    </row>
    <row r="218" spans="1:12">
      <c r="A218" s="31"/>
      <c r="B218" s="164"/>
      <c r="C218" s="31"/>
      <c r="D218" s="31"/>
      <c r="E218" s="31"/>
      <c r="F218" s="117"/>
      <c r="G218" s="117"/>
      <c r="H218" s="117"/>
      <c r="I218" s="33"/>
      <c r="J218" s="166"/>
      <c r="K218" s="166"/>
      <c r="L218" s="117">
        <v>3</v>
      </c>
    </row>
    <row r="219" spans="1:12">
      <c r="A219" s="31"/>
      <c r="B219" s="164"/>
      <c r="C219" s="31"/>
      <c r="D219" s="31"/>
      <c r="E219" s="31"/>
      <c r="F219" s="117"/>
      <c r="G219" s="117"/>
      <c r="H219" s="117"/>
      <c r="I219" s="33"/>
      <c r="J219" s="166"/>
      <c r="K219" s="166"/>
      <c r="L219" s="117">
        <v>3</v>
      </c>
    </row>
    <row r="220" spans="1:12">
      <c r="A220" s="31"/>
      <c r="B220" s="164"/>
      <c r="C220" s="31"/>
      <c r="D220" s="31"/>
      <c r="E220" s="31"/>
      <c r="F220" s="117"/>
      <c r="G220" s="117"/>
      <c r="H220" s="117"/>
      <c r="I220" s="33"/>
      <c r="J220" s="166"/>
      <c r="K220" s="166"/>
      <c r="L220" s="117">
        <v>3</v>
      </c>
    </row>
    <row r="221" spans="1:12">
      <c r="A221" s="31"/>
      <c r="B221" s="164"/>
      <c r="C221" s="31"/>
      <c r="D221" s="31"/>
      <c r="E221" s="31"/>
      <c r="F221" s="117"/>
      <c r="G221" s="117"/>
      <c r="H221" s="117"/>
      <c r="I221" s="33"/>
      <c r="J221" s="166"/>
      <c r="K221" s="166"/>
      <c r="L221" s="117">
        <v>3</v>
      </c>
    </row>
    <row r="222" spans="1:12">
      <c r="A222" s="35"/>
      <c r="B222" s="167"/>
      <c r="C222" s="35"/>
      <c r="D222" s="35"/>
      <c r="E222" s="35"/>
      <c r="F222" s="118"/>
      <c r="G222" s="118"/>
      <c r="H222" s="118"/>
      <c r="I222" s="168"/>
      <c r="J222" s="169"/>
      <c r="K222" s="169"/>
      <c r="L222" s="118">
        <v>3</v>
      </c>
    </row>
    <row r="223" spans="1:12">
      <c r="A223" s="170"/>
      <c r="B223" s="171"/>
      <c r="C223" s="170"/>
      <c r="D223" s="172"/>
      <c r="E223" s="170"/>
      <c r="F223" s="173"/>
      <c r="G223" s="173"/>
      <c r="H223" s="117"/>
      <c r="I223" s="174"/>
      <c r="J223" s="166"/>
      <c r="K223" s="169"/>
      <c r="L223" s="116">
        <v>4</v>
      </c>
    </row>
    <row r="224" spans="1:12">
      <c r="A224" s="170"/>
      <c r="B224" s="171"/>
      <c r="C224" s="170"/>
      <c r="D224" s="172"/>
      <c r="E224" s="170"/>
      <c r="F224" s="173"/>
      <c r="G224" s="173"/>
      <c r="H224" s="117"/>
      <c r="I224" s="174"/>
      <c r="J224" s="166"/>
      <c r="K224" s="169"/>
      <c r="L224" s="116">
        <v>4</v>
      </c>
    </row>
    <row r="225" spans="1:12">
      <c r="A225" s="170"/>
      <c r="B225" s="171"/>
      <c r="C225" s="170"/>
      <c r="D225" s="172"/>
      <c r="E225" s="170"/>
      <c r="F225" s="173"/>
      <c r="G225" s="173"/>
      <c r="H225" s="117"/>
      <c r="I225" s="174"/>
      <c r="J225" s="166"/>
      <c r="K225" s="169"/>
      <c r="L225" s="116">
        <v>4</v>
      </c>
    </row>
    <row r="226" spans="1:12">
      <c r="A226" s="170"/>
      <c r="B226" s="171"/>
      <c r="C226" s="170"/>
      <c r="D226" s="172"/>
      <c r="E226" s="170"/>
      <c r="F226" s="173"/>
      <c r="G226" s="173"/>
      <c r="H226" s="117"/>
      <c r="I226" s="174"/>
      <c r="J226" s="166"/>
      <c r="K226" s="169"/>
      <c r="L226" s="116">
        <v>4</v>
      </c>
    </row>
    <row r="227" spans="1:12">
      <c r="A227" s="170"/>
      <c r="B227" s="171"/>
      <c r="C227" s="170"/>
      <c r="D227" s="172"/>
      <c r="E227" s="170"/>
      <c r="F227" s="173"/>
      <c r="G227" s="173"/>
      <c r="H227" s="117"/>
      <c r="I227" s="174"/>
      <c r="J227" s="166"/>
      <c r="K227" s="169"/>
      <c r="L227" s="116">
        <v>4</v>
      </c>
    </row>
    <row r="228" spans="1:12">
      <c r="A228" s="170"/>
      <c r="B228" s="171"/>
      <c r="C228" s="170"/>
      <c r="D228" s="172"/>
      <c r="E228" s="170"/>
      <c r="F228" s="173"/>
      <c r="G228" s="173"/>
      <c r="H228" s="117"/>
      <c r="I228" s="174"/>
      <c r="J228" s="166"/>
      <c r="K228" s="169"/>
      <c r="L228" s="116">
        <v>4</v>
      </c>
    </row>
    <row r="229" spans="1:12">
      <c r="A229" s="170"/>
      <c r="B229" s="171"/>
      <c r="C229" s="170"/>
      <c r="D229" s="172"/>
      <c r="E229" s="170"/>
      <c r="F229" s="173"/>
      <c r="G229" s="173"/>
      <c r="H229" s="117"/>
      <c r="I229" s="174"/>
      <c r="J229" s="166"/>
      <c r="K229" s="169"/>
      <c r="L229" s="116">
        <v>4</v>
      </c>
    </row>
    <row r="230" spans="1:12">
      <c r="A230" s="170"/>
      <c r="B230" s="171"/>
      <c r="C230" s="170"/>
      <c r="D230" s="172"/>
      <c r="E230" s="170"/>
      <c r="F230" s="173"/>
      <c r="G230" s="173"/>
      <c r="H230" s="117"/>
      <c r="I230" s="174"/>
      <c r="J230" s="166"/>
      <c r="K230" s="169"/>
      <c r="L230" s="116">
        <v>4</v>
      </c>
    </row>
    <row r="231" spans="1:12">
      <c r="A231" s="170"/>
      <c r="B231" s="171"/>
      <c r="C231" s="170"/>
      <c r="D231" s="172"/>
      <c r="E231" s="170"/>
      <c r="F231" s="173"/>
      <c r="G231" s="173"/>
      <c r="H231" s="117"/>
      <c r="I231" s="174"/>
      <c r="J231" s="166"/>
      <c r="K231" s="169"/>
      <c r="L231" s="116">
        <v>4</v>
      </c>
    </row>
    <row r="232" spans="1:12">
      <c r="A232" s="170"/>
      <c r="B232" s="171"/>
      <c r="C232" s="170"/>
      <c r="D232" s="172"/>
      <c r="E232" s="170"/>
      <c r="F232" s="173"/>
      <c r="G232" s="173"/>
      <c r="H232" s="117"/>
      <c r="I232" s="174"/>
      <c r="J232" s="166"/>
      <c r="K232" s="169"/>
      <c r="L232" s="116">
        <v>4</v>
      </c>
    </row>
    <row r="233" spans="1:12">
      <c r="A233" s="170"/>
      <c r="B233" s="171"/>
      <c r="C233" s="170"/>
      <c r="D233" s="172"/>
      <c r="E233" s="170"/>
      <c r="F233" s="173"/>
      <c r="G233" s="173"/>
      <c r="H233" s="117"/>
      <c r="I233" s="174"/>
      <c r="J233" s="166"/>
      <c r="K233" s="169"/>
      <c r="L233" s="116">
        <v>4</v>
      </c>
    </row>
    <row r="234" spans="1:12">
      <c r="A234" s="170"/>
      <c r="B234" s="171"/>
      <c r="C234" s="170"/>
      <c r="D234" s="172"/>
      <c r="E234" s="170"/>
      <c r="F234" s="173"/>
      <c r="G234" s="173"/>
      <c r="H234" s="117"/>
      <c r="I234" s="174"/>
      <c r="J234" s="166"/>
      <c r="K234" s="169"/>
      <c r="L234" s="116">
        <v>4</v>
      </c>
    </row>
    <row r="235" spans="1:12">
      <c r="A235" s="170"/>
      <c r="B235" s="171"/>
      <c r="C235" s="170"/>
      <c r="D235" s="172"/>
      <c r="E235" s="170"/>
      <c r="F235" s="173"/>
      <c r="G235" s="173"/>
      <c r="H235" s="117"/>
      <c r="I235" s="174"/>
      <c r="J235" s="166"/>
      <c r="K235" s="169"/>
      <c r="L235" s="116">
        <v>4</v>
      </c>
    </row>
    <row r="236" spans="1:12">
      <c r="A236" s="170"/>
      <c r="B236" s="171"/>
      <c r="C236" s="170"/>
      <c r="D236" s="172"/>
      <c r="E236" s="170"/>
      <c r="F236" s="173"/>
      <c r="G236" s="173"/>
      <c r="H236" s="117"/>
      <c r="I236" s="174"/>
      <c r="J236" s="166"/>
      <c r="K236" s="169"/>
      <c r="L236" s="116">
        <v>4</v>
      </c>
    </row>
    <row r="237" spans="1:12">
      <c r="A237" s="170"/>
      <c r="B237" s="171"/>
      <c r="C237" s="170"/>
      <c r="D237" s="172"/>
      <c r="E237" s="170"/>
      <c r="F237" s="173"/>
      <c r="G237" s="173"/>
      <c r="H237" s="117"/>
      <c r="I237" s="174"/>
      <c r="J237" s="166"/>
      <c r="K237" s="169"/>
      <c r="L237" s="116">
        <v>4</v>
      </c>
    </row>
    <row r="238" spans="1:12">
      <c r="A238" s="170"/>
      <c r="B238" s="171"/>
      <c r="C238" s="170"/>
      <c r="D238" s="172"/>
      <c r="E238" s="170"/>
      <c r="F238" s="173"/>
      <c r="G238" s="173"/>
      <c r="H238" s="117"/>
      <c r="I238" s="174"/>
      <c r="J238" s="166"/>
      <c r="K238" s="169"/>
      <c r="L238" s="116">
        <v>4</v>
      </c>
    </row>
    <row r="239" spans="1:12">
      <c r="A239" s="170"/>
      <c r="B239" s="171"/>
      <c r="C239" s="170"/>
      <c r="D239" s="172"/>
      <c r="E239" s="170"/>
      <c r="F239" s="173"/>
      <c r="G239" s="173"/>
      <c r="H239" s="117"/>
      <c r="I239" s="174"/>
      <c r="J239" s="166"/>
      <c r="K239" s="169"/>
      <c r="L239" s="116">
        <v>4</v>
      </c>
    </row>
    <row r="240" spans="1:12">
      <c r="A240" s="170"/>
      <c r="B240" s="171"/>
      <c r="C240" s="170"/>
      <c r="D240" s="172"/>
      <c r="E240" s="170"/>
      <c r="F240" s="173"/>
      <c r="G240" s="173"/>
      <c r="H240" s="117"/>
      <c r="I240" s="174"/>
      <c r="J240" s="166"/>
      <c r="K240" s="169"/>
      <c r="L240" s="116">
        <v>4</v>
      </c>
    </row>
    <row r="241" spans="1:12">
      <c r="A241" s="170"/>
      <c r="B241" s="171"/>
      <c r="C241" s="170"/>
      <c r="D241" s="172"/>
      <c r="E241" s="170"/>
      <c r="F241" s="173"/>
      <c r="G241" s="173"/>
      <c r="H241" s="117"/>
      <c r="I241" s="174"/>
      <c r="J241" s="166"/>
      <c r="K241" s="169"/>
      <c r="L241" s="116">
        <v>4</v>
      </c>
    </row>
    <row r="242" spans="1:12">
      <c r="A242" s="170"/>
      <c r="B242" s="171"/>
      <c r="C242" s="170"/>
      <c r="D242" s="172"/>
      <c r="E242" s="170"/>
      <c r="F242" s="173"/>
      <c r="G242" s="173"/>
      <c r="H242" s="117"/>
      <c r="I242" s="174"/>
      <c r="J242" s="166"/>
      <c r="K242" s="169"/>
      <c r="L242" s="116">
        <v>4</v>
      </c>
    </row>
    <row r="243" spans="1:12">
      <c r="A243" s="170"/>
      <c r="B243" s="171"/>
      <c r="C243" s="170"/>
      <c r="D243" s="172"/>
      <c r="E243" s="170"/>
      <c r="F243" s="173"/>
      <c r="G243" s="173"/>
      <c r="H243" s="117"/>
      <c r="I243" s="174"/>
      <c r="J243" s="166"/>
      <c r="K243" s="169"/>
      <c r="L243" s="116">
        <v>4</v>
      </c>
    </row>
    <row r="244" spans="1:12">
      <c r="A244" s="170"/>
      <c r="B244" s="171"/>
      <c r="C244" s="170"/>
      <c r="D244" s="172"/>
      <c r="E244" s="170"/>
      <c r="F244" s="173"/>
      <c r="G244" s="173"/>
      <c r="H244" s="117"/>
      <c r="I244" s="174"/>
      <c r="J244" s="166"/>
      <c r="K244" s="169"/>
      <c r="L244" s="116">
        <v>4</v>
      </c>
    </row>
    <row r="245" spans="1:12">
      <c r="A245" s="170"/>
      <c r="B245" s="171"/>
      <c r="C245" s="170"/>
      <c r="D245" s="172"/>
      <c r="E245" s="170"/>
      <c r="F245" s="173"/>
      <c r="G245" s="173"/>
      <c r="H245" s="117"/>
      <c r="I245" s="174"/>
      <c r="J245" s="166"/>
      <c r="K245" s="169"/>
      <c r="L245" s="116">
        <v>4</v>
      </c>
    </row>
    <row r="246" spans="1:12">
      <c r="A246" s="170"/>
      <c r="B246" s="171"/>
      <c r="C246" s="170"/>
      <c r="D246" s="172"/>
      <c r="E246" s="170"/>
      <c r="F246" s="173"/>
      <c r="G246" s="173"/>
      <c r="H246" s="117"/>
      <c r="I246" s="174"/>
      <c r="J246" s="166"/>
      <c r="K246" s="169"/>
      <c r="L246" s="116">
        <v>4</v>
      </c>
    </row>
    <row r="247" spans="1:12">
      <c r="A247" s="170"/>
      <c r="B247" s="171"/>
      <c r="C247" s="170"/>
      <c r="D247" s="172"/>
      <c r="E247" s="170"/>
      <c r="F247" s="173"/>
      <c r="G247" s="173"/>
      <c r="H247" s="117"/>
      <c r="I247" s="174"/>
      <c r="J247" s="166"/>
      <c r="K247" s="169"/>
      <c r="L247" s="116">
        <v>4</v>
      </c>
    </row>
    <row r="248" spans="1:12">
      <c r="A248" s="170"/>
      <c r="B248" s="171"/>
      <c r="C248" s="170"/>
      <c r="D248" s="172"/>
      <c r="E248" s="170"/>
      <c r="F248" s="173"/>
      <c r="G248" s="173"/>
      <c r="H248" s="117"/>
      <c r="I248" s="174"/>
      <c r="J248" s="166"/>
      <c r="K248" s="169"/>
      <c r="L248" s="116">
        <v>4</v>
      </c>
    </row>
    <row r="249" spans="1:12">
      <c r="A249" s="170"/>
      <c r="B249" s="171"/>
      <c r="C249" s="170"/>
      <c r="D249" s="172"/>
      <c r="E249" s="170"/>
      <c r="F249" s="173"/>
      <c r="G249" s="173"/>
      <c r="H249" s="117"/>
      <c r="I249" s="174"/>
      <c r="J249" s="166"/>
      <c r="K249" s="169"/>
      <c r="L249" s="116">
        <v>4</v>
      </c>
    </row>
    <row r="250" spans="1:12">
      <c r="A250" s="170"/>
      <c r="B250" s="171"/>
      <c r="C250" s="170"/>
      <c r="D250" s="172"/>
      <c r="E250" s="170"/>
      <c r="F250" s="173"/>
      <c r="G250" s="173"/>
      <c r="H250" s="117"/>
      <c r="I250" s="174"/>
      <c r="J250" s="166"/>
      <c r="K250" s="169"/>
      <c r="L250" s="116">
        <v>4</v>
      </c>
    </row>
    <row r="251" spans="1:12">
      <c r="A251" s="170"/>
      <c r="B251" s="171"/>
      <c r="C251" s="170"/>
      <c r="D251" s="172"/>
      <c r="E251" s="170"/>
      <c r="F251" s="173"/>
      <c r="G251" s="173"/>
      <c r="H251" s="117"/>
      <c r="I251" s="174"/>
      <c r="J251" s="166"/>
      <c r="K251" s="169"/>
      <c r="L251" s="116">
        <v>4</v>
      </c>
    </row>
    <row r="252" spans="1:12">
      <c r="A252" s="170"/>
      <c r="B252" s="171"/>
      <c r="C252" s="170"/>
      <c r="D252" s="172"/>
      <c r="E252" s="170"/>
      <c r="F252" s="173"/>
      <c r="G252" s="173"/>
      <c r="H252" s="117"/>
      <c r="I252" s="174"/>
      <c r="J252" s="166"/>
      <c r="K252" s="169"/>
      <c r="L252" s="116">
        <v>4</v>
      </c>
    </row>
    <row r="253" spans="1:12">
      <c r="A253" s="170"/>
      <c r="B253" s="171"/>
      <c r="C253" s="170"/>
      <c r="D253" s="172"/>
      <c r="E253" s="170"/>
      <c r="F253" s="173"/>
      <c r="G253" s="173"/>
      <c r="H253" s="117"/>
      <c r="I253" s="174"/>
      <c r="J253" s="166"/>
      <c r="K253" s="169"/>
      <c r="L253" s="116">
        <v>4</v>
      </c>
    </row>
    <row r="254" spans="1:12">
      <c r="A254" s="170"/>
      <c r="B254" s="171"/>
      <c r="C254" s="170"/>
      <c r="D254" s="172"/>
      <c r="E254" s="170"/>
      <c r="F254" s="173"/>
      <c r="G254" s="173"/>
      <c r="H254" s="117"/>
      <c r="I254" s="174"/>
      <c r="J254" s="166"/>
      <c r="K254" s="169"/>
      <c r="L254" s="116">
        <v>4</v>
      </c>
    </row>
    <row r="255" spans="1:12">
      <c r="A255" s="175"/>
      <c r="B255" s="171"/>
      <c r="C255" s="170"/>
      <c r="D255" s="172"/>
      <c r="E255" s="170"/>
      <c r="F255" s="173"/>
      <c r="G255" s="173"/>
      <c r="H255" s="117"/>
      <c r="I255" s="174"/>
      <c r="J255" s="166"/>
      <c r="K255" s="169"/>
      <c r="L255" s="116">
        <v>4</v>
      </c>
    </row>
    <row r="256" spans="1:12">
      <c r="A256" s="170"/>
      <c r="B256" s="171"/>
      <c r="C256" s="170"/>
      <c r="D256" s="172"/>
      <c r="E256" s="170"/>
      <c r="F256" s="173"/>
      <c r="G256" s="173"/>
      <c r="H256" s="117"/>
      <c r="I256" s="174"/>
      <c r="J256" s="166"/>
      <c r="K256" s="169"/>
      <c r="L256" s="116">
        <v>4</v>
      </c>
    </row>
    <row r="257" spans="1:12">
      <c r="A257" s="170"/>
      <c r="B257" s="171"/>
      <c r="C257" s="170"/>
      <c r="D257" s="172"/>
      <c r="E257" s="170"/>
      <c r="F257" s="173"/>
      <c r="G257" s="173"/>
      <c r="H257" s="117"/>
      <c r="I257" s="174"/>
      <c r="J257" s="166"/>
      <c r="K257" s="169"/>
      <c r="L257" s="116">
        <v>4</v>
      </c>
    </row>
    <row r="258" spans="1:12">
      <c r="A258" s="170"/>
      <c r="B258" s="171"/>
      <c r="C258" s="170"/>
      <c r="D258" s="172"/>
      <c r="E258" s="170"/>
      <c r="F258" s="173"/>
      <c r="G258" s="173"/>
      <c r="H258" s="117"/>
      <c r="I258" s="174"/>
      <c r="J258" s="166"/>
      <c r="K258" s="169"/>
      <c r="L258" s="116">
        <v>4</v>
      </c>
    </row>
    <row r="259" spans="1:12">
      <c r="A259" s="170"/>
      <c r="B259" s="171"/>
      <c r="C259" s="170"/>
      <c r="D259" s="172"/>
      <c r="E259" s="170"/>
      <c r="F259" s="173"/>
      <c r="G259" s="173"/>
      <c r="H259" s="117"/>
      <c r="I259" s="174"/>
      <c r="J259" s="166"/>
      <c r="K259" s="169"/>
      <c r="L259" s="116">
        <v>4</v>
      </c>
    </row>
    <row r="260" spans="1:12">
      <c r="A260" s="170"/>
      <c r="B260" s="171"/>
      <c r="C260" s="170"/>
      <c r="D260" s="172"/>
      <c r="E260" s="170"/>
      <c r="F260" s="173"/>
      <c r="G260" s="173"/>
      <c r="H260" s="117"/>
      <c r="I260" s="174"/>
      <c r="J260" s="166"/>
      <c r="K260" s="169"/>
      <c r="L260" s="116">
        <v>4</v>
      </c>
    </row>
    <row r="261" spans="1:12">
      <c r="A261" s="170"/>
      <c r="B261" s="171"/>
      <c r="C261" s="170"/>
      <c r="D261" s="172"/>
      <c r="E261" s="170"/>
      <c r="F261" s="173"/>
      <c r="G261" s="173"/>
      <c r="H261" s="117"/>
      <c r="I261" s="174"/>
      <c r="J261" s="166"/>
      <c r="K261" s="169"/>
      <c r="L261" s="116">
        <v>4</v>
      </c>
    </row>
    <row r="262" spans="1:12">
      <c r="A262" s="170"/>
      <c r="B262" s="171"/>
      <c r="C262" s="170"/>
      <c r="D262" s="172"/>
      <c r="E262" s="170"/>
      <c r="F262" s="173"/>
      <c r="G262" s="173"/>
      <c r="H262" s="117"/>
      <c r="I262" s="174"/>
      <c r="J262" s="166"/>
      <c r="K262" s="169"/>
      <c r="L262" s="116">
        <v>4</v>
      </c>
    </row>
    <row r="263" spans="1:12">
      <c r="A263" s="170"/>
      <c r="B263" s="171"/>
      <c r="C263" s="170"/>
      <c r="D263" s="172"/>
      <c r="E263" s="170"/>
      <c r="F263" s="173"/>
      <c r="G263" s="173"/>
      <c r="H263" s="117"/>
      <c r="I263" s="174"/>
      <c r="J263" s="166"/>
      <c r="K263" s="169"/>
      <c r="L263" s="116">
        <v>4</v>
      </c>
    </row>
    <row r="264" spans="1:12">
      <c r="A264" s="170"/>
      <c r="B264" s="171"/>
      <c r="C264" s="170"/>
      <c r="D264" s="172"/>
      <c r="E264" s="170"/>
      <c r="F264" s="173"/>
      <c r="G264" s="173"/>
      <c r="H264" s="117"/>
      <c r="I264" s="174"/>
      <c r="J264" s="166"/>
      <c r="K264" s="169"/>
      <c r="L264" s="116">
        <v>4</v>
      </c>
    </row>
    <row r="265" spans="1:12">
      <c r="A265" s="170"/>
      <c r="B265" s="171"/>
      <c r="C265" s="170"/>
      <c r="D265" s="172"/>
      <c r="E265" s="170"/>
      <c r="F265" s="173"/>
      <c r="G265" s="173"/>
      <c r="H265" s="117"/>
      <c r="I265" s="174"/>
      <c r="J265" s="166"/>
      <c r="K265" s="169"/>
      <c r="L265" s="116">
        <v>4</v>
      </c>
    </row>
    <row r="266" spans="1:12">
      <c r="A266" s="170"/>
      <c r="B266" s="171"/>
      <c r="C266" s="170"/>
      <c r="D266" s="172"/>
      <c r="E266" s="170"/>
      <c r="F266" s="173"/>
      <c r="G266" s="173"/>
      <c r="H266" s="117"/>
      <c r="I266" s="174"/>
      <c r="J266" s="166"/>
      <c r="K266" s="169"/>
      <c r="L266" s="116">
        <v>4</v>
      </c>
    </row>
    <row r="267" spans="1:12">
      <c r="A267" s="175"/>
      <c r="B267" s="171"/>
      <c r="C267" s="170"/>
      <c r="D267" s="172"/>
      <c r="E267" s="170"/>
      <c r="F267" s="173"/>
      <c r="G267" s="173"/>
      <c r="H267" s="117"/>
      <c r="I267" s="174"/>
      <c r="J267" s="166"/>
      <c r="K267" s="169"/>
      <c r="L267" s="116">
        <v>4</v>
      </c>
    </row>
    <row r="268" spans="1:12">
      <c r="A268" s="170"/>
      <c r="B268" s="171"/>
      <c r="C268" s="170"/>
      <c r="D268" s="172"/>
      <c r="E268" s="170"/>
      <c r="F268" s="173"/>
      <c r="G268" s="173"/>
      <c r="H268" s="117"/>
      <c r="I268" s="174"/>
      <c r="J268" s="166"/>
      <c r="K268" s="169"/>
      <c r="L268" s="116">
        <v>4</v>
      </c>
    </row>
    <row r="269" spans="1:12">
      <c r="A269" s="170"/>
      <c r="B269" s="171"/>
      <c r="C269" s="170"/>
      <c r="D269" s="172"/>
      <c r="E269" s="170"/>
      <c r="F269" s="173"/>
      <c r="G269" s="173"/>
      <c r="H269" s="117"/>
      <c r="I269" s="174"/>
      <c r="J269" s="166"/>
      <c r="K269" s="169"/>
      <c r="L269" s="116">
        <v>4</v>
      </c>
    </row>
    <row r="270" spans="1:12">
      <c r="A270" s="170"/>
      <c r="B270" s="171"/>
      <c r="C270" s="170"/>
      <c r="D270" s="172"/>
      <c r="E270" s="170"/>
      <c r="F270" s="173"/>
      <c r="G270" s="173"/>
      <c r="H270" s="117"/>
      <c r="I270" s="174"/>
      <c r="J270" s="166"/>
      <c r="K270" s="169"/>
      <c r="L270" s="116">
        <v>4</v>
      </c>
    </row>
    <row r="271" spans="1:12">
      <c r="A271" s="170"/>
      <c r="B271" s="171"/>
      <c r="C271" s="170"/>
      <c r="D271" s="172"/>
      <c r="E271" s="170"/>
      <c r="F271" s="173"/>
      <c r="G271" s="173"/>
      <c r="H271" s="117"/>
      <c r="I271" s="174"/>
      <c r="J271" s="166"/>
      <c r="K271" s="169"/>
      <c r="L271" s="116">
        <v>4</v>
      </c>
    </row>
    <row r="272" spans="1:12">
      <c r="A272" s="170"/>
      <c r="B272" s="171"/>
      <c r="C272" s="170"/>
      <c r="D272" s="172"/>
      <c r="E272" s="170"/>
      <c r="F272" s="173"/>
      <c r="G272" s="173"/>
      <c r="H272" s="117"/>
      <c r="I272" s="174"/>
      <c r="J272" s="166"/>
      <c r="K272" s="169"/>
      <c r="L272" s="116">
        <v>4</v>
      </c>
    </row>
    <row r="273" spans="1:12">
      <c r="A273" s="170"/>
      <c r="B273" s="171"/>
      <c r="C273" s="170"/>
      <c r="D273" s="172"/>
      <c r="E273" s="170"/>
      <c r="F273" s="173"/>
      <c r="G273" s="173"/>
      <c r="H273" s="117"/>
      <c r="I273" s="174"/>
      <c r="J273" s="166"/>
      <c r="K273" s="169"/>
      <c r="L273" s="116">
        <v>4</v>
      </c>
    </row>
    <row r="274" spans="1:12">
      <c r="A274" s="170"/>
      <c r="B274" s="171"/>
      <c r="C274" s="170"/>
      <c r="D274" s="172"/>
      <c r="E274" s="170"/>
      <c r="F274" s="173"/>
      <c r="G274" s="173"/>
      <c r="H274" s="117"/>
      <c r="I274" s="174"/>
      <c r="J274" s="166"/>
      <c r="K274" s="169"/>
      <c r="L274" s="116">
        <v>4</v>
      </c>
    </row>
    <row r="275" spans="1:12">
      <c r="A275" s="170"/>
      <c r="B275" s="171"/>
      <c r="C275" s="170"/>
      <c r="D275" s="172"/>
      <c r="E275" s="170"/>
      <c r="F275" s="173"/>
      <c r="G275" s="173"/>
      <c r="H275" s="117"/>
      <c r="I275" s="174"/>
      <c r="J275" s="166"/>
      <c r="K275" s="169"/>
      <c r="L275" s="116">
        <v>4</v>
      </c>
    </row>
    <row r="276" spans="1:12">
      <c r="A276" s="170"/>
      <c r="B276" s="171"/>
      <c r="C276" s="170"/>
      <c r="D276" s="172"/>
      <c r="E276" s="170"/>
      <c r="F276" s="173"/>
      <c r="G276" s="173"/>
      <c r="H276" s="117"/>
      <c r="I276" s="174"/>
      <c r="J276" s="166"/>
      <c r="K276" s="169"/>
      <c r="L276" s="116">
        <v>4</v>
      </c>
    </row>
    <row r="277" spans="1:12">
      <c r="A277" s="170"/>
      <c r="B277" s="171"/>
      <c r="C277" s="170"/>
      <c r="D277" s="172"/>
      <c r="E277" s="170"/>
      <c r="F277" s="173"/>
      <c r="G277" s="173"/>
      <c r="H277" s="117"/>
      <c r="I277" s="174"/>
      <c r="J277" s="166"/>
      <c r="K277" s="169"/>
      <c r="L277" s="116">
        <v>4</v>
      </c>
    </row>
    <row r="278" spans="1:12">
      <c r="A278" s="170"/>
      <c r="B278" s="171"/>
      <c r="C278" s="170"/>
      <c r="D278" s="172"/>
      <c r="E278" s="170"/>
      <c r="F278" s="173"/>
      <c r="G278" s="173"/>
      <c r="H278" s="117"/>
      <c r="I278" s="174"/>
      <c r="J278" s="166"/>
      <c r="K278" s="169"/>
      <c r="L278" s="116">
        <v>4</v>
      </c>
    </row>
    <row r="279" spans="1:12">
      <c r="A279" s="170"/>
      <c r="B279" s="171"/>
      <c r="C279" s="170"/>
      <c r="D279" s="172"/>
      <c r="E279" s="170"/>
      <c r="F279" s="173"/>
      <c r="G279" s="173"/>
      <c r="H279" s="117"/>
      <c r="I279" s="174"/>
      <c r="J279" s="166"/>
      <c r="K279" s="169"/>
      <c r="L279" s="116">
        <v>4</v>
      </c>
    </row>
    <row r="280" spans="1:12">
      <c r="A280" s="175"/>
      <c r="B280" s="171"/>
      <c r="C280" s="170"/>
      <c r="D280" s="172"/>
      <c r="E280" s="170"/>
      <c r="F280" s="173"/>
      <c r="G280" s="173"/>
      <c r="H280" s="117"/>
      <c r="I280" s="174"/>
      <c r="J280" s="166"/>
      <c r="K280" s="169"/>
      <c r="L280" s="116">
        <v>4</v>
      </c>
    </row>
    <row r="281" spans="1:12">
      <c r="A281" s="175"/>
      <c r="B281" s="171"/>
      <c r="C281" s="170"/>
      <c r="D281" s="172"/>
      <c r="E281" s="170"/>
      <c r="F281" s="173"/>
      <c r="G281" s="173"/>
      <c r="H281" s="117"/>
      <c r="I281" s="174"/>
      <c r="J281" s="166"/>
      <c r="K281" s="169"/>
      <c r="L281" s="116">
        <v>4</v>
      </c>
    </row>
    <row r="282" spans="1:12">
      <c r="A282" s="170"/>
      <c r="B282" s="171"/>
      <c r="C282" s="170"/>
      <c r="D282" s="172"/>
      <c r="E282" s="170"/>
      <c r="F282" s="173"/>
      <c r="G282" s="173"/>
      <c r="H282" s="117"/>
      <c r="I282" s="174"/>
      <c r="J282" s="166"/>
      <c r="K282" s="169"/>
      <c r="L282" s="116">
        <v>4</v>
      </c>
    </row>
    <row r="283" spans="1:12">
      <c r="A283" s="170"/>
      <c r="B283" s="171"/>
      <c r="C283" s="170"/>
      <c r="D283" s="172"/>
      <c r="E283" s="170"/>
      <c r="F283" s="173"/>
      <c r="G283" s="173"/>
      <c r="H283" s="117"/>
      <c r="I283" s="174"/>
      <c r="J283" s="166"/>
      <c r="K283" s="169"/>
      <c r="L283" s="116">
        <v>4</v>
      </c>
    </row>
    <row r="284" spans="1:12">
      <c r="A284" s="170"/>
      <c r="B284" s="171"/>
      <c r="C284" s="170"/>
      <c r="D284" s="172"/>
      <c r="E284" s="170"/>
      <c r="F284" s="173"/>
      <c r="G284" s="173"/>
      <c r="H284" s="117"/>
      <c r="I284" s="174"/>
      <c r="J284" s="166"/>
      <c r="K284" s="169"/>
      <c r="L284" s="116">
        <v>4</v>
      </c>
    </row>
    <row r="285" spans="1:12">
      <c r="A285" s="170"/>
      <c r="B285" s="171"/>
      <c r="C285" s="170"/>
      <c r="D285" s="172"/>
      <c r="E285" s="170"/>
      <c r="F285" s="173"/>
      <c r="G285" s="173"/>
      <c r="H285" s="117"/>
      <c r="I285" s="174"/>
      <c r="J285" s="166"/>
      <c r="K285" s="169"/>
      <c r="L285" s="116">
        <v>4</v>
      </c>
    </row>
    <row r="286" spans="1:12">
      <c r="A286" s="170"/>
      <c r="B286" s="171"/>
      <c r="C286" s="170"/>
      <c r="D286" s="172"/>
      <c r="E286" s="170"/>
      <c r="F286" s="173"/>
      <c r="G286" s="173"/>
      <c r="H286" s="117"/>
      <c r="I286" s="174"/>
      <c r="J286" s="166"/>
      <c r="K286" s="169"/>
      <c r="L286" s="116">
        <v>4</v>
      </c>
    </row>
    <row r="287" spans="1:12">
      <c r="A287" s="170"/>
      <c r="B287" s="171"/>
      <c r="C287" s="170"/>
      <c r="D287" s="172"/>
      <c r="E287" s="170"/>
      <c r="F287" s="173"/>
      <c r="G287" s="173"/>
      <c r="H287" s="117"/>
      <c r="I287" s="174"/>
      <c r="J287" s="166"/>
      <c r="K287" s="169"/>
      <c r="L287" s="116">
        <v>4</v>
      </c>
    </row>
    <row r="288" spans="1:12">
      <c r="A288" s="170"/>
      <c r="B288" s="171"/>
      <c r="C288" s="170"/>
      <c r="D288" s="172"/>
      <c r="E288" s="170"/>
      <c r="F288" s="173"/>
      <c r="G288" s="173"/>
      <c r="H288" s="117"/>
      <c r="I288" s="174"/>
      <c r="J288" s="166"/>
      <c r="K288" s="169"/>
      <c r="L288" s="116">
        <v>4</v>
      </c>
    </row>
    <row r="289" spans="1:12">
      <c r="A289" s="170"/>
      <c r="B289" s="171"/>
      <c r="C289" s="170"/>
      <c r="D289" s="172"/>
      <c r="E289" s="170"/>
      <c r="F289" s="173"/>
      <c r="G289" s="173"/>
      <c r="H289" s="117"/>
      <c r="I289" s="174"/>
      <c r="J289" s="166"/>
      <c r="K289" s="169"/>
      <c r="L289" s="116">
        <v>4</v>
      </c>
    </row>
    <row r="290" spans="1:12">
      <c r="A290" s="170"/>
      <c r="B290" s="171"/>
      <c r="C290" s="170"/>
      <c r="D290" s="172"/>
      <c r="E290" s="170"/>
      <c r="F290" s="173"/>
      <c r="G290" s="173"/>
      <c r="H290" s="117"/>
      <c r="I290" s="174"/>
      <c r="J290" s="166"/>
      <c r="K290" s="169"/>
      <c r="L290" s="116">
        <v>4</v>
      </c>
    </row>
    <row r="291" spans="1:12">
      <c r="A291" s="170"/>
      <c r="B291" s="171"/>
      <c r="C291" s="170"/>
      <c r="D291" s="172"/>
      <c r="E291" s="170"/>
      <c r="F291" s="173"/>
      <c r="G291" s="173"/>
      <c r="H291" s="117"/>
      <c r="I291" s="174"/>
      <c r="J291" s="166"/>
      <c r="K291" s="169"/>
      <c r="L291" s="116">
        <v>4</v>
      </c>
    </row>
    <row r="292" spans="1:12">
      <c r="A292" s="170"/>
      <c r="B292" s="171"/>
      <c r="C292" s="170"/>
      <c r="D292" s="172"/>
      <c r="E292" s="170"/>
      <c r="F292" s="173"/>
      <c r="G292" s="173"/>
      <c r="H292" s="117"/>
      <c r="I292" s="174"/>
      <c r="J292" s="166"/>
      <c r="K292" s="169"/>
      <c r="L292" s="116">
        <v>4</v>
      </c>
    </row>
    <row r="293" spans="1:12">
      <c r="A293" s="170"/>
      <c r="B293" s="171"/>
      <c r="C293" s="170"/>
      <c r="D293" s="172"/>
      <c r="E293" s="170"/>
      <c r="F293" s="173"/>
      <c r="G293" s="173"/>
      <c r="H293" s="117"/>
      <c r="I293" s="174"/>
      <c r="J293" s="166"/>
      <c r="K293" s="169"/>
      <c r="L293" s="116">
        <v>4</v>
      </c>
    </row>
    <row r="294" spans="1:12">
      <c r="A294" s="170"/>
      <c r="B294" s="171"/>
      <c r="C294" s="170"/>
      <c r="D294" s="172"/>
      <c r="E294" s="170"/>
      <c r="F294" s="173"/>
      <c r="G294" s="173"/>
      <c r="H294" s="117"/>
      <c r="I294" s="174"/>
      <c r="J294" s="166"/>
      <c r="K294" s="169"/>
      <c r="L294" s="116">
        <v>4</v>
      </c>
    </row>
    <row r="295" spans="1:12">
      <c r="A295" s="176"/>
      <c r="B295" s="177"/>
      <c r="C295" s="176"/>
      <c r="D295" s="178"/>
      <c r="E295" s="176"/>
      <c r="F295" s="179"/>
      <c r="G295" s="179"/>
      <c r="H295" s="118"/>
      <c r="I295" s="180"/>
      <c r="J295" s="169"/>
      <c r="K295" s="169"/>
      <c r="L295" s="115">
        <v>4</v>
      </c>
    </row>
    <row r="296" spans="1:12">
      <c r="A296" s="8"/>
      <c r="B296" s="181"/>
      <c r="C296" s="8"/>
      <c r="D296" s="8"/>
      <c r="E296" s="8"/>
      <c r="F296" s="116"/>
      <c r="G296" s="116"/>
      <c r="H296" s="116"/>
      <c r="I296" s="174"/>
      <c r="J296" s="182"/>
      <c r="K296" s="182"/>
      <c r="L296" s="116">
        <v>5</v>
      </c>
    </row>
    <row r="297" spans="1:12">
      <c r="A297" s="8"/>
      <c r="B297" s="181"/>
      <c r="C297" s="8"/>
      <c r="D297" s="8"/>
      <c r="E297" s="8"/>
      <c r="F297" s="116"/>
      <c r="G297" s="116"/>
      <c r="H297" s="116"/>
      <c r="I297" s="174"/>
      <c r="J297" s="182"/>
      <c r="K297" s="182"/>
      <c r="L297" s="116">
        <v>5</v>
      </c>
    </row>
    <row r="298" spans="1:12">
      <c r="A298" s="8"/>
      <c r="B298" s="181"/>
      <c r="C298" s="8"/>
      <c r="D298" s="8"/>
      <c r="E298" s="8"/>
      <c r="F298" s="116"/>
      <c r="G298" s="116"/>
      <c r="H298" s="116"/>
      <c r="I298" s="174"/>
      <c r="J298" s="182"/>
      <c r="K298" s="182"/>
      <c r="L298" s="116">
        <v>5</v>
      </c>
    </row>
    <row r="299" spans="1:12">
      <c r="A299" s="8"/>
      <c r="B299" s="181"/>
      <c r="C299" s="8"/>
      <c r="D299" s="8"/>
      <c r="E299" s="8"/>
      <c r="F299" s="116"/>
      <c r="G299" s="116"/>
      <c r="H299" s="116"/>
      <c r="I299" s="174"/>
      <c r="J299" s="182"/>
      <c r="K299" s="182"/>
      <c r="L299" s="116">
        <v>5</v>
      </c>
    </row>
    <row r="300" spans="1:12">
      <c r="A300" s="8"/>
      <c r="B300" s="181"/>
      <c r="C300" s="8"/>
      <c r="D300" s="8"/>
      <c r="E300" s="8"/>
      <c r="F300" s="116"/>
      <c r="G300" s="116"/>
      <c r="H300" s="116"/>
      <c r="I300" s="174"/>
      <c r="J300" s="182"/>
      <c r="K300" s="182"/>
      <c r="L300" s="116">
        <v>5</v>
      </c>
    </row>
    <row r="301" spans="1:12">
      <c r="A301" s="8"/>
      <c r="B301" s="181"/>
      <c r="C301" s="8"/>
      <c r="D301" s="8"/>
      <c r="E301" s="8"/>
      <c r="F301" s="116"/>
      <c r="G301" s="116"/>
      <c r="H301" s="116"/>
      <c r="I301" s="174"/>
      <c r="J301" s="182"/>
      <c r="K301" s="182"/>
      <c r="L301" s="116">
        <v>5</v>
      </c>
    </row>
    <row r="302" spans="1:12">
      <c r="A302" s="8"/>
      <c r="B302" s="161"/>
      <c r="C302" s="8"/>
      <c r="D302" s="8"/>
      <c r="E302" s="8"/>
      <c r="F302" s="116"/>
      <c r="G302" s="116"/>
      <c r="H302" s="116"/>
      <c r="I302" s="174"/>
      <c r="J302" s="182"/>
      <c r="K302" s="182"/>
      <c r="L302" s="116">
        <v>5</v>
      </c>
    </row>
    <row r="303" spans="1:12">
      <c r="A303" s="8"/>
      <c r="B303" s="161"/>
      <c r="C303" s="8"/>
      <c r="D303" s="8"/>
      <c r="E303" s="8"/>
      <c r="F303" s="116"/>
      <c r="G303" s="116"/>
      <c r="H303" s="116"/>
      <c r="I303" s="174"/>
      <c r="J303" s="182"/>
      <c r="K303" s="182"/>
      <c r="L303" s="116">
        <v>5</v>
      </c>
    </row>
    <row r="304" spans="1:12">
      <c r="A304" s="8"/>
      <c r="B304" s="161"/>
      <c r="C304" s="8"/>
      <c r="D304" s="8"/>
      <c r="E304" s="8"/>
      <c r="F304" s="116"/>
      <c r="G304" s="116"/>
      <c r="H304" s="116"/>
      <c r="I304" s="174"/>
      <c r="J304" s="182"/>
      <c r="K304" s="182"/>
      <c r="L304" s="116">
        <v>5</v>
      </c>
    </row>
    <row r="305" spans="1:12">
      <c r="A305" s="8"/>
      <c r="B305" s="161"/>
      <c r="C305" s="8"/>
      <c r="D305" s="8"/>
      <c r="E305" s="8"/>
      <c r="F305" s="116"/>
      <c r="G305" s="116"/>
      <c r="H305" s="116"/>
      <c r="I305" s="174"/>
      <c r="J305" s="182"/>
      <c r="K305" s="182"/>
      <c r="L305" s="116">
        <v>5</v>
      </c>
    </row>
    <row r="306" spans="1:12">
      <c r="A306" s="8"/>
      <c r="B306" s="161"/>
      <c r="C306" s="8"/>
      <c r="D306" s="8"/>
      <c r="E306" s="8"/>
      <c r="F306" s="116"/>
      <c r="G306" s="116"/>
      <c r="H306" s="116"/>
      <c r="I306" s="174"/>
      <c r="J306" s="182"/>
      <c r="K306" s="182"/>
      <c r="L306" s="116">
        <v>5</v>
      </c>
    </row>
    <row r="307" spans="1:12">
      <c r="A307" s="8"/>
      <c r="B307" s="161"/>
      <c r="C307" s="8"/>
      <c r="D307" s="8"/>
      <c r="E307" s="8"/>
      <c r="F307" s="116"/>
      <c r="G307" s="116"/>
      <c r="H307" s="116"/>
      <c r="I307" s="174"/>
      <c r="J307" s="182"/>
      <c r="K307" s="182"/>
      <c r="L307" s="116">
        <v>5</v>
      </c>
    </row>
    <row r="308" spans="1:12">
      <c r="A308" s="8"/>
      <c r="B308" s="161"/>
      <c r="C308" s="8"/>
      <c r="D308" s="8"/>
      <c r="E308" s="8"/>
      <c r="F308" s="116"/>
      <c r="G308" s="116"/>
      <c r="H308" s="116"/>
      <c r="I308" s="174"/>
      <c r="J308" s="182"/>
      <c r="K308" s="182"/>
      <c r="L308" s="116">
        <v>5</v>
      </c>
    </row>
    <row r="309" spans="1:12">
      <c r="A309" s="8"/>
      <c r="B309" s="161"/>
      <c r="C309" s="8"/>
      <c r="D309" s="8"/>
      <c r="E309" s="8"/>
      <c r="F309" s="116"/>
      <c r="G309" s="116"/>
      <c r="H309" s="116"/>
      <c r="I309" s="174"/>
      <c r="J309" s="182"/>
      <c r="K309" s="182"/>
      <c r="L309" s="116">
        <v>5</v>
      </c>
    </row>
    <row r="310" spans="1:12">
      <c r="A310" s="8"/>
      <c r="B310" s="161"/>
      <c r="C310" s="8"/>
      <c r="D310" s="8"/>
      <c r="E310" s="8"/>
      <c r="F310" s="116"/>
      <c r="G310" s="116"/>
      <c r="H310" s="116"/>
      <c r="I310" s="174"/>
      <c r="J310" s="182"/>
      <c r="K310" s="182"/>
      <c r="L310" s="116">
        <v>5</v>
      </c>
    </row>
    <row r="311" spans="1:12">
      <c r="A311" s="8"/>
      <c r="B311" s="161"/>
      <c r="C311" s="8"/>
      <c r="D311" s="8"/>
      <c r="E311" s="8"/>
      <c r="F311" s="116"/>
      <c r="G311" s="116"/>
      <c r="H311" s="116"/>
      <c r="I311" s="174"/>
      <c r="J311" s="182"/>
      <c r="K311" s="182"/>
      <c r="L311" s="116">
        <v>5</v>
      </c>
    </row>
    <row r="312" spans="1:12">
      <c r="A312" s="8"/>
      <c r="B312" s="161"/>
      <c r="C312" s="8"/>
      <c r="D312" s="8"/>
      <c r="E312" s="8"/>
      <c r="F312" s="116"/>
      <c r="G312" s="116"/>
      <c r="H312" s="116"/>
      <c r="I312" s="174"/>
      <c r="J312" s="182"/>
      <c r="K312" s="182"/>
      <c r="L312" s="116">
        <v>5</v>
      </c>
    </row>
    <row r="313" spans="1:12">
      <c r="A313" s="8"/>
      <c r="B313" s="161"/>
      <c r="C313" s="8"/>
      <c r="D313" s="8"/>
      <c r="E313" s="8"/>
      <c r="F313" s="116"/>
      <c r="G313" s="116"/>
      <c r="H313" s="116"/>
      <c r="I313" s="174"/>
      <c r="J313" s="182"/>
      <c r="K313" s="182"/>
      <c r="L313" s="116">
        <v>5</v>
      </c>
    </row>
    <row r="314" spans="1:12">
      <c r="A314" s="8"/>
      <c r="B314" s="161"/>
      <c r="C314" s="8"/>
      <c r="D314" s="8"/>
      <c r="E314" s="8"/>
      <c r="F314" s="116"/>
      <c r="G314" s="116"/>
      <c r="H314" s="116"/>
      <c r="I314" s="174"/>
      <c r="J314" s="182"/>
      <c r="K314" s="182"/>
      <c r="L314" s="116">
        <v>5</v>
      </c>
    </row>
    <row r="315" spans="1:12">
      <c r="A315" s="8"/>
      <c r="B315" s="161"/>
      <c r="C315" s="8"/>
      <c r="D315" s="8"/>
      <c r="E315" s="8"/>
      <c r="F315" s="116"/>
      <c r="G315" s="116"/>
      <c r="H315" s="116"/>
      <c r="I315" s="174"/>
      <c r="J315" s="182"/>
      <c r="K315" s="182"/>
      <c r="L315" s="116">
        <v>5</v>
      </c>
    </row>
    <row r="316" spans="1:12">
      <c r="A316" s="8"/>
      <c r="B316" s="161"/>
      <c r="C316" s="8"/>
      <c r="D316" s="8"/>
      <c r="E316" s="8"/>
      <c r="F316" s="116"/>
      <c r="G316" s="116"/>
      <c r="H316" s="116"/>
      <c r="I316" s="174"/>
      <c r="J316" s="182"/>
      <c r="K316" s="182"/>
      <c r="L316" s="116">
        <v>5</v>
      </c>
    </row>
    <row r="317" spans="1:12">
      <c r="A317" s="8"/>
      <c r="B317" s="161"/>
      <c r="C317" s="8"/>
      <c r="D317" s="8"/>
      <c r="E317" s="8"/>
      <c r="F317" s="116"/>
      <c r="G317" s="116"/>
      <c r="H317" s="116"/>
      <c r="I317" s="174"/>
      <c r="J317" s="182"/>
      <c r="K317" s="182"/>
      <c r="L317" s="116">
        <v>5</v>
      </c>
    </row>
    <row r="318" spans="1:12">
      <c r="A318" s="8"/>
      <c r="B318" s="161"/>
      <c r="C318" s="8"/>
      <c r="D318" s="8"/>
      <c r="E318" s="8"/>
      <c r="F318" s="116"/>
      <c r="G318" s="116"/>
      <c r="H318" s="116"/>
      <c r="I318" s="174"/>
      <c r="J318" s="182"/>
      <c r="K318" s="182"/>
      <c r="L318" s="116">
        <v>5</v>
      </c>
    </row>
    <row r="319" spans="1:12">
      <c r="A319" s="8"/>
      <c r="B319" s="161"/>
      <c r="C319" s="8"/>
      <c r="D319" s="8"/>
      <c r="E319" s="8"/>
      <c r="F319" s="116"/>
      <c r="G319" s="116"/>
      <c r="H319" s="116"/>
      <c r="I319" s="174"/>
      <c r="J319" s="182"/>
      <c r="K319" s="182"/>
      <c r="L319" s="116">
        <v>5</v>
      </c>
    </row>
    <row r="320" spans="1:12">
      <c r="A320" s="8"/>
      <c r="B320" s="161"/>
      <c r="C320" s="8"/>
      <c r="D320" s="8"/>
      <c r="E320" s="8"/>
      <c r="F320" s="116"/>
      <c r="G320" s="116"/>
      <c r="H320" s="116"/>
      <c r="I320" s="174"/>
      <c r="J320" s="182"/>
      <c r="K320" s="182"/>
      <c r="L320" s="116">
        <v>5</v>
      </c>
    </row>
    <row r="321" spans="1:12">
      <c r="A321" s="8"/>
      <c r="B321" s="161"/>
      <c r="C321" s="170"/>
      <c r="D321" s="8"/>
      <c r="E321" s="8"/>
      <c r="F321" s="116"/>
      <c r="G321" s="116"/>
      <c r="H321" s="116"/>
      <c r="I321" s="174"/>
      <c r="J321" s="182"/>
      <c r="K321" s="182"/>
      <c r="L321" s="116">
        <v>5</v>
      </c>
    </row>
    <row r="322" spans="1:12">
      <c r="A322" s="8"/>
      <c r="B322" s="161"/>
      <c r="C322" s="8"/>
      <c r="D322" s="8"/>
      <c r="E322" s="8"/>
      <c r="F322" s="116"/>
      <c r="G322" s="116"/>
      <c r="H322" s="116"/>
      <c r="I322" s="174"/>
      <c r="J322" s="182"/>
      <c r="K322" s="182"/>
      <c r="L322" s="116">
        <v>5</v>
      </c>
    </row>
    <row r="323" spans="1:12">
      <c r="A323" s="8"/>
      <c r="B323" s="161"/>
      <c r="C323" s="8"/>
      <c r="D323" s="8"/>
      <c r="E323" s="8"/>
      <c r="F323" s="116"/>
      <c r="G323" s="116"/>
      <c r="H323" s="116"/>
      <c r="I323" s="174"/>
      <c r="J323" s="182"/>
      <c r="K323" s="182"/>
      <c r="L323" s="116">
        <v>5</v>
      </c>
    </row>
    <row r="324" spans="1:12">
      <c r="A324" s="8"/>
      <c r="B324" s="161"/>
      <c r="C324" s="8"/>
      <c r="D324" s="8"/>
      <c r="E324" s="8"/>
      <c r="F324" s="116"/>
      <c r="G324" s="116"/>
      <c r="H324" s="116"/>
      <c r="I324" s="174"/>
      <c r="J324" s="182"/>
      <c r="K324" s="182"/>
      <c r="L324" s="116">
        <v>5</v>
      </c>
    </row>
    <row r="325" spans="1:12">
      <c r="A325" s="8"/>
      <c r="B325" s="161"/>
      <c r="C325" s="8"/>
      <c r="D325" s="8"/>
      <c r="E325" s="8"/>
      <c r="F325" s="116"/>
      <c r="G325" s="116"/>
      <c r="H325" s="116"/>
      <c r="I325" s="174"/>
      <c r="J325" s="182"/>
      <c r="K325" s="182"/>
      <c r="L325" s="116">
        <v>5</v>
      </c>
    </row>
    <row r="326" spans="1:12">
      <c r="A326" s="8"/>
      <c r="B326" s="161"/>
      <c r="C326" s="8"/>
      <c r="D326" s="8"/>
      <c r="E326" s="8"/>
      <c r="F326" s="116"/>
      <c r="G326" s="116"/>
      <c r="H326" s="116"/>
      <c r="I326" s="174"/>
      <c r="J326" s="182"/>
      <c r="K326" s="182"/>
      <c r="L326" s="116">
        <v>5</v>
      </c>
    </row>
    <row r="327" spans="1:12">
      <c r="A327" s="8"/>
      <c r="B327" s="161"/>
      <c r="C327" s="8"/>
      <c r="D327" s="8"/>
      <c r="E327" s="8"/>
      <c r="F327" s="116"/>
      <c r="G327" s="116"/>
      <c r="H327" s="116"/>
      <c r="I327" s="174"/>
      <c r="J327" s="182"/>
      <c r="K327" s="182"/>
      <c r="L327" s="116">
        <v>5</v>
      </c>
    </row>
    <row r="328" spans="1:12">
      <c r="A328" s="8"/>
      <c r="B328" s="161"/>
      <c r="C328" s="8"/>
      <c r="D328" s="8"/>
      <c r="E328" s="8"/>
      <c r="F328" s="116"/>
      <c r="G328" s="116"/>
      <c r="H328" s="116"/>
      <c r="I328" s="174"/>
      <c r="J328" s="182"/>
      <c r="K328" s="182"/>
      <c r="L328" s="116">
        <v>5</v>
      </c>
    </row>
    <row r="329" spans="1:12">
      <c r="A329" s="8"/>
      <c r="B329" s="161"/>
      <c r="C329" s="8"/>
      <c r="D329" s="8"/>
      <c r="E329" s="8"/>
      <c r="F329" s="116"/>
      <c r="G329" s="116"/>
      <c r="H329" s="116"/>
      <c r="I329" s="174"/>
      <c r="J329" s="182"/>
      <c r="K329" s="182"/>
      <c r="L329" s="116">
        <v>5</v>
      </c>
    </row>
    <row r="330" spans="1:12">
      <c r="A330" s="8"/>
      <c r="B330" s="161"/>
      <c r="C330" s="8"/>
      <c r="D330" s="8"/>
      <c r="E330" s="8"/>
      <c r="F330" s="116"/>
      <c r="G330" s="115"/>
      <c r="H330" s="115"/>
      <c r="I330" s="180"/>
      <c r="J330" s="183"/>
      <c r="K330" s="183"/>
      <c r="L330" s="115">
        <v>5</v>
      </c>
    </row>
    <row r="331" spans="1:12">
      <c r="A331" s="8"/>
      <c r="B331" s="161"/>
      <c r="C331" s="8"/>
      <c r="D331" s="8"/>
      <c r="E331" s="8"/>
      <c r="F331" s="184"/>
      <c r="G331" s="116"/>
      <c r="H331" s="116"/>
      <c r="I331" s="174"/>
      <c r="J331" s="182"/>
      <c r="K331" s="182"/>
      <c r="L331" s="116">
        <v>5</v>
      </c>
    </row>
    <row r="332" spans="1:12">
      <c r="A332" s="8"/>
      <c r="B332" s="161"/>
      <c r="C332" s="8"/>
      <c r="D332" s="8"/>
      <c r="E332" s="8"/>
      <c r="F332" s="184"/>
      <c r="G332" s="116"/>
      <c r="H332" s="116"/>
      <c r="I332" s="174"/>
      <c r="J332" s="182"/>
      <c r="K332" s="182"/>
      <c r="L332" s="116">
        <v>5</v>
      </c>
    </row>
    <row r="333" spans="1:12">
      <c r="A333" s="8"/>
      <c r="B333" s="161"/>
      <c r="C333" s="8"/>
      <c r="D333" s="8"/>
      <c r="E333" s="8"/>
      <c r="F333" s="184"/>
      <c r="G333" s="123"/>
      <c r="H333" s="123"/>
      <c r="I333" s="185"/>
      <c r="J333" s="123"/>
      <c r="K333" s="123"/>
      <c r="L333" s="123">
        <v>5</v>
      </c>
    </row>
    <row r="334" spans="1:12">
      <c r="A334" s="8"/>
      <c r="B334" s="18"/>
      <c r="C334" s="8"/>
      <c r="D334" s="8"/>
      <c r="E334" s="8"/>
      <c r="F334" s="184"/>
      <c r="G334" s="124"/>
      <c r="H334" s="124"/>
      <c r="I334" s="186"/>
      <c r="J334" s="187"/>
      <c r="K334" s="187"/>
      <c r="L334" s="124">
        <v>5</v>
      </c>
    </row>
    <row r="335" spans="1:12">
      <c r="A335" s="8"/>
      <c r="B335" s="18"/>
      <c r="C335" s="8"/>
      <c r="D335" s="8"/>
      <c r="E335" s="8"/>
      <c r="F335" s="184"/>
      <c r="G335" s="116"/>
      <c r="H335" s="116"/>
      <c r="I335" s="188"/>
      <c r="J335" s="116"/>
      <c r="K335" s="116"/>
      <c r="L335" s="116">
        <v>5</v>
      </c>
    </row>
    <row r="336" spans="1:12">
      <c r="A336" s="8"/>
      <c r="B336" s="18"/>
      <c r="C336" s="8"/>
      <c r="D336" s="8"/>
      <c r="E336" s="8"/>
      <c r="F336" s="184"/>
      <c r="G336" s="116"/>
      <c r="H336" s="116"/>
      <c r="I336" s="188"/>
      <c r="J336" s="116"/>
      <c r="K336" s="116"/>
      <c r="L336" s="116">
        <v>5</v>
      </c>
    </row>
    <row r="337" spans="1:12">
      <c r="A337" s="8"/>
      <c r="B337" s="18"/>
      <c r="C337" s="8"/>
      <c r="D337" s="8"/>
      <c r="E337" s="8"/>
      <c r="F337" s="184"/>
      <c r="G337" s="116"/>
      <c r="H337" s="116"/>
      <c r="I337" s="188"/>
      <c r="J337" s="116"/>
      <c r="K337" s="116"/>
      <c r="L337" s="116">
        <v>5</v>
      </c>
    </row>
    <row r="338" spans="1:12">
      <c r="A338" s="8"/>
      <c r="B338" s="18"/>
      <c r="C338" s="8"/>
      <c r="D338" s="8"/>
      <c r="E338" s="8"/>
      <c r="F338" s="184"/>
      <c r="G338" s="116"/>
      <c r="H338" s="116"/>
      <c r="I338" s="188"/>
      <c r="J338" s="116"/>
      <c r="K338" s="116"/>
      <c r="L338" s="116">
        <v>5</v>
      </c>
    </row>
    <row r="339" spans="1:12">
      <c r="A339" s="8"/>
      <c r="B339" s="18"/>
      <c r="C339" s="8"/>
      <c r="D339" s="8"/>
      <c r="E339" s="8"/>
      <c r="F339" s="184"/>
      <c r="G339" s="116"/>
      <c r="H339" s="116"/>
      <c r="I339" s="188"/>
      <c r="J339" s="116"/>
      <c r="K339" s="116"/>
      <c r="L339" s="116">
        <v>5</v>
      </c>
    </row>
    <row r="340" spans="1:12">
      <c r="A340" s="8"/>
      <c r="B340" s="18"/>
      <c r="C340" s="8"/>
      <c r="D340" s="8"/>
      <c r="E340" s="8"/>
      <c r="F340" s="184"/>
      <c r="G340" s="116"/>
      <c r="H340" s="116"/>
      <c r="I340" s="188"/>
      <c r="J340" s="116"/>
      <c r="K340" s="116"/>
      <c r="L340" s="116">
        <v>5</v>
      </c>
    </row>
    <row r="341" spans="1:12">
      <c r="A341" s="8"/>
      <c r="B341" s="18"/>
      <c r="C341" s="8"/>
      <c r="D341" s="8"/>
      <c r="E341" s="8"/>
      <c r="F341" s="184"/>
      <c r="G341" s="116"/>
      <c r="H341" s="116"/>
      <c r="I341" s="188"/>
      <c r="J341" s="116"/>
      <c r="K341" s="116"/>
      <c r="L341" s="116">
        <v>5</v>
      </c>
    </row>
    <row r="342" spans="1:12">
      <c r="A342" s="8"/>
      <c r="B342" s="18"/>
      <c r="C342" s="8"/>
      <c r="D342" s="8"/>
      <c r="E342" s="8"/>
      <c r="F342" s="184"/>
      <c r="G342" s="116"/>
      <c r="H342" s="116"/>
      <c r="I342" s="188"/>
      <c r="J342" s="116"/>
      <c r="K342" s="116"/>
      <c r="L342" s="116">
        <v>5</v>
      </c>
    </row>
    <row r="343" spans="1:12">
      <c r="A343" s="8"/>
      <c r="B343" s="18"/>
      <c r="C343" s="8"/>
      <c r="D343" s="8"/>
      <c r="E343" s="8"/>
      <c r="F343" s="184"/>
      <c r="G343" s="116"/>
      <c r="H343" s="116"/>
      <c r="I343" s="188"/>
      <c r="J343" s="116"/>
      <c r="K343" s="116"/>
      <c r="L343" s="116">
        <v>5</v>
      </c>
    </row>
    <row r="344" spans="1:12">
      <c r="A344" s="8"/>
      <c r="B344" s="18"/>
      <c r="C344" s="8"/>
      <c r="D344" s="8"/>
      <c r="E344" s="8"/>
      <c r="F344" s="184"/>
      <c r="G344" s="116"/>
      <c r="H344" s="116"/>
      <c r="I344" s="188"/>
      <c r="J344" s="116"/>
      <c r="K344" s="116"/>
      <c r="L344" s="116">
        <v>5</v>
      </c>
    </row>
    <row r="345" spans="1:12">
      <c r="A345" s="8"/>
      <c r="B345" s="18"/>
      <c r="C345" s="8"/>
      <c r="D345" s="8"/>
      <c r="E345" s="8"/>
      <c r="F345" s="184"/>
      <c r="G345" s="116"/>
      <c r="H345" s="116"/>
      <c r="I345" s="188"/>
      <c r="J345" s="116"/>
      <c r="K345" s="116"/>
      <c r="L345" s="116">
        <v>5</v>
      </c>
    </row>
    <row r="346" spans="1:12">
      <c r="A346" s="8"/>
      <c r="B346" s="18"/>
      <c r="C346" s="8"/>
      <c r="D346" s="8"/>
      <c r="E346" s="8"/>
      <c r="F346" s="184"/>
      <c r="G346" s="116"/>
      <c r="H346" s="116"/>
      <c r="I346" s="188"/>
      <c r="J346" s="116"/>
      <c r="K346" s="116"/>
      <c r="L346" s="116">
        <v>5</v>
      </c>
    </row>
    <row r="347" spans="1:12">
      <c r="A347" s="8"/>
      <c r="B347" s="18"/>
      <c r="C347" s="8"/>
      <c r="D347" s="8"/>
      <c r="E347" s="8"/>
      <c r="F347" s="184"/>
      <c r="G347" s="116"/>
      <c r="H347" s="116"/>
      <c r="I347" s="188"/>
      <c r="J347" s="116"/>
      <c r="K347" s="116"/>
      <c r="L347" s="116">
        <v>5</v>
      </c>
    </row>
    <row r="348" spans="1:12">
      <c r="A348" s="8"/>
      <c r="B348" s="18"/>
      <c r="C348" s="8"/>
      <c r="D348" s="8"/>
      <c r="E348" s="8"/>
      <c r="F348" s="184"/>
      <c r="G348" s="116"/>
      <c r="H348" s="116"/>
      <c r="I348" s="188"/>
      <c r="J348" s="116"/>
      <c r="K348" s="116"/>
      <c r="L348" s="116">
        <v>5</v>
      </c>
    </row>
    <row r="349" spans="1:12">
      <c r="A349" s="8"/>
      <c r="B349" s="18"/>
      <c r="C349" s="8"/>
      <c r="D349" s="8"/>
      <c r="E349" s="8"/>
      <c r="F349" s="184"/>
      <c r="G349" s="116"/>
      <c r="H349" s="116"/>
      <c r="I349" s="188"/>
      <c r="J349" s="116"/>
      <c r="K349" s="116"/>
      <c r="L349" s="116">
        <v>5</v>
      </c>
    </row>
    <row r="350" spans="1:12">
      <c r="A350" s="8"/>
      <c r="B350" s="18"/>
      <c r="C350" s="8"/>
      <c r="D350" s="8"/>
      <c r="E350" s="8"/>
      <c r="F350" s="184"/>
      <c r="G350" s="116"/>
      <c r="H350" s="116"/>
      <c r="I350" s="188"/>
      <c r="J350" s="116"/>
      <c r="K350" s="116"/>
      <c r="L350" s="116">
        <v>5</v>
      </c>
    </row>
    <row r="351" spans="1:12">
      <c r="A351" s="8"/>
      <c r="B351" s="18"/>
      <c r="C351" s="8"/>
      <c r="D351" s="8"/>
      <c r="E351" s="8"/>
      <c r="F351" s="184"/>
      <c r="G351" s="116"/>
      <c r="H351" s="116"/>
      <c r="I351" s="188"/>
      <c r="J351" s="116"/>
      <c r="K351" s="116"/>
      <c r="L351" s="116">
        <v>5</v>
      </c>
    </row>
    <row r="352" spans="1:12">
      <c r="A352" s="8"/>
      <c r="B352" s="18"/>
      <c r="C352" s="8"/>
      <c r="D352" s="8"/>
      <c r="E352" s="8"/>
      <c r="F352" s="184"/>
      <c r="G352" s="116"/>
      <c r="H352" s="116"/>
      <c r="I352" s="188"/>
      <c r="J352" s="116"/>
      <c r="K352" s="116"/>
      <c r="L352" s="116">
        <v>5</v>
      </c>
    </row>
    <row r="353" spans="1:12">
      <c r="A353" s="8"/>
      <c r="B353" s="18"/>
      <c r="C353" s="8"/>
      <c r="D353" s="8"/>
      <c r="E353" s="8"/>
      <c r="F353" s="184"/>
      <c r="G353" s="116"/>
      <c r="H353" s="116"/>
      <c r="I353" s="188"/>
      <c r="J353" s="116"/>
      <c r="K353" s="116"/>
      <c r="L353" s="116">
        <v>5</v>
      </c>
    </row>
    <row r="354" spans="1:12">
      <c r="A354" s="8"/>
      <c r="B354" s="18"/>
      <c r="C354" s="8"/>
      <c r="D354" s="8"/>
      <c r="E354" s="8"/>
      <c r="F354" s="184"/>
      <c r="G354" s="116"/>
      <c r="H354" s="116"/>
      <c r="I354" s="188"/>
      <c r="J354" s="116"/>
      <c r="K354" s="116"/>
      <c r="L354" s="116">
        <v>5</v>
      </c>
    </row>
    <row r="355" spans="1:12">
      <c r="A355" s="8"/>
      <c r="B355" s="18"/>
      <c r="C355" s="8"/>
      <c r="D355" s="8"/>
      <c r="E355" s="8"/>
      <c r="F355" s="184"/>
      <c r="G355" s="115"/>
      <c r="H355" s="115"/>
      <c r="I355" s="189"/>
      <c r="J355" s="115"/>
      <c r="K355" s="115"/>
      <c r="L355" s="115">
        <v>5</v>
      </c>
    </row>
    <row r="356" spans="1:12">
      <c r="A356" s="8"/>
      <c r="B356" s="18"/>
      <c r="C356" s="8"/>
      <c r="D356" s="8"/>
      <c r="E356" s="8"/>
      <c r="F356" s="184"/>
      <c r="G356" s="116"/>
      <c r="H356" s="116"/>
      <c r="I356" s="188"/>
      <c r="J356" s="116"/>
      <c r="K356" s="116"/>
      <c r="L356" s="116">
        <v>5</v>
      </c>
    </row>
    <row r="357" spans="1:12" s="109" customFormat="1">
      <c r="A357" s="8"/>
      <c r="B357" s="18"/>
      <c r="C357" s="8"/>
      <c r="D357" s="8"/>
      <c r="E357" s="8"/>
      <c r="F357" s="184"/>
      <c r="G357" s="116"/>
      <c r="H357" s="116"/>
      <c r="I357" s="189"/>
      <c r="J357" s="115"/>
      <c r="K357" s="115"/>
      <c r="L357" s="125">
        <v>5</v>
      </c>
    </row>
    <row r="358" spans="1:12">
      <c r="A358" s="8"/>
      <c r="B358" s="17"/>
      <c r="C358" s="8"/>
      <c r="D358" s="8"/>
      <c r="E358" s="8"/>
      <c r="F358" s="116"/>
      <c r="G358" s="116"/>
      <c r="H358" s="184"/>
      <c r="I358" s="188"/>
      <c r="J358" s="116"/>
      <c r="K358" s="116"/>
      <c r="L358" s="119">
        <v>6</v>
      </c>
    </row>
    <row r="359" spans="1:12">
      <c r="A359" s="8"/>
      <c r="B359" s="17"/>
      <c r="C359" s="8"/>
      <c r="D359" s="8"/>
      <c r="E359" s="8"/>
      <c r="F359" s="116"/>
      <c r="G359" s="116"/>
      <c r="H359" s="184"/>
      <c r="I359" s="188"/>
      <c r="J359" s="116"/>
      <c r="K359" s="116"/>
      <c r="L359" s="119">
        <v>6</v>
      </c>
    </row>
    <row r="360" spans="1:12">
      <c r="A360" s="8"/>
      <c r="B360" s="17"/>
      <c r="C360" s="8"/>
      <c r="D360" s="8"/>
      <c r="E360" s="8"/>
      <c r="F360" s="116"/>
      <c r="G360" s="116"/>
      <c r="H360" s="184"/>
      <c r="I360" s="188"/>
      <c r="J360" s="116"/>
      <c r="K360" s="116"/>
      <c r="L360" s="119">
        <v>6</v>
      </c>
    </row>
    <row r="361" spans="1:12">
      <c r="A361" s="8"/>
      <c r="B361" s="18"/>
      <c r="C361" s="8"/>
      <c r="D361" s="8"/>
      <c r="E361" s="8"/>
      <c r="F361" s="116"/>
      <c r="G361" s="116"/>
      <c r="H361" s="184"/>
      <c r="I361" s="188"/>
      <c r="J361" s="116"/>
      <c r="K361" s="116"/>
      <c r="L361" s="119">
        <v>6</v>
      </c>
    </row>
    <row r="362" spans="1:12">
      <c r="A362" s="8"/>
      <c r="B362" s="18"/>
      <c r="C362" s="8"/>
      <c r="D362" s="8"/>
      <c r="E362" s="8"/>
      <c r="F362" s="116"/>
      <c r="G362" s="116"/>
      <c r="H362" s="184"/>
      <c r="I362" s="188"/>
      <c r="J362" s="116"/>
      <c r="K362" s="116"/>
      <c r="L362" s="119">
        <v>6</v>
      </c>
    </row>
    <row r="363" spans="1:12">
      <c r="A363" s="8"/>
      <c r="B363" s="18"/>
      <c r="C363" s="8"/>
      <c r="D363" s="8"/>
      <c r="E363" s="8"/>
      <c r="F363" s="116"/>
      <c r="G363" s="116"/>
      <c r="H363" s="184"/>
      <c r="I363" s="188"/>
      <c r="J363" s="116"/>
      <c r="K363" s="116"/>
      <c r="L363" s="119">
        <v>6</v>
      </c>
    </row>
    <row r="364" spans="1:12">
      <c r="A364" s="8"/>
      <c r="B364" s="18"/>
      <c r="C364" s="8"/>
      <c r="D364" s="8"/>
      <c r="E364" s="8"/>
      <c r="F364" s="116"/>
      <c r="G364" s="116"/>
      <c r="H364" s="184"/>
      <c r="I364" s="188"/>
      <c r="J364" s="116"/>
      <c r="K364" s="116"/>
      <c r="L364" s="119">
        <v>6</v>
      </c>
    </row>
    <row r="365" spans="1:12">
      <c r="A365" s="8"/>
      <c r="B365" s="18"/>
      <c r="C365" s="8"/>
      <c r="D365" s="8"/>
      <c r="E365" s="8"/>
      <c r="F365" s="116"/>
      <c r="G365" s="116"/>
      <c r="H365" s="184"/>
      <c r="I365" s="188"/>
      <c r="J365" s="116"/>
      <c r="K365" s="116"/>
      <c r="L365" s="119">
        <v>6</v>
      </c>
    </row>
    <row r="366" spans="1:12">
      <c r="A366" s="8"/>
      <c r="B366" s="18"/>
      <c r="C366" s="8"/>
      <c r="D366" s="8"/>
      <c r="E366" s="8"/>
      <c r="F366" s="116"/>
      <c r="G366" s="116"/>
      <c r="H366" s="184"/>
      <c r="I366" s="188"/>
      <c r="J366" s="116"/>
      <c r="K366" s="116"/>
      <c r="L366" s="119">
        <v>6</v>
      </c>
    </row>
    <row r="367" spans="1:12">
      <c r="A367" s="8"/>
      <c r="B367" s="18"/>
      <c r="C367" s="8"/>
      <c r="D367" s="8"/>
      <c r="E367" s="8"/>
      <c r="F367" s="116"/>
      <c r="G367" s="116"/>
      <c r="H367" s="184"/>
      <c r="I367" s="188"/>
      <c r="J367" s="116"/>
      <c r="K367" s="116"/>
      <c r="L367" s="119">
        <v>6</v>
      </c>
    </row>
    <row r="368" spans="1:12">
      <c r="A368" s="8"/>
      <c r="B368" s="18"/>
      <c r="C368" s="8"/>
      <c r="D368" s="8"/>
      <c r="E368" s="8"/>
      <c r="F368" s="116"/>
      <c r="G368" s="116"/>
      <c r="H368" s="184"/>
      <c r="I368" s="188"/>
      <c r="J368" s="116"/>
      <c r="K368" s="116"/>
      <c r="L368" s="119">
        <v>6</v>
      </c>
    </row>
    <row r="369" spans="1:12">
      <c r="A369" s="8"/>
      <c r="B369" s="18"/>
      <c r="C369" s="8"/>
      <c r="D369" s="8"/>
      <c r="E369" s="8"/>
      <c r="F369" s="116"/>
      <c r="G369" s="116"/>
      <c r="H369" s="184"/>
      <c r="I369" s="188"/>
      <c r="J369" s="116"/>
      <c r="K369" s="116"/>
      <c r="L369" s="119">
        <v>6</v>
      </c>
    </row>
    <row r="370" spans="1:12">
      <c r="A370" s="8"/>
      <c r="B370" s="18"/>
      <c r="C370" s="8"/>
      <c r="D370" s="8"/>
      <c r="E370" s="8"/>
      <c r="F370" s="116"/>
      <c r="G370" s="116"/>
      <c r="H370" s="184"/>
      <c r="I370" s="188"/>
      <c r="J370" s="116"/>
      <c r="K370" s="116"/>
      <c r="L370" s="119">
        <v>6</v>
      </c>
    </row>
    <row r="371" spans="1:12">
      <c r="A371" s="8"/>
      <c r="B371" s="18"/>
      <c r="C371" s="8"/>
      <c r="D371" s="8"/>
      <c r="E371" s="8"/>
      <c r="F371" s="116"/>
      <c r="G371" s="116"/>
      <c r="H371" s="184"/>
      <c r="I371" s="188"/>
      <c r="J371" s="116"/>
      <c r="K371" s="116"/>
      <c r="L371" s="119">
        <v>6</v>
      </c>
    </row>
    <row r="372" spans="1:12">
      <c r="A372" s="8"/>
      <c r="B372" s="18"/>
      <c r="C372" s="8"/>
      <c r="D372" s="8"/>
      <c r="E372" s="8"/>
      <c r="F372" s="116"/>
      <c r="G372" s="116"/>
      <c r="H372" s="184"/>
      <c r="I372" s="188"/>
      <c r="J372" s="116"/>
      <c r="K372" s="116"/>
      <c r="L372" s="119">
        <v>6</v>
      </c>
    </row>
    <row r="373" spans="1:12">
      <c r="A373" s="8"/>
      <c r="B373" s="18"/>
      <c r="C373" s="8"/>
      <c r="D373" s="8"/>
      <c r="E373" s="8"/>
      <c r="F373" s="116"/>
      <c r="G373" s="116"/>
      <c r="H373" s="184"/>
      <c r="I373" s="188"/>
      <c r="J373" s="116"/>
      <c r="K373" s="116"/>
      <c r="L373" s="119">
        <v>6</v>
      </c>
    </row>
    <row r="374" spans="1:12">
      <c r="A374" s="8"/>
      <c r="B374" s="18"/>
      <c r="C374" s="8"/>
      <c r="D374" s="8"/>
      <c r="E374" s="8"/>
      <c r="F374" s="116"/>
      <c r="G374" s="116"/>
      <c r="H374" s="184"/>
      <c r="I374" s="188"/>
      <c r="J374" s="116"/>
      <c r="K374" s="116"/>
      <c r="L374" s="119">
        <v>6</v>
      </c>
    </row>
    <row r="375" spans="1:12">
      <c r="A375" s="8"/>
      <c r="B375" s="18"/>
      <c r="C375" s="8"/>
      <c r="D375" s="8"/>
      <c r="E375" s="8"/>
      <c r="F375" s="116"/>
      <c r="G375" s="116"/>
      <c r="H375" s="184"/>
      <c r="I375" s="188"/>
      <c r="J375" s="116"/>
      <c r="K375" s="116"/>
      <c r="L375" s="119">
        <v>6</v>
      </c>
    </row>
    <row r="376" spans="1:12">
      <c r="A376" s="8"/>
      <c r="B376" s="18"/>
      <c r="C376" s="8"/>
      <c r="D376" s="8"/>
      <c r="E376" s="8"/>
      <c r="F376" s="116"/>
      <c r="G376" s="116"/>
      <c r="H376" s="184"/>
      <c r="I376" s="188"/>
      <c r="J376" s="116"/>
      <c r="K376" s="116"/>
      <c r="L376" s="119">
        <v>6</v>
      </c>
    </row>
    <row r="377" spans="1:12">
      <c r="A377" s="8"/>
      <c r="B377" s="18"/>
      <c r="C377" s="8"/>
      <c r="D377" s="8"/>
      <c r="E377" s="8"/>
      <c r="F377" s="116"/>
      <c r="G377" s="116"/>
      <c r="H377" s="184"/>
      <c r="I377" s="188"/>
      <c r="J377" s="116"/>
      <c r="K377" s="116"/>
      <c r="L377" s="119">
        <v>6</v>
      </c>
    </row>
    <row r="378" spans="1:12">
      <c r="A378" s="8"/>
      <c r="B378" s="18"/>
      <c r="C378" s="8"/>
      <c r="D378" s="8"/>
      <c r="E378" s="8"/>
      <c r="F378" s="116"/>
      <c r="G378" s="116"/>
      <c r="H378" s="184"/>
      <c r="I378" s="188"/>
      <c r="J378" s="116"/>
      <c r="K378" s="116"/>
      <c r="L378" s="119">
        <v>6</v>
      </c>
    </row>
    <row r="379" spans="1:12">
      <c r="A379" s="8"/>
      <c r="B379" s="18"/>
      <c r="C379" s="8"/>
      <c r="D379" s="8"/>
      <c r="E379" s="8"/>
      <c r="F379" s="116"/>
      <c r="G379" s="116"/>
      <c r="H379" s="184"/>
      <c r="I379" s="188"/>
      <c r="J379" s="116"/>
      <c r="K379" s="116"/>
      <c r="L379" s="119">
        <v>6</v>
      </c>
    </row>
    <row r="380" spans="1:12">
      <c r="A380" s="8"/>
      <c r="B380" s="18"/>
      <c r="C380" s="8"/>
      <c r="D380" s="8"/>
      <c r="E380" s="8"/>
      <c r="F380" s="116"/>
      <c r="G380" s="116"/>
      <c r="H380" s="184"/>
      <c r="I380" s="188"/>
      <c r="J380" s="116"/>
      <c r="K380" s="116"/>
      <c r="L380" s="119">
        <v>6</v>
      </c>
    </row>
    <row r="381" spans="1:12">
      <c r="A381" s="8"/>
      <c r="B381" s="18"/>
      <c r="C381" s="8"/>
      <c r="D381" s="8"/>
      <c r="E381" s="8"/>
      <c r="F381" s="116"/>
      <c r="G381" s="116"/>
      <c r="H381" s="184"/>
      <c r="I381" s="188"/>
      <c r="J381" s="116"/>
      <c r="K381" s="116"/>
      <c r="L381" s="119">
        <v>6</v>
      </c>
    </row>
    <row r="382" spans="1:12">
      <c r="A382" s="8"/>
      <c r="B382" s="18"/>
      <c r="C382" s="8"/>
      <c r="D382" s="8"/>
      <c r="E382" s="8"/>
      <c r="F382" s="116"/>
      <c r="G382" s="116"/>
      <c r="H382" s="184"/>
      <c r="I382" s="188"/>
      <c r="J382" s="116"/>
      <c r="K382" s="116"/>
      <c r="L382" s="119">
        <v>6</v>
      </c>
    </row>
    <row r="383" spans="1:12">
      <c r="A383" s="8"/>
      <c r="B383" s="18"/>
      <c r="C383" s="8"/>
      <c r="D383" s="8"/>
      <c r="E383" s="8"/>
      <c r="F383" s="116"/>
      <c r="G383" s="116"/>
      <c r="H383" s="184"/>
      <c r="I383" s="188"/>
      <c r="J383" s="116"/>
      <c r="K383" s="116"/>
      <c r="L383" s="119">
        <v>6</v>
      </c>
    </row>
    <row r="384" spans="1:12">
      <c r="A384" s="8"/>
      <c r="B384" s="18"/>
      <c r="C384" s="8"/>
      <c r="D384" s="8"/>
      <c r="E384" s="8"/>
      <c r="F384" s="116"/>
      <c r="G384" s="116"/>
      <c r="H384" s="184"/>
      <c r="I384" s="188"/>
      <c r="J384" s="116"/>
      <c r="K384" s="116"/>
      <c r="L384" s="119">
        <v>6</v>
      </c>
    </row>
    <row r="385" spans="1:12">
      <c r="A385" s="8"/>
      <c r="B385" s="18"/>
      <c r="C385" s="8"/>
      <c r="D385" s="8"/>
      <c r="E385" s="8"/>
      <c r="F385" s="116"/>
      <c r="G385" s="116"/>
      <c r="H385" s="184"/>
      <c r="I385" s="188"/>
      <c r="J385" s="116"/>
      <c r="K385" s="116"/>
      <c r="L385" s="119">
        <v>6</v>
      </c>
    </row>
    <row r="386" spans="1:12">
      <c r="A386" s="8"/>
      <c r="B386" s="18"/>
      <c r="C386" s="8"/>
      <c r="D386" s="8"/>
      <c r="E386" s="8"/>
      <c r="F386" s="116"/>
      <c r="G386" s="116"/>
      <c r="H386" s="184"/>
      <c r="I386" s="188"/>
      <c r="J386" s="116"/>
      <c r="K386" s="116"/>
      <c r="L386" s="119">
        <v>6</v>
      </c>
    </row>
    <row r="387" spans="1:12">
      <c r="A387" s="8"/>
      <c r="B387" s="17"/>
      <c r="C387" s="8"/>
      <c r="D387" s="8"/>
      <c r="E387" s="8"/>
      <c r="F387" s="116"/>
      <c r="G387" s="116"/>
      <c r="H387" s="184"/>
      <c r="I387" s="188"/>
      <c r="J387" s="116"/>
      <c r="K387" s="116"/>
      <c r="L387" s="119">
        <v>6</v>
      </c>
    </row>
    <row r="388" spans="1:12">
      <c r="A388" s="8"/>
      <c r="B388" s="17"/>
      <c r="C388" s="8"/>
      <c r="D388" s="8"/>
      <c r="E388" s="8"/>
      <c r="F388" s="116"/>
      <c r="G388" s="116"/>
      <c r="H388" s="184"/>
      <c r="I388" s="188"/>
      <c r="J388" s="116"/>
      <c r="K388" s="116"/>
      <c r="L388" s="119">
        <v>6</v>
      </c>
    </row>
    <row r="389" spans="1:12">
      <c r="A389" s="8"/>
      <c r="B389" s="17"/>
      <c r="C389" s="8"/>
      <c r="D389" s="8"/>
      <c r="E389" s="8"/>
      <c r="F389" s="116"/>
      <c r="G389" s="116"/>
      <c r="H389" s="184"/>
      <c r="I389" s="188"/>
      <c r="J389" s="116"/>
      <c r="K389" s="116"/>
      <c r="L389" s="119">
        <v>6</v>
      </c>
    </row>
    <row r="390" spans="1:12">
      <c r="A390" s="8"/>
      <c r="B390" s="17"/>
      <c r="C390" s="8"/>
      <c r="D390" s="8"/>
      <c r="E390" s="8"/>
      <c r="F390" s="116"/>
      <c r="G390" s="116"/>
      <c r="H390" s="184"/>
      <c r="I390" s="188"/>
      <c r="J390" s="116"/>
      <c r="K390" s="116"/>
      <c r="L390" s="119">
        <v>6</v>
      </c>
    </row>
    <row r="391" spans="1:12">
      <c r="A391" s="8"/>
      <c r="B391" s="17"/>
      <c r="C391" s="8"/>
      <c r="D391" s="8"/>
      <c r="E391" s="8"/>
      <c r="F391" s="116"/>
      <c r="G391" s="116"/>
      <c r="H391" s="184"/>
      <c r="I391" s="188"/>
      <c r="J391" s="116"/>
      <c r="K391" s="116"/>
      <c r="L391" s="119">
        <v>6</v>
      </c>
    </row>
    <row r="392" spans="1:12">
      <c r="A392" s="8"/>
      <c r="B392" s="17"/>
      <c r="C392" s="8"/>
      <c r="D392" s="8"/>
      <c r="E392" s="8"/>
      <c r="F392" s="116"/>
      <c r="G392" s="116"/>
      <c r="H392" s="184"/>
      <c r="I392" s="188"/>
      <c r="J392" s="116"/>
      <c r="K392" s="116"/>
      <c r="L392" s="119">
        <v>6</v>
      </c>
    </row>
    <row r="393" spans="1:12">
      <c r="A393" s="8"/>
      <c r="B393" s="17"/>
      <c r="C393" s="8"/>
      <c r="D393" s="8"/>
      <c r="E393" s="8"/>
      <c r="F393" s="116"/>
      <c r="G393" s="116"/>
      <c r="H393" s="184"/>
      <c r="I393" s="188"/>
      <c r="J393" s="116"/>
      <c r="K393" s="116"/>
      <c r="L393" s="119">
        <v>6</v>
      </c>
    </row>
    <row r="394" spans="1:12">
      <c r="A394" s="8"/>
      <c r="B394" s="17"/>
      <c r="C394" s="8"/>
      <c r="D394" s="8"/>
      <c r="E394" s="8"/>
      <c r="F394" s="116"/>
      <c r="G394" s="116"/>
      <c r="H394" s="184"/>
      <c r="I394" s="188"/>
      <c r="J394" s="116"/>
      <c r="K394" s="116"/>
      <c r="L394" s="119">
        <v>6</v>
      </c>
    </row>
    <row r="395" spans="1:12">
      <c r="A395" s="8"/>
      <c r="B395" s="17"/>
      <c r="C395" s="8"/>
      <c r="D395" s="8"/>
      <c r="E395" s="8"/>
      <c r="F395" s="116"/>
      <c r="G395" s="116"/>
      <c r="H395" s="184"/>
      <c r="I395" s="188"/>
      <c r="J395" s="116"/>
      <c r="K395" s="116"/>
      <c r="L395" s="119">
        <v>6</v>
      </c>
    </row>
    <row r="396" spans="1:12">
      <c r="A396" s="8"/>
      <c r="B396" s="17"/>
      <c r="C396" s="8"/>
      <c r="D396" s="8"/>
      <c r="E396" s="8"/>
      <c r="F396" s="116"/>
      <c r="G396" s="116"/>
      <c r="H396" s="184"/>
      <c r="I396" s="188"/>
      <c r="J396" s="116"/>
      <c r="K396" s="116"/>
      <c r="L396" s="119">
        <v>6</v>
      </c>
    </row>
    <row r="397" spans="1:12">
      <c r="A397" s="8"/>
      <c r="B397" s="17"/>
      <c r="C397" s="8"/>
      <c r="D397" s="8"/>
      <c r="E397" s="8"/>
      <c r="F397" s="116"/>
      <c r="G397" s="116"/>
      <c r="H397" s="184"/>
      <c r="I397" s="188"/>
      <c r="J397" s="116"/>
      <c r="K397" s="116"/>
      <c r="L397" s="119">
        <v>6</v>
      </c>
    </row>
    <row r="398" spans="1:12">
      <c r="A398" s="8"/>
      <c r="B398" s="17"/>
      <c r="C398" s="8"/>
      <c r="D398" s="8"/>
      <c r="E398" s="8"/>
      <c r="F398" s="116"/>
      <c r="G398" s="116"/>
      <c r="H398" s="184"/>
      <c r="I398" s="188"/>
      <c r="J398" s="116"/>
      <c r="K398" s="116"/>
      <c r="L398" s="119">
        <v>6</v>
      </c>
    </row>
    <row r="399" spans="1:12">
      <c r="A399" s="8"/>
      <c r="B399" s="17"/>
      <c r="C399" s="8"/>
      <c r="D399" s="8"/>
      <c r="E399" s="8"/>
      <c r="F399" s="116"/>
      <c r="G399" s="116"/>
      <c r="H399" s="184"/>
      <c r="I399" s="188"/>
      <c r="J399" s="116"/>
      <c r="K399" s="116"/>
      <c r="L399" s="119">
        <v>6</v>
      </c>
    </row>
    <row r="400" spans="1:12">
      <c r="A400" s="8"/>
      <c r="B400" s="17"/>
      <c r="C400" s="8"/>
      <c r="D400" s="8"/>
      <c r="E400" s="8"/>
      <c r="F400" s="116"/>
      <c r="G400" s="116"/>
      <c r="H400" s="184"/>
      <c r="I400" s="188"/>
      <c r="J400" s="116"/>
      <c r="K400" s="116"/>
      <c r="L400" s="119">
        <v>6</v>
      </c>
    </row>
    <row r="401" spans="1:12">
      <c r="A401" s="8"/>
      <c r="B401" s="18"/>
      <c r="C401" s="8"/>
      <c r="D401" s="8"/>
      <c r="E401" s="8"/>
      <c r="F401" s="116"/>
      <c r="G401" s="116"/>
      <c r="H401" s="184"/>
      <c r="I401" s="188"/>
      <c r="J401" s="116"/>
      <c r="K401" s="116"/>
      <c r="L401" s="119">
        <v>6</v>
      </c>
    </row>
    <row r="402" spans="1:12">
      <c r="A402" s="8"/>
      <c r="B402" s="18"/>
      <c r="C402" s="8"/>
      <c r="D402" s="8"/>
      <c r="E402" s="8"/>
      <c r="F402" s="116"/>
      <c r="G402" s="116"/>
      <c r="H402" s="184"/>
      <c r="I402" s="188"/>
      <c r="J402" s="116"/>
      <c r="K402" s="116"/>
      <c r="L402" s="119">
        <v>6</v>
      </c>
    </row>
    <row r="403" spans="1:12">
      <c r="A403" s="8"/>
      <c r="B403" s="18"/>
      <c r="C403" s="8"/>
      <c r="D403" s="8"/>
      <c r="E403" s="8"/>
      <c r="F403" s="116"/>
      <c r="G403" s="116"/>
      <c r="H403" s="184"/>
      <c r="I403" s="188"/>
      <c r="J403" s="116"/>
      <c r="K403" s="116"/>
      <c r="L403" s="119">
        <v>6</v>
      </c>
    </row>
    <row r="404" spans="1:12">
      <c r="A404" s="8"/>
      <c r="B404" s="18"/>
      <c r="C404" s="8"/>
      <c r="D404" s="8"/>
      <c r="E404" s="8"/>
      <c r="F404" s="116"/>
      <c r="G404" s="116"/>
      <c r="H404" s="184"/>
      <c r="I404" s="188"/>
      <c r="J404" s="116"/>
      <c r="K404" s="116"/>
      <c r="L404" s="119">
        <v>6</v>
      </c>
    </row>
    <row r="405" spans="1:12">
      <c r="A405" s="8"/>
      <c r="B405" s="18"/>
      <c r="C405" s="8"/>
      <c r="D405" s="8"/>
      <c r="E405" s="8"/>
      <c r="F405" s="116"/>
      <c r="G405" s="116"/>
      <c r="H405" s="184"/>
      <c r="I405" s="188"/>
      <c r="J405" s="116"/>
      <c r="K405" s="116"/>
      <c r="L405" s="119">
        <v>6</v>
      </c>
    </row>
    <row r="406" spans="1:12">
      <c r="A406" s="8"/>
      <c r="B406" s="18"/>
      <c r="C406" s="8"/>
      <c r="D406" s="8"/>
      <c r="E406" s="8"/>
      <c r="F406" s="116"/>
      <c r="G406" s="116"/>
      <c r="H406" s="184"/>
      <c r="I406" s="188"/>
      <c r="J406" s="116"/>
      <c r="K406" s="116"/>
      <c r="L406" s="119">
        <v>6</v>
      </c>
    </row>
    <row r="407" spans="1:12">
      <c r="A407" s="8"/>
      <c r="B407" s="18"/>
      <c r="C407" s="8"/>
      <c r="D407" s="8"/>
      <c r="E407" s="8"/>
      <c r="F407" s="116"/>
      <c r="G407" s="116"/>
      <c r="H407" s="184"/>
      <c r="I407" s="188"/>
      <c r="J407" s="116"/>
      <c r="K407" s="116"/>
      <c r="L407" s="119">
        <v>6</v>
      </c>
    </row>
    <row r="408" spans="1:12">
      <c r="A408" s="8"/>
      <c r="B408" s="18"/>
      <c r="C408" s="8"/>
      <c r="D408" s="8"/>
      <c r="E408" s="8"/>
      <c r="F408" s="116"/>
      <c r="G408" s="116"/>
      <c r="H408" s="184"/>
      <c r="I408" s="188"/>
      <c r="J408" s="116"/>
      <c r="K408" s="116"/>
      <c r="L408" s="119">
        <v>6</v>
      </c>
    </row>
    <row r="409" spans="1:12">
      <c r="A409" s="8"/>
      <c r="B409" s="18"/>
      <c r="C409" s="8"/>
      <c r="D409" s="8"/>
      <c r="E409" s="8"/>
      <c r="F409" s="116"/>
      <c r="G409" s="116"/>
      <c r="H409" s="184"/>
      <c r="I409" s="188"/>
      <c r="J409" s="116"/>
      <c r="K409" s="116"/>
      <c r="L409" s="119">
        <v>6</v>
      </c>
    </row>
    <row r="410" spans="1:12">
      <c r="A410" s="8"/>
      <c r="B410" s="18"/>
      <c r="C410" s="8"/>
      <c r="D410" s="8"/>
      <c r="E410" s="8"/>
      <c r="F410" s="116"/>
      <c r="G410" s="116"/>
      <c r="H410" s="184"/>
      <c r="I410" s="188"/>
      <c r="J410" s="116"/>
      <c r="K410" s="116"/>
      <c r="L410" s="119">
        <v>6</v>
      </c>
    </row>
    <row r="411" spans="1:12">
      <c r="A411" s="8"/>
      <c r="B411" s="18"/>
      <c r="C411" s="8"/>
      <c r="D411" s="8"/>
      <c r="E411" s="8"/>
      <c r="F411" s="116"/>
      <c r="G411" s="116"/>
      <c r="H411" s="184"/>
      <c r="I411" s="188"/>
      <c r="J411" s="116"/>
      <c r="K411" s="116"/>
      <c r="L411" s="119">
        <v>6</v>
      </c>
    </row>
    <row r="412" spans="1:12">
      <c r="A412" s="8"/>
      <c r="B412" s="18"/>
      <c r="C412" s="8"/>
      <c r="D412" s="8"/>
      <c r="E412" s="8"/>
      <c r="F412" s="116"/>
      <c r="G412" s="116"/>
      <c r="H412" s="184"/>
      <c r="I412" s="188"/>
      <c r="J412" s="116"/>
      <c r="K412" s="116"/>
      <c r="L412" s="119">
        <v>6</v>
      </c>
    </row>
    <row r="413" spans="1:12">
      <c r="A413" s="8"/>
      <c r="B413" s="18"/>
      <c r="C413" s="8"/>
      <c r="D413" s="8"/>
      <c r="E413" s="8"/>
      <c r="F413" s="116"/>
      <c r="G413" s="116"/>
      <c r="H413" s="184"/>
      <c r="I413" s="188"/>
      <c r="J413" s="116"/>
      <c r="K413" s="116"/>
      <c r="L413" s="119">
        <v>6</v>
      </c>
    </row>
    <row r="414" spans="1:12">
      <c r="A414" s="8"/>
      <c r="B414" s="18"/>
      <c r="C414" s="8"/>
      <c r="D414" s="8"/>
      <c r="E414" s="8"/>
      <c r="F414" s="116"/>
      <c r="G414" s="116"/>
      <c r="H414" s="184"/>
      <c r="I414" s="188"/>
      <c r="J414" s="116"/>
      <c r="K414" s="116"/>
      <c r="L414" s="119">
        <v>6</v>
      </c>
    </row>
    <row r="415" spans="1:12">
      <c r="A415" s="8"/>
      <c r="B415" s="18"/>
      <c r="C415" s="8"/>
      <c r="D415" s="8"/>
      <c r="E415" s="8"/>
      <c r="F415" s="116"/>
      <c r="G415" s="116"/>
      <c r="H415" s="184"/>
      <c r="I415" s="188"/>
      <c r="J415" s="116"/>
      <c r="K415" s="116"/>
      <c r="L415" s="119">
        <v>6</v>
      </c>
    </row>
    <row r="416" spans="1:12">
      <c r="A416" s="8"/>
      <c r="B416" s="18"/>
      <c r="C416" s="8"/>
      <c r="D416" s="8"/>
      <c r="E416" s="8"/>
      <c r="F416" s="116"/>
      <c r="G416" s="116"/>
      <c r="H416" s="184"/>
      <c r="I416" s="188"/>
      <c r="J416" s="116"/>
      <c r="K416" s="116"/>
      <c r="L416" s="119">
        <v>6</v>
      </c>
    </row>
    <row r="417" spans="1:12">
      <c r="A417" s="8"/>
      <c r="B417" s="18"/>
      <c r="C417" s="8"/>
      <c r="D417" s="8"/>
      <c r="E417" s="8"/>
      <c r="F417" s="116"/>
      <c r="G417" s="116"/>
      <c r="H417" s="184"/>
      <c r="I417" s="188"/>
      <c r="J417" s="116"/>
      <c r="K417" s="116"/>
      <c r="L417" s="119">
        <v>6</v>
      </c>
    </row>
    <row r="418" spans="1:12">
      <c r="A418" s="8"/>
      <c r="B418" s="18"/>
      <c r="C418" s="8"/>
      <c r="D418" s="8"/>
      <c r="E418" s="8"/>
      <c r="F418" s="116"/>
      <c r="G418" s="116"/>
      <c r="H418" s="184"/>
      <c r="I418" s="188"/>
      <c r="J418" s="116"/>
      <c r="K418" s="116"/>
      <c r="L418" s="119">
        <v>6</v>
      </c>
    </row>
    <row r="419" spans="1:12">
      <c r="A419" s="8"/>
      <c r="B419" s="18"/>
      <c r="C419" s="8"/>
      <c r="D419" s="8"/>
      <c r="E419" s="8"/>
      <c r="F419" s="116"/>
      <c r="G419" s="116"/>
      <c r="H419" s="184"/>
      <c r="I419" s="188"/>
      <c r="J419" s="116"/>
      <c r="K419" s="116"/>
      <c r="L419" s="119">
        <v>6</v>
      </c>
    </row>
    <row r="420" spans="1:12">
      <c r="A420" s="8"/>
      <c r="B420" s="18"/>
      <c r="C420" s="8"/>
      <c r="D420" s="8"/>
      <c r="E420" s="8"/>
      <c r="F420" s="116"/>
      <c r="G420" s="116"/>
      <c r="H420" s="184"/>
      <c r="I420" s="188"/>
      <c r="J420" s="116"/>
      <c r="K420" s="116"/>
      <c r="L420" s="119">
        <v>6</v>
      </c>
    </row>
    <row r="421" spans="1:12">
      <c r="A421" s="8"/>
      <c r="B421" s="18"/>
      <c r="C421" s="8"/>
      <c r="D421" s="8"/>
      <c r="E421" s="8"/>
      <c r="F421" s="116"/>
      <c r="G421" s="116"/>
      <c r="H421" s="184"/>
      <c r="I421" s="188"/>
      <c r="J421" s="116"/>
      <c r="K421" s="116"/>
      <c r="L421" s="119">
        <v>6</v>
      </c>
    </row>
    <row r="422" spans="1:12">
      <c r="A422" s="8"/>
      <c r="B422" s="18"/>
      <c r="C422" s="8"/>
      <c r="D422" s="8"/>
      <c r="E422" s="8"/>
      <c r="F422" s="116"/>
      <c r="G422" s="116"/>
      <c r="H422" s="184"/>
      <c r="I422" s="188"/>
      <c r="J422" s="116"/>
      <c r="K422" s="116"/>
      <c r="L422" s="119">
        <v>6</v>
      </c>
    </row>
    <row r="423" spans="1:12">
      <c r="A423" s="8"/>
      <c r="B423" s="17"/>
      <c r="C423" s="8"/>
      <c r="D423" s="8"/>
      <c r="E423" s="8"/>
      <c r="F423" s="116"/>
      <c r="G423" s="116"/>
      <c r="H423" s="184"/>
      <c r="I423" s="190"/>
      <c r="J423" s="116"/>
      <c r="K423" s="116"/>
      <c r="L423" s="119">
        <v>6</v>
      </c>
    </row>
    <row r="424" spans="1:12">
      <c r="A424" s="8"/>
      <c r="B424" s="17"/>
      <c r="C424" s="8"/>
      <c r="D424" s="8"/>
      <c r="E424" s="8"/>
      <c r="F424" s="116"/>
      <c r="G424" s="116"/>
      <c r="H424" s="184"/>
      <c r="I424" s="190"/>
      <c r="J424" s="116"/>
      <c r="K424" s="116"/>
      <c r="L424" s="119">
        <v>6</v>
      </c>
    </row>
    <row r="425" spans="1:12">
      <c r="A425" s="8"/>
      <c r="B425" s="18"/>
      <c r="C425" s="8"/>
      <c r="D425" s="8"/>
      <c r="E425" s="8"/>
      <c r="F425" s="116"/>
      <c r="G425" s="116"/>
      <c r="H425" s="184"/>
      <c r="I425" s="190"/>
      <c r="J425" s="116"/>
      <c r="K425" s="116"/>
      <c r="L425" s="119">
        <v>6</v>
      </c>
    </row>
    <row r="426" spans="1:12">
      <c r="A426" s="8"/>
      <c r="B426" s="18"/>
      <c r="C426" s="8"/>
      <c r="D426" s="8"/>
      <c r="E426" s="8"/>
      <c r="F426" s="116"/>
      <c r="G426" s="116"/>
      <c r="H426" s="184"/>
      <c r="I426" s="190"/>
      <c r="J426" s="116"/>
      <c r="K426" s="116"/>
      <c r="L426" s="119">
        <v>6</v>
      </c>
    </row>
    <row r="427" spans="1:12">
      <c r="A427" s="8"/>
      <c r="B427" s="18"/>
      <c r="C427" s="8"/>
      <c r="D427" s="8"/>
      <c r="E427" s="8"/>
      <c r="F427" s="116"/>
      <c r="G427" s="116"/>
      <c r="H427" s="184"/>
      <c r="I427" s="190"/>
      <c r="J427" s="116"/>
      <c r="K427" s="116"/>
      <c r="L427" s="119">
        <v>6</v>
      </c>
    </row>
    <row r="428" spans="1:12">
      <c r="A428" s="8"/>
      <c r="B428" s="18"/>
      <c r="C428" s="8"/>
      <c r="D428" s="8"/>
      <c r="E428" s="8"/>
      <c r="F428" s="116"/>
      <c r="G428" s="116"/>
      <c r="H428" s="184"/>
      <c r="I428" s="190"/>
      <c r="J428" s="116"/>
      <c r="K428" s="116"/>
      <c r="L428" s="119">
        <v>6</v>
      </c>
    </row>
    <row r="429" spans="1:12">
      <c r="A429" s="8"/>
      <c r="B429" s="18"/>
      <c r="C429" s="8"/>
      <c r="D429" s="8"/>
      <c r="E429" s="8"/>
      <c r="F429" s="116"/>
      <c r="G429" s="116"/>
      <c r="H429" s="184"/>
      <c r="I429" s="190"/>
      <c r="J429" s="116"/>
      <c r="K429" s="116"/>
      <c r="L429" s="119">
        <v>6</v>
      </c>
    </row>
    <row r="430" spans="1:12">
      <c r="A430" s="8"/>
      <c r="B430" s="18"/>
      <c r="C430" s="8"/>
      <c r="D430" s="8"/>
      <c r="E430" s="8"/>
      <c r="F430" s="116"/>
      <c r="G430" s="116"/>
      <c r="H430" s="184"/>
      <c r="I430" s="190"/>
      <c r="J430" s="116"/>
      <c r="K430" s="116"/>
      <c r="L430" s="119">
        <v>6</v>
      </c>
    </row>
    <row r="431" spans="1:12">
      <c r="A431" s="8"/>
      <c r="B431" s="18"/>
      <c r="C431" s="8"/>
      <c r="D431" s="8"/>
      <c r="E431" s="8"/>
      <c r="F431" s="116"/>
      <c r="G431" s="116"/>
      <c r="H431" s="184"/>
      <c r="I431" s="190"/>
      <c r="J431" s="116"/>
      <c r="K431" s="116"/>
      <c r="L431" s="119">
        <v>6</v>
      </c>
    </row>
    <row r="432" spans="1:12">
      <c r="A432" s="8"/>
      <c r="B432" s="18"/>
      <c r="C432" s="8"/>
      <c r="D432" s="8"/>
      <c r="E432" s="8"/>
      <c r="F432" s="116"/>
      <c r="G432" s="116"/>
      <c r="H432" s="184"/>
      <c r="I432" s="190"/>
      <c r="J432" s="116"/>
      <c r="K432" s="116"/>
      <c r="L432" s="119">
        <v>6</v>
      </c>
    </row>
    <row r="433" spans="1:12">
      <c r="A433" s="8"/>
      <c r="B433" s="18"/>
      <c r="C433" s="8"/>
      <c r="D433" s="8"/>
      <c r="E433" s="8"/>
      <c r="F433" s="116"/>
      <c r="G433" s="116"/>
      <c r="H433" s="184"/>
      <c r="I433" s="190"/>
      <c r="J433" s="116"/>
      <c r="K433" s="116"/>
      <c r="L433" s="119">
        <v>6</v>
      </c>
    </row>
    <row r="434" spans="1:12">
      <c r="A434" s="8"/>
      <c r="B434" s="18"/>
      <c r="C434" s="8"/>
      <c r="D434" s="8"/>
      <c r="E434" s="8"/>
      <c r="F434" s="116"/>
      <c r="G434" s="116"/>
      <c r="H434" s="184"/>
      <c r="I434" s="190"/>
      <c r="J434" s="116"/>
      <c r="K434" s="116"/>
      <c r="L434" s="119">
        <v>6</v>
      </c>
    </row>
    <row r="435" spans="1:12">
      <c r="A435" s="8"/>
      <c r="B435" s="18"/>
      <c r="C435" s="8"/>
      <c r="D435" s="8"/>
      <c r="E435" s="8"/>
      <c r="F435" s="116"/>
      <c r="G435" s="116"/>
      <c r="H435" s="184"/>
      <c r="I435" s="190"/>
      <c r="J435" s="116"/>
      <c r="K435" s="116"/>
      <c r="L435" s="119">
        <v>6</v>
      </c>
    </row>
    <row r="436" spans="1:12">
      <c r="A436" s="8"/>
      <c r="B436" s="18"/>
      <c r="C436" s="8"/>
      <c r="D436" s="8"/>
      <c r="E436" s="8"/>
      <c r="F436" s="116"/>
      <c r="G436" s="116"/>
      <c r="H436" s="184"/>
      <c r="I436" s="190"/>
      <c r="J436" s="116"/>
      <c r="K436" s="116"/>
      <c r="L436" s="119">
        <v>6</v>
      </c>
    </row>
    <row r="437" spans="1:12">
      <c r="A437" s="8"/>
      <c r="B437" s="18"/>
      <c r="C437" s="8"/>
      <c r="D437" s="8"/>
      <c r="E437" s="8"/>
      <c r="F437" s="116"/>
      <c r="G437" s="116"/>
      <c r="H437" s="184"/>
      <c r="I437" s="190"/>
      <c r="J437" s="116"/>
      <c r="K437" s="116"/>
      <c r="L437" s="119">
        <v>6</v>
      </c>
    </row>
    <row r="438" spans="1:12">
      <c r="A438" s="8"/>
      <c r="B438" s="18"/>
      <c r="C438" s="8"/>
      <c r="D438" s="8"/>
      <c r="E438" s="8"/>
      <c r="F438" s="116"/>
      <c r="G438" s="116"/>
      <c r="H438" s="184"/>
      <c r="I438" s="190"/>
      <c r="J438" s="116"/>
      <c r="K438" s="116"/>
      <c r="L438" s="119">
        <v>6</v>
      </c>
    </row>
    <row r="439" spans="1:12">
      <c r="A439" s="8"/>
      <c r="B439" s="18"/>
      <c r="C439" s="8"/>
      <c r="D439" s="8"/>
      <c r="E439" s="8"/>
      <c r="F439" s="116"/>
      <c r="G439" s="116"/>
      <c r="H439" s="184"/>
      <c r="I439" s="190"/>
      <c r="J439" s="116"/>
      <c r="K439" s="116"/>
      <c r="L439" s="119">
        <v>6</v>
      </c>
    </row>
    <row r="440" spans="1:12">
      <c r="A440" s="8"/>
      <c r="B440" s="18"/>
      <c r="C440" s="8"/>
      <c r="D440" s="8"/>
      <c r="E440" s="8"/>
      <c r="F440" s="116"/>
      <c r="G440" s="116"/>
      <c r="H440" s="184"/>
      <c r="I440" s="190"/>
      <c r="J440" s="116"/>
      <c r="K440" s="116"/>
      <c r="L440" s="119">
        <v>6</v>
      </c>
    </row>
    <row r="441" spans="1:12" s="27" customFormat="1">
      <c r="A441" s="8"/>
      <c r="B441" s="18"/>
      <c r="C441" s="8"/>
      <c r="D441" s="8"/>
      <c r="E441" s="8"/>
      <c r="F441" s="116"/>
      <c r="G441" s="116"/>
      <c r="H441" s="184"/>
      <c r="I441" s="191"/>
      <c r="J441" s="116"/>
      <c r="K441" s="116"/>
      <c r="L441" s="120">
        <v>6</v>
      </c>
    </row>
    <row r="442" spans="1:12">
      <c r="A442" s="8"/>
      <c r="B442" s="18"/>
      <c r="C442" s="8"/>
      <c r="D442" s="8"/>
      <c r="E442" s="8"/>
      <c r="F442" s="116"/>
      <c r="G442" s="116"/>
      <c r="H442" s="184"/>
      <c r="I442" s="190"/>
      <c r="J442" s="192"/>
      <c r="K442" s="116"/>
      <c r="L442" s="119">
        <f>MONTH(B442)</f>
        <v>1</v>
      </c>
    </row>
    <row r="443" spans="1:12">
      <c r="A443" s="8"/>
      <c r="B443" s="18"/>
      <c r="C443" s="8"/>
      <c r="D443" s="8"/>
      <c r="E443" s="8"/>
      <c r="F443" s="116"/>
      <c r="G443" s="116"/>
      <c r="H443" s="184"/>
      <c r="I443" s="190"/>
      <c r="J443" s="192"/>
      <c r="K443" s="116"/>
      <c r="L443" s="119">
        <f t="shared" ref="L443:L506" si="0">MONTH(B443)</f>
        <v>1</v>
      </c>
    </row>
    <row r="444" spans="1:12">
      <c r="A444" s="8"/>
      <c r="B444" s="18"/>
      <c r="C444" s="8"/>
      <c r="D444" s="8"/>
      <c r="E444" s="8"/>
      <c r="F444" s="116"/>
      <c r="G444" s="116"/>
      <c r="H444" s="184"/>
      <c r="I444" s="190"/>
      <c r="J444" s="192"/>
      <c r="K444" s="116"/>
      <c r="L444" s="119">
        <f t="shared" si="0"/>
        <v>1</v>
      </c>
    </row>
    <row r="445" spans="1:12">
      <c r="A445" s="8"/>
      <c r="B445" s="18"/>
      <c r="C445" s="8"/>
      <c r="D445" s="8"/>
      <c r="E445" s="8"/>
      <c r="F445" s="116"/>
      <c r="G445" s="116"/>
      <c r="H445" s="184"/>
      <c r="I445" s="190"/>
      <c r="J445" s="192"/>
      <c r="K445" s="116"/>
      <c r="L445" s="119">
        <f t="shared" si="0"/>
        <v>1</v>
      </c>
    </row>
    <row r="446" spans="1:12">
      <c r="A446" s="8"/>
      <c r="B446" s="18"/>
      <c r="C446" s="8"/>
      <c r="D446" s="8"/>
      <c r="E446" s="8"/>
      <c r="F446" s="116"/>
      <c r="G446" s="116"/>
      <c r="H446" s="184"/>
      <c r="I446" s="190"/>
      <c r="J446" s="192"/>
      <c r="K446" s="116"/>
      <c r="L446" s="119">
        <f t="shared" si="0"/>
        <v>1</v>
      </c>
    </row>
    <row r="447" spans="1:12">
      <c r="A447" s="8"/>
      <c r="B447" s="18"/>
      <c r="C447" s="8"/>
      <c r="D447" s="8"/>
      <c r="E447" s="8"/>
      <c r="F447" s="116"/>
      <c r="G447" s="116"/>
      <c r="H447" s="184"/>
      <c r="I447" s="190"/>
      <c r="J447" s="192"/>
      <c r="K447" s="116"/>
      <c r="L447" s="119">
        <f t="shared" si="0"/>
        <v>1</v>
      </c>
    </row>
    <row r="448" spans="1:12">
      <c r="A448" s="8"/>
      <c r="B448" s="18"/>
      <c r="C448" s="8"/>
      <c r="D448" s="8"/>
      <c r="E448" s="8"/>
      <c r="F448" s="116"/>
      <c r="G448" s="116"/>
      <c r="H448" s="184"/>
      <c r="I448" s="190"/>
      <c r="J448" s="192"/>
      <c r="K448" s="116"/>
      <c r="L448" s="119">
        <f t="shared" si="0"/>
        <v>1</v>
      </c>
    </row>
    <row r="449" spans="1:12">
      <c r="A449" s="8"/>
      <c r="B449" s="18"/>
      <c r="C449" s="8"/>
      <c r="D449" s="8"/>
      <c r="E449" s="8"/>
      <c r="F449" s="116"/>
      <c r="G449" s="116"/>
      <c r="H449" s="184"/>
      <c r="I449" s="190"/>
      <c r="J449" s="192"/>
      <c r="K449" s="116"/>
      <c r="L449" s="119">
        <f t="shared" si="0"/>
        <v>1</v>
      </c>
    </row>
    <row r="450" spans="1:12">
      <c r="A450" s="170"/>
      <c r="B450" s="193"/>
      <c r="C450" s="170"/>
      <c r="D450" s="170"/>
      <c r="E450" s="170"/>
      <c r="F450" s="173"/>
      <c r="G450" s="116"/>
      <c r="H450" s="184"/>
      <c r="I450" s="190"/>
      <c r="J450" s="192"/>
      <c r="K450" s="116"/>
      <c r="L450" s="119">
        <f t="shared" si="0"/>
        <v>1</v>
      </c>
    </row>
    <row r="451" spans="1:12">
      <c r="A451" s="8"/>
      <c r="B451" s="18"/>
      <c r="C451" s="8"/>
      <c r="D451" s="8"/>
      <c r="E451" s="8"/>
      <c r="F451" s="116"/>
      <c r="G451" s="116"/>
      <c r="H451" s="184"/>
      <c r="I451" s="190"/>
      <c r="J451" s="192"/>
      <c r="K451" s="116"/>
      <c r="L451" s="119">
        <f t="shared" si="0"/>
        <v>1</v>
      </c>
    </row>
    <row r="452" spans="1:12">
      <c r="A452" s="8"/>
      <c r="B452" s="18"/>
      <c r="C452" s="8"/>
      <c r="D452" s="8"/>
      <c r="E452" s="8"/>
      <c r="F452" s="116"/>
      <c r="G452" s="116"/>
      <c r="H452" s="184"/>
      <c r="I452" s="190"/>
      <c r="J452" s="192"/>
      <c r="K452" s="116"/>
      <c r="L452" s="119">
        <f t="shared" si="0"/>
        <v>1</v>
      </c>
    </row>
    <row r="453" spans="1:12">
      <c r="A453" s="8"/>
      <c r="B453" s="18"/>
      <c r="C453" s="8"/>
      <c r="D453" s="8"/>
      <c r="E453" s="8"/>
      <c r="F453" s="116"/>
      <c r="G453" s="116"/>
      <c r="H453" s="184"/>
      <c r="I453" s="190"/>
      <c r="J453" s="192"/>
      <c r="K453" s="116"/>
      <c r="L453" s="119">
        <f t="shared" si="0"/>
        <v>1</v>
      </c>
    </row>
    <row r="454" spans="1:12">
      <c r="A454" s="8"/>
      <c r="B454" s="18"/>
      <c r="C454" s="8"/>
      <c r="D454" s="8"/>
      <c r="E454" s="8"/>
      <c r="F454" s="116"/>
      <c r="G454" s="116"/>
      <c r="H454" s="184"/>
      <c r="I454" s="190"/>
      <c r="J454" s="192"/>
      <c r="K454" s="116"/>
      <c r="L454" s="119">
        <f t="shared" si="0"/>
        <v>1</v>
      </c>
    </row>
    <row r="455" spans="1:12">
      <c r="A455" s="8"/>
      <c r="B455" s="18"/>
      <c r="C455" s="8"/>
      <c r="D455" s="8"/>
      <c r="E455" s="8"/>
      <c r="F455" s="116"/>
      <c r="G455" s="116"/>
      <c r="H455" s="184"/>
      <c r="I455" s="190"/>
      <c r="J455" s="192"/>
      <c r="K455" s="116"/>
      <c r="L455" s="119">
        <f t="shared" si="0"/>
        <v>1</v>
      </c>
    </row>
    <row r="456" spans="1:12">
      <c r="A456" s="8"/>
      <c r="B456" s="18"/>
      <c r="C456" s="8"/>
      <c r="D456" s="8"/>
      <c r="E456" s="8"/>
      <c r="F456" s="116"/>
      <c r="G456" s="116"/>
      <c r="H456" s="184"/>
      <c r="I456" s="190"/>
      <c r="J456" s="192"/>
      <c r="K456" s="116"/>
      <c r="L456" s="119">
        <f t="shared" si="0"/>
        <v>1</v>
      </c>
    </row>
    <row r="457" spans="1:12">
      <c r="A457" s="8"/>
      <c r="B457" s="18"/>
      <c r="C457" s="8"/>
      <c r="D457" s="8"/>
      <c r="E457" s="8"/>
      <c r="F457" s="116"/>
      <c r="G457" s="116"/>
      <c r="H457" s="184"/>
      <c r="I457" s="190"/>
      <c r="J457" s="192"/>
      <c r="K457" s="116"/>
      <c r="L457" s="119">
        <f t="shared" si="0"/>
        <v>1</v>
      </c>
    </row>
    <row r="458" spans="1:12">
      <c r="A458" s="8"/>
      <c r="B458" s="18"/>
      <c r="C458" s="8"/>
      <c r="D458" s="8"/>
      <c r="E458" s="8"/>
      <c r="F458" s="116"/>
      <c r="G458" s="116"/>
      <c r="H458" s="184"/>
      <c r="I458" s="190"/>
      <c r="J458" s="192"/>
      <c r="K458" s="116"/>
      <c r="L458" s="119">
        <f t="shared" si="0"/>
        <v>1</v>
      </c>
    </row>
    <row r="459" spans="1:12">
      <c r="A459" s="8"/>
      <c r="B459" s="18"/>
      <c r="C459" s="8"/>
      <c r="D459" s="8"/>
      <c r="E459" s="8"/>
      <c r="F459" s="116"/>
      <c r="G459" s="116"/>
      <c r="H459" s="184"/>
      <c r="I459" s="190"/>
      <c r="J459" s="192"/>
      <c r="K459" s="116"/>
      <c r="L459" s="119">
        <f t="shared" si="0"/>
        <v>1</v>
      </c>
    </row>
    <row r="460" spans="1:12">
      <c r="A460" s="8"/>
      <c r="B460" s="18"/>
      <c r="C460" s="8"/>
      <c r="D460" s="8"/>
      <c r="E460" s="8"/>
      <c r="F460" s="116"/>
      <c r="G460" s="116"/>
      <c r="H460" s="184"/>
      <c r="I460" s="190"/>
      <c r="J460" s="192"/>
      <c r="K460" s="116"/>
      <c r="L460" s="119">
        <f t="shared" si="0"/>
        <v>1</v>
      </c>
    </row>
    <row r="461" spans="1:12">
      <c r="A461" s="8"/>
      <c r="B461" s="18"/>
      <c r="C461" s="8"/>
      <c r="D461" s="8"/>
      <c r="E461" s="8"/>
      <c r="F461" s="116"/>
      <c r="G461" s="116"/>
      <c r="H461" s="184"/>
      <c r="I461" s="190"/>
      <c r="J461" s="192"/>
      <c r="K461" s="116"/>
      <c r="L461" s="119">
        <f t="shared" si="0"/>
        <v>1</v>
      </c>
    </row>
    <row r="462" spans="1:12">
      <c r="A462" s="8"/>
      <c r="B462" s="18"/>
      <c r="C462" s="8"/>
      <c r="D462" s="8"/>
      <c r="E462" s="8"/>
      <c r="F462" s="116"/>
      <c r="G462" s="116"/>
      <c r="H462" s="184"/>
      <c r="I462" s="190"/>
      <c r="J462" s="192"/>
      <c r="K462" s="116"/>
      <c r="L462" s="119">
        <f t="shared" si="0"/>
        <v>1</v>
      </c>
    </row>
    <row r="463" spans="1:12">
      <c r="A463" s="8"/>
      <c r="B463" s="18"/>
      <c r="C463" s="8"/>
      <c r="D463" s="8"/>
      <c r="E463" s="8"/>
      <c r="F463" s="116"/>
      <c r="G463" s="116"/>
      <c r="H463" s="184"/>
      <c r="I463" s="190"/>
      <c r="J463" s="192"/>
      <c r="K463" s="116"/>
      <c r="L463" s="119">
        <f t="shared" si="0"/>
        <v>1</v>
      </c>
    </row>
    <row r="464" spans="1:12">
      <c r="A464" s="8"/>
      <c r="B464" s="18"/>
      <c r="C464" s="8"/>
      <c r="D464" s="8"/>
      <c r="E464" s="8"/>
      <c r="F464" s="116"/>
      <c r="G464" s="116"/>
      <c r="H464" s="184"/>
      <c r="I464" s="190"/>
      <c r="J464" s="192"/>
      <c r="K464" s="116"/>
      <c r="L464" s="119">
        <f t="shared" si="0"/>
        <v>1</v>
      </c>
    </row>
    <row r="465" spans="1:12">
      <c r="A465" s="8"/>
      <c r="B465" s="18"/>
      <c r="C465" s="8"/>
      <c r="D465" s="8"/>
      <c r="E465" s="8"/>
      <c r="F465" s="116"/>
      <c r="G465" s="116"/>
      <c r="H465" s="184"/>
      <c r="I465" s="190"/>
      <c r="J465" s="192"/>
      <c r="K465" s="116"/>
      <c r="L465" s="119">
        <f t="shared" si="0"/>
        <v>1</v>
      </c>
    </row>
    <row r="466" spans="1:12">
      <c r="A466" s="8"/>
      <c r="B466" s="18"/>
      <c r="C466" s="8"/>
      <c r="D466" s="8"/>
      <c r="E466" s="8"/>
      <c r="F466" s="116"/>
      <c r="G466" s="116"/>
      <c r="H466" s="184"/>
      <c r="I466" s="190"/>
      <c r="J466" s="192"/>
      <c r="K466" s="116"/>
      <c r="L466" s="119">
        <f t="shared" si="0"/>
        <v>1</v>
      </c>
    </row>
    <row r="467" spans="1:12">
      <c r="A467" s="8"/>
      <c r="B467" s="18"/>
      <c r="C467" s="8"/>
      <c r="D467" s="8"/>
      <c r="E467" s="8"/>
      <c r="F467" s="116"/>
      <c r="G467" s="116"/>
      <c r="H467" s="184"/>
      <c r="I467" s="190"/>
      <c r="J467" s="192"/>
      <c r="K467" s="116"/>
      <c r="L467" s="119">
        <f t="shared" si="0"/>
        <v>1</v>
      </c>
    </row>
    <row r="468" spans="1:12">
      <c r="A468" s="8"/>
      <c r="B468" s="18"/>
      <c r="C468" s="8"/>
      <c r="D468" s="8"/>
      <c r="E468" s="8"/>
      <c r="F468" s="116"/>
      <c r="G468" s="116"/>
      <c r="H468" s="184"/>
      <c r="I468" s="190"/>
      <c r="J468" s="192"/>
      <c r="K468" s="116"/>
      <c r="L468" s="119">
        <f t="shared" si="0"/>
        <v>1</v>
      </c>
    </row>
    <row r="469" spans="1:12">
      <c r="A469" s="8"/>
      <c r="B469" s="18"/>
      <c r="C469" s="8"/>
      <c r="D469" s="8"/>
      <c r="E469" s="8"/>
      <c r="F469" s="116"/>
      <c r="G469" s="116"/>
      <c r="H469" s="184"/>
      <c r="I469" s="190"/>
      <c r="J469" s="192"/>
      <c r="K469" s="116"/>
      <c r="L469" s="119">
        <f t="shared" si="0"/>
        <v>1</v>
      </c>
    </row>
    <row r="470" spans="1:12">
      <c r="A470" s="8"/>
      <c r="B470" s="18"/>
      <c r="C470" s="8"/>
      <c r="D470" s="8"/>
      <c r="E470" s="8"/>
      <c r="F470" s="116"/>
      <c r="G470" s="116"/>
      <c r="H470" s="184"/>
      <c r="I470" s="190"/>
      <c r="J470" s="192"/>
      <c r="K470" s="116"/>
      <c r="L470" s="119">
        <f t="shared" si="0"/>
        <v>1</v>
      </c>
    </row>
    <row r="471" spans="1:12">
      <c r="A471" s="8"/>
      <c r="B471" s="18"/>
      <c r="C471" s="8"/>
      <c r="D471" s="8"/>
      <c r="E471" s="8"/>
      <c r="F471" s="116"/>
      <c r="G471" s="116"/>
      <c r="H471" s="184"/>
      <c r="I471" s="190"/>
      <c r="J471" s="192"/>
      <c r="K471" s="116"/>
      <c r="L471" s="119">
        <f t="shared" si="0"/>
        <v>1</v>
      </c>
    </row>
    <row r="472" spans="1:12">
      <c r="A472" s="8"/>
      <c r="B472" s="18"/>
      <c r="C472" s="8"/>
      <c r="D472" s="8"/>
      <c r="E472" s="8"/>
      <c r="F472" s="116"/>
      <c r="G472" s="116"/>
      <c r="H472" s="184"/>
      <c r="I472" s="190"/>
      <c r="J472" s="192"/>
      <c r="K472" s="116"/>
      <c r="L472" s="119">
        <f t="shared" si="0"/>
        <v>1</v>
      </c>
    </row>
    <row r="473" spans="1:12">
      <c r="A473" s="8"/>
      <c r="B473" s="18"/>
      <c r="C473" s="8"/>
      <c r="D473" s="8"/>
      <c r="E473" s="8"/>
      <c r="F473" s="116"/>
      <c r="G473" s="116"/>
      <c r="H473" s="184"/>
      <c r="I473" s="190"/>
      <c r="J473" s="192"/>
      <c r="K473" s="116"/>
      <c r="L473" s="119">
        <f t="shared" si="0"/>
        <v>1</v>
      </c>
    </row>
    <row r="474" spans="1:12">
      <c r="A474" s="8"/>
      <c r="B474" s="18"/>
      <c r="C474" s="8"/>
      <c r="D474" s="8"/>
      <c r="E474" s="8"/>
      <c r="F474" s="116"/>
      <c r="G474" s="116"/>
      <c r="H474" s="184"/>
      <c r="I474" s="190"/>
      <c r="J474" s="192"/>
      <c r="K474" s="116"/>
      <c r="L474" s="119">
        <f t="shared" si="0"/>
        <v>1</v>
      </c>
    </row>
    <row r="475" spans="1:12">
      <c r="A475" s="8"/>
      <c r="B475" s="18"/>
      <c r="C475" s="8"/>
      <c r="D475" s="8"/>
      <c r="E475" s="8"/>
      <c r="F475" s="116"/>
      <c r="G475" s="116"/>
      <c r="H475" s="184"/>
      <c r="I475" s="190"/>
      <c r="J475" s="192"/>
      <c r="K475" s="116"/>
      <c r="L475" s="119">
        <f t="shared" si="0"/>
        <v>1</v>
      </c>
    </row>
    <row r="476" spans="1:12">
      <c r="A476" s="8"/>
      <c r="B476" s="18"/>
      <c r="C476" s="8"/>
      <c r="D476" s="8"/>
      <c r="E476" s="8"/>
      <c r="F476" s="116"/>
      <c r="G476" s="116"/>
      <c r="H476" s="184"/>
      <c r="I476" s="190"/>
      <c r="J476" s="192"/>
      <c r="K476" s="116"/>
      <c r="L476" s="119">
        <f t="shared" si="0"/>
        <v>1</v>
      </c>
    </row>
    <row r="477" spans="1:12">
      <c r="A477" s="8"/>
      <c r="B477" s="18"/>
      <c r="C477" s="8"/>
      <c r="D477" s="8"/>
      <c r="E477" s="8"/>
      <c r="F477" s="116"/>
      <c r="G477" s="116"/>
      <c r="H477" s="184"/>
      <c r="I477" s="190"/>
      <c r="J477" s="192"/>
      <c r="K477" s="116"/>
      <c r="L477" s="119">
        <f t="shared" si="0"/>
        <v>1</v>
      </c>
    </row>
    <row r="478" spans="1:12">
      <c r="A478" s="8"/>
      <c r="B478" s="18"/>
      <c r="C478" s="8"/>
      <c r="D478" s="8"/>
      <c r="E478" s="8"/>
      <c r="F478" s="116"/>
      <c r="G478" s="116"/>
      <c r="H478" s="184"/>
      <c r="I478" s="190"/>
      <c r="J478" s="192"/>
      <c r="K478" s="116"/>
      <c r="L478" s="119">
        <f t="shared" si="0"/>
        <v>1</v>
      </c>
    </row>
    <row r="479" spans="1:12">
      <c r="A479" s="8"/>
      <c r="B479" s="18"/>
      <c r="C479" s="8"/>
      <c r="D479" s="8"/>
      <c r="E479" s="8"/>
      <c r="F479" s="116"/>
      <c r="G479" s="116"/>
      <c r="H479" s="184"/>
      <c r="I479" s="190"/>
      <c r="J479" s="192"/>
      <c r="K479" s="116"/>
      <c r="L479" s="119">
        <f t="shared" si="0"/>
        <v>1</v>
      </c>
    </row>
    <row r="480" spans="1:12">
      <c r="A480" s="8"/>
      <c r="B480" s="18"/>
      <c r="C480" s="8"/>
      <c r="D480" s="8"/>
      <c r="E480" s="8"/>
      <c r="F480" s="116"/>
      <c r="G480" s="116"/>
      <c r="H480" s="184"/>
      <c r="I480" s="190"/>
      <c r="J480" s="192"/>
      <c r="K480" s="116"/>
      <c r="L480" s="119">
        <f t="shared" si="0"/>
        <v>1</v>
      </c>
    </row>
    <row r="481" spans="1:12">
      <c r="A481" s="8"/>
      <c r="B481" s="18"/>
      <c r="C481" s="8"/>
      <c r="D481" s="8"/>
      <c r="E481" s="8"/>
      <c r="F481" s="116"/>
      <c r="G481" s="116"/>
      <c r="H481" s="184"/>
      <c r="I481" s="190"/>
      <c r="J481" s="192"/>
      <c r="K481" s="116"/>
      <c r="L481" s="119">
        <f t="shared" si="0"/>
        <v>1</v>
      </c>
    </row>
    <row r="482" spans="1:12">
      <c r="A482" s="8"/>
      <c r="B482" s="18"/>
      <c r="C482" s="8"/>
      <c r="D482" s="8"/>
      <c r="E482" s="8"/>
      <c r="F482" s="116"/>
      <c r="G482" s="116"/>
      <c r="H482" s="184"/>
      <c r="I482" s="190"/>
      <c r="J482" s="192"/>
      <c r="K482" s="116"/>
      <c r="L482" s="119">
        <f t="shared" si="0"/>
        <v>1</v>
      </c>
    </row>
    <row r="483" spans="1:12">
      <c r="A483" s="8"/>
      <c r="B483" s="18"/>
      <c r="C483" s="8"/>
      <c r="D483" s="8"/>
      <c r="E483" s="8"/>
      <c r="F483" s="116"/>
      <c r="G483" s="116"/>
      <c r="H483" s="184"/>
      <c r="I483" s="190"/>
      <c r="J483" s="192"/>
      <c r="K483" s="116"/>
      <c r="L483" s="119">
        <f t="shared" si="0"/>
        <v>1</v>
      </c>
    </row>
    <row r="484" spans="1:12">
      <c r="A484" s="8"/>
      <c r="B484" s="18"/>
      <c r="C484" s="8"/>
      <c r="D484" s="8"/>
      <c r="E484" s="8"/>
      <c r="F484" s="116"/>
      <c r="G484" s="116"/>
      <c r="H484" s="184"/>
      <c r="I484" s="190"/>
      <c r="J484" s="192"/>
      <c r="K484" s="116"/>
      <c r="L484" s="119">
        <f t="shared" si="0"/>
        <v>1</v>
      </c>
    </row>
    <row r="485" spans="1:12">
      <c r="A485" s="8"/>
      <c r="B485" s="18"/>
      <c r="C485" s="8"/>
      <c r="D485" s="8"/>
      <c r="E485" s="8"/>
      <c r="F485" s="116"/>
      <c r="G485" s="116"/>
      <c r="H485" s="184"/>
      <c r="I485" s="190"/>
      <c r="J485" s="192"/>
      <c r="K485" s="116"/>
      <c r="L485" s="119">
        <f t="shared" si="0"/>
        <v>1</v>
      </c>
    </row>
    <row r="486" spans="1:12">
      <c r="A486" s="8"/>
      <c r="B486" s="18"/>
      <c r="C486" s="8"/>
      <c r="D486" s="8"/>
      <c r="E486" s="8"/>
      <c r="F486" s="116"/>
      <c r="G486" s="116"/>
      <c r="H486" s="184"/>
      <c r="I486" s="190"/>
      <c r="J486" s="192"/>
      <c r="K486" s="116"/>
      <c r="L486" s="119">
        <f t="shared" si="0"/>
        <v>1</v>
      </c>
    </row>
    <row r="487" spans="1:12">
      <c r="A487" s="8"/>
      <c r="B487" s="18"/>
      <c r="C487" s="8"/>
      <c r="D487" s="8"/>
      <c r="E487" s="8"/>
      <c r="F487" s="116"/>
      <c r="G487" s="116"/>
      <c r="H487" s="184"/>
      <c r="I487" s="190"/>
      <c r="J487" s="192"/>
      <c r="K487" s="116"/>
      <c r="L487" s="119">
        <f t="shared" si="0"/>
        <v>1</v>
      </c>
    </row>
    <row r="488" spans="1:12">
      <c r="A488" s="8"/>
      <c r="B488" s="18"/>
      <c r="C488" s="8"/>
      <c r="D488" s="8"/>
      <c r="E488" s="8"/>
      <c r="F488" s="116"/>
      <c r="G488" s="116"/>
      <c r="H488" s="184"/>
      <c r="I488" s="190"/>
      <c r="J488" s="192"/>
      <c r="K488" s="116"/>
      <c r="L488" s="119">
        <f t="shared" si="0"/>
        <v>1</v>
      </c>
    </row>
    <row r="489" spans="1:12">
      <c r="A489" s="8"/>
      <c r="B489" s="18"/>
      <c r="C489" s="8"/>
      <c r="D489" s="8"/>
      <c r="E489" s="8"/>
      <c r="F489" s="116"/>
      <c r="G489" s="116"/>
      <c r="H489" s="184"/>
      <c r="I489" s="190"/>
      <c r="J489" s="192"/>
      <c r="K489" s="116"/>
      <c r="L489" s="119">
        <f t="shared" si="0"/>
        <v>1</v>
      </c>
    </row>
    <row r="490" spans="1:12">
      <c r="A490" s="8"/>
      <c r="B490" s="18"/>
      <c r="C490" s="8"/>
      <c r="D490" s="8"/>
      <c r="E490" s="8"/>
      <c r="F490" s="116"/>
      <c r="G490" s="116"/>
      <c r="H490" s="184"/>
      <c r="I490" s="190"/>
      <c r="J490" s="192"/>
      <c r="K490" s="116"/>
      <c r="L490" s="119">
        <f t="shared" si="0"/>
        <v>1</v>
      </c>
    </row>
    <row r="491" spans="1:12">
      <c r="A491" s="8"/>
      <c r="B491" s="18"/>
      <c r="C491" s="8"/>
      <c r="D491" s="8"/>
      <c r="E491" s="8"/>
      <c r="F491" s="116"/>
      <c r="G491" s="116"/>
      <c r="H491" s="184"/>
      <c r="I491" s="190"/>
      <c r="J491" s="192"/>
      <c r="K491" s="116"/>
      <c r="L491" s="119">
        <f t="shared" si="0"/>
        <v>1</v>
      </c>
    </row>
    <row r="492" spans="1:12">
      <c r="A492" s="8"/>
      <c r="B492" s="18"/>
      <c r="C492" s="8"/>
      <c r="D492" s="8"/>
      <c r="E492" s="8"/>
      <c r="F492" s="116"/>
      <c r="G492" s="116"/>
      <c r="H492" s="184"/>
      <c r="I492" s="190"/>
      <c r="J492" s="192"/>
      <c r="K492" s="116"/>
      <c r="L492" s="119">
        <f t="shared" si="0"/>
        <v>1</v>
      </c>
    </row>
    <row r="493" spans="1:12">
      <c r="A493" s="8"/>
      <c r="B493" s="18"/>
      <c r="C493" s="8"/>
      <c r="D493" s="8"/>
      <c r="E493" s="8"/>
      <c r="F493" s="116"/>
      <c r="G493" s="116"/>
      <c r="H493" s="184"/>
      <c r="I493" s="190"/>
      <c r="J493" s="192"/>
      <c r="K493" s="116"/>
      <c r="L493" s="119">
        <f t="shared" si="0"/>
        <v>1</v>
      </c>
    </row>
    <row r="494" spans="1:12">
      <c r="A494" s="8"/>
      <c r="B494" s="18"/>
      <c r="C494" s="8"/>
      <c r="D494" s="8"/>
      <c r="E494" s="8"/>
      <c r="F494" s="116"/>
      <c r="G494" s="116"/>
      <c r="H494" s="184"/>
      <c r="I494" s="190"/>
      <c r="J494" s="192"/>
      <c r="K494" s="116"/>
      <c r="L494" s="119">
        <f t="shared" si="0"/>
        <v>1</v>
      </c>
    </row>
    <row r="495" spans="1:12">
      <c r="A495" s="8"/>
      <c r="B495" s="18"/>
      <c r="C495" s="8"/>
      <c r="D495" s="8"/>
      <c r="E495" s="8"/>
      <c r="F495" s="116"/>
      <c r="G495" s="116"/>
      <c r="H495" s="184"/>
      <c r="I495" s="190"/>
      <c r="J495" s="192"/>
      <c r="K495" s="116"/>
      <c r="L495" s="119">
        <f t="shared" si="0"/>
        <v>1</v>
      </c>
    </row>
    <row r="496" spans="1:12">
      <c r="A496" s="8"/>
      <c r="B496" s="18"/>
      <c r="C496" s="8"/>
      <c r="D496" s="8"/>
      <c r="E496" s="8"/>
      <c r="F496" s="116"/>
      <c r="G496" s="116"/>
      <c r="H496" s="184"/>
      <c r="I496" s="190"/>
      <c r="J496" s="192"/>
      <c r="K496" s="116"/>
      <c r="L496" s="119">
        <f t="shared" si="0"/>
        <v>1</v>
      </c>
    </row>
    <row r="497" spans="1:12">
      <c r="A497" s="8"/>
      <c r="B497" s="18"/>
      <c r="C497" s="8"/>
      <c r="D497" s="8"/>
      <c r="E497" s="8"/>
      <c r="F497" s="116"/>
      <c r="G497" s="116"/>
      <c r="H497" s="184"/>
      <c r="I497" s="190"/>
      <c r="J497" s="192"/>
      <c r="K497" s="116"/>
      <c r="L497" s="119">
        <f t="shared" si="0"/>
        <v>1</v>
      </c>
    </row>
    <row r="498" spans="1:12">
      <c r="A498" s="8"/>
      <c r="B498" s="18"/>
      <c r="C498" s="8"/>
      <c r="D498" s="8"/>
      <c r="E498" s="8"/>
      <c r="F498" s="116"/>
      <c r="G498" s="116"/>
      <c r="H498" s="184"/>
      <c r="I498" s="190"/>
      <c r="J498" s="192"/>
      <c r="K498" s="116"/>
      <c r="L498" s="119">
        <f t="shared" si="0"/>
        <v>1</v>
      </c>
    </row>
    <row r="499" spans="1:12">
      <c r="A499" s="8"/>
      <c r="B499" s="18"/>
      <c r="C499" s="8"/>
      <c r="D499" s="8"/>
      <c r="E499" s="8"/>
      <c r="F499" s="116"/>
      <c r="G499" s="116"/>
      <c r="H499" s="184"/>
      <c r="I499" s="190"/>
      <c r="J499" s="192"/>
      <c r="K499" s="116"/>
      <c r="L499" s="119">
        <f t="shared" si="0"/>
        <v>1</v>
      </c>
    </row>
    <row r="500" spans="1:12">
      <c r="A500" s="8"/>
      <c r="B500" s="18"/>
      <c r="C500" s="8"/>
      <c r="D500" s="8"/>
      <c r="E500" s="8"/>
      <c r="F500" s="116"/>
      <c r="G500" s="116"/>
      <c r="H500" s="184"/>
      <c r="I500" s="190"/>
      <c r="J500" s="192"/>
      <c r="K500" s="116"/>
      <c r="L500" s="119">
        <f t="shared" si="0"/>
        <v>1</v>
      </c>
    </row>
    <row r="501" spans="1:12">
      <c r="A501" s="8"/>
      <c r="B501" s="18"/>
      <c r="C501" s="8"/>
      <c r="D501" s="8"/>
      <c r="E501" s="8"/>
      <c r="F501" s="116"/>
      <c r="G501" s="116"/>
      <c r="H501" s="184"/>
      <c r="I501" s="190"/>
      <c r="J501" s="192"/>
      <c r="K501" s="116"/>
      <c r="L501" s="119">
        <f t="shared" si="0"/>
        <v>1</v>
      </c>
    </row>
    <row r="502" spans="1:12">
      <c r="A502" s="8"/>
      <c r="B502" s="18"/>
      <c r="C502" s="8"/>
      <c r="D502" s="8"/>
      <c r="E502" s="8"/>
      <c r="F502" s="116"/>
      <c r="G502" s="116"/>
      <c r="H502" s="184"/>
      <c r="I502" s="190"/>
      <c r="J502" s="192"/>
      <c r="K502" s="116"/>
      <c r="L502" s="119">
        <f t="shared" si="0"/>
        <v>1</v>
      </c>
    </row>
    <row r="503" spans="1:12">
      <c r="A503" s="8"/>
      <c r="B503" s="18"/>
      <c r="C503" s="8"/>
      <c r="D503" s="8"/>
      <c r="E503" s="8"/>
      <c r="F503" s="116"/>
      <c r="G503" s="116"/>
      <c r="H503" s="184"/>
      <c r="I503" s="190"/>
      <c r="J503" s="192"/>
      <c r="K503" s="116"/>
      <c r="L503" s="119">
        <f t="shared" si="0"/>
        <v>1</v>
      </c>
    </row>
    <row r="504" spans="1:12">
      <c r="A504" s="8"/>
      <c r="B504" s="18"/>
      <c r="C504" s="8"/>
      <c r="D504" s="8"/>
      <c r="E504" s="8"/>
      <c r="F504" s="116"/>
      <c r="G504" s="116"/>
      <c r="H504" s="184"/>
      <c r="I504" s="190"/>
      <c r="J504" s="192"/>
      <c r="K504" s="116"/>
      <c r="L504" s="119">
        <f t="shared" si="0"/>
        <v>1</v>
      </c>
    </row>
    <row r="505" spans="1:12">
      <c r="A505" s="8"/>
      <c r="B505" s="18"/>
      <c r="C505" s="8"/>
      <c r="D505" s="8"/>
      <c r="E505" s="8"/>
      <c r="F505" s="116"/>
      <c r="G505" s="116"/>
      <c r="H505" s="184"/>
      <c r="I505" s="190"/>
      <c r="J505" s="192"/>
      <c r="K505" s="116"/>
      <c r="L505" s="119">
        <f t="shared" si="0"/>
        <v>1</v>
      </c>
    </row>
    <row r="506" spans="1:12">
      <c r="A506" s="8"/>
      <c r="B506" s="18"/>
      <c r="C506" s="8"/>
      <c r="D506" s="8"/>
      <c r="E506" s="8"/>
      <c r="F506" s="116"/>
      <c r="G506" s="116"/>
      <c r="H506" s="184"/>
      <c r="I506" s="190"/>
      <c r="J506" s="192"/>
      <c r="K506" s="116"/>
      <c r="L506" s="119">
        <f t="shared" si="0"/>
        <v>1</v>
      </c>
    </row>
    <row r="507" spans="1:12">
      <c r="A507" s="8"/>
      <c r="B507" s="18"/>
      <c r="C507" s="8"/>
      <c r="D507" s="8"/>
      <c r="E507" s="8"/>
      <c r="F507" s="116"/>
      <c r="G507" s="116"/>
      <c r="H507" s="184"/>
      <c r="I507" s="190"/>
      <c r="J507" s="192"/>
      <c r="K507" s="116"/>
      <c r="L507" s="119">
        <f t="shared" ref="L507:L570" si="1">MONTH(B507)</f>
        <v>1</v>
      </c>
    </row>
    <row r="508" spans="1:12">
      <c r="A508" s="8"/>
      <c r="B508" s="18"/>
      <c r="C508" s="8"/>
      <c r="D508" s="8"/>
      <c r="E508" s="8"/>
      <c r="F508" s="116"/>
      <c r="G508" s="116"/>
      <c r="H508" s="184"/>
      <c r="I508" s="190"/>
      <c r="J508" s="192"/>
      <c r="K508" s="116"/>
      <c r="L508" s="119">
        <f t="shared" si="1"/>
        <v>1</v>
      </c>
    </row>
    <row r="509" spans="1:12">
      <c r="A509" s="8"/>
      <c r="B509" s="18"/>
      <c r="C509" s="8"/>
      <c r="D509" s="8"/>
      <c r="E509" s="8"/>
      <c r="F509" s="116"/>
      <c r="G509" s="116"/>
      <c r="H509" s="184"/>
      <c r="I509" s="190"/>
      <c r="J509" s="192"/>
      <c r="K509" s="116"/>
      <c r="L509" s="119">
        <f t="shared" si="1"/>
        <v>1</v>
      </c>
    </row>
    <row r="510" spans="1:12">
      <c r="A510" s="8"/>
      <c r="B510" s="18"/>
      <c r="C510" s="8"/>
      <c r="D510" s="8"/>
      <c r="E510" s="8"/>
      <c r="F510" s="116"/>
      <c r="G510" s="116"/>
      <c r="H510" s="184"/>
      <c r="I510" s="190"/>
      <c r="J510" s="192"/>
      <c r="K510" s="116"/>
      <c r="L510" s="119">
        <f t="shared" si="1"/>
        <v>1</v>
      </c>
    </row>
    <row r="511" spans="1:12">
      <c r="A511" s="8"/>
      <c r="B511" s="18"/>
      <c r="C511" s="8"/>
      <c r="D511" s="8"/>
      <c r="E511" s="8"/>
      <c r="F511" s="116"/>
      <c r="G511" s="116"/>
      <c r="H511" s="184"/>
      <c r="I511" s="190"/>
      <c r="J511" s="192"/>
      <c r="K511" s="116"/>
      <c r="L511" s="119">
        <f t="shared" si="1"/>
        <v>1</v>
      </c>
    </row>
    <row r="512" spans="1:12">
      <c r="A512" s="8"/>
      <c r="B512" s="18"/>
      <c r="C512" s="8"/>
      <c r="D512" s="8"/>
      <c r="E512" s="8"/>
      <c r="F512" s="116"/>
      <c r="G512" s="116"/>
      <c r="H512" s="184"/>
      <c r="I512" s="190"/>
      <c r="J512" s="192"/>
      <c r="K512" s="116"/>
      <c r="L512" s="119">
        <f t="shared" si="1"/>
        <v>1</v>
      </c>
    </row>
    <row r="513" spans="1:12">
      <c r="A513" s="8"/>
      <c r="B513" s="18"/>
      <c r="C513" s="8"/>
      <c r="D513" s="8"/>
      <c r="E513" s="8"/>
      <c r="F513" s="116"/>
      <c r="G513" s="116"/>
      <c r="H513" s="184"/>
      <c r="I513" s="190"/>
      <c r="J513" s="192"/>
      <c r="K513" s="116"/>
      <c r="L513" s="119">
        <f t="shared" si="1"/>
        <v>1</v>
      </c>
    </row>
    <row r="514" spans="1:12">
      <c r="A514" s="8"/>
      <c r="B514" s="18"/>
      <c r="C514" s="8"/>
      <c r="D514" s="8"/>
      <c r="E514" s="8"/>
      <c r="F514" s="116"/>
      <c r="G514" s="116"/>
      <c r="H514" s="184"/>
      <c r="I514" s="190"/>
      <c r="J514" s="192"/>
      <c r="K514" s="116"/>
      <c r="L514" s="119">
        <f t="shared" si="1"/>
        <v>1</v>
      </c>
    </row>
    <row r="515" spans="1:12">
      <c r="A515" s="8"/>
      <c r="B515" s="18"/>
      <c r="C515" s="8"/>
      <c r="D515" s="8"/>
      <c r="E515" s="8"/>
      <c r="F515" s="116"/>
      <c r="G515" s="116"/>
      <c r="H515" s="184"/>
      <c r="I515" s="190"/>
      <c r="J515" s="192"/>
      <c r="K515" s="116"/>
      <c r="L515" s="119">
        <f t="shared" si="1"/>
        <v>1</v>
      </c>
    </row>
    <row r="516" spans="1:12">
      <c r="A516" s="8"/>
      <c r="B516" s="18"/>
      <c r="C516" s="8"/>
      <c r="D516" s="8"/>
      <c r="E516" s="8"/>
      <c r="F516" s="116"/>
      <c r="G516" s="116"/>
      <c r="H516" s="184"/>
      <c r="I516" s="190"/>
      <c r="J516" s="192"/>
      <c r="K516" s="116"/>
      <c r="L516" s="119">
        <f t="shared" si="1"/>
        <v>1</v>
      </c>
    </row>
    <row r="517" spans="1:12">
      <c r="A517" s="8"/>
      <c r="B517" s="18"/>
      <c r="C517" s="8"/>
      <c r="D517" s="8"/>
      <c r="E517" s="8"/>
      <c r="F517" s="116"/>
      <c r="G517" s="116"/>
      <c r="H517" s="184"/>
      <c r="I517" s="190"/>
      <c r="J517" s="192"/>
      <c r="K517" s="116"/>
      <c r="L517" s="119">
        <f t="shared" si="1"/>
        <v>1</v>
      </c>
    </row>
    <row r="518" spans="1:12">
      <c r="A518" s="8"/>
      <c r="B518" s="18"/>
      <c r="C518" s="8"/>
      <c r="D518" s="8"/>
      <c r="E518" s="8"/>
      <c r="F518" s="116"/>
      <c r="G518" s="116"/>
      <c r="H518" s="184"/>
      <c r="I518" s="190"/>
      <c r="J518" s="192"/>
      <c r="K518" s="116"/>
      <c r="L518" s="119">
        <f t="shared" si="1"/>
        <v>1</v>
      </c>
    </row>
    <row r="519" spans="1:12">
      <c r="A519" s="8"/>
      <c r="B519" s="18"/>
      <c r="C519" s="8"/>
      <c r="D519" s="8"/>
      <c r="E519" s="8"/>
      <c r="F519" s="116"/>
      <c r="G519" s="116"/>
      <c r="H519" s="184"/>
      <c r="I519" s="190"/>
      <c r="J519" s="192"/>
      <c r="K519" s="116"/>
      <c r="L519" s="119">
        <f t="shared" si="1"/>
        <v>1</v>
      </c>
    </row>
    <row r="520" spans="1:12">
      <c r="A520" s="8"/>
      <c r="B520" s="18"/>
      <c r="C520" s="8"/>
      <c r="D520" s="8"/>
      <c r="E520" s="8"/>
      <c r="F520" s="116"/>
      <c r="G520" s="116"/>
      <c r="H520" s="184"/>
      <c r="I520" s="190"/>
      <c r="J520" s="192"/>
      <c r="K520" s="116"/>
      <c r="L520" s="119">
        <f t="shared" si="1"/>
        <v>1</v>
      </c>
    </row>
    <row r="521" spans="1:12">
      <c r="A521" s="8"/>
      <c r="B521" s="18"/>
      <c r="C521" s="8"/>
      <c r="D521" s="8"/>
      <c r="E521" s="8"/>
      <c r="F521" s="116"/>
      <c r="G521" s="116"/>
      <c r="H521" s="184"/>
      <c r="I521" s="190"/>
      <c r="J521" s="192"/>
      <c r="K521" s="116"/>
      <c r="L521" s="119">
        <f t="shared" si="1"/>
        <v>1</v>
      </c>
    </row>
    <row r="522" spans="1:12">
      <c r="A522" s="8"/>
      <c r="B522" s="18"/>
      <c r="C522" s="8"/>
      <c r="D522" s="8"/>
      <c r="E522" s="8"/>
      <c r="F522" s="116"/>
      <c r="G522" s="116"/>
      <c r="H522" s="184"/>
      <c r="I522" s="190"/>
      <c r="J522" s="192"/>
      <c r="K522" s="116"/>
      <c r="L522" s="119">
        <f t="shared" si="1"/>
        <v>1</v>
      </c>
    </row>
    <row r="523" spans="1:12">
      <c r="A523" s="8"/>
      <c r="B523" s="18"/>
      <c r="C523" s="8"/>
      <c r="D523" s="8"/>
      <c r="E523" s="8"/>
      <c r="F523" s="116"/>
      <c r="G523" s="116"/>
      <c r="H523" s="184"/>
      <c r="I523" s="190"/>
      <c r="J523" s="192"/>
      <c r="K523" s="116"/>
      <c r="L523" s="119">
        <f t="shared" si="1"/>
        <v>1</v>
      </c>
    </row>
    <row r="524" spans="1:12">
      <c r="A524" s="8"/>
      <c r="B524" s="18"/>
      <c r="C524" s="8"/>
      <c r="D524" s="8"/>
      <c r="E524" s="8"/>
      <c r="F524" s="116"/>
      <c r="G524" s="116"/>
      <c r="H524" s="184"/>
      <c r="I524" s="190"/>
      <c r="J524" s="192"/>
      <c r="K524" s="116"/>
      <c r="L524" s="119">
        <f t="shared" si="1"/>
        <v>1</v>
      </c>
    </row>
    <row r="525" spans="1:12">
      <c r="A525" s="8"/>
      <c r="B525" s="18"/>
      <c r="C525" s="8"/>
      <c r="D525" s="8"/>
      <c r="E525" s="8"/>
      <c r="F525" s="116"/>
      <c r="G525" s="116"/>
      <c r="H525" s="184"/>
      <c r="I525" s="190"/>
      <c r="J525" s="192"/>
      <c r="K525" s="116"/>
      <c r="L525" s="119">
        <f t="shared" si="1"/>
        <v>1</v>
      </c>
    </row>
    <row r="526" spans="1:12">
      <c r="A526" s="8"/>
      <c r="B526" s="18"/>
      <c r="C526" s="8"/>
      <c r="D526" s="8"/>
      <c r="E526" s="8"/>
      <c r="F526" s="116"/>
      <c r="G526" s="116"/>
      <c r="H526" s="184"/>
      <c r="I526" s="190"/>
      <c r="J526" s="192"/>
      <c r="K526" s="116"/>
      <c r="L526" s="119">
        <f t="shared" si="1"/>
        <v>1</v>
      </c>
    </row>
    <row r="527" spans="1:12">
      <c r="A527" s="8"/>
      <c r="B527" s="18"/>
      <c r="C527" s="8"/>
      <c r="D527" s="8"/>
      <c r="E527" s="8"/>
      <c r="F527" s="116"/>
      <c r="G527" s="116"/>
      <c r="H527" s="184"/>
      <c r="I527" s="190"/>
      <c r="J527" s="192"/>
      <c r="K527" s="116"/>
      <c r="L527" s="119">
        <f t="shared" si="1"/>
        <v>1</v>
      </c>
    </row>
    <row r="528" spans="1:12">
      <c r="A528" s="8"/>
      <c r="B528" s="18"/>
      <c r="C528" s="8"/>
      <c r="D528" s="8"/>
      <c r="E528" s="8"/>
      <c r="F528" s="116"/>
      <c r="G528" s="116"/>
      <c r="H528" s="184"/>
      <c r="I528" s="190"/>
      <c r="J528" s="192"/>
      <c r="K528" s="116"/>
      <c r="L528" s="119">
        <f t="shared" si="1"/>
        <v>1</v>
      </c>
    </row>
    <row r="529" spans="1:12">
      <c r="A529" s="8"/>
      <c r="B529" s="18"/>
      <c r="C529" s="8"/>
      <c r="D529" s="8"/>
      <c r="E529" s="8"/>
      <c r="F529" s="116"/>
      <c r="G529" s="116"/>
      <c r="H529" s="184"/>
      <c r="I529" s="190"/>
      <c r="J529" s="192"/>
      <c r="K529" s="116"/>
      <c r="L529" s="119">
        <f t="shared" si="1"/>
        <v>1</v>
      </c>
    </row>
    <row r="530" spans="1:12">
      <c r="A530" s="8"/>
      <c r="B530" s="18"/>
      <c r="C530" s="8"/>
      <c r="D530" s="8"/>
      <c r="E530" s="8"/>
      <c r="F530" s="116"/>
      <c r="G530" s="116"/>
      <c r="H530" s="184"/>
      <c r="I530" s="190"/>
      <c r="J530" s="192"/>
      <c r="K530" s="116"/>
      <c r="L530" s="119">
        <f t="shared" si="1"/>
        <v>1</v>
      </c>
    </row>
    <row r="531" spans="1:12">
      <c r="A531" s="8"/>
      <c r="B531" s="18"/>
      <c r="C531" s="8"/>
      <c r="D531" s="8"/>
      <c r="E531" s="8"/>
      <c r="F531" s="116"/>
      <c r="G531" s="116"/>
      <c r="H531" s="184"/>
      <c r="I531" s="190"/>
      <c r="J531" s="192"/>
      <c r="K531" s="116"/>
      <c r="L531" s="119">
        <f t="shared" si="1"/>
        <v>1</v>
      </c>
    </row>
    <row r="532" spans="1:12">
      <c r="A532" s="8"/>
      <c r="B532" s="18"/>
      <c r="C532" s="8"/>
      <c r="D532" s="8"/>
      <c r="E532" s="8"/>
      <c r="F532" s="116"/>
      <c r="G532" s="116"/>
      <c r="H532" s="184"/>
      <c r="I532" s="190"/>
      <c r="J532" s="192"/>
      <c r="K532" s="116"/>
      <c r="L532" s="119">
        <f t="shared" si="1"/>
        <v>1</v>
      </c>
    </row>
    <row r="533" spans="1:12">
      <c r="A533" s="8"/>
      <c r="B533" s="18"/>
      <c r="C533" s="8"/>
      <c r="D533" s="8"/>
      <c r="E533" s="8"/>
      <c r="F533" s="116"/>
      <c r="G533" s="116"/>
      <c r="H533" s="184"/>
      <c r="I533" s="190"/>
      <c r="J533" s="192"/>
      <c r="K533" s="116"/>
      <c r="L533" s="119">
        <f t="shared" si="1"/>
        <v>1</v>
      </c>
    </row>
    <row r="534" spans="1:12">
      <c r="A534" s="8"/>
      <c r="B534" s="18"/>
      <c r="C534" s="8"/>
      <c r="D534" s="8"/>
      <c r="E534" s="8"/>
      <c r="F534" s="116"/>
      <c r="G534" s="116"/>
      <c r="H534" s="184"/>
      <c r="I534" s="190"/>
      <c r="J534" s="192"/>
      <c r="K534" s="116"/>
      <c r="L534" s="119">
        <f t="shared" si="1"/>
        <v>1</v>
      </c>
    </row>
    <row r="535" spans="1:12">
      <c r="A535" s="8"/>
      <c r="B535" s="18"/>
      <c r="C535" s="8"/>
      <c r="D535" s="8"/>
      <c r="E535" s="8"/>
      <c r="F535" s="116"/>
      <c r="G535" s="116"/>
      <c r="H535" s="184"/>
      <c r="I535" s="190"/>
      <c r="J535" s="192"/>
      <c r="K535" s="116"/>
      <c r="L535" s="119">
        <f t="shared" si="1"/>
        <v>1</v>
      </c>
    </row>
    <row r="536" spans="1:12">
      <c r="A536" s="8"/>
      <c r="B536" s="18"/>
      <c r="C536" s="8"/>
      <c r="D536" s="8"/>
      <c r="E536" s="8"/>
      <c r="F536" s="116"/>
      <c r="G536" s="116"/>
      <c r="H536" s="184"/>
      <c r="I536" s="190"/>
      <c r="J536" s="192"/>
      <c r="K536" s="116"/>
      <c r="L536" s="119">
        <f t="shared" si="1"/>
        <v>1</v>
      </c>
    </row>
    <row r="537" spans="1:12">
      <c r="A537" s="8"/>
      <c r="B537" s="18"/>
      <c r="C537" s="8"/>
      <c r="D537" s="8"/>
      <c r="E537" s="8"/>
      <c r="F537" s="116"/>
      <c r="G537" s="116"/>
      <c r="H537" s="184"/>
      <c r="I537" s="190"/>
      <c r="J537" s="192"/>
      <c r="K537" s="116"/>
      <c r="L537" s="119">
        <f t="shared" si="1"/>
        <v>1</v>
      </c>
    </row>
    <row r="538" spans="1:12">
      <c r="A538" s="8"/>
      <c r="B538" s="18"/>
      <c r="C538" s="8"/>
      <c r="D538" s="8"/>
      <c r="E538" s="8"/>
      <c r="F538" s="116"/>
      <c r="G538" s="116"/>
      <c r="H538" s="184"/>
      <c r="I538" s="190"/>
      <c r="J538" s="192"/>
      <c r="K538" s="116"/>
      <c r="L538" s="119">
        <f t="shared" si="1"/>
        <v>1</v>
      </c>
    </row>
    <row r="539" spans="1:12">
      <c r="A539" s="8"/>
      <c r="B539" s="18"/>
      <c r="C539" s="8"/>
      <c r="D539" s="8"/>
      <c r="E539" s="8"/>
      <c r="F539" s="116"/>
      <c r="G539" s="116"/>
      <c r="H539" s="184"/>
      <c r="I539" s="190"/>
      <c r="J539" s="192"/>
      <c r="K539" s="116"/>
      <c r="L539" s="119">
        <f t="shared" si="1"/>
        <v>1</v>
      </c>
    </row>
    <row r="540" spans="1:12">
      <c r="A540" s="8"/>
      <c r="B540" s="18"/>
      <c r="C540" s="8"/>
      <c r="D540" s="8"/>
      <c r="E540" s="8"/>
      <c r="F540" s="116"/>
      <c r="G540" s="116"/>
      <c r="H540" s="184"/>
      <c r="I540" s="190"/>
      <c r="J540" s="192"/>
      <c r="K540" s="116"/>
      <c r="L540" s="119">
        <f t="shared" si="1"/>
        <v>1</v>
      </c>
    </row>
    <row r="541" spans="1:12">
      <c r="A541" s="8"/>
      <c r="B541" s="18"/>
      <c r="C541" s="8"/>
      <c r="D541" s="8"/>
      <c r="E541" s="8"/>
      <c r="F541" s="116"/>
      <c r="G541" s="116"/>
      <c r="H541" s="184"/>
      <c r="I541" s="190"/>
      <c r="J541" s="192"/>
      <c r="K541" s="116"/>
      <c r="L541" s="119">
        <f t="shared" si="1"/>
        <v>1</v>
      </c>
    </row>
    <row r="542" spans="1:12">
      <c r="A542" s="8"/>
      <c r="B542" s="18"/>
      <c r="C542" s="8"/>
      <c r="D542" s="8"/>
      <c r="E542" s="8"/>
      <c r="F542" s="116"/>
      <c r="G542" s="116"/>
      <c r="H542" s="184"/>
      <c r="I542" s="190"/>
      <c r="J542" s="192"/>
      <c r="K542" s="116"/>
      <c r="L542" s="119">
        <f t="shared" si="1"/>
        <v>1</v>
      </c>
    </row>
    <row r="543" spans="1:12">
      <c r="A543" s="8"/>
      <c r="B543" s="18"/>
      <c r="C543" s="8"/>
      <c r="D543" s="8"/>
      <c r="E543" s="8"/>
      <c r="F543" s="116"/>
      <c r="G543" s="116"/>
      <c r="H543" s="184"/>
      <c r="I543" s="190"/>
      <c r="J543" s="192"/>
      <c r="K543" s="116"/>
      <c r="L543" s="119">
        <f t="shared" si="1"/>
        <v>1</v>
      </c>
    </row>
    <row r="544" spans="1:12">
      <c r="A544" s="8"/>
      <c r="B544" s="18"/>
      <c r="C544" s="8"/>
      <c r="D544" s="8"/>
      <c r="E544" s="8"/>
      <c r="F544" s="116"/>
      <c r="G544" s="116"/>
      <c r="H544" s="184"/>
      <c r="I544" s="190"/>
      <c r="J544" s="192"/>
      <c r="K544" s="116"/>
      <c r="L544" s="119">
        <f t="shared" si="1"/>
        <v>1</v>
      </c>
    </row>
    <row r="545" spans="1:12">
      <c r="A545" s="8"/>
      <c r="B545" s="18"/>
      <c r="C545" s="8"/>
      <c r="D545" s="8"/>
      <c r="E545" s="8"/>
      <c r="F545" s="116"/>
      <c r="G545" s="116"/>
      <c r="H545" s="184"/>
      <c r="I545" s="190"/>
      <c r="J545" s="192"/>
      <c r="K545" s="116"/>
      <c r="L545" s="119">
        <f t="shared" si="1"/>
        <v>1</v>
      </c>
    </row>
    <row r="546" spans="1:12">
      <c r="A546" s="8"/>
      <c r="B546" s="18"/>
      <c r="C546" s="8"/>
      <c r="D546" s="8"/>
      <c r="E546" s="8"/>
      <c r="F546" s="116"/>
      <c r="G546" s="116"/>
      <c r="H546" s="184"/>
      <c r="I546" s="190"/>
      <c r="J546" s="192"/>
      <c r="K546" s="116"/>
      <c r="L546" s="119">
        <f t="shared" si="1"/>
        <v>1</v>
      </c>
    </row>
    <row r="547" spans="1:12">
      <c r="A547" s="8"/>
      <c r="B547" s="18"/>
      <c r="C547" s="8"/>
      <c r="D547" s="8"/>
      <c r="E547" s="8"/>
      <c r="F547" s="116"/>
      <c r="G547" s="116"/>
      <c r="H547" s="184"/>
      <c r="I547" s="190"/>
      <c r="J547" s="192"/>
      <c r="K547" s="116"/>
      <c r="L547" s="119">
        <f t="shared" si="1"/>
        <v>1</v>
      </c>
    </row>
    <row r="548" spans="1:12">
      <c r="A548" s="8"/>
      <c r="B548" s="18"/>
      <c r="C548" s="8"/>
      <c r="D548" s="8"/>
      <c r="E548" s="8"/>
      <c r="F548" s="116"/>
      <c r="G548" s="116"/>
      <c r="H548" s="116"/>
      <c r="I548" s="190"/>
      <c r="J548" s="192"/>
      <c r="K548" s="116"/>
      <c r="L548" s="119">
        <f t="shared" si="1"/>
        <v>1</v>
      </c>
    </row>
    <row r="549" spans="1:12">
      <c r="A549" s="8"/>
      <c r="B549" s="18"/>
      <c r="C549" s="8"/>
      <c r="D549" s="8"/>
      <c r="E549" s="8"/>
      <c r="F549" s="116"/>
      <c r="G549" s="116"/>
      <c r="H549" s="184"/>
      <c r="I549" s="190"/>
      <c r="J549" s="192"/>
      <c r="K549" s="116"/>
      <c r="L549" s="119">
        <f t="shared" si="1"/>
        <v>1</v>
      </c>
    </row>
    <row r="550" spans="1:12">
      <c r="A550" s="8"/>
      <c r="B550" s="18"/>
      <c r="C550" s="8"/>
      <c r="D550" s="8"/>
      <c r="E550" s="8"/>
      <c r="F550" s="116"/>
      <c r="G550" s="116"/>
      <c r="H550" s="184"/>
      <c r="I550" s="190"/>
      <c r="J550" s="192"/>
      <c r="K550" s="116"/>
      <c r="L550" s="119">
        <f t="shared" si="1"/>
        <v>1</v>
      </c>
    </row>
    <row r="551" spans="1:12">
      <c r="A551" s="8"/>
      <c r="B551" s="18"/>
      <c r="C551" s="8"/>
      <c r="D551" s="8"/>
      <c r="E551" s="8"/>
      <c r="F551" s="116"/>
      <c r="G551" s="116"/>
      <c r="H551" s="184"/>
      <c r="I551" s="190"/>
      <c r="J551" s="192"/>
      <c r="K551" s="116"/>
      <c r="L551" s="119">
        <f t="shared" si="1"/>
        <v>1</v>
      </c>
    </row>
    <row r="552" spans="1:12">
      <c r="A552" s="8"/>
      <c r="B552" s="18"/>
      <c r="C552" s="8"/>
      <c r="D552" s="8"/>
      <c r="E552" s="8"/>
      <c r="F552" s="116"/>
      <c r="G552" s="116"/>
      <c r="H552" s="184"/>
      <c r="I552" s="190"/>
      <c r="J552" s="192"/>
      <c r="K552" s="116"/>
      <c r="L552" s="119">
        <f t="shared" si="1"/>
        <v>1</v>
      </c>
    </row>
    <row r="553" spans="1:12">
      <c r="A553" s="8"/>
      <c r="B553" s="18"/>
      <c r="C553" s="8"/>
      <c r="D553" s="8"/>
      <c r="E553" s="8"/>
      <c r="F553" s="116"/>
      <c r="G553" s="116"/>
      <c r="H553" s="184"/>
      <c r="I553" s="190"/>
      <c r="J553" s="192"/>
      <c r="K553" s="116"/>
      <c r="L553" s="119">
        <f t="shared" si="1"/>
        <v>1</v>
      </c>
    </row>
    <row r="554" spans="1:12">
      <c r="A554" s="8"/>
      <c r="B554" s="18"/>
      <c r="C554" s="8"/>
      <c r="D554" s="8"/>
      <c r="E554" s="8"/>
      <c r="F554" s="116"/>
      <c r="G554" s="116"/>
      <c r="H554" s="184"/>
      <c r="I554" s="190"/>
      <c r="J554" s="192"/>
      <c r="K554" s="116"/>
      <c r="L554" s="119">
        <f t="shared" si="1"/>
        <v>1</v>
      </c>
    </row>
    <row r="555" spans="1:12">
      <c r="A555" s="8"/>
      <c r="B555" s="18"/>
      <c r="C555" s="8"/>
      <c r="D555" s="8"/>
      <c r="E555" s="8"/>
      <c r="F555" s="116"/>
      <c r="G555" s="116"/>
      <c r="H555" s="184"/>
      <c r="I555" s="190"/>
      <c r="J555" s="192"/>
      <c r="K555" s="116"/>
      <c r="L555" s="119">
        <f t="shared" si="1"/>
        <v>1</v>
      </c>
    </row>
    <row r="556" spans="1:12">
      <c r="A556" s="8"/>
      <c r="B556" s="18"/>
      <c r="C556" s="8"/>
      <c r="D556" s="8"/>
      <c r="E556" s="8"/>
      <c r="F556" s="116"/>
      <c r="G556" s="116"/>
      <c r="H556" s="184"/>
      <c r="I556" s="190"/>
      <c r="J556" s="192"/>
      <c r="K556" s="116"/>
      <c r="L556" s="119">
        <f t="shared" si="1"/>
        <v>1</v>
      </c>
    </row>
    <row r="557" spans="1:12">
      <c r="A557" s="8"/>
      <c r="B557" s="17"/>
      <c r="C557" s="8"/>
      <c r="D557" s="8"/>
      <c r="E557" s="8"/>
      <c r="F557" s="116"/>
      <c r="G557" s="116"/>
      <c r="H557" s="116"/>
      <c r="I557" s="190"/>
      <c r="J557" s="192"/>
      <c r="K557" s="116"/>
      <c r="L557" s="119">
        <f t="shared" si="1"/>
        <v>1</v>
      </c>
    </row>
    <row r="558" spans="1:12">
      <c r="A558" s="8"/>
      <c r="B558" s="18"/>
      <c r="C558" s="8"/>
      <c r="D558" s="8"/>
      <c r="E558" s="8"/>
      <c r="F558" s="116"/>
      <c r="G558" s="116"/>
      <c r="H558" s="184"/>
      <c r="I558" s="190"/>
      <c r="J558" s="192"/>
      <c r="K558" s="116"/>
      <c r="L558" s="119">
        <f t="shared" si="1"/>
        <v>1</v>
      </c>
    </row>
    <row r="559" spans="1:12">
      <c r="A559" s="8"/>
      <c r="B559" s="18"/>
      <c r="C559" s="8"/>
      <c r="D559" s="8"/>
      <c r="E559" s="8"/>
      <c r="F559" s="116"/>
      <c r="G559" s="116"/>
      <c r="H559" s="184"/>
      <c r="I559" s="190"/>
      <c r="J559" s="192"/>
      <c r="K559" s="116"/>
      <c r="L559" s="119">
        <f t="shared" si="1"/>
        <v>1</v>
      </c>
    </row>
    <row r="560" spans="1:12">
      <c r="A560" s="8"/>
      <c r="B560" s="18"/>
      <c r="C560" s="8"/>
      <c r="D560" s="8"/>
      <c r="E560" s="8"/>
      <c r="F560" s="116"/>
      <c r="G560" s="116"/>
      <c r="H560" s="184"/>
      <c r="I560" s="190"/>
      <c r="J560" s="192"/>
      <c r="K560" s="116"/>
      <c r="L560" s="119">
        <f t="shared" si="1"/>
        <v>1</v>
      </c>
    </row>
    <row r="561" spans="1:12">
      <c r="A561" s="8"/>
      <c r="B561" s="18"/>
      <c r="C561" s="8"/>
      <c r="D561" s="8"/>
      <c r="E561" s="8"/>
      <c r="F561" s="116"/>
      <c r="G561" s="116"/>
      <c r="H561" s="184"/>
      <c r="I561" s="190"/>
      <c r="J561" s="192"/>
      <c r="K561" s="116"/>
      <c r="L561" s="119">
        <f t="shared" si="1"/>
        <v>1</v>
      </c>
    </row>
    <row r="562" spans="1:12">
      <c r="A562" s="8"/>
      <c r="B562" s="18"/>
      <c r="C562" s="8"/>
      <c r="D562" s="8"/>
      <c r="E562" s="8"/>
      <c r="F562" s="116"/>
      <c r="G562" s="116"/>
      <c r="H562" s="184"/>
      <c r="I562" s="190"/>
      <c r="J562" s="192"/>
      <c r="K562" s="116"/>
      <c r="L562" s="119">
        <f t="shared" si="1"/>
        <v>1</v>
      </c>
    </row>
    <row r="563" spans="1:12">
      <c r="A563" s="8"/>
      <c r="B563" s="18"/>
      <c r="C563" s="8"/>
      <c r="D563" s="8"/>
      <c r="E563" s="8"/>
      <c r="F563" s="116"/>
      <c r="G563" s="116"/>
      <c r="H563" s="184"/>
      <c r="I563" s="190"/>
      <c r="J563" s="192"/>
      <c r="K563" s="116"/>
      <c r="L563" s="119">
        <f t="shared" si="1"/>
        <v>1</v>
      </c>
    </row>
    <row r="564" spans="1:12">
      <c r="A564" s="8"/>
      <c r="B564" s="18"/>
      <c r="C564" s="8"/>
      <c r="D564" s="8"/>
      <c r="E564" s="8"/>
      <c r="F564" s="116"/>
      <c r="G564" s="116"/>
      <c r="H564" s="184"/>
      <c r="I564" s="190"/>
      <c r="J564" s="192"/>
      <c r="K564" s="116"/>
      <c r="L564" s="119">
        <f t="shared" si="1"/>
        <v>1</v>
      </c>
    </row>
    <row r="565" spans="1:12">
      <c r="A565" s="8"/>
      <c r="B565" s="18"/>
      <c r="C565" s="8"/>
      <c r="D565" s="8"/>
      <c r="E565" s="8"/>
      <c r="F565" s="116"/>
      <c r="G565" s="116"/>
      <c r="H565" s="184"/>
      <c r="I565" s="190"/>
      <c r="J565" s="192"/>
      <c r="K565" s="116"/>
      <c r="L565" s="119">
        <f t="shared" si="1"/>
        <v>1</v>
      </c>
    </row>
    <row r="566" spans="1:12">
      <c r="A566" s="8"/>
      <c r="B566" s="18"/>
      <c r="C566" s="8"/>
      <c r="D566" s="8"/>
      <c r="E566" s="8"/>
      <c r="F566" s="116"/>
      <c r="G566" s="116"/>
      <c r="H566" s="184"/>
      <c r="I566" s="190"/>
      <c r="J566" s="192"/>
      <c r="K566" s="116"/>
      <c r="L566" s="119">
        <f t="shared" si="1"/>
        <v>1</v>
      </c>
    </row>
    <row r="567" spans="1:12">
      <c r="A567" s="8"/>
      <c r="B567" s="18"/>
      <c r="C567" s="8"/>
      <c r="D567" s="8"/>
      <c r="E567" s="8"/>
      <c r="F567" s="116"/>
      <c r="G567" s="116"/>
      <c r="H567" s="184"/>
      <c r="I567" s="190"/>
      <c r="J567" s="192"/>
      <c r="K567" s="116"/>
      <c r="L567" s="119">
        <f t="shared" si="1"/>
        <v>1</v>
      </c>
    </row>
    <row r="568" spans="1:12">
      <c r="A568" s="8"/>
      <c r="B568" s="18"/>
      <c r="C568" s="8"/>
      <c r="D568" s="8"/>
      <c r="E568" s="8"/>
      <c r="F568" s="116"/>
      <c r="G568" s="116"/>
      <c r="H568" s="184"/>
      <c r="I568" s="190"/>
      <c r="J568" s="192"/>
      <c r="K568" s="116"/>
      <c r="L568" s="119">
        <f t="shared" si="1"/>
        <v>1</v>
      </c>
    </row>
    <row r="569" spans="1:12">
      <c r="A569" s="8"/>
      <c r="B569" s="18"/>
      <c r="C569" s="8"/>
      <c r="D569" s="8"/>
      <c r="E569" s="8"/>
      <c r="F569" s="116"/>
      <c r="G569" s="116"/>
      <c r="H569" s="184"/>
      <c r="I569" s="190"/>
      <c r="J569" s="192"/>
      <c r="K569" s="116"/>
      <c r="L569" s="119">
        <f t="shared" si="1"/>
        <v>1</v>
      </c>
    </row>
    <row r="570" spans="1:12">
      <c r="A570" s="8"/>
      <c r="B570" s="18"/>
      <c r="C570" s="8"/>
      <c r="D570" s="8"/>
      <c r="E570" s="8"/>
      <c r="F570" s="116"/>
      <c r="G570" s="116"/>
      <c r="H570" s="184"/>
      <c r="I570" s="190"/>
      <c r="J570" s="192"/>
      <c r="K570" s="116"/>
      <c r="L570" s="119">
        <f t="shared" si="1"/>
        <v>1</v>
      </c>
    </row>
    <row r="571" spans="1:12">
      <c r="A571" s="8"/>
      <c r="B571" s="18"/>
      <c r="C571" s="8"/>
      <c r="D571" s="8"/>
      <c r="E571" s="8"/>
      <c r="F571" s="116"/>
      <c r="G571" s="116"/>
      <c r="H571" s="184"/>
      <c r="I571" s="190"/>
      <c r="J571" s="192"/>
      <c r="K571" s="116"/>
      <c r="L571" s="119">
        <f t="shared" ref="L571:L607" si="2">MONTH(B571)</f>
        <v>1</v>
      </c>
    </row>
    <row r="572" spans="1:12">
      <c r="A572" s="8"/>
      <c r="B572" s="18"/>
      <c r="C572" s="8"/>
      <c r="D572" s="8"/>
      <c r="E572" s="8"/>
      <c r="F572" s="116"/>
      <c r="G572" s="116"/>
      <c r="H572" s="184"/>
      <c r="I572" s="190"/>
      <c r="J572" s="192"/>
      <c r="K572" s="116"/>
      <c r="L572" s="119">
        <f t="shared" si="2"/>
        <v>1</v>
      </c>
    </row>
    <row r="573" spans="1:12">
      <c r="A573" s="8"/>
      <c r="B573" s="18"/>
      <c r="C573" s="8"/>
      <c r="D573" s="8"/>
      <c r="E573" s="8"/>
      <c r="F573" s="116"/>
      <c r="G573" s="116"/>
      <c r="H573" s="184"/>
      <c r="I573" s="190"/>
      <c r="J573" s="192"/>
      <c r="K573" s="116"/>
      <c r="L573" s="119">
        <f t="shared" si="2"/>
        <v>1</v>
      </c>
    </row>
    <row r="574" spans="1:12">
      <c r="A574" s="8"/>
      <c r="B574" s="18"/>
      <c r="C574" s="8"/>
      <c r="D574" s="8"/>
      <c r="E574" s="8"/>
      <c r="F574" s="116"/>
      <c r="G574" s="116"/>
      <c r="H574" s="184"/>
      <c r="I574" s="190"/>
      <c r="J574" s="192"/>
      <c r="K574" s="116"/>
      <c r="L574" s="119">
        <f t="shared" si="2"/>
        <v>1</v>
      </c>
    </row>
    <row r="575" spans="1:12">
      <c r="A575" s="8"/>
      <c r="B575" s="18"/>
      <c r="C575" s="8"/>
      <c r="D575" s="8"/>
      <c r="E575" s="8"/>
      <c r="F575" s="116"/>
      <c r="G575" s="116"/>
      <c r="H575" s="184"/>
      <c r="I575" s="190"/>
      <c r="J575" s="192"/>
      <c r="K575" s="116"/>
      <c r="L575" s="119">
        <f t="shared" si="2"/>
        <v>1</v>
      </c>
    </row>
    <row r="576" spans="1:12">
      <c r="A576" s="8"/>
      <c r="B576" s="18"/>
      <c r="C576" s="8"/>
      <c r="D576" s="8"/>
      <c r="E576" s="8"/>
      <c r="F576" s="116"/>
      <c r="G576" s="116"/>
      <c r="H576" s="184"/>
      <c r="I576" s="190"/>
      <c r="J576" s="192"/>
      <c r="K576" s="116"/>
      <c r="L576" s="119">
        <f t="shared" si="2"/>
        <v>1</v>
      </c>
    </row>
    <row r="577" spans="1:12">
      <c r="A577" s="8"/>
      <c r="B577" s="18"/>
      <c r="C577" s="8"/>
      <c r="D577" s="8"/>
      <c r="E577" s="8"/>
      <c r="F577" s="116"/>
      <c r="G577" s="116"/>
      <c r="H577" s="184"/>
      <c r="I577" s="190"/>
      <c r="J577" s="192"/>
      <c r="K577" s="116"/>
      <c r="L577" s="119">
        <f t="shared" si="2"/>
        <v>1</v>
      </c>
    </row>
    <row r="578" spans="1:12">
      <c r="A578" s="8"/>
      <c r="B578" s="18"/>
      <c r="C578" s="8"/>
      <c r="D578" s="8"/>
      <c r="E578" s="8"/>
      <c r="F578" s="116"/>
      <c r="G578" s="116"/>
      <c r="H578" s="184"/>
      <c r="I578" s="190"/>
      <c r="J578" s="192"/>
      <c r="K578" s="116"/>
      <c r="L578" s="119">
        <f t="shared" si="2"/>
        <v>1</v>
      </c>
    </row>
    <row r="579" spans="1:12">
      <c r="A579" s="8"/>
      <c r="B579" s="18"/>
      <c r="C579" s="8"/>
      <c r="D579" s="8"/>
      <c r="E579" s="8"/>
      <c r="F579" s="116"/>
      <c r="G579" s="116"/>
      <c r="H579" s="184"/>
      <c r="I579" s="190"/>
      <c r="J579" s="192"/>
      <c r="K579" s="116"/>
      <c r="L579" s="119">
        <f t="shared" si="2"/>
        <v>1</v>
      </c>
    </row>
    <row r="580" spans="1:12">
      <c r="A580" s="8"/>
      <c r="B580" s="18"/>
      <c r="C580" s="8"/>
      <c r="D580" s="8"/>
      <c r="E580" s="8"/>
      <c r="F580" s="116"/>
      <c r="G580" s="116"/>
      <c r="H580" s="184"/>
      <c r="I580" s="190"/>
      <c r="J580" s="192"/>
      <c r="K580" s="116"/>
      <c r="L580" s="119">
        <f t="shared" si="2"/>
        <v>1</v>
      </c>
    </row>
    <row r="581" spans="1:12">
      <c r="A581" s="8"/>
      <c r="B581" s="18"/>
      <c r="C581" s="8"/>
      <c r="D581" s="8"/>
      <c r="E581" s="8"/>
      <c r="F581" s="116"/>
      <c r="G581" s="116"/>
      <c r="H581" s="184"/>
      <c r="I581" s="190"/>
      <c r="J581" s="192"/>
      <c r="K581" s="116"/>
      <c r="L581" s="119">
        <f t="shared" si="2"/>
        <v>1</v>
      </c>
    </row>
    <row r="582" spans="1:12">
      <c r="A582" s="8"/>
      <c r="B582" s="18"/>
      <c r="C582" s="8"/>
      <c r="D582" s="8"/>
      <c r="E582" s="8"/>
      <c r="F582" s="116"/>
      <c r="G582" s="116"/>
      <c r="H582" s="184"/>
      <c r="I582" s="190"/>
      <c r="J582" s="192"/>
      <c r="K582" s="116"/>
      <c r="L582" s="119">
        <f t="shared" si="2"/>
        <v>1</v>
      </c>
    </row>
    <row r="583" spans="1:12">
      <c r="A583" s="8"/>
      <c r="B583" s="18"/>
      <c r="C583" s="8"/>
      <c r="D583" s="8"/>
      <c r="E583" s="8"/>
      <c r="F583" s="116"/>
      <c r="G583" s="116"/>
      <c r="H583" s="184"/>
      <c r="I583" s="190"/>
      <c r="J583" s="192"/>
      <c r="K583" s="116"/>
      <c r="L583" s="119">
        <f t="shared" si="2"/>
        <v>1</v>
      </c>
    </row>
    <row r="584" spans="1:12">
      <c r="A584" s="8"/>
      <c r="B584" s="18"/>
      <c r="C584" s="8"/>
      <c r="D584" s="8"/>
      <c r="E584" s="8"/>
      <c r="F584" s="116"/>
      <c r="G584" s="116"/>
      <c r="H584" s="184"/>
      <c r="I584" s="190"/>
      <c r="J584" s="192"/>
      <c r="K584" s="116"/>
      <c r="L584" s="119">
        <f t="shared" si="2"/>
        <v>1</v>
      </c>
    </row>
    <row r="585" spans="1:12">
      <c r="A585" s="8"/>
      <c r="B585" s="18"/>
      <c r="C585" s="8"/>
      <c r="D585" s="8"/>
      <c r="E585" s="8"/>
      <c r="F585" s="116"/>
      <c r="G585" s="116"/>
      <c r="H585" s="184"/>
      <c r="I585" s="190"/>
      <c r="J585" s="192"/>
      <c r="K585" s="116"/>
      <c r="L585" s="119">
        <f t="shared" si="2"/>
        <v>1</v>
      </c>
    </row>
    <row r="586" spans="1:12">
      <c r="A586" s="8"/>
      <c r="B586" s="18"/>
      <c r="C586" s="8"/>
      <c r="D586" s="8"/>
      <c r="E586" s="8"/>
      <c r="F586" s="116"/>
      <c r="G586" s="116"/>
      <c r="H586" s="184"/>
      <c r="I586" s="190"/>
      <c r="J586" s="192"/>
      <c r="K586" s="116"/>
      <c r="L586" s="119">
        <f t="shared" si="2"/>
        <v>1</v>
      </c>
    </row>
    <row r="587" spans="1:12">
      <c r="A587" s="8"/>
      <c r="B587" s="18"/>
      <c r="C587" s="8"/>
      <c r="D587" s="8"/>
      <c r="E587" s="8"/>
      <c r="F587" s="116"/>
      <c r="G587" s="116"/>
      <c r="H587" s="184"/>
      <c r="I587" s="190"/>
      <c r="J587" s="192"/>
      <c r="K587" s="116"/>
      <c r="L587" s="119">
        <f t="shared" si="2"/>
        <v>1</v>
      </c>
    </row>
    <row r="588" spans="1:12">
      <c r="A588" s="8"/>
      <c r="B588" s="18"/>
      <c r="C588" s="8"/>
      <c r="D588" s="8"/>
      <c r="E588" s="8"/>
      <c r="F588" s="116"/>
      <c r="G588" s="116"/>
      <c r="H588" s="184"/>
      <c r="I588" s="190"/>
      <c r="J588" s="192"/>
      <c r="K588" s="116"/>
      <c r="L588" s="119">
        <f t="shared" si="2"/>
        <v>1</v>
      </c>
    </row>
    <row r="589" spans="1:12">
      <c r="A589" s="8"/>
      <c r="B589" s="17"/>
      <c r="C589" s="8"/>
      <c r="D589" s="8"/>
      <c r="E589" s="8"/>
      <c r="F589" s="116"/>
      <c r="G589" s="116"/>
      <c r="H589" s="184"/>
      <c r="I589" s="190"/>
      <c r="J589" s="192"/>
      <c r="K589" s="116"/>
      <c r="L589" s="119">
        <f t="shared" si="2"/>
        <v>1</v>
      </c>
    </row>
    <row r="590" spans="1:12">
      <c r="A590" s="8"/>
      <c r="B590" s="17"/>
      <c r="C590" s="8"/>
      <c r="D590" s="8"/>
      <c r="E590" s="8"/>
      <c r="F590" s="116"/>
      <c r="G590" s="116"/>
      <c r="H590" s="184"/>
      <c r="I590" s="190"/>
      <c r="J590" s="192"/>
      <c r="K590" s="116"/>
      <c r="L590" s="119">
        <f t="shared" si="2"/>
        <v>1</v>
      </c>
    </row>
    <row r="591" spans="1:12">
      <c r="A591" s="8"/>
      <c r="B591" s="17"/>
      <c r="C591" s="8"/>
      <c r="D591" s="8"/>
      <c r="E591" s="8"/>
      <c r="F591" s="116"/>
      <c r="G591" s="116"/>
      <c r="H591" s="184"/>
      <c r="I591" s="190"/>
      <c r="J591" s="192"/>
      <c r="K591" s="116"/>
      <c r="L591" s="119">
        <f t="shared" si="2"/>
        <v>1</v>
      </c>
    </row>
    <row r="592" spans="1:12">
      <c r="A592" s="8"/>
      <c r="B592" s="17"/>
      <c r="C592" s="8"/>
      <c r="D592" s="8"/>
      <c r="E592" s="8"/>
      <c r="F592" s="116"/>
      <c r="G592" s="116"/>
      <c r="H592" s="184"/>
      <c r="I592" s="190"/>
      <c r="J592" s="192"/>
      <c r="K592" s="116"/>
      <c r="L592" s="119">
        <f t="shared" si="2"/>
        <v>1</v>
      </c>
    </row>
    <row r="593" spans="1:12">
      <c r="A593" s="8"/>
      <c r="B593" s="17"/>
      <c r="C593" s="8"/>
      <c r="D593" s="8"/>
      <c r="E593" s="8"/>
      <c r="F593" s="116"/>
      <c r="G593" s="116"/>
      <c r="H593" s="184"/>
      <c r="I593" s="190"/>
      <c r="J593" s="192"/>
      <c r="K593" s="116"/>
      <c r="L593" s="119">
        <f t="shared" si="2"/>
        <v>1</v>
      </c>
    </row>
    <row r="594" spans="1:12">
      <c r="A594" s="8"/>
      <c r="B594" s="17"/>
      <c r="C594" s="8"/>
      <c r="D594" s="8"/>
      <c r="E594" s="8"/>
      <c r="F594" s="116"/>
      <c r="G594" s="116"/>
      <c r="H594" s="184"/>
      <c r="I594" s="190"/>
      <c r="J594" s="192"/>
      <c r="K594" s="116"/>
      <c r="L594" s="119">
        <f t="shared" si="2"/>
        <v>1</v>
      </c>
    </row>
    <row r="595" spans="1:12">
      <c r="A595" s="8"/>
      <c r="B595" s="17"/>
      <c r="C595" s="8"/>
      <c r="D595" s="8"/>
      <c r="E595" s="8"/>
      <c r="F595" s="116"/>
      <c r="G595" s="116"/>
      <c r="H595" s="184"/>
      <c r="I595" s="190"/>
      <c r="J595" s="192"/>
      <c r="K595" s="116"/>
      <c r="L595" s="119">
        <f t="shared" si="2"/>
        <v>1</v>
      </c>
    </row>
    <row r="596" spans="1:12">
      <c r="A596" s="8"/>
      <c r="B596" s="17"/>
      <c r="C596" s="8"/>
      <c r="D596" s="8"/>
      <c r="E596" s="8"/>
      <c r="F596" s="116"/>
      <c r="G596" s="116"/>
      <c r="H596" s="184"/>
      <c r="I596" s="190"/>
      <c r="J596" s="192"/>
      <c r="K596" s="116"/>
      <c r="L596" s="119">
        <f t="shared" si="2"/>
        <v>1</v>
      </c>
    </row>
    <row r="597" spans="1:12">
      <c r="A597" s="8"/>
      <c r="B597" s="17"/>
      <c r="C597" s="8"/>
      <c r="D597" s="8"/>
      <c r="E597" s="8"/>
      <c r="F597" s="116"/>
      <c r="G597" s="116"/>
      <c r="H597" s="184"/>
      <c r="I597" s="190"/>
      <c r="J597" s="192"/>
      <c r="K597" s="116"/>
      <c r="L597" s="119">
        <f t="shared" si="2"/>
        <v>1</v>
      </c>
    </row>
    <row r="598" spans="1:12">
      <c r="A598" s="8"/>
      <c r="B598" s="18"/>
      <c r="C598" s="8"/>
      <c r="D598" s="8"/>
      <c r="E598" s="8"/>
      <c r="F598" s="116"/>
      <c r="G598" s="116"/>
      <c r="H598" s="184"/>
      <c r="I598" s="190"/>
      <c r="J598" s="192"/>
      <c r="K598" s="116"/>
      <c r="L598" s="119">
        <f t="shared" si="2"/>
        <v>1</v>
      </c>
    </row>
    <row r="599" spans="1:12">
      <c r="A599" s="8"/>
      <c r="B599" s="18"/>
      <c r="C599" s="8"/>
      <c r="D599" s="8"/>
      <c r="E599" s="8"/>
      <c r="F599" s="116"/>
      <c r="G599" s="116"/>
      <c r="H599" s="184"/>
      <c r="I599" s="190"/>
      <c r="J599" s="192"/>
      <c r="K599" s="116"/>
      <c r="L599" s="119">
        <f t="shared" si="2"/>
        <v>1</v>
      </c>
    </row>
    <row r="600" spans="1:12">
      <c r="A600" s="8"/>
      <c r="B600" s="18"/>
      <c r="C600" s="8"/>
      <c r="D600" s="8"/>
      <c r="E600" s="8"/>
      <c r="F600" s="116"/>
      <c r="G600" s="116"/>
      <c r="H600" s="184"/>
      <c r="I600" s="190"/>
      <c r="J600" s="192"/>
      <c r="K600" s="116"/>
      <c r="L600" s="119">
        <f t="shared" si="2"/>
        <v>1</v>
      </c>
    </row>
    <row r="601" spans="1:12">
      <c r="A601" s="8"/>
      <c r="B601" s="18"/>
      <c r="C601" s="8"/>
      <c r="D601" s="8"/>
      <c r="E601" s="8"/>
      <c r="F601" s="116"/>
      <c r="G601" s="116"/>
      <c r="H601" s="184"/>
      <c r="I601" s="190"/>
      <c r="J601" s="192"/>
      <c r="K601" s="116"/>
      <c r="L601" s="119">
        <f t="shared" si="2"/>
        <v>1</v>
      </c>
    </row>
    <row r="602" spans="1:12">
      <c r="A602" s="8"/>
      <c r="B602" s="18"/>
      <c r="C602" s="8"/>
      <c r="D602" s="8"/>
      <c r="E602" s="8"/>
      <c r="F602" s="116"/>
      <c r="G602" s="116"/>
      <c r="H602" s="184"/>
      <c r="I602" s="190"/>
      <c r="J602" s="192"/>
      <c r="K602" s="116"/>
      <c r="L602" s="119">
        <f t="shared" si="2"/>
        <v>1</v>
      </c>
    </row>
    <row r="603" spans="1:12">
      <c r="A603" s="8"/>
      <c r="B603" s="18"/>
      <c r="C603" s="8"/>
      <c r="D603" s="8"/>
      <c r="E603" s="8"/>
      <c r="F603" s="116"/>
      <c r="G603" s="116"/>
      <c r="H603" s="184"/>
      <c r="I603" s="190"/>
      <c r="J603" s="192"/>
      <c r="K603" s="116"/>
      <c r="L603" s="119">
        <f t="shared" si="2"/>
        <v>1</v>
      </c>
    </row>
    <row r="604" spans="1:12">
      <c r="A604" s="8"/>
      <c r="B604" s="18"/>
      <c r="C604" s="8"/>
      <c r="D604" s="8"/>
      <c r="E604" s="8"/>
      <c r="F604" s="116"/>
      <c r="G604" s="116"/>
      <c r="H604" s="184"/>
      <c r="I604" s="190"/>
      <c r="J604" s="192"/>
      <c r="K604" s="116"/>
      <c r="L604" s="119">
        <f t="shared" si="2"/>
        <v>1</v>
      </c>
    </row>
    <row r="605" spans="1:12">
      <c r="A605" s="8"/>
      <c r="B605" s="18"/>
      <c r="C605" s="8"/>
      <c r="D605" s="8"/>
      <c r="E605" s="8"/>
      <c r="F605" s="116"/>
      <c r="G605" s="116"/>
      <c r="H605" s="184"/>
      <c r="I605" s="190"/>
      <c r="J605" s="192"/>
      <c r="K605" s="116"/>
      <c r="L605" s="119">
        <f t="shared" si="2"/>
        <v>1</v>
      </c>
    </row>
    <row r="606" spans="1:12">
      <c r="A606" s="8"/>
      <c r="B606" s="18"/>
      <c r="C606" s="8"/>
      <c r="D606" s="8"/>
      <c r="E606" s="8"/>
      <c r="F606" s="116"/>
      <c r="G606" s="116"/>
      <c r="H606" s="184"/>
      <c r="I606" s="190"/>
      <c r="J606" s="192"/>
      <c r="K606" s="116"/>
      <c r="L606" s="119">
        <f t="shared" si="2"/>
        <v>1</v>
      </c>
    </row>
    <row r="607" spans="1:12">
      <c r="A607" s="24"/>
      <c r="B607" s="194"/>
      <c r="C607" s="24"/>
      <c r="D607" s="24"/>
      <c r="E607" s="24"/>
      <c r="F607" s="115"/>
      <c r="G607" s="115"/>
      <c r="H607" s="195"/>
      <c r="I607" s="191"/>
      <c r="J607" s="196"/>
      <c r="K607" s="115"/>
      <c r="L607" s="128">
        <f t="shared" si="2"/>
        <v>1</v>
      </c>
    </row>
    <row r="608" spans="1:12">
      <c r="A608" s="9"/>
      <c r="B608" s="9"/>
      <c r="C608" s="9"/>
      <c r="D608" s="9"/>
      <c r="E608" s="9"/>
      <c r="F608" s="116"/>
      <c r="G608" s="116"/>
      <c r="H608" s="184"/>
      <c r="I608" s="197"/>
      <c r="J608" s="116"/>
      <c r="K608" s="116"/>
      <c r="L608" s="116">
        <v>9</v>
      </c>
    </row>
    <row r="609" spans="1:12">
      <c r="A609" s="9"/>
      <c r="B609" s="9"/>
      <c r="C609" s="9"/>
      <c r="D609" s="9"/>
      <c r="E609" s="9"/>
      <c r="F609" s="116"/>
      <c r="G609" s="116"/>
      <c r="H609" s="184"/>
      <c r="I609" s="197"/>
      <c r="J609" s="116"/>
      <c r="K609" s="116"/>
      <c r="L609" s="116">
        <v>9</v>
      </c>
    </row>
    <row r="610" spans="1:12">
      <c r="A610" s="9"/>
      <c r="B610" s="9"/>
      <c r="C610" s="9"/>
      <c r="D610" s="9"/>
      <c r="E610" s="9"/>
      <c r="F610" s="116"/>
      <c r="G610" s="116"/>
      <c r="H610" s="184"/>
      <c r="I610" s="197"/>
      <c r="J610" s="116"/>
      <c r="K610" s="116"/>
      <c r="L610" s="116">
        <v>9</v>
      </c>
    </row>
    <row r="611" spans="1:12">
      <c r="A611" s="9"/>
      <c r="B611" s="9"/>
      <c r="C611" s="9"/>
      <c r="D611" s="9"/>
      <c r="E611" s="9"/>
      <c r="F611" s="116"/>
      <c r="G611" s="116"/>
      <c r="H611" s="195"/>
      <c r="I611" s="197"/>
      <c r="J611" s="116"/>
      <c r="K611" s="116"/>
      <c r="L611" s="116">
        <v>9</v>
      </c>
    </row>
    <row r="612" spans="1:12">
      <c r="A612" s="9"/>
      <c r="B612" s="9"/>
      <c r="C612" s="9"/>
      <c r="D612" s="9"/>
      <c r="E612" s="9"/>
      <c r="F612" s="116"/>
      <c r="G612" s="116"/>
      <c r="H612" s="195"/>
      <c r="I612" s="197"/>
      <c r="J612" s="116"/>
      <c r="K612" s="116"/>
      <c r="L612" s="116">
        <v>9</v>
      </c>
    </row>
    <row r="613" spans="1:12">
      <c r="A613" s="9"/>
      <c r="B613" s="9"/>
      <c r="C613" s="9"/>
      <c r="D613" s="9"/>
      <c r="E613" s="9"/>
      <c r="F613" s="116"/>
      <c r="G613" s="116"/>
      <c r="H613" s="184"/>
      <c r="I613" s="197"/>
      <c r="J613" s="116"/>
      <c r="K613" s="116"/>
      <c r="L613" s="116">
        <v>9</v>
      </c>
    </row>
    <row r="614" spans="1:12">
      <c r="A614" s="9"/>
      <c r="B614" s="9"/>
      <c r="C614" s="9"/>
      <c r="D614" s="9"/>
      <c r="E614" s="9"/>
      <c r="F614" s="116"/>
      <c r="G614" s="116"/>
      <c r="H614" s="184"/>
      <c r="I614" s="197"/>
      <c r="J614" s="116"/>
      <c r="K614" s="116"/>
      <c r="L614" s="116">
        <v>9</v>
      </c>
    </row>
    <row r="615" spans="1:12">
      <c r="A615" s="9"/>
      <c r="B615" s="9"/>
      <c r="C615" s="9"/>
      <c r="D615" s="9"/>
      <c r="E615" s="9"/>
      <c r="F615" s="116"/>
      <c r="G615" s="116"/>
      <c r="H615" s="184"/>
      <c r="I615" s="197"/>
      <c r="J615" s="116"/>
      <c r="K615" s="116"/>
      <c r="L615" s="116">
        <v>9</v>
      </c>
    </row>
    <row r="616" spans="1:12">
      <c r="A616" s="9"/>
      <c r="B616" s="9"/>
      <c r="C616" s="9"/>
      <c r="D616" s="9"/>
      <c r="E616" s="9"/>
      <c r="F616" s="116"/>
      <c r="G616" s="116"/>
      <c r="H616" s="184"/>
      <c r="I616" s="197"/>
      <c r="J616" s="116"/>
      <c r="K616" s="116"/>
      <c r="L616" s="116">
        <v>9</v>
      </c>
    </row>
    <row r="617" spans="1:12">
      <c r="A617" s="9"/>
      <c r="B617" s="9"/>
      <c r="C617" s="9"/>
      <c r="D617" s="9"/>
      <c r="E617" s="9"/>
      <c r="F617" s="116"/>
      <c r="G617" s="116"/>
      <c r="H617" s="184"/>
      <c r="I617" s="197"/>
      <c r="J617" s="116"/>
      <c r="K617" s="116"/>
      <c r="L617" s="116">
        <v>9</v>
      </c>
    </row>
    <row r="618" spans="1:12">
      <c r="A618" s="9"/>
      <c r="B618" s="9"/>
      <c r="C618" s="9"/>
      <c r="D618" s="9"/>
      <c r="E618" s="9"/>
      <c r="F618" s="116"/>
      <c r="G618" s="116"/>
      <c r="H618" s="184"/>
      <c r="I618" s="197"/>
      <c r="J618" s="116"/>
      <c r="K618" s="116"/>
      <c r="L618" s="116">
        <v>9</v>
      </c>
    </row>
    <row r="619" spans="1:12">
      <c r="A619" s="9"/>
      <c r="B619" s="9"/>
      <c r="C619" s="9"/>
      <c r="D619" s="9"/>
      <c r="E619" s="9"/>
      <c r="F619" s="116"/>
      <c r="G619" s="116"/>
      <c r="H619" s="184"/>
      <c r="I619" s="197"/>
      <c r="J619" s="116"/>
      <c r="K619" s="116"/>
      <c r="L619" s="116">
        <v>9</v>
      </c>
    </row>
    <row r="620" spans="1:12">
      <c r="A620" s="9"/>
      <c r="B620" s="9"/>
      <c r="C620" s="9"/>
      <c r="D620" s="9"/>
      <c r="E620" s="9"/>
      <c r="F620" s="116"/>
      <c r="G620" s="116"/>
      <c r="H620" s="184"/>
      <c r="I620" s="197"/>
      <c r="J620" s="116"/>
      <c r="K620" s="116"/>
      <c r="L620" s="116">
        <v>9</v>
      </c>
    </row>
    <row r="621" spans="1:12">
      <c r="A621" s="9"/>
      <c r="B621" s="9"/>
      <c r="C621" s="9"/>
      <c r="D621" s="9"/>
      <c r="E621" s="9"/>
      <c r="F621" s="116"/>
      <c r="G621" s="116"/>
      <c r="H621" s="184"/>
      <c r="I621" s="197"/>
      <c r="J621" s="116"/>
      <c r="K621" s="116"/>
      <c r="L621" s="116">
        <v>9</v>
      </c>
    </row>
    <row r="622" spans="1:12">
      <c r="A622" s="9"/>
      <c r="B622" s="9"/>
      <c r="C622" s="9"/>
      <c r="D622" s="9"/>
      <c r="E622" s="9"/>
      <c r="F622" s="116"/>
      <c r="G622" s="116"/>
      <c r="H622" s="184"/>
      <c r="I622" s="197"/>
      <c r="J622" s="116"/>
      <c r="K622" s="116"/>
      <c r="L622" s="116">
        <v>9</v>
      </c>
    </row>
    <row r="623" spans="1:12">
      <c r="A623" s="9"/>
      <c r="B623" s="9"/>
      <c r="C623" s="9"/>
      <c r="D623" s="9"/>
      <c r="E623" s="9"/>
      <c r="F623" s="116"/>
      <c r="G623" s="116"/>
      <c r="H623" s="184"/>
      <c r="I623" s="197"/>
      <c r="J623" s="116"/>
      <c r="K623" s="116"/>
      <c r="L623" s="116">
        <v>9</v>
      </c>
    </row>
    <row r="624" spans="1:12">
      <c r="A624" s="9"/>
      <c r="B624" s="9"/>
      <c r="C624" s="9"/>
      <c r="D624" s="9"/>
      <c r="E624" s="9"/>
      <c r="F624" s="116"/>
      <c r="G624" s="116"/>
      <c r="H624" s="184"/>
      <c r="I624" s="197"/>
      <c r="J624" s="116"/>
      <c r="K624" s="116"/>
      <c r="L624" s="116">
        <v>9</v>
      </c>
    </row>
    <row r="625" spans="1:12">
      <c r="A625" s="9"/>
      <c r="B625" s="9"/>
      <c r="C625" s="9"/>
      <c r="D625" s="9"/>
      <c r="E625" s="9"/>
      <c r="F625" s="116"/>
      <c r="G625" s="116"/>
      <c r="H625" s="184"/>
      <c r="I625" s="197"/>
      <c r="J625" s="116"/>
      <c r="K625" s="116"/>
      <c r="L625" s="116">
        <v>9</v>
      </c>
    </row>
    <row r="626" spans="1:12">
      <c r="A626" s="9"/>
      <c r="B626" s="9"/>
      <c r="C626" s="9"/>
      <c r="D626" s="9"/>
      <c r="E626" s="9"/>
      <c r="F626" s="116"/>
      <c r="G626" s="116"/>
      <c r="H626" s="116"/>
      <c r="I626" s="197"/>
      <c r="J626" s="116"/>
      <c r="K626" s="116"/>
      <c r="L626" s="116">
        <v>9</v>
      </c>
    </row>
    <row r="627" spans="1:12">
      <c r="A627" s="9"/>
      <c r="B627" s="9"/>
      <c r="C627" s="9"/>
      <c r="D627" s="9"/>
      <c r="E627" s="9"/>
      <c r="F627" s="116"/>
      <c r="G627" s="116"/>
      <c r="H627" s="116"/>
      <c r="I627" s="197"/>
      <c r="J627" s="116"/>
      <c r="K627" s="116"/>
      <c r="L627" s="116">
        <v>9</v>
      </c>
    </row>
    <row r="628" spans="1:12">
      <c r="A628" s="9"/>
      <c r="B628" s="9"/>
      <c r="C628" s="9"/>
      <c r="D628" s="9"/>
      <c r="E628" s="9"/>
      <c r="F628" s="116"/>
      <c r="G628" s="116"/>
      <c r="H628" s="184"/>
      <c r="I628" s="197"/>
      <c r="J628" s="116"/>
      <c r="K628" s="116"/>
      <c r="L628" s="116">
        <v>9</v>
      </c>
    </row>
    <row r="629" spans="1:12">
      <c r="A629" s="9"/>
      <c r="B629" s="9"/>
      <c r="C629" s="9"/>
      <c r="D629" s="9"/>
      <c r="E629" s="9"/>
      <c r="F629" s="116"/>
      <c r="G629" s="116"/>
      <c r="H629" s="184"/>
      <c r="I629" s="197"/>
      <c r="J629" s="116"/>
      <c r="K629" s="116"/>
      <c r="L629" s="116">
        <v>9</v>
      </c>
    </row>
    <row r="630" spans="1:12">
      <c r="A630" s="9"/>
      <c r="B630" s="9"/>
      <c r="C630" s="9"/>
      <c r="D630" s="9"/>
      <c r="E630" s="9"/>
      <c r="F630" s="116"/>
      <c r="G630" s="116"/>
      <c r="H630" s="184"/>
      <c r="I630" s="197"/>
      <c r="J630" s="116"/>
      <c r="K630" s="116"/>
      <c r="L630" s="116">
        <v>9</v>
      </c>
    </row>
    <row r="631" spans="1:12">
      <c r="A631" s="9"/>
      <c r="B631" s="9"/>
      <c r="C631" s="9"/>
      <c r="D631" s="9"/>
      <c r="E631" s="9"/>
      <c r="F631" s="116"/>
      <c r="G631" s="116"/>
      <c r="H631" s="184"/>
      <c r="I631" s="197"/>
      <c r="J631" s="116"/>
      <c r="K631" s="116"/>
      <c r="L631" s="116">
        <v>9</v>
      </c>
    </row>
    <row r="632" spans="1:12">
      <c r="A632" s="9"/>
      <c r="B632" s="9"/>
      <c r="C632" s="9"/>
      <c r="D632" s="9"/>
      <c r="E632" s="9"/>
      <c r="F632" s="116"/>
      <c r="G632" s="116"/>
      <c r="H632" s="184"/>
      <c r="I632" s="197"/>
      <c r="J632" s="116"/>
      <c r="K632" s="116"/>
      <c r="L632" s="116">
        <v>9</v>
      </c>
    </row>
    <row r="633" spans="1:12">
      <c r="A633" s="9"/>
      <c r="B633" s="9"/>
      <c r="C633" s="9"/>
      <c r="D633" s="9"/>
      <c r="E633" s="9"/>
      <c r="F633" s="116"/>
      <c r="G633" s="116"/>
      <c r="H633" s="184"/>
      <c r="I633" s="197"/>
      <c r="J633" s="116"/>
      <c r="K633" s="116"/>
      <c r="L633" s="116">
        <v>9</v>
      </c>
    </row>
    <row r="634" spans="1:12">
      <c r="A634" s="9"/>
      <c r="B634" s="9"/>
      <c r="C634" s="9"/>
      <c r="D634" s="9"/>
      <c r="E634" s="9"/>
      <c r="F634" s="116"/>
      <c r="G634" s="116"/>
      <c r="H634" s="184"/>
      <c r="I634" s="197"/>
      <c r="J634" s="116"/>
      <c r="K634" s="116"/>
      <c r="L634" s="116">
        <v>9</v>
      </c>
    </row>
    <row r="635" spans="1:12">
      <c r="A635" s="9"/>
      <c r="B635" s="9"/>
      <c r="C635" s="9"/>
      <c r="D635" s="9"/>
      <c r="E635" s="9"/>
      <c r="F635" s="116"/>
      <c r="G635" s="116"/>
      <c r="H635" s="184"/>
      <c r="I635" s="197"/>
      <c r="J635" s="116"/>
      <c r="K635" s="116"/>
      <c r="L635" s="116">
        <v>9</v>
      </c>
    </row>
    <row r="636" spans="1:12">
      <c r="A636" s="9"/>
      <c r="B636" s="9"/>
      <c r="C636" s="9"/>
      <c r="D636" s="9"/>
      <c r="E636" s="9"/>
      <c r="F636" s="116"/>
      <c r="G636" s="116"/>
      <c r="H636" s="195"/>
      <c r="I636" s="197"/>
      <c r="J636" s="116"/>
      <c r="K636" s="116"/>
      <c r="L636" s="116">
        <v>9</v>
      </c>
    </row>
    <row r="637" spans="1:12">
      <c r="A637" s="9"/>
      <c r="B637" s="9"/>
      <c r="C637" s="9"/>
      <c r="D637" s="9"/>
      <c r="E637" s="9"/>
      <c r="F637" s="116"/>
      <c r="G637" s="116"/>
      <c r="H637" s="184"/>
      <c r="I637" s="197"/>
      <c r="J637" s="116"/>
      <c r="K637" s="116"/>
      <c r="L637" s="116">
        <v>9</v>
      </c>
    </row>
    <row r="638" spans="1:12">
      <c r="A638" s="9"/>
      <c r="B638" s="9"/>
      <c r="C638" s="9"/>
      <c r="D638" s="9"/>
      <c r="E638" s="9"/>
      <c r="F638" s="116"/>
      <c r="G638" s="116"/>
      <c r="H638" s="184"/>
      <c r="I638" s="197"/>
      <c r="J638" s="116"/>
      <c r="K638" s="116"/>
      <c r="L638" s="116">
        <v>9</v>
      </c>
    </row>
    <row r="639" spans="1:12">
      <c r="A639" s="9"/>
      <c r="B639" s="9"/>
      <c r="C639" s="9"/>
      <c r="D639" s="9"/>
      <c r="E639" s="9"/>
      <c r="F639" s="116"/>
      <c r="G639" s="116"/>
      <c r="H639" s="184"/>
      <c r="I639" s="197"/>
      <c r="J639" s="116"/>
      <c r="K639" s="116"/>
      <c r="L639" s="116">
        <v>9</v>
      </c>
    </row>
    <row r="640" spans="1:12">
      <c r="A640" s="9"/>
      <c r="B640" s="9"/>
      <c r="C640" s="9"/>
      <c r="D640" s="9"/>
      <c r="E640" s="9"/>
      <c r="F640" s="116"/>
      <c r="G640" s="116"/>
      <c r="H640" s="184"/>
      <c r="I640" s="197"/>
      <c r="J640" s="116"/>
      <c r="K640" s="116"/>
      <c r="L640" s="116">
        <v>9</v>
      </c>
    </row>
    <row r="641" spans="1:12">
      <c r="A641" s="9"/>
      <c r="B641" s="9"/>
      <c r="C641" s="9"/>
      <c r="D641" s="9"/>
      <c r="E641" s="9"/>
      <c r="F641" s="116"/>
      <c r="G641" s="116"/>
      <c r="H641" s="116"/>
      <c r="I641" s="197"/>
      <c r="J641" s="116"/>
      <c r="K641" s="116"/>
      <c r="L641" s="116">
        <v>9</v>
      </c>
    </row>
    <row r="642" spans="1:12">
      <c r="A642" s="9"/>
      <c r="B642" s="9"/>
      <c r="C642" s="9"/>
      <c r="D642" s="9"/>
      <c r="E642" s="9"/>
      <c r="F642" s="116"/>
      <c r="G642" s="116"/>
      <c r="H642" s="184"/>
      <c r="I642" s="197"/>
      <c r="J642" s="116"/>
      <c r="K642" s="116"/>
      <c r="L642" s="116">
        <v>9</v>
      </c>
    </row>
    <row r="643" spans="1:12">
      <c r="A643" s="9"/>
      <c r="B643" s="9"/>
      <c r="C643" s="9"/>
      <c r="D643" s="9"/>
      <c r="E643" s="9"/>
      <c r="F643" s="116"/>
      <c r="G643" s="116"/>
      <c r="H643" s="184"/>
      <c r="I643" s="197"/>
      <c r="J643" s="116"/>
      <c r="K643" s="116"/>
      <c r="L643" s="116">
        <v>9</v>
      </c>
    </row>
    <row r="644" spans="1:12">
      <c r="A644" s="9"/>
      <c r="B644" s="9"/>
      <c r="C644" s="9"/>
      <c r="D644" s="9"/>
      <c r="E644" s="9"/>
      <c r="F644" s="116"/>
      <c r="G644" s="116"/>
      <c r="H644" s="184"/>
      <c r="I644" s="197"/>
      <c r="J644" s="116"/>
      <c r="K644" s="116"/>
      <c r="L644" s="116">
        <v>9</v>
      </c>
    </row>
    <row r="645" spans="1:12">
      <c r="A645" s="9"/>
      <c r="B645" s="9"/>
      <c r="C645" s="9"/>
      <c r="D645" s="9"/>
      <c r="E645" s="9"/>
      <c r="F645" s="116"/>
      <c r="G645" s="116"/>
      <c r="H645" s="184"/>
      <c r="I645" s="197"/>
      <c r="J645" s="116"/>
      <c r="K645" s="116"/>
      <c r="L645" s="116">
        <v>9</v>
      </c>
    </row>
    <row r="646" spans="1:12">
      <c r="A646" s="9"/>
      <c r="B646" s="9"/>
      <c r="C646" s="9"/>
      <c r="D646" s="9"/>
      <c r="E646" s="9"/>
      <c r="F646" s="116"/>
      <c r="G646" s="116"/>
      <c r="H646" s="184"/>
      <c r="I646" s="197"/>
      <c r="J646" s="116"/>
      <c r="K646" s="116"/>
      <c r="L646" s="116">
        <v>9</v>
      </c>
    </row>
    <row r="647" spans="1:12">
      <c r="A647" s="9"/>
      <c r="B647" s="9"/>
      <c r="C647" s="9"/>
      <c r="D647" s="9"/>
      <c r="E647" s="9"/>
      <c r="F647" s="116"/>
      <c r="G647" s="116"/>
      <c r="H647" s="184"/>
      <c r="I647" s="197"/>
      <c r="J647" s="116"/>
      <c r="K647" s="116"/>
      <c r="L647" s="116">
        <v>9</v>
      </c>
    </row>
    <row r="648" spans="1:12">
      <c r="A648" s="9"/>
      <c r="B648" s="9"/>
      <c r="C648" s="9"/>
      <c r="D648" s="9"/>
      <c r="E648" s="9"/>
      <c r="F648" s="116"/>
      <c r="G648" s="116"/>
      <c r="H648" s="184"/>
      <c r="I648" s="197"/>
      <c r="J648" s="116"/>
      <c r="K648" s="116"/>
      <c r="L648" s="116">
        <v>9</v>
      </c>
    </row>
    <row r="649" spans="1:12">
      <c r="A649" s="9"/>
      <c r="B649" s="9"/>
      <c r="C649" s="9"/>
      <c r="D649" s="9"/>
      <c r="E649" s="9"/>
      <c r="F649" s="116"/>
      <c r="G649" s="116"/>
      <c r="H649" s="195"/>
      <c r="I649" s="197"/>
      <c r="J649" s="116"/>
      <c r="K649" s="116"/>
      <c r="L649" s="116">
        <v>9</v>
      </c>
    </row>
    <row r="650" spans="1:12">
      <c r="A650" s="9"/>
      <c r="B650" s="9"/>
      <c r="C650" s="9"/>
      <c r="D650" s="9"/>
      <c r="E650" s="9"/>
      <c r="F650" s="116"/>
      <c r="G650" s="116"/>
      <c r="H650" s="195"/>
      <c r="I650" s="197"/>
      <c r="J650" s="116"/>
      <c r="K650" s="116"/>
      <c r="L650" s="116">
        <v>9</v>
      </c>
    </row>
    <row r="651" spans="1:12">
      <c r="A651" s="9"/>
      <c r="B651" s="9"/>
      <c r="C651" s="9"/>
      <c r="D651" s="9"/>
      <c r="E651" s="9"/>
      <c r="F651" s="116"/>
      <c r="G651" s="116"/>
      <c r="H651" s="195"/>
      <c r="I651" s="197"/>
      <c r="J651" s="116"/>
      <c r="K651" s="116"/>
      <c r="L651" s="116">
        <v>9</v>
      </c>
    </row>
    <row r="652" spans="1:12">
      <c r="A652" s="9"/>
      <c r="B652" s="9"/>
      <c r="C652" s="9"/>
      <c r="D652" s="9"/>
      <c r="E652" s="9"/>
      <c r="F652" s="116"/>
      <c r="G652" s="116"/>
      <c r="H652" s="184"/>
      <c r="I652" s="197"/>
      <c r="J652" s="116"/>
      <c r="K652" s="116"/>
      <c r="L652" s="116">
        <v>9</v>
      </c>
    </row>
    <row r="653" spans="1:12">
      <c r="A653" s="9"/>
      <c r="B653" s="9"/>
      <c r="C653" s="9"/>
      <c r="D653" s="9"/>
      <c r="E653" s="9"/>
      <c r="F653" s="116"/>
      <c r="G653" s="116"/>
      <c r="H653" s="184"/>
      <c r="I653" s="197"/>
      <c r="J653" s="116"/>
      <c r="K653" s="116"/>
      <c r="L653" s="116">
        <v>9</v>
      </c>
    </row>
    <row r="654" spans="1:12">
      <c r="A654" s="9"/>
      <c r="B654" s="9"/>
      <c r="C654" s="9"/>
      <c r="D654" s="9"/>
      <c r="E654" s="9"/>
      <c r="F654" s="116"/>
      <c r="G654" s="116"/>
      <c r="H654" s="184"/>
      <c r="I654" s="197"/>
      <c r="J654" s="116"/>
      <c r="K654" s="116"/>
      <c r="L654" s="116">
        <v>9</v>
      </c>
    </row>
    <row r="655" spans="1:12">
      <c r="A655" s="9"/>
      <c r="B655" s="9"/>
      <c r="C655" s="9"/>
      <c r="D655" s="9"/>
      <c r="E655" s="9"/>
      <c r="F655" s="116"/>
      <c r="G655" s="116"/>
      <c r="H655" s="184"/>
      <c r="I655" s="197"/>
      <c r="J655" s="116"/>
      <c r="K655" s="116"/>
      <c r="L655" s="116">
        <v>9</v>
      </c>
    </row>
    <row r="656" spans="1:12">
      <c r="A656" s="9"/>
      <c r="B656" s="9"/>
      <c r="C656" s="9"/>
      <c r="D656" s="9"/>
      <c r="E656" s="9"/>
      <c r="F656" s="116"/>
      <c r="G656" s="116"/>
      <c r="H656" s="195"/>
      <c r="I656" s="197"/>
      <c r="J656" s="116"/>
      <c r="K656" s="116"/>
      <c r="L656" s="116">
        <v>9</v>
      </c>
    </row>
    <row r="657" spans="1:12">
      <c r="A657" s="9"/>
      <c r="B657" s="9"/>
      <c r="C657" s="9"/>
      <c r="D657" s="9"/>
      <c r="E657" s="9"/>
      <c r="F657" s="116"/>
      <c r="G657" s="116"/>
      <c r="H657" s="184"/>
      <c r="I657" s="197"/>
      <c r="J657" s="116"/>
      <c r="K657" s="116"/>
      <c r="L657" s="116">
        <v>9</v>
      </c>
    </row>
    <row r="658" spans="1:12">
      <c r="A658" s="9"/>
      <c r="B658" s="9"/>
      <c r="C658" s="9"/>
      <c r="D658" s="9"/>
      <c r="E658" s="9"/>
      <c r="F658" s="116"/>
      <c r="G658" s="116"/>
      <c r="H658" s="184"/>
      <c r="I658" s="197"/>
      <c r="J658" s="116"/>
      <c r="K658" s="116"/>
      <c r="L658" s="116">
        <v>9</v>
      </c>
    </row>
    <row r="659" spans="1:12">
      <c r="A659" s="9"/>
      <c r="B659" s="9"/>
      <c r="C659" s="9"/>
      <c r="D659" s="9"/>
      <c r="E659" s="9"/>
      <c r="F659" s="116"/>
      <c r="G659" s="116"/>
      <c r="H659" s="184"/>
      <c r="I659" s="197"/>
      <c r="J659" s="116"/>
      <c r="K659" s="116"/>
      <c r="L659" s="116">
        <v>9</v>
      </c>
    </row>
    <row r="660" spans="1:12">
      <c r="A660" s="9"/>
      <c r="B660" s="9"/>
      <c r="C660" s="9"/>
      <c r="D660" s="9"/>
      <c r="E660" s="9"/>
      <c r="F660" s="116"/>
      <c r="G660" s="116"/>
      <c r="H660" s="184"/>
      <c r="I660" s="197"/>
      <c r="J660" s="116"/>
      <c r="K660" s="116"/>
      <c r="L660" s="116">
        <v>9</v>
      </c>
    </row>
    <row r="661" spans="1:12">
      <c r="A661" s="9"/>
      <c r="B661" s="9"/>
      <c r="C661" s="9"/>
      <c r="D661" s="9"/>
      <c r="E661" s="9"/>
      <c r="F661" s="116"/>
      <c r="G661" s="116"/>
      <c r="H661" s="195"/>
      <c r="I661" s="197"/>
      <c r="J661" s="116"/>
      <c r="K661" s="116"/>
      <c r="L661" s="116">
        <v>9</v>
      </c>
    </row>
    <row r="662" spans="1:12">
      <c r="A662" s="9"/>
      <c r="B662" s="9"/>
      <c r="C662" s="9"/>
      <c r="D662" s="9"/>
      <c r="E662" s="9"/>
      <c r="F662" s="116"/>
      <c r="G662" s="116"/>
      <c r="H662" s="184"/>
      <c r="I662" s="197"/>
      <c r="J662" s="116"/>
      <c r="K662" s="116"/>
      <c r="L662" s="116">
        <v>9</v>
      </c>
    </row>
    <row r="663" spans="1:12">
      <c r="A663" s="9"/>
      <c r="B663" s="9"/>
      <c r="C663" s="9"/>
      <c r="D663" s="9"/>
      <c r="E663" s="9"/>
      <c r="F663" s="116"/>
      <c r="G663" s="116"/>
      <c r="H663" s="184"/>
      <c r="I663" s="197"/>
      <c r="J663" s="116"/>
      <c r="K663" s="116"/>
      <c r="L663" s="116">
        <v>9</v>
      </c>
    </row>
    <row r="664" spans="1:12">
      <c r="A664" s="9"/>
      <c r="B664" s="9"/>
      <c r="C664" s="9"/>
      <c r="D664" s="9"/>
      <c r="E664" s="9"/>
      <c r="F664" s="116"/>
      <c r="G664" s="116"/>
      <c r="H664" s="184"/>
      <c r="I664" s="197"/>
      <c r="J664" s="116"/>
      <c r="K664" s="116"/>
      <c r="L664" s="116">
        <v>9</v>
      </c>
    </row>
    <row r="665" spans="1:12">
      <c r="A665" s="9"/>
      <c r="B665" s="9"/>
      <c r="C665" s="9"/>
      <c r="D665" s="9"/>
      <c r="E665" s="9"/>
      <c r="F665" s="116"/>
      <c r="G665" s="116"/>
      <c r="H665" s="195"/>
      <c r="I665" s="197"/>
      <c r="J665" s="116"/>
      <c r="K665" s="116"/>
      <c r="L665" s="116">
        <v>9</v>
      </c>
    </row>
    <row r="666" spans="1:12">
      <c r="A666" s="9"/>
      <c r="B666" s="9"/>
      <c r="C666" s="9"/>
      <c r="D666" s="9"/>
      <c r="E666" s="9"/>
      <c r="F666" s="116"/>
      <c r="G666" s="116"/>
      <c r="H666" s="116"/>
      <c r="I666" s="197"/>
      <c r="J666" s="116"/>
      <c r="K666" s="116"/>
      <c r="L666" s="116">
        <v>9</v>
      </c>
    </row>
    <row r="667" spans="1:12">
      <c r="A667" s="113"/>
      <c r="B667" s="131"/>
      <c r="C667" s="113"/>
      <c r="D667" s="113"/>
      <c r="E667" s="113"/>
      <c r="F667" s="113"/>
      <c r="J667" s="116"/>
      <c r="K667" s="116"/>
      <c r="L667" s="116">
        <v>10</v>
      </c>
    </row>
    <row r="668" spans="1:12">
      <c r="A668" s="131"/>
      <c r="B668" s="131"/>
      <c r="C668" s="113"/>
      <c r="D668" s="113"/>
      <c r="E668" s="113"/>
      <c r="F668" s="113"/>
      <c r="J668" s="116"/>
      <c r="K668" s="116"/>
      <c r="L668" s="116">
        <v>10</v>
      </c>
    </row>
    <row r="669" spans="1:12">
      <c r="A669" s="131"/>
      <c r="B669" s="131"/>
      <c r="C669" s="113"/>
      <c r="D669" s="113"/>
      <c r="E669" s="113"/>
      <c r="F669" s="113"/>
      <c r="J669" s="116"/>
      <c r="K669" s="116"/>
      <c r="L669" s="116">
        <v>10</v>
      </c>
    </row>
    <row r="670" spans="1:12">
      <c r="A670" s="113"/>
      <c r="B670" s="131"/>
      <c r="C670" s="113"/>
      <c r="D670" s="113"/>
      <c r="E670" s="113"/>
      <c r="F670" s="113"/>
      <c r="J670" s="116"/>
      <c r="K670" s="116"/>
      <c r="L670" s="116">
        <v>10</v>
      </c>
    </row>
    <row r="671" spans="1:12">
      <c r="A671" s="113"/>
      <c r="B671" s="131"/>
      <c r="C671" s="113"/>
      <c r="D671" s="113"/>
      <c r="E671" s="113"/>
      <c r="F671" s="113"/>
      <c r="J671" s="116"/>
      <c r="K671" s="116"/>
      <c r="L671" s="116">
        <v>10</v>
      </c>
    </row>
    <row r="672" spans="1:12">
      <c r="A672" s="113"/>
      <c r="B672" s="131"/>
      <c r="C672" s="113"/>
      <c r="D672" s="113"/>
      <c r="E672" s="113"/>
      <c r="F672" s="113"/>
      <c r="J672" s="116"/>
      <c r="K672" s="116"/>
      <c r="L672" s="116">
        <v>10</v>
      </c>
    </row>
    <row r="673" spans="1:12">
      <c r="A673" s="113"/>
      <c r="B673" s="131"/>
      <c r="C673" s="113"/>
      <c r="D673" s="113"/>
      <c r="E673" s="113"/>
      <c r="F673" s="113"/>
      <c r="J673" s="116"/>
      <c r="K673" s="116"/>
      <c r="L673" s="116">
        <v>10</v>
      </c>
    </row>
    <row r="674" spans="1:12">
      <c r="A674" s="113"/>
      <c r="B674" s="131"/>
      <c r="C674" s="113"/>
      <c r="D674" s="113"/>
      <c r="E674" s="113"/>
      <c r="F674" s="113"/>
      <c r="J674" s="116"/>
      <c r="K674" s="116"/>
      <c r="L674" s="116">
        <v>10</v>
      </c>
    </row>
    <row r="675" spans="1:12">
      <c r="A675" s="113"/>
      <c r="B675" s="131"/>
      <c r="C675" s="113"/>
      <c r="D675" s="113"/>
      <c r="E675" s="113"/>
      <c r="F675" s="113"/>
      <c r="J675" s="116"/>
      <c r="K675" s="116"/>
      <c r="L675" s="116">
        <v>10</v>
      </c>
    </row>
    <row r="676" spans="1:12">
      <c r="A676" s="113"/>
      <c r="B676" s="131"/>
      <c r="C676" s="113"/>
      <c r="D676" s="113"/>
      <c r="E676" s="113"/>
      <c r="F676" s="113"/>
      <c r="J676" s="116"/>
      <c r="K676" s="116"/>
      <c r="L676" s="116">
        <v>10</v>
      </c>
    </row>
    <row r="677" spans="1:12">
      <c r="A677" s="113"/>
      <c r="B677" s="131"/>
      <c r="C677" s="113"/>
      <c r="D677" s="113"/>
      <c r="E677" s="113"/>
      <c r="F677" s="113"/>
      <c r="J677" s="116"/>
      <c r="K677" s="116"/>
      <c r="L677" s="116">
        <v>10</v>
      </c>
    </row>
    <row r="678" spans="1:12">
      <c r="A678" s="113"/>
      <c r="B678" s="131"/>
      <c r="C678" s="113"/>
      <c r="D678" s="113"/>
      <c r="E678" s="113"/>
      <c r="F678" s="113"/>
      <c r="J678" s="116"/>
      <c r="K678" s="116"/>
      <c r="L678" s="116">
        <v>10</v>
      </c>
    </row>
    <row r="679" spans="1:12">
      <c r="A679" s="113"/>
      <c r="B679" s="131"/>
      <c r="C679" s="113"/>
      <c r="D679" s="113"/>
      <c r="E679" s="113"/>
      <c r="F679" s="113"/>
      <c r="J679" s="116"/>
      <c r="K679" s="116"/>
      <c r="L679" s="116">
        <v>10</v>
      </c>
    </row>
    <row r="680" spans="1:12">
      <c r="A680" s="113"/>
      <c r="B680" s="131"/>
      <c r="C680" s="113"/>
      <c r="D680" s="113"/>
      <c r="E680" s="113"/>
      <c r="F680" s="113"/>
      <c r="J680" s="116"/>
      <c r="K680" s="116"/>
      <c r="L680" s="116">
        <v>10</v>
      </c>
    </row>
    <row r="681" spans="1:12">
      <c r="A681" s="113"/>
      <c r="B681" s="131"/>
      <c r="C681" s="113"/>
      <c r="D681" s="113"/>
      <c r="E681" s="113"/>
      <c r="F681" s="113"/>
      <c r="J681" s="116"/>
      <c r="K681" s="116"/>
      <c r="L681" s="116">
        <v>10</v>
      </c>
    </row>
    <row r="682" spans="1:12">
      <c r="A682" s="113"/>
      <c r="B682" s="131"/>
      <c r="C682" s="113"/>
      <c r="D682" s="113"/>
      <c r="E682" s="113"/>
      <c r="F682" s="113"/>
      <c r="J682" s="116"/>
      <c r="K682" s="116"/>
      <c r="L682" s="116">
        <v>10</v>
      </c>
    </row>
    <row r="683" spans="1:12">
      <c r="A683" s="113"/>
      <c r="B683" s="131"/>
      <c r="C683" s="113"/>
      <c r="D683" s="113"/>
      <c r="E683" s="113"/>
      <c r="F683" s="113"/>
      <c r="J683" s="116"/>
      <c r="K683" s="116"/>
      <c r="L683" s="116">
        <v>10</v>
      </c>
    </row>
    <row r="684" spans="1:12">
      <c r="A684" s="113"/>
      <c r="B684" s="131"/>
      <c r="C684" s="113"/>
      <c r="D684" s="113"/>
      <c r="E684" s="113"/>
      <c r="F684" s="113"/>
      <c r="J684" s="116"/>
      <c r="K684" s="116"/>
      <c r="L684" s="116">
        <v>10</v>
      </c>
    </row>
    <row r="685" spans="1:12">
      <c r="A685" s="113"/>
      <c r="B685" s="131"/>
      <c r="C685" s="113"/>
      <c r="D685" s="113"/>
      <c r="E685" s="113"/>
      <c r="F685" s="113"/>
      <c r="J685" s="116"/>
      <c r="K685" s="116"/>
      <c r="L685" s="116">
        <v>10</v>
      </c>
    </row>
    <row r="686" spans="1:12">
      <c r="A686" s="113"/>
      <c r="B686" s="131"/>
      <c r="C686" s="113"/>
      <c r="D686" s="113"/>
      <c r="E686" s="113"/>
      <c r="F686" s="113"/>
      <c r="J686" s="116"/>
      <c r="K686" s="116"/>
      <c r="L686" s="116">
        <v>10</v>
      </c>
    </row>
    <row r="687" spans="1:12">
      <c r="A687" s="113"/>
      <c r="B687" s="131"/>
      <c r="C687" s="113"/>
      <c r="D687" s="113"/>
      <c r="E687" s="113"/>
      <c r="F687" s="113"/>
      <c r="J687" s="116"/>
      <c r="K687" s="116"/>
      <c r="L687" s="116">
        <v>10</v>
      </c>
    </row>
    <row r="688" spans="1:12">
      <c r="A688" s="113"/>
      <c r="B688" s="131"/>
      <c r="C688" s="113"/>
      <c r="D688" s="113"/>
      <c r="E688" s="113"/>
      <c r="F688" s="113"/>
      <c r="J688" s="116"/>
      <c r="K688" s="116"/>
      <c r="L688" s="116">
        <v>10</v>
      </c>
    </row>
    <row r="689" spans="1:12">
      <c r="A689" s="113"/>
      <c r="B689" s="131"/>
      <c r="C689" s="113"/>
      <c r="D689" s="113"/>
      <c r="E689" s="113"/>
      <c r="F689" s="113"/>
      <c r="J689" s="116"/>
      <c r="K689" s="116"/>
      <c r="L689" s="116">
        <v>10</v>
      </c>
    </row>
    <row r="690" spans="1:12">
      <c r="A690" s="113"/>
      <c r="B690" s="131"/>
      <c r="C690" s="113"/>
      <c r="D690" s="113"/>
      <c r="E690" s="113"/>
      <c r="F690" s="113"/>
      <c r="J690" s="116"/>
      <c r="K690" s="116"/>
      <c r="L690" s="116">
        <v>10</v>
      </c>
    </row>
    <row r="691" spans="1:12">
      <c r="A691" s="113"/>
      <c r="B691" s="131"/>
      <c r="C691" s="113"/>
      <c r="D691" s="113"/>
      <c r="E691" s="113"/>
      <c r="F691" s="113"/>
      <c r="J691" s="116"/>
      <c r="K691" s="116"/>
      <c r="L691" s="116">
        <v>10</v>
      </c>
    </row>
    <row r="692" spans="1:12">
      <c r="A692" s="113"/>
      <c r="B692" s="131"/>
      <c r="C692" s="113"/>
      <c r="D692" s="113"/>
      <c r="E692" s="113"/>
      <c r="F692" s="113"/>
      <c r="J692" s="116"/>
      <c r="K692" s="116"/>
      <c r="L692" s="116">
        <v>10</v>
      </c>
    </row>
    <row r="693" spans="1:12">
      <c r="A693" s="113"/>
      <c r="B693" s="131"/>
      <c r="C693" s="113"/>
      <c r="D693" s="113"/>
      <c r="E693" s="113"/>
      <c r="F693" s="113"/>
      <c r="J693" s="116"/>
      <c r="K693" s="116"/>
      <c r="L693" s="116">
        <v>10</v>
      </c>
    </row>
    <row r="694" spans="1:12">
      <c r="A694" s="113"/>
      <c r="B694" s="131"/>
      <c r="C694" s="113"/>
      <c r="D694" s="113"/>
      <c r="E694" s="113"/>
      <c r="F694" s="113"/>
      <c r="J694" s="116"/>
      <c r="K694" s="116"/>
      <c r="L694" s="116">
        <v>10</v>
      </c>
    </row>
    <row r="695" spans="1:12">
      <c r="A695" s="113"/>
      <c r="B695" s="131"/>
      <c r="C695" s="113"/>
      <c r="D695" s="113"/>
      <c r="E695" s="113"/>
      <c r="F695" s="113"/>
      <c r="J695" s="116"/>
      <c r="K695" s="116"/>
      <c r="L695" s="116">
        <v>10</v>
      </c>
    </row>
    <row r="696" spans="1:12">
      <c r="A696" s="113"/>
      <c r="B696" s="131"/>
      <c r="C696" s="113"/>
      <c r="D696" s="113"/>
      <c r="E696" s="113"/>
      <c r="F696" s="113"/>
      <c r="J696" s="116"/>
      <c r="K696" s="116"/>
      <c r="L696" s="116">
        <v>10</v>
      </c>
    </row>
    <row r="697" spans="1:12">
      <c r="A697" s="113"/>
      <c r="B697" s="131"/>
      <c r="C697" s="113"/>
      <c r="D697" s="113"/>
      <c r="E697" s="113"/>
      <c r="F697" s="113"/>
      <c r="J697" s="116"/>
      <c r="K697" s="116"/>
      <c r="L697" s="116">
        <v>10</v>
      </c>
    </row>
    <row r="698" spans="1:12">
      <c r="A698" s="113"/>
      <c r="B698" s="131"/>
      <c r="C698" s="113"/>
      <c r="D698" s="113"/>
      <c r="E698" s="113"/>
      <c r="F698" s="113"/>
      <c r="J698" s="116"/>
      <c r="K698" s="116"/>
      <c r="L698" s="116">
        <v>10</v>
      </c>
    </row>
    <row r="699" spans="1:12">
      <c r="A699" s="113"/>
      <c r="B699" s="131"/>
      <c r="C699" s="113"/>
      <c r="D699" s="113"/>
      <c r="E699" s="113"/>
      <c r="F699" s="113"/>
      <c r="J699" s="116"/>
      <c r="K699" s="116"/>
      <c r="L699" s="116">
        <v>10</v>
      </c>
    </row>
    <row r="700" spans="1:12">
      <c r="A700" s="113"/>
      <c r="B700" s="131"/>
      <c r="C700" s="113"/>
      <c r="D700" s="113"/>
      <c r="E700" s="113"/>
      <c r="F700" s="113"/>
      <c r="J700" s="116"/>
      <c r="K700" s="116"/>
      <c r="L700" s="116">
        <v>10</v>
      </c>
    </row>
    <row r="701" spans="1:12">
      <c r="A701" s="113"/>
      <c r="B701" s="131"/>
      <c r="C701" s="113"/>
      <c r="D701" s="113"/>
      <c r="E701" s="113"/>
      <c r="F701" s="113"/>
      <c r="J701" s="116"/>
      <c r="K701" s="116"/>
      <c r="L701" s="116">
        <v>10</v>
      </c>
    </row>
    <row r="702" spans="1:12">
      <c r="A702" s="113"/>
      <c r="B702" s="131"/>
      <c r="C702" s="113"/>
      <c r="D702" s="113"/>
      <c r="E702" s="113"/>
      <c r="F702" s="113"/>
      <c r="J702" s="116"/>
      <c r="K702" s="116"/>
      <c r="L702" s="116">
        <v>10</v>
      </c>
    </row>
    <row r="703" spans="1:12">
      <c r="A703" s="113"/>
      <c r="B703" s="131"/>
      <c r="C703" s="113"/>
      <c r="D703" s="113"/>
      <c r="E703" s="113"/>
      <c r="F703" s="113"/>
      <c r="J703" s="116"/>
      <c r="K703" s="116"/>
      <c r="L703" s="116">
        <v>10</v>
      </c>
    </row>
    <row r="704" spans="1:12">
      <c r="A704" s="113"/>
      <c r="B704" s="131"/>
      <c r="C704" s="113"/>
      <c r="D704" s="113"/>
      <c r="E704" s="113"/>
      <c r="F704" s="113"/>
      <c r="J704" s="116"/>
      <c r="K704" s="116"/>
      <c r="L704" s="116">
        <v>10</v>
      </c>
    </row>
    <row r="705" spans="1:12">
      <c r="A705" s="113"/>
      <c r="B705" s="131"/>
      <c r="C705" s="113"/>
      <c r="D705" s="113"/>
      <c r="E705" s="113"/>
      <c r="F705" s="113"/>
      <c r="J705" s="116"/>
      <c r="K705" s="116"/>
      <c r="L705" s="116">
        <v>10</v>
      </c>
    </row>
    <row r="706" spans="1:12">
      <c r="A706" s="113"/>
      <c r="B706" s="131"/>
      <c r="C706" s="113"/>
      <c r="D706" s="113"/>
      <c r="E706" s="113"/>
      <c r="F706" s="113"/>
      <c r="J706" s="116"/>
      <c r="K706" s="116"/>
      <c r="L706" s="116">
        <v>10</v>
      </c>
    </row>
    <row r="707" spans="1:12">
      <c r="A707" s="113"/>
      <c r="B707" s="131"/>
      <c r="C707" s="113"/>
      <c r="D707" s="113"/>
      <c r="E707" s="113"/>
      <c r="F707" s="113"/>
      <c r="J707" s="116"/>
      <c r="K707" s="116"/>
      <c r="L707" s="116">
        <v>10</v>
      </c>
    </row>
    <row r="708" spans="1:12">
      <c r="A708" s="113"/>
      <c r="B708" s="131"/>
      <c r="C708" s="113"/>
      <c r="D708" s="113"/>
      <c r="E708" s="113"/>
      <c r="F708" s="113"/>
      <c r="J708" s="116"/>
      <c r="K708" s="116"/>
      <c r="L708" s="116">
        <v>10</v>
      </c>
    </row>
    <row r="709" spans="1:12">
      <c r="A709" s="113"/>
      <c r="B709" s="131"/>
      <c r="C709" s="113"/>
      <c r="D709" s="113"/>
      <c r="E709" s="113"/>
      <c r="F709" s="113"/>
      <c r="J709" s="116"/>
      <c r="K709" s="116"/>
      <c r="L709" s="116">
        <v>10</v>
      </c>
    </row>
    <row r="710" spans="1:12">
      <c r="A710" s="113"/>
      <c r="B710" s="131"/>
      <c r="C710" s="113"/>
      <c r="D710" s="113"/>
      <c r="E710" s="113"/>
      <c r="F710" s="113"/>
      <c r="J710" s="116"/>
      <c r="K710" s="116"/>
      <c r="L710" s="116">
        <v>10</v>
      </c>
    </row>
    <row r="711" spans="1:12">
      <c r="A711" s="113"/>
      <c r="B711" s="131"/>
      <c r="C711" s="113"/>
      <c r="D711" s="113"/>
      <c r="E711" s="113"/>
      <c r="F711" s="113"/>
      <c r="J711" s="116"/>
      <c r="K711" s="116"/>
      <c r="L711" s="116">
        <v>10</v>
      </c>
    </row>
    <row r="712" spans="1:12">
      <c r="A712" s="113"/>
      <c r="B712" s="131"/>
      <c r="C712" s="113"/>
      <c r="D712" s="113"/>
      <c r="E712" s="113"/>
      <c r="F712" s="113"/>
      <c r="J712" s="116"/>
      <c r="K712" s="116"/>
      <c r="L712" s="116">
        <v>10</v>
      </c>
    </row>
    <row r="713" spans="1:12">
      <c r="A713" s="113"/>
      <c r="B713" s="131"/>
      <c r="C713" s="113"/>
      <c r="D713" s="113"/>
      <c r="E713" s="113"/>
      <c r="F713" s="113"/>
      <c r="J713" s="116"/>
      <c r="K713" s="116"/>
      <c r="L713" s="116">
        <v>10</v>
      </c>
    </row>
    <row r="714" spans="1:12">
      <c r="A714" s="113"/>
      <c r="B714" s="131"/>
      <c r="C714" s="113"/>
      <c r="D714" s="113"/>
      <c r="E714" s="113"/>
      <c r="F714" s="113"/>
      <c r="J714" s="116"/>
      <c r="K714" s="116"/>
      <c r="L714" s="116">
        <v>10</v>
      </c>
    </row>
    <row r="715" spans="1:12">
      <c r="A715" s="113"/>
      <c r="B715" s="131"/>
      <c r="C715" s="113"/>
      <c r="D715" s="113"/>
      <c r="E715" s="113"/>
      <c r="F715" s="113"/>
      <c r="J715" s="116"/>
      <c r="K715" s="116"/>
      <c r="L715" s="116">
        <v>10</v>
      </c>
    </row>
    <row r="716" spans="1:12">
      <c r="A716" s="113"/>
      <c r="B716" s="131"/>
      <c r="C716" s="113"/>
      <c r="D716" s="113"/>
      <c r="E716" s="113"/>
      <c r="F716" s="113"/>
      <c r="J716" s="116"/>
      <c r="K716" s="116"/>
      <c r="L716" s="116">
        <v>10</v>
      </c>
    </row>
    <row r="717" spans="1:12">
      <c r="A717" s="113"/>
      <c r="B717" s="131"/>
      <c r="C717" s="113"/>
      <c r="D717" s="113"/>
      <c r="E717" s="113"/>
      <c r="F717" s="113"/>
      <c r="J717" s="116"/>
      <c r="K717" s="116"/>
      <c r="L717" s="116">
        <v>10</v>
      </c>
    </row>
    <row r="718" spans="1:12">
      <c r="A718" s="113"/>
      <c r="B718" s="131"/>
      <c r="C718" s="113"/>
      <c r="D718" s="113"/>
      <c r="E718" s="113"/>
      <c r="F718" s="113"/>
      <c r="J718" s="116"/>
      <c r="K718" s="116"/>
      <c r="L718" s="116">
        <v>10</v>
      </c>
    </row>
    <row r="719" spans="1:12">
      <c r="A719" s="113"/>
      <c r="B719" s="131"/>
      <c r="C719" s="113"/>
      <c r="D719" s="113"/>
      <c r="E719" s="113"/>
      <c r="F719" s="113"/>
      <c r="J719" s="116"/>
      <c r="K719" s="116"/>
      <c r="L719" s="116">
        <v>10</v>
      </c>
    </row>
    <row r="720" spans="1:12">
      <c r="A720" s="113"/>
      <c r="B720" s="131"/>
      <c r="C720" s="113"/>
      <c r="D720" s="113"/>
      <c r="E720" s="113"/>
      <c r="F720" s="113"/>
      <c r="J720" s="116"/>
      <c r="K720" s="116"/>
      <c r="L720" s="116">
        <v>10</v>
      </c>
    </row>
    <row r="721" spans="1:12">
      <c r="A721" s="113"/>
      <c r="B721" s="131"/>
      <c r="C721" s="113"/>
      <c r="D721" s="113"/>
      <c r="E721" s="113"/>
      <c r="F721" s="113"/>
      <c r="J721" s="116"/>
      <c r="K721" s="116"/>
      <c r="L721" s="116">
        <v>10</v>
      </c>
    </row>
    <row r="722" spans="1:12">
      <c r="A722" s="113"/>
      <c r="B722" s="131"/>
      <c r="C722" s="113"/>
      <c r="D722" s="113"/>
      <c r="E722" s="113"/>
      <c r="F722" s="113"/>
      <c r="J722" s="116"/>
      <c r="K722" s="116"/>
      <c r="L722" s="116">
        <v>10</v>
      </c>
    </row>
    <row r="723" spans="1:12">
      <c r="A723" s="113"/>
      <c r="B723" s="131"/>
      <c r="C723" s="113"/>
      <c r="D723" s="113"/>
      <c r="E723" s="113"/>
      <c r="F723" s="113"/>
      <c r="J723" s="116"/>
      <c r="K723" s="116"/>
      <c r="L723" s="116">
        <v>10</v>
      </c>
    </row>
  </sheetData>
  <dataValidations count="2">
    <dataValidation type="date" allowBlank="1" showInputMessage="1" showErrorMessage="1" sqref="B2:B24 I23:I24 I4:I21 B38:B55 B296:B301 B358:B360 B387:B400 B423:B424 B450 B557 B589:B597 B643:B644 B665:B666" xr:uid="{B41DEBC4-BBF0-4FA1-A595-6A38CD8D73B6}">
      <formula1>45292</formula1>
      <formula2>46387</formula2>
    </dataValidation>
    <dataValidation type="date" allowBlank="1" showInputMessage="1" showErrorMessage="1" sqref="I25:I55 I22 I2:I3 B25:B37 B302:B343 B345:B357 B401:B422 B361:B386 B425:B449 B451:B556 B558:B588 B598:B642 B645:B664 B667:B723" xr:uid="{F3206A11-1FF0-4A62-907B-3E7991FDB613}">
      <formula1>44927</formula1>
      <formula2>46387</formula2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2E5D30-AA0E-462B-8AA6-F892829BC001}">
          <x14:formula1>
            <xm:f>DB!$C$2:$C$3</xm:f>
          </x14:formula1>
          <xm:sqref>H2:H164</xm:sqref>
        </x14:dataValidation>
        <x14:dataValidation type="list" allowBlank="1" showInputMessage="1" showErrorMessage="1" xr:uid="{183B7C4A-FBEC-4585-92B6-D82C15745559}">
          <x14:formula1>
            <xm:f>DB!$E$2:$E$3</xm:f>
          </x14:formula1>
          <xm:sqref>K183 J2:K164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BA15-0943-47F5-B73F-BC7BF202CDE8}">
  <dimension ref="A1:Y88"/>
  <sheetViews>
    <sheetView topLeftCell="A55" workbookViewId="0">
      <selection activeCell="I78" sqref="I78"/>
    </sheetView>
  </sheetViews>
  <sheetFormatPr defaultRowHeight="14.45"/>
  <cols>
    <col min="1" max="1" width="10.42578125" bestFit="1" customWidth="1"/>
    <col min="2" max="2" width="18.5703125" bestFit="1" customWidth="1"/>
    <col min="3" max="3" width="18.7109375" bestFit="1" customWidth="1"/>
    <col min="4" max="4" width="12.28515625" bestFit="1" customWidth="1"/>
    <col min="5" max="5" width="14.7109375" bestFit="1" customWidth="1"/>
    <col min="6" max="6" width="17" bestFit="1" customWidth="1"/>
    <col min="7" max="7" width="13.28515625" bestFit="1" customWidth="1"/>
    <col min="8" max="8" width="13.7109375" bestFit="1" customWidth="1"/>
    <col min="9" max="9" width="57.28515625" bestFit="1" customWidth="1"/>
    <col min="10" max="10" width="15.28515625" bestFit="1" customWidth="1"/>
    <col min="11" max="11" width="11.7109375" bestFit="1" customWidth="1"/>
    <col min="12" max="12" width="21.28515625" bestFit="1" customWidth="1"/>
    <col min="13" max="13" width="21.7109375" bestFit="1" customWidth="1"/>
    <col min="14" max="14" width="13.7109375" bestFit="1" customWidth="1"/>
    <col min="15" max="15" width="19" bestFit="1" customWidth="1"/>
    <col min="16" max="16" width="20.42578125" bestFit="1" customWidth="1"/>
    <col min="17" max="17" width="49.42578125" bestFit="1" customWidth="1"/>
    <col min="18" max="18" width="31.28515625" bestFit="1" customWidth="1"/>
    <col min="19" max="19" width="20.28515625" bestFit="1" customWidth="1"/>
    <col min="20" max="20" width="27.7109375" bestFit="1" customWidth="1"/>
    <col min="21" max="21" width="17.28515625" bestFit="1" customWidth="1"/>
    <col min="22" max="22" width="20" bestFit="1" customWidth="1"/>
    <col min="23" max="23" width="18.7109375" bestFit="1" customWidth="1"/>
    <col min="24" max="24" width="15.5703125" bestFit="1" customWidth="1"/>
    <col min="25" max="25" width="15.7109375" bestFit="1" customWidth="1"/>
  </cols>
  <sheetData>
    <row r="1" spans="1:25">
      <c r="A1" s="39" t="s">
        <v>2801</v>
      </c>
    </row>
    <row r="3" spans="1:25">
      <c r="A3" t="s">
        <v>0</v>
      </c>
      <c r="B3" t="s">
        <v>1</v>
      </c>
      <c r="C3" t="s">
        <v>2</v>
      </c>
      <c r="D3" t="s">
        <v>3</v>
      </c>
      <c r="E3" t="s">
        <v>2802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14</v>
      </c>
      <c r="O3" t="s">
        <v>15</v>
      </c>
      <c r="P3" t="s">
        <v>17</v>
      </c>
      <c r="Q3" t="s">
        <v>2599</v>
      </c>
      <c r="R3" t="s">
        <v>18</v>
      </c>
      <c r="S3" t="s">
        <v>19</v>
      </c>
      <c r="T3" t="s">
        <v>20</v>
      </c>
      <c r="U3" t="s">
        <v>21</v>
      </c>
      <c r="V3" t="s">
        <v>2803</v>
      </c>
      <c r="W3" t="s">
        <v>22</v>
      </c>
      <c r="X3" t="s">
        <v>23</v>
      </c>
      <c r="Y3" t="s">
        <v>24</v>
      </c>
    </row>
    <row r="4" spans="1:25">
      <c r="A4" t="s">
        <v>2804</v>
      </c>
      <c r="B4" s="38">
        <v>45715</v>
      </c>
      <c r="C4" s="38">
        <v>45715</v>
      </c>
      <c r="D4" t="s">
        <v>2805</v>
      </c>
      <c r="E4" t="s">
        <v>327</v>
      </c>
      <c r="F4" t="s">
        <v>328</v>
      </c>
      <c r="G4">
        <v>50000260</v>
      </c>
      <c r="H4" t="s">
        <v>379</v>
      </c>
      <c r="I4" t="s">
        <v>2789</v>
      </c>
      <c r="J4">
        <v>1</v>
      </c>
      <c r="K4" t="s">
        <v>37</v>
      </c>
      <c r="L4" t="s">
        <v>38</v>
      </c>
      <c r="N4" t="s">
        <v>73</v>
      </c>
      <c r="O4">
        <v>1</v>
      </c>
      <c r="Q4" t="s">
        <v>37</v>
      </c>
      <c r="R4" s="38">
        <v>45713</v>
      </c>
      <c r="V4" t="s">
        <v>42</v>
      </c>
      <c r="W4">
        <v>631.67999999999995</v>
      </c>
      <c r="X4">
        <v>631.67999999999995</v>
      </c>
    </row>
    <row r="5" spans="1:25">
      <c r="A5" t="s">
        <v>2806</v>
      </c>
      <c r="B5" s="38">
        <v>45715</v>
      </c>
      <c r="C5" s="38">
        <v>45715</v>
      </c>
      <c r="D5" t="s">
        <v>2807</v>
      </c>
      <c r="E5" t="s">
        <v>434</v>
      </c>
      <c r="F5" t="s">
        <v>334</v>
      </c>
      <c r="G5">
        <v>50300141</v>
      </c>
      <c r="H5" t="s">
        <v>278</v>
      </c>
      <c r="I5" t="s">
        <v>2788</v>
      </c>
      <c r="J5">
        <v>1</v>
      </c>
      <c r="K5" t="s">
        <v>37</v>
      </c>
      <c r="L5" t="s">
        <v>38</v>
      </c>
      <c r="N5" t="s">
        <v>73</v>
      </c>
      <c r="O5">
        <v>1</v>
      </c>
      <c r="P5" t="s">
        <v>276</v>
      </c>
      <c r="Q5" t="s">
        <v>2808</v>
      </c>
      <c r="R5" s="38">
        <v>45709</v>
      </c>
      <c r="V5" t="s">
        <v>2809</v>
      </c>
      <c r="W5">
        <v>339.68</v>
      </c>
      <c r="X5">
        <v>339.68</v>
      </c>
    </row>
    <row r="6" spans="1:25">
      <c r="A6" t="s">
        <v>2810</v>
      </c>
      <c r="B6" s="38">
        <v>45715</v>
      </c>
      <c r="C6" s="38">
        <v>45715</v>
      </c>
      <c r="D6" t="s">
        <v>2811</v>
      </c>
      <c r="E6" t="s">
        <v>365</v>
      </c>
      <c r="F6" t="s">
        <v>328</v>
      </c>
      <c r="G6">
        <v>50000530</v>
      </c>
      <c r="H6" t="s">
        <v>1326</v>
      </c>
      <c r="I6" t="s">
        <v>2787</v>
      </c>
      <c r="J6">
        <v>1</v>
      </c>
      <c r="K6" t="s">
        <v>37</v>
      </c>
      <c r="L6" t="s">
        <v>38</v>
      </c>
      <c r="N6" t="s">
        <v>73</v>
      </c>
      <c r="O6">
        <v>1</v>
      </c>
      <c r="Q6" t="s">
        <v>2812</v>
      </c>
      <c r="R6" s="38">
        <v>45713</v>
      </c>
      <c r="W6">
        <v>91.76</v>
      </c>
      <c r="X6">
        <v>91.76</v>
      </c>
    </row>
    <row r="7" spans="1:25">
      <c r="A7" t="s">
        <v>2813</v>
      </c>
      <c r="B7" s="38">
        <v>45715</v>
      </c>
      <c r="C7" s="38">
        <v>45715</v>
      </c>
      <c r="D7" t="s">
        <v>2814</v>
      </c>
      <c r="E7" t="s">
        <v>2784</v>
      </c>
      <c r="F7" t="s">
        <v>328</v>
      </c>
      <c r="G7" t="s">
        <v>2783</v>
      </c>
      <c r="H7" t="s">
        <v>2785</v>
      </c>
      <c r="I7" t="s">
        <v>2786</v>
      </c>
      <c r="J7">
        <v>1</v>
      </c>
      <c r="K7" t="s">
        <v>37</v>
      </c>
      <c r="L7" t="s">
        <v>251</v>
      </c>
      <c r="N7" t="s">
        <v>73</v>
      </c>
      <c r="O7">
        <v>1</v>
      </c>
      <c r="Q7" t="s">
        <v>37</v>
      </c>
      <c r="R7" s="38">
        <v>45679</v>
      </c>
      <c r="V7" t="s">
        <v>42</v>
      </c>
      <c r="W7">
        <v>140.44999999999999</v>
      </c>
      <c r="X7">
        <v>140.44999999999999</v>
      </c>
    </row>
    <row r="8" spans="1:25">
      <c r="A8" t="s">
        <v>2815</v>
      </c>
      <c r="B8" s="38">
        <v>45715</v>
      </c>
      <c r="C8" s="38">
        <v>45714</v>
      </c>
      <c r="D8" t="s">
        <v>2816</v>
      </c>
      <c r="E8" t="s">
        <v>101</v>
      </c>
      <c r="F8" t="s">
        <v>102</v>
      </c>
      <c r="G8">
        <v>51000323</v>
      </c>
      <c r="H8" t="s">
        <v>323</v>
      </c>
      <c r="I8" t="s">
        <v>2782</v>
      </c>
      <c r="J8">
        <v>1</v>
      </c>
      <c r="K8" t="s">
        <v>37</v>
      </c>
      <c r="L8" t="s">
        <v>38</v>
      </c>
      <c r="N8" t="s">
        <v>81</v>
      </c>
      <c r="O8">
        <v>1</v>
      </c>
      <c r="Q8" t="s">
        <v>2817</v>
      </c>
      <c r="V8" t="s">
        <v>42</v>
      </c>
      <c r="W8">
        <v>96.35</v>
      </c>
      <c r="X8">
        <v>96.35</v>
      </c>
    </row>
    <row r="9" spans="1:25">
      <c r="A9" t="s">
        <v>2815</v>
      </c>
      <c r="B9" s="38">
        <v>45715</v>
      </c>
      <c r="C9" s="38">
        <v>45714</v>
      </c>
      <c r="D9" t="s">
        <v>2816</v>
      </c>
      <c r="E9" t="s">
        <v>101</v>
      </c>
      <c r="F9" t="s">
        <v>102</v>
      </c>
      <c r="G9">
        <v>51000323</v>
      </c>
      <c r="H9" t="s">
        <v>2780</v>
      </c>
      <c r="I9" t="s">
        <v>2781</v>
      </c>
      <c r="J9">
        <v>1</v>
      </c>
      <c r="K9" t="s">
        <v>37</v>
      </c>
      <c r="L9" t="s">
        <v>38</v>
      </c>
      <c r="N9" t="s">
        <v>2607</v>
      </c>
      <c r="O9">
        <v>0</v>
      </c>
      <c r="Q9" t="s">
        <v>2817</v>
      </c>
      <c r="V9" t="s">
        <v>42</v>
      </c>
      <c r="W9">
        <v>874.36</v>
      </c>
      <c r="X9">
        <v>874.36</v>
      </c>
    </row>
    <row r="10" spans="1:25">
      <c r="A10" t="s">
        <v>2818</v>
      </c>
      <c r="B10" s="38">
        <v>45715</v>
      </c>
      <c r="C10" s="38">
        <v>45714</v>
      </c>
      <c r="D10" t="s">
        <v>2819</v>
      </c>
      <c r="E10" t="s">
        <v>101</v>
      </c>
      <c r="F10" t="s">
        <v>102</v>
      </c>
      <c r="G10">
        <v>51000136</v>
      </c>
      <c r="H10" t="s">
        <v>2778</v>
      </c>
      <c r="I10" t="s">
        <v>2779</v>
      </c>
      <c r="J10">
        <v>1</v>
      </c>
      <c r="K10" t="s">
        <v>37</v>
      </c>
      <c r="L10" t="s">
        <v>38</v>
      </c>
      <c r="N10" t="s">
        <v>2607</v>
      </c>
      <c r="O10">
        <v>0</v>
      </c>
      <c r="Q10" t="s">
        <v>37</v>
      </c>
      <c r="V10" t="s">
        <v>42</v>
      </c>
      <c r="W10">
        <v>66.959999999999994</v>
      </c>
      <c r="X10">
        <v>66.959999999999994</v>
      </c>
    </row>
    <row r="11" spans="1:25">
      <c r="A11" t="s">
        <v>2818</v>
      </c>
      <c r="B11" s="38">
        <v>45715</v>
      </c>
      <c r="C11" s="38">
        <v>45714</v>
      </c>
      <c r="D11" t="s">
        <v>2819</v>
      </c>
      <c r="E11" t="s">
        <v>101</v>
      </c>
      <c r="F11" t="s">
        <v>102</v>
      </c>
      <c r="G11">
        <v>51000136</v>
      </c>
      <c r="H11" t="s">
        <v>2776</v>
      </c>
      <c r="I11" t="s">
        <v>2777</v>
      </c>
      <c r="J11">
        <v>1</v>
      </c>
      <c r="K11" t="s">
        <v>37</v>
      </c>
      <c r="L11" t="s">
        <v>38</v>
      </c>
      <c r="N11" t="s">
        <v>73</v>
      </c>
      <c r="O11">
        <v>1</v>
      </c>
      <c r="Q11" t="s">
        <v>2820</v>
      </c>
      <c r="R11" s="38">
        <v>45723</v>
      </c>
      <c r="V11" t="s">
        <v>42</v>
      </c>
      <c r="W11">
        <v>720.36</v>
      </c>
      <c r="X11">
        <v>720.36</v>
      </c>
    </row>
    <row r="12" spans="1:25">
      <c r="A12" t="s">
        <v>2818</v>
      </c>
      <c r="B12" s="38">
        <v>45715</v>
      </c>
      <c r="C12" s="38">
        <v>45714</v>
      </c>
      <c r="D12" t="s">
        <v>2819</v>
      </c>
      <c r="E12" t="s">
        <v>101</v>
      </c>
      <c r="F12" t="s">
        <v>102</v>
      </c>
      <c r="G12">
        <v>51000136</v>
      </c>
      <c r="H12" t="s">
        <v>2774</v>
      </c>
      <c r="I12" t="s">
        <v>2775</v>
      </c>
      <c r="J12">
        <v>1</v>
      </c>
      <c r="K12" t="s">
        <v>37</v>
      </c>
      <c r="L12" t="s">
        <v>38</v>
      </c>
      <c r="N12" t="s">
        <v>73</v>
      </c>
      <c r="O12">
        <v>1</v>
      </c>
      <c r="Q12" t="s">
        <v>2820</v>
      </c>
      <c r="R12" s="38">
        <v>45723</v>
      </c>
      <c r="V12" t="s">
        <v>42</v>
      </c>
      <c r="W12">
        <v>260.14999999999998</v>
      </c>
      <c r="X12">
        <v>260.14999999999998</v>
      </c>
    </row>
    <row r="13" spans="1:25">
      <c r="A13" t="s">
        <v>2818</v>
      </c>
      <c r="B13" s="38">
        <v>45715</v>
      </c>
      <c r="C13" s="38">
        <v>45714</v>
      </c>
      <c r="D13" t="s">
        <v>2819</v>
      </c>
      <c r="E13" t="s">
        <v>101</v>
      </c>
      <c r="F13" t="s">
        <v>102</v>
      </c>
      <c r="G13">
        <v>51000136</v>
      </c>
      <c r="H13" t="s">
        <v>2772</v>
      </c>
      <c r="I13" t="s">
        <v>2773</v>
      </c>
      <c r="J13">
        <v>1</v>
      </c>
      <c r="K13" t="s">
        <v>37</v>
      </c>
      <c r="L13" t="s">
        <v>38</v>
      </c>
      <c r="N13" t="s">
        <v>81</v>
      </c>
      <c r="O13">
        <v>1</v>
      </c>
      <c r="Q13" t="s">
        <v>2817</v>
      </c>
      <c r="V13" t="s">
        <v>42</v>
      </c>
      <c r="W13">
        <v>475.51</v>
      </c>
      <c r="X13">
        <v>475.51</v>
      </c>
    </row>
    <row r="14" spans="1:25">
      <c r="A14" t="s">
        <v>2818</v>
      </c>
      <c r="B14" s="38">
        <v>45715</v>
      </c>
      <c r="C14" s="38">
        <v>45714</v>
      </c>
      <c r="D14" t="s">
        <v>2819</v>
      </c>
      <c r="E14" t="s">
        <v>101</v>
      </c>
      <c r="F14" t="s">
        <v>102</v>
      </c>
      <c r="G14">
        <v>51000136</v>
      </c>
      <c r="H14" t="s">
        <v>2770</v>
      </c>
      <c r="I14" t="s">
        <v>2771</v>
      </c>
      <c r="J14">
        <v>1</v>
      </c>
      <c r="K14" t="s">
        <v>37</v>
      </c>
      <c r="L14" t="s">
        <v>38</v>
      </c>
      <c r="N14" t="s">
        <v>2607</v>
      </c>
      <c r="O14">
        <v>0</v>
      </c>
      <c r="P14" t="s">
        <v>243</v>
      </c>
      <c r="Q14" t="s">
        <v>2817</v>
      </c>
      <c r="V14" t="s">
        <v>42</v>
      </c>
      <c r="W14">
        <v>354.38</v>
      </c>
      <c r="X14">
        <v>354.38</v>
      </c>
    </row>
    <row r="15" spans="1:25">
      <c r="A15" t="s">
        <v>2818</v>
      </c>
      <c r="B15" s="38">
        <v>45715</v>
      </c>
      <c r="C15" s="38">
        <v>45714</v>
      </c>
      <c r="D15" t="s">
        <v>2819</v>
      </c>
      <c r="E15" t="s">
        <v>101</v>
      </c>
      <c r="F15" t="s">
        <v>102</v>
      </c>
      <c r="G15">
        <v>51000136</v>
      </c>
      <c r="H15" t="s">
        <v>885</v>
      </c>
      <c r="I15" t="s">
        <v>2769</v>
      </c>
      <c r="J15">
        <v>1</v>
      </c>
      <c r="K15" t="s">
        <v>37</v>
      </c>
      <c r="L15" t="s">
        <v>38</v>
      </c>
      <c r="N15" t="s">
        <v>81</v>
      </c>
      <c r="O15">
        <v>1</v>
      </c>
      <c r="Q15" t="s">
        <v>2817</v>
      </c>
      <c r="V15" t="s">
        <v>42</v>
      </c>
      <c r="W15">
        <v>1207.54</v>
      </c>
      <c r="X15">
        <v>1207.54</v>
      </c>
    </row>
    <row r="16" spans="1:25">
      <c r="A16" t="s">
        <v>2821</v>
      </c>
      <c r="B16" s="38">
        <v>45715</v>
      </c>
      <c r="C16" s="38">
        <v>45715</v>
      </c>
      <c r="D16" t="s">
        <v>2822</v>
      </c>
      <c r="E16" t="s">
        <v>125</v>
      </c>
      <c r="F16" t="s">
        <v>34</v>
      </c>
      <c r="G16">
        <v>50110193</v>
      </c>
      <c r="H16" t="s">
        <v>2767</v>
      </c>
      <c r="I16" t="s">
        <v>2768</v>
      </c>
      <c r="J16">
        <v>1</v>
      </c>
      <c r="K16" t="s">
        <v>37</v>
      </c>
      <c r="L16" t="s">
        <v>251</v>
      </c>
      <c r="M16" t="s">
        <v>81</v>
      </c>
      <c r="N16" t="s">
        <v>73</v>
      </c>
      <c r="O16">
        <v>1</v>
      </c>
      <c r="Q16" t="s">
        <v>2606</v>
      </c>
      <c r="R16" s="38">
        <v>45663</v>
      </c>
      <c r="V16" t="s">
        <v>42</v>
      </c>
      <c r="W16">
        <v>790.42</v>
      </c>
      <c r="X16">
        <v>790.42</v>
      </c>
    </row>
    <row r="17" spans="1:24">
      <c r="A17" t="s">
        <v>2823</v>
      </c>
      <c r="B17" s="38">
        <v>45714</v>
      </c>
      <c r="C17" s="38">
        <v>45714</v>
      </c>
      <c r="D17" t="s">
        <v>2824</v>
      </c>
      <c r="E17" t="s">
        <v>33</v>
      </c>
      <c r="F17" t="s">
        <v>95</v>
      </c>
      <c r="G17">
        <v>60002095</v>
      </c>
      <c r="H17" t="s">
        <v>281</v>
      </c>
      <c r="I17" t="s">
        <v>282</v>
      </c>
      <c r="J17">
        <v>1</v>
      </c>
      <c r="K17" t="s">
        <v>37</v>
      </c>
      <c r="L17" t="s">
        <v>98</v>
      </c>
      <c r="N17" t="s">
        <v>2607</v>
      </c>
      <c r="O17">
        <v>0</v>
      </c>
      <c r="P17" t="s">
        <v>283</v>
      </c>
      <c r="Q17" t="s">
        <v>37</v>
      </c>
      <c r="V17" t="s">
        <v>42</v>
      </c>
      <c r="W17">
        <v>4432.21</v>
      </c>
      <c r="X17">
        <v>4432.21</v>
      </c>
    </row>
    <row r="18" spans="1:24">
      <c r="A18" t="s">
        <v>2825</v>
      </c>
      <c r="B18" s="38">
        <v>45714</v>
      </c>
      <c r="C18" s="38">
        <v>45714</v>
      </c>
      <c r="D18" t="s">
        <v>2826</v>
      </c>
      <c r="E18" t="s">
        <v>2764</v>
      </c>
      <c r="F18" t="s">
        <v>186</v>
      </c>
      <c r="G18">
        <v>44000058</v>
      </c>
      <c r="H18" t="s">
        <v>2017</v>
      </c>
      <c r="I18" t="s">
        <v>2766</v>
      </c>
      <c r="J18">
        <v>1</v>
      </c>
      <c r="K18" t="s">
        <v>37</v>
      </c>
      <c r="L18" t="s">
        <v>38</v>
      </c>
      <c r="N18" t="s">
        <v>73</v>
      </c>
      <c r="O18">
        <v>1</v>
      </c>
      <c r="Q18" t="s">
        <v>2812</v>
      </c>
      <c r="R18" s="38">
        <v>45714</v>
      </c>
      <c r="V18" t="s">
        <v>2827</v>
      </c>
      <c r="W18">
        <v>1323.87</v>
      </c>
      <c r="X18">
        <v>1323.87</v>
      </c>
    </row>
    <row r="19" spans="1:24">
      <c r="A19" t="s">
        <v>2825</v>
      </c>
      <c r="B19" s="38">
        <v>45714</v>
      </c>
      <c r="C19" s="38">
        <v>45714</v>
      </c>
      <c r="D19" t="s">
        <v>2826</v>
      </c>
      <c r="E19" t="s">
        <v>2764</v>
      </c>
      <c r="F19" t="s">
        <v>186</v>
      </c>
      <c r="G19">
        <v>44000058</v>
      </c>
      <c r="H19" t="s">
        <v>2011</v>
      </c>
      <c r="I19" t="s">
        <v>2765</v>
      </c>
      <c r="J19">
        <v>1</v>
      </c>
      <c r="K19" t="s">
        <v>37</v>
      </c>
      <c r="L19" t="s">
        <v>38</v>
      </c>
      <c r="N19" t="s">
        <v>73</v>
      </c>
      <c r="O19">
        <v>1</v>
      </c>
      <c r="P19" t="s">
        <v>2010</v>
      </c>
      <c r="Q19" t="s">
        <v>2812</v>
      </c>
      <c r="R19" s="38">
        <v>45714</v>
      </c>
      <c r="V19" t="s">
        <v>2827</v>
      </c>
      <c r="W19">
        <v>966.08</v>
      </c>
      <c r="X19">
        <v>966.08</v>
      </c>
    </row>
    <row r="20" spans="1:24">
      <c r="A20" t="s">
        <v>2828</v>
      </c>
      <c r="B20" s="38">
        <v>45714</v>
      </c>
      <c r="C20" s="38">
        <v>45713</v>
      </c>
      <c r="D20" t="s">
        <v>2829</v>
      </c>
      <c r="E20" t="s">
        <v>94</v>
      </c>
      <c r="F20" t="s">
        <v>95</v>
      </c>
      <c r="G20">
        <v>60002072</v>
      </c>
      <c r="H20" t="s">
        <v>2708</v>
      </c>
      <c r="I20" t="s">
        <v>742</v>
      </c>
      <c r="J20">
        <v>1</v>
      </c>
      <c r="K20" t="s">
        <v>269</v>
      </c>
      <c r="L20" t="s">
        <v>441</v>
      </c>
      <c r="M20" t="s">
        <v>73</v>
      </c>
      <c r="N20" t="s">
        <v>73</v>
      </c>
      <c r="O20">
        <v>1</v>
      </c>
      <c r="Q20" t="s">
        <v>2830</v>
      </c>
      <c r="R20" s="38">
        <v>45713</v>
      </c>
      <c r="W20">
        <v>886.36</v>
      </c>
      <c r="X20">
        <v>886.36</v>
      </c>
    </row>
    <row r="21" spans="1:24">
      <c r="A21" t="s">
        <v>2831</v>
      </c>
      <c r="B21" s="38">
        <v>45714</v>
      </c>
      <c r="C21" s="38">
        <v>45714</v>
      </c>
      <c r="D21" t="s">
        <v>2832</v>
      </c>
      <c r="E21" t="s">
        <v>33</v>
      </c>
      <c r="F21" t="s">
        <v>34</v>
      </c>
      <c r="G21">
        <v>50110372</v>
      </c>
      <c r="H21" t="s">
        <v>472</v>
      </c>
      <c r="I21" t="s">
        <v>2763</v>
      </c>
      <c r="J21">
        <v>1</v>
      </c>
      <c r="K21" t="s">
        <v>37</v>
      </c>
      <c r="L21" t="s">
        <v>38</v>
      </c>
      <c r="M21" t="s">
        <v>81</v>
      </c>
      <c r="N21" t="s">
        <v>81</v>
      </c>
      <c r="O21">
        <v>1</v>
      </c>
      <c r="P21" t="s">
        <v>474</v>
      </c>
      <c r="Q21" t="s">
        <v>37</v>
      </c>
      <c r="V21" t="s">
        <v>42</v>
      </c>
      <c r="W21">
        <v>22.54</v>
      </c>
      <c r="X21">
        <v>22.54</v>
      </c>
    </row>
    <row r="22" spans="1:24">
      <c r="A22" t="s">
        <v>2833</v>
      </c>
      <c r="B22" s="38">
        <v>45714</v>
      </c>
      <c r="C22" s="38">
        <v>45713</v>
      </c>
      <c r="D22" t="s">
        <v>2834</v>
      </c>
      <c r="E22" t="s">
        <v>33</v>
      </c>
      <c r="F22" t="s">
        <v>95</v>
      </c>
      <c r="G22" t="s">
        <v>2835</v>
      </c>
      <c r="H22" t="s">
        <v>1510</v>
      </c>
      <c r="I22" t="s">
        <v>2836</v>
      </c>
      <c r="J22">
        <v>1</v>
      </c>
      <c r="K22" t="s">
        <v>269</v>
      </c>
      <c r="L22" t="s">
        <v>441</v>
      </c>
      <c r="M22" t="s">
        <v>39</v>
      </c>
      <c r="N22" t="s">
        <v>2607</v>
      </c>
      <c r="O22">
        <v>0</v>
      </c>
      <c r="Q22" t="s">
        <v>2837</v>
      </c>
      <c r="V22" t="s">
        <v>42</v>
      </c>
      <c r="W22">
        <v>2531.29</v>
      </c>
      <c r="X22">
        <v>2531.29</v>
      </c>
    </row>
    <row r="23" spans="1:24">
      <c r="A23" t="s">
        <v>2838</v>
      </c>
      <c r="B23" s="38">
        <v>45714</v>
      </c>
      <c r="C23" s="38">
        <v>45713</v>
      </c>
      <c r="D23" t="s">
        <v>2839</v>
      </c>
      <c r="E23" t="s">
        <v>345</v>
      </c>
      <c r="F23" t="s">
        <v>34</v>
      </c>
      <c r="G23">
        <v>50110229</v>
      </c>
      <c r="H23" t="s">
        <v>472</v>
      </c>
      <c r="I23" t="s">
        <v>2763</v>
      </c>
      <c r="J23">
        <v>1</v>
      </c>
      <c r="K23" t="s">
        <v>37</v>
      </c>
      <c r="L23" t="s">
        <v>38</v>
      </c>
      <c r="M23" t="s">
        <v>81</v>
      </c>
      <c r="N23" t="s">
        <v>81</v>
      </c>
      <c r="O23">
        <v>1</v>
      </c>
      <c r="P23" t="s">
        <v>474</v>
      </c>
      <c r="Q23" t="s">
        <v>37</v>
      </c>
      <c r="V23" t="s">
        <v>42</v>
      </c>
      <c r="W23">
        <v>22.54</v>
      </c>
      <c r="X23">
        <v>22.54</v>
      </c>
    </row>
    <row r="24" spans="1:24">
      <c r="A24" t="s">
        <v>2840</v>
      </c>
      <c r="B24" s="38">
        <v>45714</v>
      </c>
      <c r="C24" s="38">
        <v>45713</v>
      </c>
      <c r="D24" t="s">
        <v>2841</v>
      </c>
      <c r="E24" t="s">
        <v>125</v>
      </c>
      <c r="F24" t="s">
        <v>34</v>
      </c>
      <c r="G24">
        <v>50110193</v>
      </c>
      <c r="H24" t="s">
        <v>472</v>
      </c>
      <c r="I24" t="s">
        <v>2763</v>
      </c>
      <c r="J24">
        <v>1</v>
      </c>
      <c r="K24" t="s">
        <v>37</v>
      </c>
      <c r="L24" t="s">
        <v>38</v>
      </c>
      <c r="M24" t="s">
        <v>81</v>
      </c>
      <c r="N24" t="s">
        <v>81</v>
      </c>
      <c r="O24">
        <v>1</v>
      </c>
      <c r="P24" t="s">
        <v>474</v>
      </c>
      <c r="Q24" t="s">
        <v>37</v>
      </c>
      <c r="V24" t="s">
        <v>42</v>
      </c>
      <c r="W24">
        <v>22.54</v>
      </c>
      <c r="X24">
        <v>22.54</v>
      </c>
    </row>
    <row r="25" spans="1:24">
      <c r="A25" t="s">
        <v>2842</v>
      </c>
      <c r="B25" s="38">
        <v>45714</v>
      </c>
      <c r="C25" s="38">
        <v>45713</v>
      </c>
      <c r="D25" t="s">
        <v>2843</v>
      </c>
      <c r="E25" t="s">
        <v>365</v>
      </c>
      <c r="F25" t="s">
        <v>328</v>
      </c>
      <c r="G25">
        <v>50000530</v>
      </c>
      <c r="H25" t="s">
        <v>2762</v>
      </c>
      <c r="I25" t="s">
        <v>217</v>
      </c>
      <c r="J25">
        <v>1</v>
      </c>
      <c r="K25" t="s">
        <v>37</v>
      </c>
      <c r="L25" t="s">
        <v>38</v>
      </c>
      <c r="M25" t="s">
        <v>73</v>
      </c>
      <c r="N25" t="s">
        <v>73</v>
      </c>
      <c r="O25">
        <v>1</v>
      </c>
      <c r="Q25" t="s">
        <v>2606</v>
      </c>
      <c r="R25" s="38">
        <v>45712</v>
      </c>
      <c r="V25" t="s">
        <v>2844</v>
      </c>
      <c r="W25">
        <v>1187.4100000000001</v>
      </c>
      <c r="X25">
        <v>1187.4100000000001</v>
      </c>
    </row>
    <row r="26" spans="1:24">
      <c r="A26" t="s">
        <v>2845</v>
      </c>
      <c r="B26" s="38">
        <v>45713</v>
      </c>
      <c r="C26" s="38">
        <v>45713</v>
      </c>
      <c r="E26" t="s">
        <v>292</v>
      </c>
      <c r="H26" t="s">
        <v>2846</v>
      </c>
      <c r="I26" t="s">
        <v>2847</v>
      </c>
      <c r="J26">
        <v>2</v>
      </c>
      <c r="N26" t="s">
        <v>2607</v>
      </c>
      <c r="O26">
        <v>0</v>
      </c>
      <c r="Q26" t="s">
        <v>37</v>
      </c>
      <c r="W26">
        <v>60.71</v>
      </c>
      <c r="X26">
        <v>121.42</v>
      </c>
    </row>
    <row r="27" spans="1:24">
      <c r="A27" t="s">
        <v>2848</v>
      </c>
      <c r="B27" s="38">
        <v>45713</v>
      </c>
      <c r="C27" s="38">
        <v>45713</v>
      </c>
      <c r="E27" t="s">
        <v>777</v>
      </c>
      <c r="F27" t="s">
        <v>2849</v>
      </c>
      <c r="G27">
        <v>51000129</v>
      </c>
      <c r="H27" t="s">
        <v>2850</v>
      </c>
      <c r="I27" t="s">
        <v>2851</v>
      </c>
      <c r="J27">
        <v>1</v>
      </c>
      <c r="N27" t="s">
        <v>2607</v>
      </c>
      <c r="O27">
        <v>0</v>
      </c>
      <c r="Q27" t="s">
        <v>37</v>
      </c>
      <c r="W27">
        <v>60.88</v>
      </c>
      <c r="X27">
        <v>60.88</v>
      </c>
    </row>
    <row r="28" spans="1:24">
      <c r="A28" t="s">
        <v>2852</v>
      </c>
      <c r="B28" s="38">
        <v>45712</v>
      </c>
      <c r="C28" s="38">
        <v>45709</v>
      </c>
      <c r="D28" t="s">
        <v>2853</v>
      </c>
      <c r="E28" t="s">
        <v>134</v>
      </c>
      <c r="F28" t="s">
        <v>140</v>
      </c>
      <c r="G28">
        <v>48300301</v>
      </c>
      <c r="H28" t="s">
        <v>2760</v>
      </c>
      <c r="I28" t="s">
        <v>2761</v>
      </c>
      <c r="J28">
        <v>1</v>
      </c>
      <c r="K28" t="s">
        <v>37</v>
      </c>
      <c r="L28" t="s">
        <v>72</v>
      </c>
      <c r="M28" t="s">
        <v>73</v>
      </c>
      <c r="N28" t="s">
        <v>73</v>
      </c>
      <c r="O28">
        <v>1</v>
      </c>
      <c r="P28" t="s">
        <v>2854</v>
      </c>
      <c r="Q28" t="s">
        <v>2606</v>
      </c>
      <c r="R28" s="38">
        <v>45680</v>
      </c>
      <c r="V28" t="s">
        <v>2855</v>
      </c>
      <c r="W28">
        <v>1240.6400000000001</v>
      </c>
      <c r="X28">
        <v>1240.6400000000001</v>
      </c>
    </row>
    <row r="29" spans="1:24">
      <c r="A29" t="s">
        <v>2856</v>
      </c>
      <c r="B29" s="38">
        <v>45712</v>
      </c>
      <c r="C29" s="38">
        <v>45709</v>
      </c>
      <c r="D29" t="s">
        <v>2857</v>
      </c>
      <c r="E29" t="s">
        <v>33</v>
      </c>
      <c r="F29" t="s">
        <v>34</v>
      </c>
      <c r="G29">
        <v>50110372</v>
      </c>
      <c r="H29" t="s">
        <v>2758</v>
      </c>
      <c r="I29" t="s">
        <v>2759</v>
      </c>
      <c r="J29">
        <v>1</v>
      </c>
      <c r="K29" t="s">
        <v>269</v>
      </c>
      <c r="L29" t="s">
        <v>98</v>
      </c>
      <c r="M29" t="s">
        <v>39</v>
      </c>
      <c r="N29" t="s">
        <v>2607</v>
      </c>
      <c r="O29">
        <v>0</v>
      </c>
      <c r="Q29" t="s">
        <v>2837</v>
      </c>
      <c r="V29" t="s">
        <v>42</v>
      </c>
      <c r="W29">
        <v>96.11</v>
      </c>
      <c r="X29">
        <v>96.11</v>
      </c>
    </row>
    <row r="30" spans="1:24">
      <c r="A30" t="s">
        <v>2858</v>
      </c>
      <c r="B30" s="38">
        <v>45709</v>
      </c>
      <c r="C30" s="38">
        <v>45709</v>
      </c>
      <c r="D30" t="s">
        <v>2859</v>
      </c>
      <c r="E30" t="s">
        <v>154</v>
      </c>
      <c r="F30" t="s">
        <v>102</v>
      </c>
      <c r="G30">
        <v>51000174</v>
      </c>
      <c r="H30" t="s">
        <v>2653</v>
      </c>
      <c r="I30" t="s">
        <v>1000</v>
      </c>
      <c r="J30">
        <v>1</v>
      </c>
      <c r="K30" t="s">
        <v>37</v>
      </c>
      <c r="L30" t="s">
        <v>72</v>
      </c>
      <c r="M30" t="s">
        <v>73</v>
      </c>
      <c r="N30" t="s">
        <v>73</v>
      </c>
      <c r="O30">
        <v>1</v>
      </c>
      <c r="Q30" t="s">
        <v>2808</v>
      </c>
      <c r="R30" s="38">
        <v>45705</v>
      </c>
      <c r="V30" t="s">
        <v>2860</v>
      </c>
      <c r="W30">
        <v>475.51</v>
      </c>
      <c r="X30">
        <v>475.51</v>
      </c>
    </row>
    <row r="31" spans="1:24">
      <c r="A31" t="s">
        <v>2861</v>
      </c>
      <c r="B31" s="38">
        <v>45709</v>
      </c>
      <c r="C31" s="38">
        <v>45708</v>
      </c>
      <c r="D31" t="s">
        <v>2862</v>
      </c>
      <c r="E31" t="s">
        <v>327</v>
      </c>
      <c r="F31" t="s">
        <v>328</v>
      </c>
      <c r="G31">
        <v>50000260</v>
      </c>
      <c r="H31" t="s">
        <v>2756</v>
      </c>
      <c r="I31" t="s">
        <v>2757</v>
      </c>
      <c r="J31">
        <v>1</v>
      </c>
      <c r="K31" t="s">
        <v>269</v>
      </c>
      <c r="L31" t="s">
        <v>98</v>
      </c>
      <c r="M31" t="s">
        <v>39</v>
      </c>
      <c r="N31" t="s">
        <v>2607</v>
      </c>
      <c r="O31">
        <v>0</v>
      </c>
      <c r="Q31" t="s">
        <v>37</v>
      </c>
      <c r="V31" t="s">
        <v>42</v>
      </c>
      <c r="W31">
        <v>24.61</v>
      </c>
      <c r="X31">
        <v>24.61</v>
      </c>
    </row>
    <row r="32" spans="1:24">
      <c r="A32" t="s">
        <v>2861</v>
      </c>
      <c r="B32" s="38">
        <v>45709</v>
      </c>
      <c r="C32" s="38">
        <v>45708</v>
      </c>
      <c r="D32" t="s">
        <v>2862</v>
      </c>
      <c r="E32" t="s">
        <v>327</v>
      </c>
      <c r="F32" t="s">
        <v>328</v>
      </c>
      <c r="G32">
        <v>50000260</v>
      </c>
      <c r="H32" t="s">
        <v>222</v>
      </c>
      <c r="I32" t="s">
        <v>2755</v>
      </c>
      <c r="J32">
        <v>3</v>
      </c>
      <c r="K32" t="s">
        <v>37</v>
      </c>
      <c r="L32" t="s">
        <v>98</v>
      </c>
      <c r="M32" t="s">
        <v>73</v>
      </c>
      <c r="N32" t="s">
        <v>73</v>
      </c>
      <c r="O32">
        <v>3</v>
      </c>
      <c r="Q32" t="s">
        <v>2863</v>
      </c>
      <c r="R32" s="38">
        <v>45707</v>
      </c>
      <c r="V32" t="s">
        <v>42</v>
      </c>
      <c r="W32">
        <v>177.88</v>
      </c>
      <c r="X32">
        <v>533.64</v>
      </c>
    </row>
    <row r="33" spans="1:24">
      <c r="A33" t="s">
        <v>2861</v>
      </c>
      <c r="B33" s="38">
        <v>45709</v>
      </c>
      <c r="C33" s="38">
        <v>45708</v>
      </c>
      <c r="D33" t="s">
        <v>2862</v>
      </c>
      <c r="E33" t="s">
        <v>327</v>
      </c>
      <c r="F33" t="s">
        <v>328</v>
      </c>
      <c r="G33">
        <v>50000260</v>
      </c>
      <c r="H33" t="s">
        <v>1872</v>
      </c>
      <c r="I33" t="s">
        <v>1873</v>
      </c>
      <c r="J33">
        <v>1</v>
      </c>
      <c r="K33" t="s">
        <v>37</v>
      </c>
      <c r="L33" t="s">
        <v>98</v>
      </c>
      <c r="M33" t="s">
        <v>73</v>
      </c>
      <c r="N33" t="s">
        <v>73</v>
      </c>
      <c r="O33">
        <v>1</v>
      </c>
      <c r="Q33" t="s">
        <v>37</v>
      </c>
      <c r="R33" s="38">
        <v>45707</v>
      </c>
      <c r="V33" t="s">
        <v>42</v>
      </c>
      <c r="W33">
        <v>11.43</v>
      </c>
      <c r="X33">
        <v>11.43</v>
      </c>
    </row>
    <row r="34" spans="1:24">
      <c r="A34" t="s">
        <v>2861</v>
      </c>
      <c r="B34" s="38">
        <v>45709</v>
      </c>
      <c r="C34" s="38">
        <v>45708</v>
      </c>
      <c r="D34" t="s">
        <v>2862</v>
      </c>
      <c r="E34" t="s">
        <v>327</v>
      </c>
      <c r="F34" t="s">
        <v>328</v>
      </c>
      <c r="G34">
        <v>50000260</v>
      </c>
      <c r="H34" t="s">
        <v>2753</v>
      </c>
      <c r="I34" t="s">
        <v>2754</v>
      </c>
      <c r="J34">
        <v>1</v>
      </c>
      <c r="K34" t="s">
        <v>37</v>
      </c>
      <c r="L34" t="s">
        <v>98</v>
      </c>
      <c r="M34" t="s">
        <v>73</v>
      </c>
      <c r="N34" t="s">
        <v>73</v>
      </c>
      <c r="O34">
        <v>1</v>
      </c>
      <c r="Q34" t="s">
        <v>2863</v>
      </c>
      <c r="R34" s="38">
        <v>45707</v>
      </c>
      <c r="V34" t="s">
        <v>42</v>
      </c>
      <c r="W34">
        <v>273.58</v>
      </c>
      <c r="X34">
        <v>273.58</v>
      </c>
    </row>
    <row r="35" spans="1:24">
      <c r="A35" t="s">
        <v>2861</v>
      </c>
      <c r="B35" s="38">
        <v>45709</v>
      </c>
      <c r="C35" s="38">
        <v>45708</v>
      </c>
      <c r="D35" t="s">
        <v>2862</v>
      </c>
      <c r="E35" t="s">
        <v>327</v>
      </c>
      <c r="F35" t="s">
        <v>328</v>
      </c>
      <c r="G35">
        <v>50000260</v>
      </c>
      <c r="H35" t="s">
        <v>1876</v>
      </c>
      <c r="I35" t="s">
        <v>2752</v>
      </c>
      <c r="J35">
        <v>3</v>
      </c>
      <c r="K35" t="s">
        <v>269</v>
      </c>
      <c r="L35" t="s">
        <v>98</v>
      </c>
      <c r="M35" t="s">
        <v>39</v>
      </c>
      <c r="N35" t="s">
        <v>2607</v>
      </c>
      <c r="O35">
        <v>0</v>
      </c>
      <c r="P35" t="s">
        <v>481</v>
      </c>
      <c r="Q35" t="s">
        <v>37</v>
      </c>
      <c r="V35" t="s">
        <v>42</v>
      </c>
      <c r="W35">
        <v>80.180000000000007</v>
      </c>
      <c r="X35">
        <v>240.54000000000002</v>
      </c>
    </row>
    <row r="36" spans="1:24">
      <c r="A36" t="s">
        <v>2864</v>
      </c>
      <c r="B36" s="38">
        <v>45709</v>
      </c>
      <c r="C36" s="38">
        <v>45708</v>
      </c>
      <c r="D36" t="s">
        <v>2865</v>
      </c>
      <c r="E36" t="s">
        <v>94</v>
      </c>
      <c r="F36" t="s">
        <v>95</v>
      </c>
      <c r="G36">
        <v>60002072</v>
      </c>
      <c r="H36" t="s">
        <v>1510</v>
      </c>
      <c r="I36" t="s">
        <v>2836</v>
      </c>
      <c r="J36">
        <v>1</v>
      </c>
      <c r="K36" t="s">
        <v>269</v>
      </c>
      <c r="L36" t="s">
        <v>441</v>
      </c>
      <c r="M36" t="s">
        <v>39</v>
      </c>
      <c r="N36" t="s">
        <v>2607</v>
      </c>
      <c r="O36">
        <v>0</v>
      </c>
      <c r="Q36" t="s">
        <v>2837</v>
      </c>
      <c r="W36">
        <v>2531.29</v>
      </c>
      <c r="X36">
        <v>2531.29</v>
      </c>
    </row>
    <row r="37" spans="1:24">
      <c r="A37" t="s">
        <v>2866</v>
      </c>
      <c r="B37" s="38">
        <v>45708</v>
      </c>
      <c r="C37" s="38">
        <v>45708</v>
      </c>
      <c r="D37" t="s">
        <v>2867</v>
      </c>
      <c r="E37" t="s">
        <v>541</v>
      </c>
      <c r="F37" t="s">
        <v>542</v>
      </c>
      <c r="G37">
        <v>61000037</v>
      </c>
      <c r="H37" t="s">
        <v>2799</v>
      </c>
      <c r="I37" t="s">
        <v>2868</v>
      </c>
      <c r="J37">
        <v>1</v>
      </c>
      <c r="K37" t="s">
        <v>269</v>
      </c>
      <c r="L37" t="s">
        <v>72</v>
      </c>
      <c r="M37" t="s">
        <v>39</v>
      </c>
      <c r="N37" t="s">
        <v>2607</v>
      </c>
      <c r="O37">
        <v>0</v>
      </c>
      <c r="Q37" t="s">
        <v>2869</v>
      </c>
      <c r="W37">
        <v>60590.21</v>
      </c>
      <c r="X37">
        <v>60590.21</v>
      </c>
    </row>
    <row r="38" spans="1:24">
      <c r="A38" t="s">
        <v>2870</v>
      </c>
      <c r="B38" s="38">
        <v>45708</v>
      </c>
      <c r="C38" s="38">
        <v>45707</v>
      </c>
      <c r="D38" t="s">
        <v>2871</v>
      </c>
      <c r="E38" t="s">
        <v>1322</v>
      </c>
      <c r="F38" t="s">
        <v>328</v>
      </c>
      <c r="G38">
        <v>50000202</v>
      </c>
      <c r="H38" t="s">
        <v>201</v>
      </c>
      <c r="I38" t="s">
        <v>2751</v>
      </c>
      <c r="J38">
        <v>1</v>
      </c>
      <c r="K38" t="s">
        <v>37</v>
      </c>
      <c r="L38" t="s">
        <v>72</v>
      </c>
      <c r="M38" t="s">
        <v>73</v>
      </c>
      <c r="N38" t="s">
        <v>73</v>
      </c>
      <c r="O38">
        <v>1</v>
      </c>
      <c r="Q38" t="s">
        <v>2606</v>
      </c>
      <c r="R38" s="38">
        <v>45699</v>
      </c>
      <c r="V38" t="s">
        <v>2872</v>
      </c>
      <c r="W38">
        <v>1721.28</v>
      </c>
      <c r="X38">
        <v>1721.28</v>
      </c>
    </row>
    <row r="39" spans="1:24">
      <c r="A39" t="s">
        <v>2873</v>
      </c>
      <c r="B39" s="38">
        <v>45708</v>
      </c>
      <c r="C39" s="38">
        <v>45707</v>
      </c>
      <c r="D39" t="s">
        <v>2874</v>
      </c>
      <c r="E39" t="s">
        <v>125</v>
      </c>
      <c r="F39" t="s">
        <v>34</v>
      </c>
      <c r="G39">
        <v>50110193</v>
      </c>
      <c r="H39" t="s">
        <v>2749</v>
      </c>
      <c r="I39" t="s">
        <v>2750</v>
      </c>
      <c r="J39">
        <v>1</v>
      </c>
      <c r="K39" t="s">
        <v>37</v>
      </c>
      <c r="L39" t="s">
        <v>72</v>
      </c>
      <c r="M39" t="s">
        <v>73</v>
      </c>
      <c r="N39" t="s">
        <v>73</v>
      </c>
      <c r="O39">
        <v>1</v>
      </c>
      <c r="Q39" t="s">
        <v>37</v>
      </c>
      <c r="R39" s="38">
        <v>45708</v>
      </c>
      <c r="V39" t="s">
        <v>42</v>
      </c>
      <c r="W39">
        <v>85.17</v>
      </c>
      <c r="X39">
        <v>85.17</v>
      </c>
    </row>
    <row r="40" spans="1:24">
      <c r="A40" t="s">
        <v>2873</v>
      </c>
      <c r="B40" s="38">
        <v>45708</v>
      </c>
      <c r="C40" s="38">
        <v>45707</v>
      </c>
      <c r="D40" t="s">
        <v>2874</v>
      </c>
      <c r="E40" t="s">
        <v>125</v>
      </c>
      <c r="F40" t="s">
        <v>34</v>
      </c>
      <c r="G40">
        <v>50110193</v>
      </c>
      <c r="H40" t="s">
        <v>1051</v>
      </c>
      <c r="I40" t="s">
        <v>1052</v>
      </c>
      <c r="J40">
        <v>1</v>
      </c>
      <c r="K40" t="s">
        <v>37</v>
      </c>
      <c r="L40" t="s">
        <v>72</v>
      </c>
      <c r="M40" t="s">
        <v>39</v>
      </c>
      <c r="N40" t="s">
        <v>2607</v>
      </c>
      <c r="O40">
        <v>0</v>
      </c>
      <c r="Q40" t="s">
        <v>37</v>
      </c>
      <c r="V40" t="s">
        <v>42</v>
      </c>
      <c r="W40">
        <v>511.16</v>
      </c>
      <c r="X40">
        <v>511.16</v>
      </c>
    </row>
    <row r="41" spans="1:24">
      <c r="A41" t="s">
        <v>2875</v>
      </c>
      <c r="B41" s="38">
        <v>45708</v>
      </c>
      <c r="C41" s="38">
        <v>45707</v>
      </c>
      <c r="D41" t="s">
        <v>2876</v>
      </c>
      <c r="E41" t="s">
        <v>125</v>
      </c>
      <c r="F41" t="s">
        <v>34</v>
      </c>
      <c r="G41">
        <v>50110193</v>
      </c>
      <c r="H41" t="s">
        <v>2747</v>
      </c>
      <c r="I41" t="s">
        <v>2748</v>
      </c>
      <c r="J41">
        <v>1</v>
      </c>
      <c r="K41" t="s">
        <v>37</v>
      </c>
      <c r="L41" t="s">
        <v>72</v>
      </c>
      <c r="M41" t="s">
        <v>81</v>
      </c>
      <c r="N41" t="s">
        <v>73</v>
      </c>
      <c r="O41">
        <v>1</v>
      </c>
      <c r="Q41" t="s">
        <v>37</v>
      </c>
      <c r="R41" s="38">
        <v>45708</v>
      </c>
      <c r="V41" t="s">
        <v>42</v>
      </c>
      <c r="W41">
        <v>10.19</v>
      </c>
      <c r="X41">
        <v>10.19</v>
      </c>
    </row>
    <row r="42" spans="1:24">
      <c r="A42" t="s">
        <v>2877</v>
      </c>
      <c r="B42" s="38">
        <v>45708</v>
      </c>
      <c r="C42" s="38">
        <v>45707</v>
      </c>
      <c r="D42" t="s">
        <v>2878</v>
      </c>
      <c r="E42" t="s">
        <v>101</v>
      </c>
      <c r="F42" t="s">
        <v>102</v>
      </c>
      <c r="G42">
        <v>51000323</v>
      </c>
      <c r="H42" t="s">
        <v>335</v>
      </c>
      <c r="I42" t="s">
        <v>2746</v>
      </c>
      <c r="J42">
        <v>2</v>
      </c>
      <c r="K42" t="s">
        <v>37</v>
      </c>
      <c r="L42" t="s">
        <v>72</v>
      </c>
      <c r="M42" t="s">
        <v>81</v>
      </c>
      <c r="N42" t="s">
        <v>73</v>
      </c>
      <c r="O42">
        <v>2</v>
      </c>
      <c r="Q42" t="s">
        <v>37</v>
      </c>
      <c r="R42" s="38">
        <v>45707</v>
      </c>
      <c r="V42" t="s">
        <v>42</v>
      </c>
      <c r="W42">
        <v>17.28</v>
      </c>
      <c r="X42">
        <v>34.56</v>
      </c>
    </row>
    <row r="43" spans="1:24">
      <c r="A43" t="s">
        <v>2877</v>
      </c>
      <c r="B43" s="38">
        <v>45708</v>
      </c>
      <c r="C43" s="38">
        <v>45707</v>
      </c>
      <c r="D43" t="s">
        <v>2878</v>
      </c>
      <c r="E43" t="s">
        <v>101</v>
      </c>
      <c r="F43" t="s">
        <v>102</v>
      </c>
      <c r="G43">
        <v>51000323</v>
      </c>
      <c r="H43" t="s">
        <v>2259</v>
      </c>
      <c r="I43" t="s">
        <v>2745</v>
      </c>
      <c r="J43">
        <v>1</v>
      </c>
      <c r="K43" t="s">
        <v>37</v>
      </c>
      <c r="L43" t="s">
        <v>72</v>
      </c>
      <c r="M43" t="s">
        <v>39</v>
      </c>
      <c r="N43" t="s">
        <v>2607</v>
      </c>
      <c r="O43">
        <v>0</v>
      </c>
      <c r="Q43" t="s">
        <v>37</v>
      </c>
      <c r="V43" t="s">
        <v>42</v>
      </c>
      <c r="W43">
        <v>7.35</v>
      </c>
      <c r="X43">
        <v>7.35</v>
      </c>
    </row>
    <row r="44" spans="1:24">
      <c r="A44" t="s">
        <v>2879</v>
      </c>
      <c r="B44" s="38">
        <v>45708</v>
      </c>
      <c r="C44" s="38">
        <v>45708</v>
      </c>
      <c r="D44" t="s">
        <v>2880</v>
      </c>
      <c r="E44" t="s">
        <v>298</v>
      </c>
      <c r="F44" t="s">
        <v>2881</v>
      </c>
      <c r="G44">
        <v>43000422</v>
      </c>
      <c r="H44" t="s">
        <v>2744</v>
      </c>
      <c r="I44" t="s">
        <v>1850</v>
      </c>
      <c r="J44">
        <v>1</v>
      </c>
      <c r="K44" t="s">
        <v>37</v>
      </c>
      <c r="L44" t="s">
        <v>72</v>
      </c>
      <c r="M44" t="s">
        <v>73</v>
      </c>
      <c r="N44" t="s">
        <v>73</v>
      </c>
      <c r="O44">
        <v>1</v>
      </c>
      <c r="P44" t="s">
        <v>587</v>
      </c>
      <c r="Q44" t="s">
        <v>37</v>
      </c>
      <c r="R44" s="38">
        <v>45693</v>
      </c>
      <c r="V44" t="s">
        <v>2882</v>
      </c>
      <c r="W44">
        <v>79.989999999999995</v>
      </c>
      <c r="X44">
        <v>79.989999999999995</v>
      </c>
    </row>
    <row r="45" spans="1:24">
      <c r="A45" t="s">
        <v>2883</v>
      </c>
      <c r="B45" s="38">
        <v>45707</v>
      </c>
      <c r="E45" t="s">
        <v>125</v>
      </c>
      <c r="F45" t="s">
        <v>34</v>
      </c>
      <c r="G45">
        <v>50110193</v>
      </c>
      <c r="H45" t="s">
        <v>2884</v>
      </c>
      <c r="I45" t="s">
        <v>2885</v>
      </c>
      <c r="J45">
        <v>1</v>
      </c>
      <c r="M45" t="s">
        <v>289</v>
      </c>
      <c r="N45" t="s">
        <v>289</v>
      </c>
      <c r="O45">
        <v>0</v>
      </c>
      <c r="Q45" t="s">
        <v>37</v>
      </c>
      <c r="W45">
        <v>1099.46</v>
      </c>
      <c r="X45">
        <v>1099.46</v>
      </c>
    </row>
    <row r="46" spans="1:24">
      <c r="A46" t="s">
        <v>2886</v>
      </c>
      <c r="B46" s="38">
        <v>45707</v>
      </c>
      <c r="C46" s="38">
        <v>45707</v>
      </c>
      <c r="D46" t="s">
        <v>2887</v>
      </c>
      <c r="E46" t="s">
        <v>134</v>
      </c>
      <c r="F46" t="s">
        <v>145</v>
      </c>
      <c r="G46">
        <v>48000432</v>
      </c>
      <c r="H46" t="s">
        <v>513</v>
      </c>
      <c r="I46" t="s">
        <v>2293</v>
      </c>
      <c r="J46">
        <v>1</v>
      </c>
      <c r="K46" t="s">
        <v>37</v>
      </c>
      <c r="L46" t="s">
        <v>72</v>
      </c>
      <c r="M46" t="s">
        <v>73</v>
      </c>
      <c r="N46" t="s">
        <v>73</v>
      </c>
      <c r="O46">
        <v>1</v>
      </c>
      <c r="Q46" t="s">
        <v>2606</v>
      </c>
      <c r="R46" s="38">
        <v>45700</v>
      </c>
      <c r="V46" t="s">
        <v>2888</v>
      </c>
      <c r="W46">
        <v>453.02</v>
      </c>
      <c r="X46">
        <v>453.02</v>
      </c>
    </row>
    <row r="47" spans="1:24">
      <c r="A47" t="s">
        <v>2889</v>
      </c>
      <c r="B47" s="38">
        <v>45707</v>
      </c>
      <c r="C47" s="38">
        <v>45707</v>
      </c>
      <c r="D47" t="s">
        <v>2890</v>
      </c>
      <c r="E47" t="s">
        <v>125</v>
      </c>
      <c r="F47" t="s">
        <v>34</v>
      </c>
      <c r="G47">
        <v>50110193</v>
      </c>
      <c r="H47" t="s">
        <v>430</v>
      </c>
      <c r="I47" t="s">
        <v>431</v>
      </c>
      <c r="J47">
        <v>1</v>
      </c>
      <c r="K47" t="s">
        <v>37</v>
      </c>
      <c r="L47" t="s">
        <v>72</v>
      </c>
      <c r="M47" t="s">
        <v>73</v>
      </c>
      <c r="N47" t="s">
        <v>73</v>
      </c>
      <c r="O47">
        <v>1</v>
      </c>
      <c r="Q47" t="s">
        <v>37</v>
      </c>
      <c r="R47" s="38">
        <v>45701</v>
      </c>
      <c r="V47" t="s">
        <v>42</v>
      </c>
      <c r="W47">
        <v>125.99</v>
      </c>
      <c r="X47">
        <v>125.99</v>
      </c>
    </row>
    <row r="48" spans="1:24">
      <c r="A48" t="s">
        <v>2891</v>
      </c>
      <c r="B48" s="38">
        <v>45707</v>
      </c>
      <c r="C48" s="38">
        <v>45339</v>
      </c>
      <c r="D48" t="s">
        <v>2892</v>
      </c>
      <c r="E48" t="s">
        <v>1945</v>
      </c>
      <c r="F48" t="s">
        <v>34</v>
      </c>
      <c r="G48" t="s">
        <v>2658</v>
      </c>
      <c r="H48" t="s">
        <v>2742</v>
      </c>
      <c r="I48" t="s">
        <v>2743</v>
      </c>
      <c r="J48">
        <v>1</v>
      </c>
      <c r="K48" t="s">
        <v>37</v>
      </c>
      <c r="L48" t="s">
        <v>251</v>
      </c>
      <c r="M48" t="s">
        <v>73</v>
      </c>
      <c r="N48" t="s">
        <v>73</v>
      </c>
      <c r="O48">
        <v>1</v>
      </c>
      <c r="P48" t="s">
        <v>2893</v>
      </c>
      <c r="Q48" t="s">
        <v>2606</v>
      </c>
      <c r="R48" s="38">
        <v>45692</v>
      </c>
      <c r="V48" t="s">
        <v>42</v>
      </c>
      <c r="W48">
        <v>6075.1</v>
      </c>
      <c r="X48">
        <v>6075.1</v>
      </c>
    </row>
    <row r="49" spans="1:24">
      <c r="A49" t="s">
        <v>2894</v>
      </c>
      <c r="B49" s="38">
        <v>45707</v>
      </c>
      <c r="C49" s="38">
        <v>45705</v>
      </c>
      <c r="D49" t="s">
        <v>2895</v>
      </c>
      <c r="E49" t="s">
        <v>915</v>
      </c>
      <c r="F49" t="s">
        <v>140</v>
      </c>
      <c r="G49">
        <v>48300375</v>
      </c>
      <c r="H49" t="s">
        <v>446</v>
      </c>
      <c r="I49" t="s">
        <v>2741</v>
      </c>
      <c r="J49">
        <v>1</v>
      </c>
      <c r="K49" t="s">
        <v>37</v>
      </c>
      <c r="L49" t="s">
        <v>38</v>
      </c>
      <c r="M49" t="s">
        <v>73</v>
      </c>
      <c r="N49" t="s">
        <v>73</v>
      </c>
      <c r="O49">
        <v>1</v>
      </c>
      <c r="Q49" t="s">
        <v>2606</v>
      </c>
      <c r="R49" s="38">
        <v>45636</v>
      </c>
      <c r="V49" t="s">
        <v>2896</v>
      </c>
      <c r="W49">
        <v>431.82</v>
      </c>
      <c r="X49">
        <v>431.82</v>
      </c>
    </row>
    <row r="50" spans="1:24">
      <c r="A50" t="s">
        <v>2897</v>
      </c>
      <c r="B50" s="38">
        <v>45707</v>
      </c>
      <c r="C50" s="38">
        <v>45705</v>
      </c>
      <c r="D50" t="s">
        <v>2898</v>
      </c>
      <c r="E50" t="s">
        <v>1322</v>
      </c>
      <c r="F50" t="s">
        <v>328</v>
      </c>
      <c r="G50">
        <v>50000202</v>
      </c>
      <c r="H50" t="s">
        <v>2739</v>
      </c>
      <c r="I50" t="s">
        <v>2740</v>
      </c>
      <c r="J50">
        <v>1</v>
      </c>
      <c r="K50" t="s">
        <v>37</v>
      </c>
      <c r="L50" t="s">
        <v>122</v>
      </c>
      <c r="M50" t="s">
        <v>73</v>
      </c>
      <c r="N50" t="s">
        <v>73</v>
      </c>
      <c r="O50">
        <v>1</v>
      </c>
      <c r="P50" t="s">
        <v>2899</v>
      </c>
      <c r="Q50" t="s">
        <v>2606</v>
      </c>
      <c r="R50" s="38">
        <v>45705</v>
      </c>
      <c r="V50" t="s">
        <v>2872</v>
      </c>
      <c r="W50">
        <v>826.34</v>
      </c>
      <c r="X50">
        <v>826.34</v>
      </c>
    </row>
    <row r="51" spans="1:24">
      <c r="A51" t="s">
        <v>2900</v>
      </c>
      <c r="B51" s="38">
        <v>45707</v>
      </c>
      <c r="C51" s="38">
        <v>45705</v>
      </c>
      <c r="D51" t="s">
        <v>2901</v>
      </c>
      <c r="E51" t="s">
        <v>94</v>
      </c>
      <c r="F51" t="s">
        <v>95</v>
      </c>
      <c r="G51">
        <v>60002072</v>
      </c>
      <c r="H51" t="s">
        <v>1154</v>
      </c>
      <c r="I51" t="s">
        <v>2738</v>
      </c>
      <c r="J51">
        <v>1</v>
      </c>
      <c r="K51" t="s">
        <v>37</v>
      </c>
      <c r="L51" t="s">
        <v>441</v>
      </c>
      <c r="M51" t="s">
        <v>73</v>
      </c>
      <c r="N51" t="s">
        <v>73</v>
      </c>
      <c r="O51">
        <v>1</v>
      </c>
      <c r="Q51" t="s">
        <v>2808</v>
      </c>
      <c r="R51" s="38">
        <v>45693</v>
      </c>
      <c r="W51">
        <v>359.28</v>
      </c>
      <c r="X51">
        <v>359.28</v>
      </c>
    </row>
    <row r="52" spans="1:24">
      <c r="A52" t="s">
        <v>2900</v>
      </c>
      <c r="B52" s="38">
        <v>45707</v>
      </c>
      <c r="C52" s="38">
        <v>45705</v>
      </c>
      <c r="D52" t="s">
        <v>2901</v>
      </c>
      <c r="E52" t="s">
        <v>94</v>
      </c>
      <c r="F52" t="s">
        <v>95</v>
      </c>
      <c r="G52">
        <v>60002072</v>
      </c>
      <c r="H52" t="s">
        <v>517</v>
      </c>
      <c r="I52" t="s">
        <v>2737</v>
      </c>
      <c r="J52">
        <v>1</v>
      </c>
      <c r="K52" t="s">
        <v>37</v>
      </c>
      <c r="L52" t="s">
        <v>441</v>
      </c>
      <c r="M52" t="s">
        <v>73</v>
      </c>
      <c r="N52" t="s">
        <v>73</v>
      </c>
      <c r="O52">
        <v>1</v>
      </c>
      <c r="Q52" t="s">
        <v>37</v>
      </c>
      <c r="R52" s="38">
        <v>45693</v>
      </c>
      <c r="W52">
        <v>77.98</v>
      </c>
      <c r="X52">
        <v>77.98</v>
      </c>
    </row>
    <row r="53" spans="1:24">
      <c r="A53" t="s">
        <v>2902</v>
      </c>
      <c r="B53" s="38">
        <v>45706</v>
      </c>
      <c r="E53" t="s">
        <v>777</v>
      </c>
      <c r="F53" t="s">
        <v>2849</v>
      </c>
      <c r="G53">
        <v>51000129</v>
      </c>
      <c r="H53" t="s">
        <v>2903</v>
      </c>
      <c r="I53" t="s">
        <v>2904</v>
      </c>
      <c r="J53">
        <v>1</v>
      </c>
      <c r="M53" t="s">
        <v>289</v>
      </c>
      <c r="N53" t="s">
        <v>289</v>
      </c>
      <c r="O53">
        <v>0</v>
      </c>
      <c r="Q53" t="s">
        <v>37</v>
      </c>
      <c r="W53">
        <v>5.52</v>
      </c>
      <c r="X53">
        <v>5.52</v>
      </c>
    </row>
    <row r="54" spans="1:24">
      <c r="A54" t="s">
        <v>2905</v>
      </c>
      <c r="B54" s="38">
        <v>45706</v>
      </c>
      <c r="C54" s="38">
        <v>45698</v>
      </c>
      <c r="D54" t="s">
        <v>2906</v>
      </c>
      <c r="E54" t="s">
        <v>2735</v>
      </c>
      <c r="F54" t="s">
        <v>304</v>
      </c>
      <c r="G54">
        <v>47200115</v>
      </c>
      <c r="H54" t="s">
        <v>183</v>
      </c>
      <c r="I54" t="s">
        <v>2736</v>
      </c>
      <c r="J54">
        <v>1</v>
      </c>
      <c r="K54" t="s">
        <v>37</v>
      </c>
      <c r="L54" t="s">
        <v>1477</v>
      </c>
      <c r="M54" t="s">
        <v>73</v>
      </c>
      <c r="N54" t="s">
        <v>73</v>
      </c>
      <c r="O54">
        <v>1</v>
      </c>
      <c r="Q54" t="s">
        <v>2808</v>
      </c>
      <c r="R54" s="38">
        <v>45642</v>
      </c>
      <c r="V54" t="s">
        <v>2907</v>
      </c>
      <c r="W54">
        <v>1317.91</v>
      </c>
      <c r="X54">
        <v>1317.91</v>
      </c>
    </row>
    <row r="55" spans="1:24">
      <c r="A55" t="s">
        <v>2908</v>
      </c>
      <c r="B55" s="38">
        <v>45701</v>
      </c>
      <c r="C55" s="38">
        <v>45700</v>
      </c>
      <c r="D55" t="s">
        <v>2909</v>
      </c>
      <c r="E55" t="s">
        <v>33</v>
      </c>
      <c r="F55" t="s">
        <v>95</v>
      </c>
      <c r="G55">
        <v>60002095</v>
      </c>
      <c r="H55" t="s">
        <v>1172</v>
      </c>
      <c r="I55" t="s">
        <v>2734</v>
      </c>
      <c r="J55">
        <v>1</v>
      </c>
      <c r="K55" t="s">
        <v>37</v>
      </c>
      <c r="L55" t="s">
        <v>122</v>
      </c>
      <c r="M55" t="s">
        <v>73</v>
      </c>
      <c r="N55" t="s">
        <v>73</v>
      </c>
      <c r="O55">
        <v>1</v>
      </c>
      <c r="Q55" t="s">
        <v>2606</v>
      </c>
      <c r="R55" s="38">
        <v>45701</v>
      </c>
      <c r="V55" t="s">
        <v>42</v>
      </c>
      <c r="W55">
        <v>1172.56</v>
      </c>
      <c r="X55">
        <v>1172.56</v>
      </c>
    </row>
    <row r="56" spans="1:24">
      <c r="A56" t="s">
        <v>2910</v>
      </c>
      <c r="B56" s="38">
        <v>45699</v>
      </c>
      <c r="C56" s="38">
        <v>45691</v>
      </c>
      <c r="D56" t="s">
        <v>2911</v>
      </c>
      <c r="E56" t="s">
        <v>333</v>
      </c>
      <c r="F56" t="s">
        <v>334</v>
      </c>
      <c r="G56">
        <v>50300097</v>
      </c>
      <c r="H56" t="s">
        <v>1267</v>
      </c>
      <c r="I56" t="s">
        <v>2733</v>
      </c>
      <c r="J56">
        <v>1</v>
      </c>
      <c r="K56" t="s">
        <v>37</v>
      </c>
      <c r="L56" t="s">
        <v>1372</v>
      </c>
      <c r="M56" t="s">
        <v>39</v>
      </c>
      <c r="N56" t="s">
        <v>73</v>
      </c>
      <c r="O56">
        <v>1</v>
      </c>
      <c r="Q56" t="s">
        <v>37</v>
      </c>
      <c r="R56" s="38">
        <v>45691</v>
      </c>
      <c r="V56" t="s">
        <v>2912</v>
      </c>
      <c r="W56">
        <v>83.29</v>
      </c>
      <c r="X56">
        <v>83.29</v>
      </c>
    </row>
    <row r="57" spans="1:24">
      <c r="A57" t="s">
        <v>2913</v>
      </c>
      <c r="B57" s="38">
        <v>45698</v>
      </c>
      <c r="C57" s="38">
        <v>45698</v>
      </c>
      <c r="D57" t="s">
        <v>2914</v>
      </c>
      <c r="E57" t="s">
        <v>345</v>
      </c>
      <c r="F57" t="s">
        <v>34</v>
      </c>
      <c r="G57">
        <v>50110229</v>
      </c>
      <c r="H57" t="s">
        <v>866</v>
      </c>
      <c r="I57" t="s">
        <v>2732</v>
      </c>
      <c r="J57">
        <v>1</v>
      </c>
      <c r="K57" t="s">
        <v>269</v>
      </c>
      <c r="L57" t="s">
        <v>72</v>
      </c>
      <c r="M57" t="s">
        <v>39</v>
      </c>
      <c r="N57" t="s">
        <v>2607</v>
      </c>
      <c r="O57">
        <v>0</v>
      </c>
      <c r="Q57" t="s">
        <v>37</v>
      </c>
      <c r="V57" t="s">
        <v>42</v>
      </c>
      <c r="W57">
        <v>248.73</v>
      </c>
      <c r="X57">
        <v>248.73</v>
      </c>
    </row>
    <row r="58" spans="1:24">
      <c r="A58" t="s">
        <v>2915</v>
      </c>
      <c r="B58" s="38">
        <v>45698</v>
      </c>
      <c r="C58" s="38">
        <v>45698</v>
      </c>
      <c r="D58" t="s">
        <v>2916</v>
      </c>
      <c r="E58" t="s">
        <v>33</v>
      </c>
      <c r="F58" t="s">
        <v>34</v>
      </c>
      <c r="G58">
        <v>50110372</v>
      </c>
      <c r="H58" t="s">
        <v>329</v>
      </c>
      <c r="I58" t="s">
        <v>346</v>
      </c>
      <c r="J58">
        <v>1</v>
      </c>
      <c r="K58" t="s">
        <v>37</v>
      </c>
      <c r="L58" t="s">
        <v>72</v>
      </c>
      <c r="M58" t="s">
        <v>73</v>
      </c>
      <c r="N58" t="s">
        <v>73</v>
      </c>
      <c r="O58">
        <v>1</v>
      </c>
      <c r="Q58" t="s">
        <v>37</v>
      </c>
      <c r="R58" s="38">
        <v>45695</v>
      </c>
      <c r="V58" t="s">
        <v>42</v>
      </c>
      <c r="W58">
        <v>49.81</v>
      </c>
      <c r="X58">
        <v>49.81</v>
      </c>
    </row>
    <row r="59" spans="1:24">
      <c r="A59" t="s">
        <v>2917</v>
      </c>
      <c r="B59" s="38">
        <v>45698</v>
      </c>
      <c r="C59" s="38">
        <v>45698</v>
      </c>
      <c r="D59" t="s">
        <v>2918</v>
      </c>
      <c r="E59" t="s">
        <v>915</v>
      </c>
      <c r="F59" t="s">
        <v>140</v>
      </c>
      <c r="G59">
        <v>48300375</v>
      </c>
      <c r="H59" t="s">
        <v>2730</v>
      </c>
      <c r="I59" t="s">
        <v>2731</v>
      </c>
      <c r="J59">
        <v>1</v>
      </c>
      <c r="K59" t="s">
        <v>37</v>
      </c>
      <c r="L59" t="s">
        <v>72</v>
      </c>
      <c r="M59" t="s">
        <v>39</v>
      </c>
      <c r="N59" t="s">
        <v>2607</v>
      </c>
      <c r="O59">
        <v>0</v>
      </c>
      <c r="Q59" t="s">
        <v>37</v>
      </c>
      <c r="W59">
        <v>16.329999999999998</v>
      </c>
      <c r="X59">
        <v>16.329999999999998</v>
      </c>
    </row>
    <row r="60" spans="1:24">
      <c r="A60" t="s">
        <v>2919</v>
      </c>
      <c r="B60" s="38">
        <v>45698</v>
      </c>
      <c r="C60" s="38">
        <v>45692</v>
      </c>
      <c r="D60" t="s">
        <v>2920</v>
      </c>
      <c r="E60" t="s">
        <v>33</v>
      </c>
      <c r="F60" t="s">
        <v>328</v>
      </c>
      <c r="G60">
        <v>50000343</v>
      </c>
      <c r="H60" t="s">
        <v>70</v>
      </c>
      <c r="I60" t="s">
        <v>352</v>
      </c>
      <c r="J60">
        <v>1</v>
      </c>
      <c r="K60" t="s">
        <v>37</v>
      </c>
      <c r="L60" t="s">
        <v>72</v>
      </c>
      <c r="M60" t="s">
        <v>81</v>
      </c>
      <c r="N60" t="s">
        <v>81</v>
      </c>
      <c r="O60">
        <v>1</v>
      </c>
      <c r="Q60" t="s">
        <v>37</v>
      </c>
      <c r="R60" s="38">
        <v>45698</v>
      </c>
      <c r="V60" t="s">
        <v>42</v>
      </c>
      <c r="W60">
        <v>35.19</v>
      </c>
      <c r="X60">
        <v>35.19</v>
      </c>
    </row>
    <row r="61" spans="1:24">
      <c r="A61" t="s">
        <v>2921</v>
      </c>
      <c r="B61" s="38">
        <v>45695</v>
      </c>
      <c r="C61" s="38">
        <v>45694</v>
      </c>
      <c r="D61" t="s">
        <v>2922</v>
      </c>
      <c r="E61" t="s">
        <v>2726</v>
      </c>
      <c r="F61" t="s">
        <v>186</v>
      </c>
      <c r="G61">
        <v>44000321</v>
      </c>
      <c r="H61" t="s">
        <v>1037</v>
      </c>
      <c r="I61" t="s">
        <v>2729</v>
      </c>
      <c r="J61">
        <v>1</v>
      </c>
      <c r="K61" t="s">
        <v>37</v>
      </c>
      <c r="L61" t="s">
        <v>1108</v>
      </c>
      <c r="M61" t="s">
        <v>73</v>
      </c>
      <c r="N61" t="s">
        <v>73</v>
      </c>
      <c r="O61">
        <v>1</v>
      </c>
      <c r="Q61" t="s">
        <v>37</v>
      </c>
      <c r="R61" s="38">
        <v>45672</v>
      </c>
      <c r="V61" t="s">
        <v>2923</v>
      </c>
      <c r="W61">
        <v>769.19</v>
      </c>
      <c r="X61">
        <v>769.19</v>
      </c>
    </row>
    <row r="62" spans="1:24">
      <c r="A62" t="s">
        <v>2924</v>
      </c>
      <c r="B62" s="38">
        <v>45691</v>
      </c>
      <c r="C62" s="38">
        <v>45688</v>
      </c>
      <c r="D62" t="s">
        <v>2925</v>
      </c>
      <c r="E62" t="s">
        <v>88</v>
      </c>
      <c r="F62" t="s">
        <v>34</v>
      </c>
      <c r="G62">
        <v>50110057</v>
      </c>
      <c r="H62" t="s">
        <v>2701</v>
      </c>
      <c r="I62" t="s">
        <v>2702</v>
      </c>
      <c r="J62">
        <v>1</v>
      </c>
      <c r="K62" t="s">
        <v>37</v>
      </c>
      <c r="L62" t="s">
        <v>122</v>
      </c>
      <c r="M62" t="s">
        <v>81</v>
      </c>
      <c r="N62" t="s">
        <v>81</v>
      </c>
      <c r="O62">
        <v>1</v>
      </c>
      <c r="Q62" t="s">
        <v>2817</v>
      </c>
      <c r="V62" t="s">
        <v>42</v>
      </c>
      <c r="W62">
        <v>15.33</v>
      </c>
      <c r="X62">
        <v>15.33</v>
      </c>
    </row>
    <row r="63" spans="1:24">
      <c r="A63" t="s">
        <v>2926</v>
      </c>
      <c r="B63" s="38">
        <v>45691</v>
      </c>
      <c r="C63" s="38">
        <v>45688</v>
      </c>
      <c r="D63" t="s">
        <v>2927</v>
      </c>
      <c r="E63" t="s">
        <v>298</v>
      </c>
      <c r="F63" t="s">
        <v>2881</v>
      </c>
      <c r="G63">
        <v>43000422</v>
      </c>
      <c r="H63" t="s">
        <v>2529</v>
      </c>
      <c r="I63" t="s">
        <v>2703</v>
      </c>
      <c r="J63">
        <v>1</v>
      </c>
      <c r="K63" t="s">
        <v>37</v>
      </c>
      <c r="L63" t="s">
        <v>72</v>
      </c>
      <c r="M63" t="s">
        <v>73</v>
      </c>
      <c r="N63" t="s">
        <v>73</v>
      </c>
      <c r="O63">
        <v>1</v>
      </c>
      <c r="P63" t="s">
        <v>2034</v>
      </c>
      <c r="Q63" t="s">
        <v>2928</v>
      </c>
      <c r="R63" s="38">
        <v>45681</v>
      </c>
      <c r="V63" t="s">
        <v>2929</v>
      </c>
      <c r="W63">
        <v>654.77</v>
      </c>
      <c r="X63">
        <v>654.77</v>
      </c>
    </row>
    <row r="64" spans="1:24">
      <c r="A64" t="s">
        <v>2930</v>
      </c>
      <c r="B64" s="38">
        <v>45691</v>
      </c>
      <c r="C64" s="38">
        <v>45691</v>
      </c>
      <c r="D64" t="s">
        <v>2931</v>
      </c>
      <c r="E64" t="s">
        <v>704</v>
      </c>
      <c r="F64" t="s">
        <v>145</v>
      </c>
      <c r="G64">
        <v>48000482</v>
      </c>
      <c r="H64" t="s">
        <v>1650</v>
      </c>
      <c r="I64" t="s">
        <v>2704</v>
      </c>
      <c r="J64">
        <v>1</v>
      </c>
      <c r="K64" t="s">
        <v>37</v>
      </c>
      <c r="L64" t="s">
        <v>72</v>
      </c>
      <c r="M64" t="s">
        <v>73</v>
      </c>
      <c r="N64" t="s">
        <v>73</v>
      </c>
      <c r="O64">
        <v>1</v>
      </c>
      <c r="P64" t="s">
        <v>1652</v>
      </c>
      <c r="Q64" t="s">
        <v>37</v>
      </c>
      <c r="R64" s="38">
        <v>45691</v>
      </c>
      <c r="V64" t="s">
        <v>2932</v>
      </c>
      <c r="W64">
        <v>159.5</v>
      </c>
      <c r="X64">
        <v>159.5</v>
      </c>
    </row>
    <row r="65" spans="1:24">
      <c r="A65" t="s">
        <v>2933</v>
      </c>
      <c r="B65" s="38">
        <v>45691</v>
      </c>
      <c r="C65" s="38">
        <v>45691</v>
      </c>
      <c r="D65" t="s">
        <v>2934</v>
      </c>
      <c r="E65" t="s">
        <v>704</v>
      </c>
      <c r="F65" t="s">
        <v>145</v>
      </c>
      <c r="G65">
        <v>48000482</v>
      </c>
      <c r="H65" t="s">
        <v>446</v>
      </c>
      <c r="I65" t="s">
        <v>509</v>
      </c>
      <c r="J65">
        <v>1</v>
      </c>
      <c r="K65" t="s">
        <v>37</v>
      </c>
      <c r="L65" t="s">
        <v>72</v>
      </c>
      <c r="M65" t="s">
        <v>73</v>
      </c>
      <c r="N65" t="s">
        <v>73</v>
      </c>
      <c r="O65">
        <v>1</v>
      </c>
      <c r="Q65" t="s">
        <v>2606</v>
      </c>
      <c r="R65" s="38">
        <v>45672</v>
      </c>
      <c r="V65" t="s">
        <v>2935</v>
      </c>
      <c r="W65">
        <v>431.82</v>
      </c>
      <c r="X65">
        <v>431.82</v>
      </c>
    </row>
    <row r="66" spans="1:24">
      <c r="A66" t="s">
        <v>2936</v>
      </c>
      <c r="B66" s="38">
        <v>45691</v>
      </c>
      <c r="C66" s="38">
        <v>45691</v>
      </c>
      <c r="D66" t="s">
        <v>2937</v>
      </c>
      <c r="E66" t="s">
        <v>365</v>
      </c>
      <c r="F66" t="s">
        <v>328</v>
      </c>
      <c r="G66">
        <v>50000530</v>
      </c>
      <c r="H66" t="s">
        <v>1064</v>
      </c>
      <c r="I66" t="s">
        <v>2705</v>
      </c>
      <c r="J66">
        <v>1</v>
      </c>
      <c r="K66" t="s">
        <v>269</v>
      </c>
      <c r="L66" t="s">
        <v>1372</v>
      </c>
      <c r="M66" t="s">
        <v>73</v>
      </c>
      <c r="N66" t="s">
        <v>73</v>
      </c>
      <c r="O66">
        <v>1</v>
      </c>
      <c r="Q66" t="s">
        <v>2938</v>
      </c>
      <c r="R66" s="38">
        <v>45688</v>
      </c>
      <c r="V66" t="s">
        <v>2939</v>
      </c>
      <c r="W66">
        <v>396.84</v>
      </c>
      <c r="X66">
        <v>396.84</v>
      </c>
    </row>
    <row r="67" spans="1:24">
      <c r="A67" t="s">
        <v>2940</v>
      </c>
      <c r="B67" s="38">
        <v>45691</v>
      </c>
      <c r="C67" s="38">
        <v>45691</v>
      </c>
      <c r="D67" t="s">
        <v>2941</v>
      </c>
      <c r="E67" t="s">
        <v>365</v>
      </c>
      <c r="F67" t="s">
        <v>328</v>
      </c>
      <c r="G67">
        <v>50000530</v>
      </c>
      <c r="H67" t="s">
        <v>70</v>
      </c>
      <c r="I67" t="s">
        <v>352</v>
      </c>
      <c r="J67">
        <v>1</v>
      </c>
      <c r="K67" t="s">
        <v>37</v>
      </c>
      <c r="L67" t="s">
        <v>72</v>
      </c>
      <c r="M67" t="s">
        <v>73</v>
      </c>
      <c r="N67" t="s">
        <v>73</v>
      </c>
      <c r="O67">
        <v>1</v>
      </c>
      <c r="Q67" t="s">
        <v>37</v>
      </c>
      <c r="R67" s="38">
        <v>45688</v>
      </c>
      <c r="V67" t="s">
        <v>2939</v>
      </c>
      <c r="W67">
        <v>35.19</v>
      </c>
      <c r="X67">
        <v>35.19</v>
      </c>
    </row>
    <row r="68" spans="1:24">
      <c r="A68" t="s">
        <v>2942</v>
      </c>
      <c r="B68" s="38">
        <v>45691</v>
      </c>
      <c r="C68" s="38">
        <v>45691</v>
      </c>
      <c r="D68" t="s">
        <v>2943</v>
      </c>
      <c r="E68" t="s">
        <v>1030</v>
      </c>
      <c r="F68" t="s">
        <v>186</v>
      </c>
      <c r="G68">
        <v>44000010</v>
      </c>
      <c r="H68" t="s">
        <v>587</v>
      </c>
      <c r="I68" t="s">
        <v>2706</v>
      </c>
      <c r="J68">
        <v>1</v>
      </c>
      <c r="K68" t="s">
        <v>37</v>
      </c>
      <c r="L68" t="s">
        <v>72</v>
      </c>
      <c r="M68" t="s">
        <v>73</v>
      </c>
      <c r="N68" t="s">
        <v>73</v>
      </c>
      <c r="O68">
        <v>1</v>
      </c>
      <c r="Q68" t="s">
        <v>37</v>
      </c>
      <c r="R68" s="38">
        <v>45705</v>
      </c>
      <c r="V68" t="s">
        <v>2944</v>
      </c>
      <c r="W68">
        <v>79.989999999999995</v>
      </c>
      <c r="X68">
        <v>79.989999999999995</v>
      </c>
    </row>
    <row r="69" spans="1:24">
      <c r="A69" t="s">
        <v>2945</v>
      </c>
      <c r="B69" s="38">
        <v>45691</v>
      </c>
      <c r="C69" s="38">
        <v>45691</v>
      </c>
      <c r="D69" t="s">
        <v>2946</v>
      </c>
      <c r="E69" t="s">
        <v>125</v>
      </c>
      <c r="F69" t="s">
        <v>34</v>
      </c>
      <c r="G69">
        <v>50110193</v>
      </c>
      <c r="H69" t="s">
        <v>813</v>
      </c>
      <c r="I69" t="s">
        <v>2707</v>
      </c>
      <c r="J69">
        <v>1</v>
      </c>
      <c r="K69" t="s">
        <v>37</v>
      </c>
      <c r="L69" t="s">
        <v>72</v>
      </c>
      <c r="M69" t="s">
        <v>81</v>
      </c>
      <c r="N69" t="s">
        <v>81</v>
      </c>
      <c r="O69">
        <v>1</v>
      </c>
      <c r="Q69" t="s">
        <v>37</v>
      </c>
      <c r="R69" s="38">
        <v>45693</v>
      </c>
      <c r="V69" t="s">
        <v>42</v>
      </c>
      <c r="W69">
        <v>37.229999999999997</v>
      </c>
      <c r="X69">
        <v>37.229999999999997</v>
      </c>
    </row>
    <row r="70" spans="1:24">
      <c r="A70" t="s">
        <v>2947</v>
      </c>
      <c r="B70" s="38">
        <v>45692</v>
      </c>
      <c r="C70" s="38">
        <v>45691</v>
      </c>
      <c r="D70" t="s">
        <v>2948</v>
      </c>
      <c r="E70" t="s">
        <v>134</v>
      </c>
      <c r="F70" t="s">
        <v>140</v>
      </c>
      <c r="G70">
        <v>48300301</v>
      </c>
      <c r="H70" t="s">
        <v>803</v>
      </c>
      <c r="I70" t="s">
        <v>804</v>
      </c>
      <c r="J70">
        <v>1</v>
      </c>
      <c r="K70" t="s">
        <v>37</v>
      </c>
      <c r="L70" t="s">
        <v>72</v>
      </c>
      <c r="M70" t="s">
        <v>73</v>
      </c>
      <c r="N70" t="s">
        <v>73</v>
      </c>
      <c r="O70">
        <v>1</v>
      </c>
      <c r="Q70" t="s">
        <v>2606</v>
      </c>
      <c r="R70" s="38">
        <v>45679</v>
      </c>
      <c r="V70" t="s">
        <v>2855</v>
      </c>
      <c r="W70">
        <v>882.69</v>
      </c>
      <c r="X70">
        <v>882.69</v>
      </c>
    </row>
    <row r="71" spans="1:24">
      <c r="A71" t="s">
        <v>2949</v>
      </c>
      <c r="B71" s="38">
        <v>45692</v>
      </c>
      <c r="C71" s="38">
        <v>45691</v>
      </c>
      <c r="D71" t="s">
        <v>2950</v>
      </c>
      <c r="E71" t="s">
        <v>94</v>
      </c>
      <c r="F71" t="s">
        <v>95</v>
      </c>
      <c r="G71">
        <v>60002072</v>
      </c>
      <c r="H71" t="s">
        <v>2708</v>
      </c>
      <c r="I71" t="s">
        <v>742</v>
      </c>
      <c r="J71">
        <v>1</v>
      </c>
      <c r="K71" t="s">
        <v>37</v>
      </c>
      <c r="L71" t="s">
        <v>441</v>
      </c>
      <c r="M71" t="s">
        <v>73</v>
      </c>
      <c r="N71" t="s">
        <v>73</v>
      </c>
      <c r="O71">
        <v>1</v>
      </c>
      <c r="Q71" t="s">
        <v>2606</v>
      </c>
      <c r="R71" s="38">
        <v>45692</v>
      </c>
      <c r="W71">
        <v>886.36</v>
      </c>
      <c r="X71">
        <v>886.36</v>
      </c>
    </row>
    <row r="72" spans="1:24">
      <c r="A72" t="s">
        <v>2951</v>
      </c>
      <c r="B72" s="38">
        <v>45692</v>
      </c>
      <c r="C72" s="38">
        <v>45688</v>
      </c>
      <c r="D72" t="s">
        <v>2952</v>
      </c>
      <c r="E72" t="s">
        <v>33</v>
      </c>
      <c r="F72" t="s">
        <v>328</v>
      </c>
      <c r="G72">
        <v>50000343</v>
      </c>
      <c r="H72" t="s">
        <v>220</v>
      </c>
      <c r="I72" t="s">
        <v>2709</v>
      </c>
      <c r="J72">
        <v>1</v>
      </c>
      <c r="K72" t="s">
        <v>37</v>
      </c>
      <c r="L72" t="s">
        <v>72</v>
      </c>
      <c r="M72" t="s">
        <v>81</v>
      </c>
      <c r="N72" t="s">
        <v>81</v>
      </c>
      <c r="O72">
        <v>1</v>
      </c>
      <c r="Q72" t="s">
        <v>37</v>
      </c>
      <c r="R72" s="38">
        <v>45693</v>
      </c>
      <c r="V72" t="s">
        <v>42</v>
      </c>
      <c r="W72">
        <v>274.36</v>
      </c>
      <c r="X72">
        <v>274.36</v>
      </c>
    </row>
    <row r="73" spans="1:24">
      <c r="A73" t="s">
        <v>2953</v>
      </c>
      <c r="B73" s="38">
        <v>45692</v>
      </c>
      <c r="C73" s="38">
        <v>45691</v>
      </c>
      <c r="D73" t="s">
        <v>2954</v>
      </c>
      <c r="E73" t="s">
        <v>1322</v>
      </c>
      <c r="F73" t="s">
        <v>328</v>
      </c>
      <c r="G73">
        <v>50000202</v>
      </c>
      <c r="H73" t="s">
        <v>1074</v>
      </c>
      <c r="I73" t="s">
        <v>2710</v>
      </c>
      <c r="J73">
        <v>1</v>
      </c>
      <c r="K73" t="s">
        <v>37</v>
      </c>
      <c r="L73" t="s">
        <v>106</v>
      </c>
      <c r="M73" t="s">
        <v>73</v>
      </c>
      <c r="N73" t="s">
        <v>73</v>
      </c>
      <c r="O73">
        <v>1</v>
      </c>
      <c r="Q73" t="s">
        <v>2606</v>
      </c>
      <c r="R73" s="38">
        <v>45663</v>
      </c>
      <c r="V73" t="s">
        <v>2955</v>
      </c>
      <c r="W73">
        <v>1427.32</v>
      </c>
      <c r="X73">
        <v>1427.32</v>
      </c>
    </row>
    <row r="74" spans="1:24">
      <c r="A74" t="s">
        <v>2956</v>
      </c>
      <c r="B74" s="38">
        <v>45692</v>
      </c>
      <c r="C74" s="38">
        <v>45692</v>
      </c>
      <c r="D74" t="s">
        <v>2957</v>
      </c>
      <c r="E74" t="s">
        <v>704</v>
      </c>
      <c r="F74" t="s">
        <v>145</v>
      </c>
      <c r="G74">
        <v>48000482</v>
      </c>
      <c r="H74" t="s">
        <v>587</v>
      </c>
      <c r="I74" t="s">
        <v>588</v>
      </c>
      <c r="J74">
        <v>1</v>
      </c>
      <c r="K74" t="s">
        <v>37</v>
      </c>
      <c r="L74" t="s">
        <v>72</v>
      </c>
      <c r="M74" t="s">
        <v>39</v>
      </c>
      <c r="N74" t="s">
        <v>73</v>
      </c>
      <c r="O74">
        <v>1</v>
      </c>
      <c r="Q74" t="s">
        <v>37</v>
      </c>
      <c r="R74" s="38">
        <v>45705</v>
      </c>
      <c r="V74" t="s">
        <v>2932</v>
      </c>
      <c r="W74">
        <v>79.989999999999995</v>
      </c>
      <c r="X74">
        <v>79.989999999999995</v>
      </c>
    </row>
    <row r="75" spans="1:24">
      <c r="A75" t="s">
        <v>2958</v>
      </c>
      <c r="B75" s="38">
        <v>45692</v>
      </c>
      <c r="C75" s="38">
        <v>45692</v>
      </c>
      <c r="D75" t="s">
        <v>2959</v>
      </c>
      <c r="E75" t="s">
        <v>134</v>
      </c>
      <c r="F75" t="s">
        <v>186</v>
      </c>
      <c r="G75">
        <v>44000059</v>
      </c>
      <c r="H75" t="s">
        <v>846</v>
      </c>
      <c r="I75" t="s">
        <v>847</v>
      </c>
      <c r="J75">
        <v>1</v>
      </c>
      <c r="K75" t="s">
        <v>37</v>
      </c>
      <c r="L75" t="s">
        <v>72</v>
      </c>
      <c r="M75" t="s">
        <v>73</v>
      </c>
      <c r="N75" t="s">
        <v>73</v>
      </c>
      <c r="O75">
        <v>1</v>
      </c>
      <c r="Q75" t="s">
        <v>2606</v>
      </c>
      <c r="R75" s="38">
        <v>45681</v>
      </c>
      <c r="V75" t="s">
        <v>2855</v>
      </c>
      <c r="W75">
        <v>98.36</v>
      </c>
      <c r="X75">
        <v>98.36</v>
      </c>
    </row>
    <row r="76" spans="1:24">
      <c r="A76" t="s">
        <v>2958</v>
      </c>
      <c r="B76" s="38">
        <v>45692</v>
      </c>
      <c r="C76" s="38">
        <v>45692</v>
      </c>
      <c r="D76" t="s">
        <v>2959</v>
      </c>
      <c r="E76" t="s">
        <v>134</v>
      </c>
      <c r="F76" t="s">
        <v>186</v>
      </c>
      <c r="G76">
        <v>44000059</v>
      </c>
      <c r="H76" t="s">
        <v>2711</v>
      </c>
      <c r="I76" t="s">
        <v>2712</v>
      </c>
      <c r="J76">
        <v>1</v>
      </c>
      <c r="K76" t="s">
        <v>37</v>
      </c>
      <c r="L76" t="s">
        <v>72</v>
      </c>
      <c r="M76" t="s">
        <v>39</v>
      </c>
      <c r="N76" t="s">
        <v>2607</v>
      </c>
      <c r="O76">
        <v>0</v>
      </c>
      <c r="Q76" t="s">
        <v>2817</v>
      </c>
      <c r="W76">
        <v>11.91</v>
      </c>
      <c r="X76">
        <v>11.91</v>
      </c>
    </row>
    <row r="77" spans="1:24">
      <c r="A77" t="s">
        <v>2960</v>
      </c>
      <c r="B77" s="38">
        <v>45692</v>
      </c>
      <c r="C77" s="38">
        <v>45692</v>
      </c>
      <c r="D77" t="s">
        <v>2961</v>
      </c>
      <c r="E77" t="s">
        <v>33</v>
      </c>
      <c r="F77" t="s">
        <v>34</v>
      </c>
      <c r="G77">
        <v>50110372</v>
      </c>
      <c r="H77" t="s">
        <v>2713</v>
      </c>
      <c r="I77" t="s">
        <v>2714</v>
      </c>
      <c r="J77">
        <v>1</v>
      </c>
      <c r="K77" t="s">
        <v>269</v>
      </c>
      <c r="L77" t="s">
        <v>38</v>
      </c>
      <c r="M77" t="s">
        <v>39</v>
      </c>
      <c r="N77" t="s">
        <v>2607</v>
      </c>
      <c r="O77">
        <v>0</v>
      </c>
      <c r="Q77" t="s">
        <v>2817</v>
      </c>
      <c r="V77" t="s">
        <v>42</v>
      </c>
      <c r="W77">
        <v>4764.91</v>
      </c>
      <c r="X77">
        <v>4764.91</v>
      </c>
    </row>
    <row r="78" spans="1:24">
      <c r="A78" t="s">
        <v>2960</v>
      </c>
      <c r="B78" s="38">
        <v>45692</v>
      </c>
      <c r="C78" s="38">
        <v>45326</v>
      </c>
      <c r="D78" t="s">
        <v>2961</v>
      </c>
      <c r="E78" t="s">
        <v>33</v>
      </c>
      <c r="F78" t="s">
        <v>34</v>
      </c>
      <c r="G78">
        <v>50110372</v>
      </c>
      <c r="H78" t="s">
        <v>2715</v>
      </c>
      <c r="I78" t="s">
        <v>2716</v>
      </c>
      <c r="J78">
        <v>1</v>
      </c>
      <c r="K78" t="s">
        <v>269</v>
      </c>
      <c r="L78" t="s">
        <v>38</v>
      </c>
      <c r="M78" t="s">
        <v>73</v>
      </c>
      <c r="N78" t="s">
        <v>73</v>
      </c>
      <c r="O78">
        <v>1</v>
      </c>
      <c r="Q78" t="s">
        <v>37</v>
      </c>
      <c r="R78" s="38">
        <v>45692</v>
      </c>
      <c r="V78" t="s">
        <v>42</v>
      </c>
      <c r="W78">
        <v>254.87</v>
      </c>
      <c r="X78">
        <v>254.87</v>
      </c>
    </row>
    <row r="79" spans="1:24">
      <c r="A79" t="s">
        <v>2962</v>
      </c>
      <c r="B79" s="38">
        <v>45693</v>
      </c>
      <c r="C79" s="38">
        <v>45691</v>
      </c>
      <c r="D79" t="s">
        <v>2963</v>
      </c>
      <c r="E79" t="s">
        <v>101</v>
      </c>
      <c r="F79" t="s">
        <v>102</v>
      </c>
      <c r="G79">
        <v>51000136</v>
      </c>
      <c r="H79" t="s">
        <v>2717</v>
      </c>
      <c r="I79" t="s">
        <v>2718</v>
      </c>
      <c r="J79">
        <v>1</v>
      </c>
      <c r="K79" t="s">
        <v>37</v>
      </c>
      <c r="L79" t="s">
        <v>72</v>
      </c>
      <c r="M79" t="s">
        <v>39</v>
      </c>
      <c r="N79" t="s">
        <v>2607</v>
      </c>
      <c r="O79">
        <v>0</v>
      </c>
      <c r="Q79" t="s">
        <v>37</v>
      </c>
      <c r="V79" t="s">
        <v>42</v>
      </c>
      <c r="W79">
        <v>20.87</v>
      </c>
      <c r="X79">
        <v>20.87</v>
      </c>
    </row>
    <row r="80" spans="1:24">
      <c r="A80" t="s">
        <v>2964</v>
      </c>
      <c r="B80" s="38">
        <v>45693</v>
      </c>
      <c r="C80" s="38">
        <v>45326</v>
      </c>
      <c r="E80" t="s">
        <v>292</v>
      </c>
      <c r="H80" t="s">
        <v>2965</v>
      </c>
      <c r="I80" t="s">
        <v>2966</v>
      </c>
      <c r="J80">
        <v>17</v>
      </c>
      <c r="M80" t="s">
        <v>289</v>
      </c>
      <c r="N80" t="s">
        <v>289</v>
      </c>
      <c r="O80">
        <v>0</v>
      </c>
      <c r="Q80" t="s">
        <v>37</v>
      </c>
      <c r="W80">
        <v>4.9000000000000004</v>
      </c>
      <c r="X80">
        <v>83.300000000000011</v>
      </c>
    </row>
    <row r="81" spans="1:24">
      <c r="A81" t="s">
        <v>2967</v>
      </c>
      <c r="B81" s="38">
        <v>45693</v>
      </c>
      <c r="C81" s="38">
        <v>45327</v>
      </c>
      <c r="E81" t="s">
        <v>292</v>
      </c>
      <c r="H81" t="s">
        <v>2968</v>
      </c>
      <c r="I81" t="s">
        <v>2969</v>
      </c>
      <c r="J81">
        <v>5</v>
      </c>
      <c r="M81" t="s">
        <v>289</v>
      </c>
      <c r="N81" t="s">
        <v>289</v>
      </c>
      <c r="O81">
        <v>0</v>
      </c>
      <c r="Q81" t="s">
        <v>37</v>
      </c>
      <c r="W81">
        <v>132.28</v>
      </c>
      <c r="X81">
        <v>661.4</v>
      </c>
    </row>
    <row r="82" spans="1:24">
      <c r="A82" t="s">
        <v>2970</v>
      </c>
      <c r="B82" s="38">
        <v>45693</v>
      </c>
      <c r="C82" s="38">
        <v>45327</v>
      </c>
      <c r="E82" t="s">
        <v>292</v>
      </c>
      <c r="H82" t="s">
        <v>2971</v>
      </c>
      <c r="I82" t="s">
        <v>2972</v>
      </c>
      <c r="J82">
        <v>3</v>
      </c>
      <c r="M82" t="s">
        <v>289</v>
      </c>
      <c r="N82" t="s">
        <v>289</v>
      </c>
      <c r="O82">
        <v>0</v>
      </c>
      <c r="Q82" t="s">
        <v>37</v>
      </c>
      <c r="W82">
        <v>145.35</v>
      </c>
      <c r="X82">
        <v>436.04999999999995</v>
      </c>
    </row>
    <row r="83" spans="1:24">
      <c r="A83" t="s">
        <v>2973</v>
      </c>
      <c r="B83" s="38">
        <v>45694</v>
      </c>
      <c r="C83" s="38">
        <v>45687</v>
      </c>
      <c r="D83" t="s">
        <v>2974</v>
      </c>
      <c r="E83" t="s">
        <v>33</v>
      </c>
      <c r="F83" t="s">
        <v>95</v>
      </c>
      <c r="G83">
        <v>60002095</v>
      </c>
      <c r="H83" t="s">
        <v>2975</v>
      </c>
      <c r="I83" t="s">
        <v>2976</v>
      </c>
      <c r="J83">
        <v>1</v>
      </c>
      <c r="K83" t="s">
        <v>37</v>
      </c>
      <c r="L83" t="s">
        <v>441</v>
      </c>
      <c r="M83" t="s">
        <v>39</v>
      </c>
      <c r="N83" t="s">
        <v>2607</v>
      </c>
      <c r="O83">
        <v>0</v>
      </c>
      <c r="P83" t="s">
        <v>2977</v>
      </c>
      <c r="Q83" t="s">
        <v>2837</v>
      </c>
      <c r="V83" t="s">
        <v>42</v>
      </c>
      <c r="W83">
        <v>986.75</v>
      </c>
      <c r="X83">
        <v>986.75</v>
      </c>
    </row>
    <row r="84" spans="1:24">
      <c r="A84" t="s">
        <v>2978</v>
      </c>
      <c r="B84" s="38">
        <v>45694</v>
      </c>
      <c r="C84" s="38">
        <v>45692</v>
      </c>
      <c r="D84" t="s">
        <v>2979</v>
      </c>
      <c r="E84" t="s">
        <v>33</v>
      </c>
      <c r="F84" t="s">
        <v>328</v>
      </c>
      <c r="G84">
        <v>50000343</v>
      </c>
      <c r="H84" t="s">
        <v>2380</v>
      </c>
      <c r="I84" t="s">
        <v>2719</v>
      </c>
      <c r="J84">
        <v>1</v>
      </c>
      <c r="K84" t="s">
        <v>37</v>
      </c>
      <c r="L84" t="s">
        <v>122</v>
      </c>
      <c r="M84" t="s">
        <v>73</v>
      </c>
      <c r="N84" t="s">
        <v>73</v>
      </c>
      <c r="O84">
        <v>1</v>
      </c>
      <c r="Q84" t="s">
        <v>2606</v>
      </c>
      <c r="R84" s="38">
        <v>45692</v>
      </c>
      <c r="V84" t="s">
        <v>2980</v>
      </c>
      <c r="W84">
        <v>601.41999999999996</v>
      </c>
      <c r="X84">
        <v>601.41999999999996</v>
      </c>
    </row>
    <row r="85" spans="1:24">
      <c r="A85" t="s">
        <v>2981</v>
      </c>
      <c r="B85" s="38">
        <v>45694</v>
      </c>
      <c r="C85" s="38">
        <v>45693</v>
      </c>
      <c r="D85" t="s">
        <v>2982</v>
      </c>
      <c r="E85" t="s">
        <v>434</v>
      </c>
      <c r="F85" t="s">
        <v>334</v>
      </c>
      <c r="G85" t="s">
        <v>2720</v>
      </c>
      <c r="H85" t="s">
        <v>1494</v>
      </c>
      <c r="I85" t="s">
        <v>2721</v>
      </c>
      <c r="J85">
        <v>1</v>
      </c>
      <c r="K85" t="s">
        <v>37</v>
      </c>
      <c r="L85" t="s">
        <v>106</v>
      </c>
      <c r="M85" t="s">
        <v>73</v>
      </c>
      <c r="N85" t="s">
        <v>73</v>
      </c>
      <c r="O85">
        <v>1</v>
      </c>
      <c r="Q85" t="s">
        <v>37</v>
      </c>
      <c r="R85" s="38">
        <v>45693</v>
      </c>
      <c r="V85" t="s">
        <v>2809</v>
      </c>
      <c r="W85">
        <v>20</v>
      </c>
      <c r="X85">
        <v>20</v>
      </c>
    </row>
    <row r="86" spans="1:24">
      <c r="A86" t="s">
        <v>2983</v>
      </c>
      <c r="B86" s="38">
        <v>45695</v>
      </c>
      <c r="C86" s="38">
        <v>45695</v>
      </c>
      <c r="D86" t="s">
        <v>2984</v>
      </c>
      <c r="E86" t="s">
        <v>33</v>
      </c>
      <c r="F86" t="s">
        <v>95</v>
      </c>
      <c r="G86">
        <v>60002095</v>
      </c>
      <c r="H86" t="s">
        <v>750</v>
      </c>
      <c r="I86" t="s">
        <v>2722</v>
      </c>
      <c r="J86">
        <v>1</v>
      </c>
      <c r="K86" t="s">
        <v>269</v>
      </c>
      <c r="L86" t="s">
        <v>122</v>
      </c>
      <c r="M86" t="s">
        <v>39</v>
      </c>
      <c r="N86" t="s">
        <v>2607</v>
      </c>
      <c r="O86">
        <v>0</v>
      </c>
      <c r="Q86" t="s">
        <v>37</v>
      </c>
      <c r="V86" t="s">
        <v>42</v>
      </c>
      <c r="W86">
        <v>1407.73</v>
      </c>
      <c r="X86">
        <v>1407.73</v>
      </c>
    </row>
    <row r="87" spans="1:24">
      <c r="A87" t="s">
        <v>2985</v>
      </c>
      <c r="B87" s="38">
        <v>45695</v>
      </c>
      <c r="C87" s="38">
        <v>45694</v>
      </c>
      <c r="D87" t="s">
        <v>2986</v>
      </c>
      <c r="E87" t="s">
        <v>1030</v>
      </c>
      <c r="F87" t="s">
        <v>186</v>
      </c>
      <c r="G87" t="s">
        <v>2723</v>
      </c>
      <c r="H87" t="s">
        <v>2724</v>
      </c>
      <c r="I87" t="s">
        <v>2725</v>
      </c>
      <c r="J87">
        <v>1</v>
      </c>
      <c r="K87" t="s">
        <v>37</v>
      </c>
      <c r="L87" t="s">
        <v>1108</v>
      </c>
      <c r="M87" t="s">
        <v>73</v>
      </c>
      <c r="N87" t="s">
        <v>73</v>
      </c>
      <c r="O87">
        <v>1</v>
      </c>
      <c r="P87" t="s">
        <v>2987</v>
      </c>
      <c r="Q87" t="s">
        <v>2606</v>
      </c>
      <c r="R87" s="38">
        <v>45677</v>
      </c>
      <c r="V87" t="s">
        <v>2988</v>
      </c>
      <c r="W87">
        <v>2377.7800000000002</v>
      </c>
      <c r="X87">
        <v>2377.7800000000002</v>
      </c>
    </row>
    <row r="88" spans="1:24">
      <c r="A88" t="s">
        <v>2921</v>
      </c>
      <c r="B88" s="38">
        <v>45695</v>
      </c>
      <c r="C88" s="38">
        <v>45694</v>
      </c>
      <c r="D88" t="s">
        <v>2922</v>
      </c>
      <c r="E88" t="s">
        <v>2726</v>
      </c>
      <c r="F88" t="s">
        <v>186</v>
      </c>
      <c r="G88">
        <v>44000321</v>
      </c>
      <c r="H88" t="s">
        <v>2727</v>
      </c>
      <c r="I88" t="s">
        <v>2728</v>
      </c>
      <c r="J88">
        <v>1</v>
      </c>
      <c r="K88" t="s">
        <v>37</v>
      </c>
      <c r="L88" t="s">
        <v>1108</v>
      </c>
      <c r="M88" t="s">
        <v>73</v>
      </c>
      <c r="N88" t="s">
        <v>73</v>
      </c>
      <c r="O88">
        <v>1</v>
      </c>
      <c r="Q88" t="s">
        <v>37</v>
      </c>
      <c r="R88" s="38">
        <v>45672</v>
      </c>
      <c r="V88" t="s">
        <v>2923</v>
      </c>
      <c r="W88">
        <v>449.1</v>
      </c>
      <c r="X88">
        <v>449.1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6FF8-AADF-490A-A165-5309040306AB}">
  <dimension ref="A1:Y89"/>
  <sheetViews>
    <sheetView topLeftCell="A77" workbookViewId="0">
      <selection activeCell="O90" sqref="O90"/>
    </sheetView>
  </sheetViews>
  <sheetFormatPr defaultRowHeight="14.45"/>
  <cols>
    <col min="1" max="1" width="10.42578125" bestFit="1" customWidth="1"/>
    <col min="2" max="2" width="18.5703125" bestFit="1" customWidth="1"/>
    <col min="3" max="3" width="18.7109375" bestFit="1" customWidth="1"/>
    <col min="4" max="4" width="12.28515625" bestFit="1" customWidth="1"/>
    <col min="5" max="5" width="14.7109375" bestFit="1" customWidth="1"/>
    <col min="6" max="6" width="17" bestFit="1" customWidth="1"/>
    <col min="7" max="7" width="13.28515625" bestFit="1" customWidth="1"/>
    <col min="8" max="8" width="13.7109375" bestFit="1" customWidth="1"/>
    <col min="9" max="9" width="57.28515625" bestFit="1" customWidth="1"/>
    <col min="10" max="10" width="15.28515625" bestFit="1" customWidth="1"/>
    <col min="11" max="11" width="11.7109375" bestFit="1" customWidth="1"/>
    <col min="12" max="12" width="21.28515625" bestFit="1" customWidth="1"/>
    <col min="13" max="13" width="21.7109375" bestFit="1" customWidth="1"/>
    <col min="14" max="14" width="13.7109375" bestFit="1" customWidth="1"/>
    <col min="15" max="15" width="19" bestFit="1" customWidth="1"/>
    <col min="16" max="16" width="20.42578125" bestFit="1" customWidth="1"/>
    <col min="17" max="17" width="49.42578125" bestFit="1" customWidth="1"/>
    <col min="18" max="18" width="31.28515625" bestFit="1" customWidth="1"/>
    <col min="19" max="19" width="20.28515625" bestFit="1" customWidth="1"/>
    <col min="20" max="20" width="27.7109375" bestFit="1" customWidth="1"/>
    <col min="21" max="21" width="17.28515625" bestFit="1" customWidth="1"/>
    <col min="22" max="22" width="20" bestFit="1" customWidth="1"/>
    <col min="23" max="23" width="18.7109375" bestFit="1" customWidth="1"/>
    <col min="24" max="24" width="15.5703125" bestFit="1" customWidth="1"/>
    <col min="25" max="25" width="15.7109375" bestFit="1" customWidth="1"/>
  </cols>
  <sheetData>
    <row r="1" spans="1:25">
      <c r="A1" s="39" t="s">
        <v>2801</v>
      </c>
    </row>
    <row r="3" spans="1:25">
      <c r="A3" t="s">
        <v>0</v>
      </c>
      <c r="B3" t="s">
        <v>1</v>
      </c>
      <c r="C3" t="s">
        <v>2</v>
      </c>
      <c r="D3" t="s">
        <v>3</v>
      </c>
      <c r="E3" t="s">
        <v>2802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14</v>
      </c>
      <c r="O3" t="s">
        <v>15</v>
      </c>
      <c r="P3" t="s">
        <v>17</v>
      </c>
      <c r="Q3" t="s">
        <v>2599</v>
      </c>
      <c r="R3" t="s">
        <v>18</v>
      </c>
      <c r="S3" t="s">
        <v>19</v>
      </c>
      <c r="T3" t="s">
        <v>20</v>
      </c>
      <c r="U3" t="s">
        <v>21</v>
      </c>
      <c r="V3" t="s">
        <v>2803</v>
      </c>
      <c r="W3" t="s">
        <v>22</v>
      </c>
      <c r="X3" t="s">
        <v>23</v>
      </c>
      <c r="Y3" t="s">
        <v>24</v>
      </c>
    </row>
    <row r="4" spans="1:25">
      <c r="A4" t="s">
        <v>2804</v>
      </c>
      <c r="B4" s="38">
        <v>45715</v>
      </c>
      <c r="C4" s="38">
        <v>45715</v>
      </c>
      <c r="D4" t="s">
        <v>2805</v>
      </c>
      <c r="E4" t="s">
        <v>327</v>
      </c>
      <c r="F4" t="s">
        <v>328</v>
      </c>
      <c r="G4">
        <v>50000260</v>
      </c>
      <c r="H4" t="s">
        <v>379</v>
      </c>
      <c r="I4" t="s">
        <v>2789</v>
      </c>
      <c r="J4">
        <v>1</v>
      </c>
      <c r="K4" t="s">
        <v>37</v>
      </c>
      <c r="L4" t="s">
        <v>38</v>
      </c>
      <c r="N4" t="s">
        <v>73</v>
      </c>
      <c r="O4">
        <v>1</v>
      </c>
      <c r="Q4" t="s">
        <v>37</v>
      </c>
      <c r="R4" s="38">
        <v>45713</v>
      </c>
      <c r="V4" t="s">
        <v>42</v>
      </c>
      <c r="W4">
        <v>631.67999999999995</v>
      </c>
      <c r="X4">
        <v>631.67999999999995</v>
      </c>
    </row>
    <row r="5" spans="1:25">
      <c r="A5" t="s">
        <v>2806</v>
      </c>
      <c r="B5" s="38">
        <v>45715</v>
      </c>
      <c r="C5" s="38">
        <v>45715</v>
      </c>
      <c r="D5" t="s">
        <v>2807</v>
      </c>
      <c r="E5" t="s">
        <v>434</v>
      </c>
      <c r="F5" t="s">
        <v>334</v>
      </c>
      <c r="G5">
        <v>50300141</v>
      </c>
      <c r="H5" t="s">
        <v>278</v>
      </c>
      <c r="I5" t="s">
        <v>2788</v>
      </c>
      <c r="J5">
        <v>1</v>
      </c>
      <c r="K5" t="s">
        <v>37</v>
      </c>
      <c r="L5" t="s">
        <v>38</v>
      </c>
      <c r="N5" t="s">
        <v>73</v>
      </c>
      <c r="O5">
        <v>1</v>
      </c>
      <c r="P5" t="s">
        <v>276</v>
      </c>
      <c r="Q5" t="s">
        <v>2808</v>
      </c>
      <c r="R5" s="38">
        <v>45709</v>
      </c>
      <c r="V5" t="s">
        <v>2809</v>
      </c>
      <c r="W5">
        <v>339.68</v>
      </c>
      <c r="X5">
        <v>339.68</v>
      </c>
    </row>
    <row r="6" spans="1:25">
      <c r="A6" t="s">
        <v>2810</v>
      </c>
      <c r="B6" s="38">
        <v>45715</v>
      </c>
      <c r="C6" s="38">
        <v>45715</v>
      </c>
      <c r="D6" t="s">
        <v>2811</v>
      </c>
      <c r="E6" t="s">
        <v>365</v>
      </c>
      <c r="F6" t="s">
        <v>328</v>
      </c>
      <c r="G6">
        <v>50000530</v>
      </c>
      <c r="H6" t="s">
        <v>1326</v>
      </c>
      <c r="I6" t="s">
        <v>2787</v>
      </c>
      <c r="J6">
        <v>1</v>
      </c>
      <c r="K6" t="s">
        <v>37</v>
      </c>
      <c r="L6" t="s">
        <v>38</v>
      </c>
      <c r="N6" t="s">
        <v>73</v>
      </c>
      <c r="O6">
        <v>1</v>
      </c>
      <c r="Q6" t="s">
        <v>2812</v>
      </c>
      <c r="R6" s="38">
        <v>45713</v>
      </c>
      <c r="W6">
        <v>91.76</v>
      </c>
      <c r="X6">
        <v>91.76</v>
      </c>
    </row>
    <row r="7" spans="1:25">
      <c r="A7" t="s">
        <v>2813</v>
      </c>
      <c r="B7" s="38">
        <v>45715</v>
      </c>
      <c r="C7" s="38">
        <v>45715</v>
      </c>
      <c r="D7" t="s">
        <v>2814</v>
      </c>
      <c r="E7" t="s">
        <v>2784</v>
      </c>
      <c r="F7" t="s">
        <v>328</v>
      </c>
      <c r="G7" t="s">
        <v>2783</v>
      </c>
      <c r="H7" t="s">
        <v>2785</v>
      </c>
      <c r="I7" t="s">
        <v>2786</v>
      </c>
      <c r="J7">
        <v>1</v>
      </c>
      <c r="K7" t="s">
        <v>37</v>
      </c>
      <c r="L7" t="s">
        <v>251</v>
      </c>
      <c r="N7" t="s">
        <v>73</v>
      </c>
      <c r="O7">
        <v>1</v>
      </c>
      <c r="Q7" t="s">
        <v>37</v>
      </c>
      <c r="R7" s="38">
        <v>45679</v>
      </c>
      <c r="V7" t="s">
        <v>42</v>
      </c>
      <c r="W7">
        <v>140.44999999999999</v>
      </c>
      <c r="X7">
        <v>140.44999999999999</v>
      </c>
    </row>
    <row r="8" spans="1:25">
      <c r="A8" t="s">
        <v>2815</v>
      </c>
      <c r="B8" s="38">
        <v>45715</v>
      </c>
      <c r="C8" s="38">
        <v>45714</v>
      </c>
      <c r="D8" t="s">
        <v>2816</v>
      </c>
      <c r="E8" t="s">
        <v>101</v>
      </c>
      <c r="F8" t="s">
        <v>102</v>
      </c>
      <c r="G8">
        <v>51000323</v>
      </c>
      <c r="H8" t="s">
        <v>323</v>
      </c>
      <c r="I8" t="s">
        <v>2782</v>
      </c>
      <c r="J8">
        <v>1</v>
      </c>
      <c r="K8" t="s">
        <v>37</v>
      </c>
      <c r="L8" t="s">
        <v>38</v>
      </c>
      <c r="N8" t="s">
        <v>81</v>
      </c>
      <c r="O8">
        <v>1</v>
      </c>
      <c r="Q8" t="s">
        <v>2817</v>
      </c>
      <c r="V8" t="s">
        <v>42</v>
      </c>
      <c r="W8">
        <v>96.35</v>
      </c>
      <c r="X8">
        <v>96.35</v>
      </c>
    </row>
    <row r="9" spans="1:25">
      <c r="A9" t="s">
        <v>2815</v>
      </c>
      <c r="B9" s="38">
        <v>45715</v>
      </c>
      <c r="C9" s="38">
        <v>45714</v>
      </c>
      <c r="D9" t="s">
        <v>2816</v>
      </c>
      <c r="E9" t="s">
        <v>101</v>
      </c>
      <c r="F9" t="s">
        <v>102</v>
      </c>
      <c r="G9">
        <v>51000323</v>
      </c>
      <c r="H9" t="s">
        <v>2780</v>
      </c>
      <c r="I9" t="s">
        <v>2781</v>
      </c>
      <c r="J9">
        <v>1</v>
      </c>
      <c r="K9" t="s">
        <v>37</v>
      </c>
      <c r="L9" t="s">
        <v>38</v>
      </c>
      <c r="N9" t="s">
        <v>2607</v>
      </c>
      <c r="O9">
        <v>0</v>
      </c>
      <c r="Q9" t="s">
        <v>2817</v>
      </c>
      <c r="V9" t="s">
        <v>42</v>
      </c>
      <c r="W9">
        <v>874.36</v>
      </c>
      <c r="X9">
        <v>874.36</v>
      </c>
    </row>
    <row r="10" spans="1:25">
      <c r="A10" t="s">
        <v>2818</v>
      </c>
      <c r="B10" s="38">
        <v>45715</v>
      </c>
      <c r="C10" s="38">
        <v>45714</v>
      </c>
      <c r="D10" t="s">
        <v>2819</v>
      </c>
      <c r="E10" t="s">
        <v>101</v>
      </c>
      <c r="F10" t="s">
        <v>102</v>
      </c>
      <c r="G10">
        <v>51000136</v>
      </c>
      <c r="H10" t="s">
        <v>2778</v>
      </c>
      <c r="I10" t="s">
        <v>2779</v>
      </c>
      <c r="J10">
        <v>1</v>
      </c>
      <c r="K10" t="s">
        <v>37</v>
      </c>
      <c r="L10" t="s">
        <v>38</v>
      </c>
      <c r="N10" t="s">
        <v>2607</v>
      </c>
      <c r="O10">
        <v>0</v>
      </c>
      <c r="Q10" t="s">
        <v>37</v>
      </c>
      <c r="V10" t="s">
        <v>42</v>
      </c>
      <c r="W10">
        <v>66.959999999999994</v>
      </c>
      <c r="X10">
        <v>66.959999999999994</v>
      </c>
    </row>
    <row r="11" spans="1:25">
      <c r="A11" t="s">
        <v>2818</v>
      </c>
      <c r="B11" s="38">
        <v>45715</v>
      </c>
      <c r="C11" s="38">
        <v>45714</v>
      </c>
      <c r="D11" t="s">
        <v>2819</v>
      </c>
      <c r="E11" t="s">
        <v>101</v>
      </c>
      <c r="F11" t="s">
        <v>102</v>
      </c>
      <c r="G11">
        <v>51000136</v>
      </c>
      <c r="H11" t="s">
        <v>2776</v>
      </c>
      <c r="I11" t="s">
        <v>2777</v>
      </c>
      <c r="J11">
        <v>1</v>
      </c>
      <c r="K11" t="s">
        <v>37</v>
      </c>
      <c r="L11" t="s">
        <v>38</v>
      </c>
      <c r="N11" t="s">
        <v>73</v>
      </c>
      <c r="O11">
        <v>1</v>
      </c>
      <c r="Q11" t="s">
        <v>2820</v>
      </c>
      <c r="R11" s="38">
        <v>45723</v>
      </c>
      <c r="V11" t="s">
        <v>42</v>
      </c>
      <c r="W11">
        <v>720.36</v>
      </c>
      <c r="X11">
        <v>720.36</v>
      </c>
    </row>
    <row r="12" spans="1:25">
      <c r="A12" t="s">
        <v>2818</v>
      </c>
      <c r="B12" s="38">
        <v>45715</v>
      </c>
      <c r="C12" s="38">
        <v>45714</v>
      </c>
      <c r="D12" t="s">
        <v>2819</v>
      </c>
      <c r="E12" t="s">
        <v>101</v>
      </c>
      <c r="F12" t="s">
        <v>102</v>
      </c>
      <c r="G12">
        <v>51000136</v>
      </c>
      <c r="H12" t="s">
        <v>2774</v>
      </c>
      <c r="I12" t="s">
        <v>2775</v>
      </c>
      <c r="J12">
        <v>1</v>
      </c>
      <c r="K12" t="s">
        <v>37</v>
      </c>
      <c r="L12" t="s">
        <v>38</v>
      </c>
      <c r="N12" t="s">
        <v>73</v>
      </c>
      <c r="O12">
        <v>1</v>
      </c>
      <c r="Q12" t="s">
        <v>2820</v>
      </c>
      <c r="R12" s="38">
        <v>45723</v>
      </c>
      <c r="V12" t="s">
        <v>42</v>
      </c>
      <c r="W12">
        <v>260.14999999999998</v>
      </c>
      <c r="X12">
        <v>260.14999999999998</v>
      </c>
    </row>
    <row r="13" spans="1:25">
      <c r="A13" t="s">
        <v>2818</v>
      </c>
      <c r="B13" s="38">
        <v>45715</v>
      </c>
      <c r="C13" s="38">
        <v>45714</v>
      </c>
      <c r="D13" t="s">
        <v>2819</v>
      </c>
      <c r="E13" t="s">
        <v>101</v>
      </c>
      <c r="F13" t="s">
        <v>102</v>
      </c>
      <c r="G13">
        <v>51000136</v>
      </c>
      <c r="H13" t="s">
        <v>2772</v>
      </c>
      <c r="I13" t="s">
        <v>2773</v>
      </c>
      <c r="J13">
        <v>1</v>
      </c>
      <c r="K13" t="s">
        <v>37</v>
      </c>
      <c r="L13" t="s">
        <v>38</v>
      </c>
      <c r="N13" t="s">
        <v>81</v>
      </c>
      <c r="O13">
        <v>1</v>
      </c>
      <c r="Q13" t="s">
        <v>2817</v>
      </c>
      <c r="V13" t="s">
        <v>42</v>
      </c>
      <c r="W13">
        <v>475.51</v>
      </c>
      <c r="X13">
        <v>475.51</v>
      </c>
    </row>
    <row r="14" spans="1:25">
      <c r="A14" t="s">
        <v>2818</v>
      </c>
      <c r="B14" s="38">
        <v>45715</v>
      </c>
      <c r="C14" s="38">
        <v>45714</v>
      </c>
      <c r="D14" t="s">
        <v>2819</v>
      </c>
      <c r="E14" t="s">
        <v>101</v>
      </c>
      <c r="F14" t="s">
        <v>102</v>
      </c>
      <c r="G14">
        <v>51000136</v>
      </c>
      <c r="H14" t="s">
        <v>2770</v>
      </c>
      <c r="I14" t="s">
        <v>2771</v>
      </c>
      <c r="J14">
        <v>1</v>
      </c>
      <c r="K14" t="s">
        <v>37</v>
      </c>
      <c r="L14" t="s">
        <v>38</v>
      </c>
      <c r="N14" t="s">
        <v>2607</v>
      </c>
      <c r="O14">
        <v>0</v>
      </c>
      <c r="P14" t="s">
        <v>243</v>
      </c>
      <c r="Q14" t="s">
        <v>2817</v>
      </c>
      <c r="V14" t="s">
        <v>42</v>
      </c>
      <c r="W14">
        <v>354.38</v>
      </c>
      <c r="X14">
        <v>354.38</v>
      </c>
    </row>
    <row r="15" spans="1:25">
      <c r="A15" t="s">
        <v>2818</v>
      </c>
      <c r="B15" s="38">
        <v>45715</v>
      </c>
      <c r="C15" s="38">
        <v>45714</v>
      </c>
      <c r="D15" t="s">
        <v>2819</v>
      </c>
      <c r="E15" t="s">
        <v>101</v>
      </c>
      <c r="F15" t="s">
        <v>102</v>
      </c>
      <c r="G15">
        <v>51000136</v>
      </c>
      <c r="H15" t="s">
        <v>885</v>
      </c>
      <c r="I15" t="s">
        <v>2769</v>
      </c>
      <c r="J15">
        <v>1</v>
      </c>
      <c r="K15" t="s">
        <v>37</v>
      </c>
      <c r="L15" t="s">
        <v>38</v>
      </c>
      <c r="N15" t="s">
        <v>81</v>
      </c>
      <c r="O15">
        <v>1</v>
      </c>
      <c r="Q15" t="s">
        <v>2817</v>
      </c>
      <c r="V15" t="s">
        <v>42</v>
      </c>
      <c r="W15">
        <v>1207.54</v>
      </c>
      <c r="X15">
        <v>1207.54</v>
      </c>
    </row>
    <row r="16" spans="1:25">
      <c r="A16" t="s">
        <v>2821</v>
      </c>
      <c r="B16" s="38">
        <v>45715</v>
      </c>
      <c r="C16" s="38">
        <v>45715</v>
      </c>
      <c r="D16" t="s">
        <v>2822</v>
      </c>
      <c r="E16" t="s">
        <v>125</v>
      </c>
      <c r="F16" t="s">
        <v>34</v>
      </c>
      <c r="G16">
        <v>50110193</v>
      </c>
      <c r="H16" t="s">
        <v>2767</v>
      </c>
      <c r="I16" t="s">
        <v>2768</v>
      </c>
      <c r="J16">
        <v>1</v>
      </c>
      <c r="K16" t="s">
        <v>37</v>
      </c>
      <c r="L16" t="s">
        <v>251</v>
      </c>
      <c r="M16" t="s">
        <v>81</v>
      </c>
      <c r="N16" t="s">
        <v>73</v>
      </c>
      <c r="O16">
        <v>1</v>
      </c>
      <c r="Q16" t="s">
        <v>2606</v>
      </c>
      <c r="R16" s="38">
        <v>45663</v>
      </c>
      <c r="V16" t="s">
        <v>42</v>
      </c>
      <c r="W16">
        <v>790.42</v>
      </c>
      <c r="X16">
        <v>790.42</v>
      </c>
    </row>
    <row r="17" spans="1:24">
      <c r="A17" t="s">
        <v>2823</v>
      </c>
      <c r="B17" s="38">
        <v>45714</v>
      </c>
      <c r="C17" s="38">
        <v>45714</v>
      </c>
      <c r="D17" t="s">
        <v>2824</v>
      </c>
      <c r="E17" t="s">
        <v>33</v>
      </c>
      <c r="F17" t="s">
        <v>95</v>
      </c>
      <c r="G17">
        <v>60002095</v>
      </c>
      <c r="H17" t="s">
        <v>281</v>
      </c>
      <c r="I17" t="s">
        <v>282</v>
      </c>
      <c r="J17">
        <v>1</v>
      </c>
      <c r="K17" t="s">
        <v>37</v>
      </c>
      <c r="L17" t="s">
        <v>98</v>
      </c>
      <c r="N17" t="s">
        <v>2607</v>
      </c>
      <c r="O17">
        <v>0</v>
      </c>
      <c r="P17" t="s">
        <v>283</v>
      </c>
      <c r="Q17" t="s">
        <v>37</v>
      </c>
      <c r="V17" t="s">
        <v>42</v>
      </c>
      <c r="W17">
        <v>4432.21</v>
      </c>
      <c r="X17">
        <v>4432.21</v>
      </c>
    </row>
    <row r="18" spans="1:24">
      <c r="A18" t="s">
        <v>2825</v>
      </c>
      <c r="B18" s="38">
        <v>45714</v>
      </c>
      <c r="C18" s="38">
        <v>45714</v>
      </c>
      <c r="D18" t="s">
        <v>2826</v>
      </c>
      <c r="E18" t="s">
        <v>2764</v>
      </c>
      <c r="F18" t="s">
        <v>186</v>
      </c>
      <c r="G18">
        <v>44000058</v>
      </c>
      <c r="H18" t="s">
        <v>2017</v>
      </c>
      <c r="I18" t="s">
        <v>2766</v>
      </c>
      <c r="J18">
        <v>1</v>
      </c>
      <c r="K18" t="s">
        <v>37</v>
      </c>
      <c r="L18" t="s">
        <v>38</v>
      </c>
      <c r="N18" t="s">
        <v>73</v>
      </c>
      <c r="O18">
        <v>1</v>
      </c>
      <c r="Q18" t="s">
        <v>2812</v>
      </c>
      <c r="R18" s="38">
        <v>45714</v>
      </c>
      <c r="V18" t="s">
        <v>2827</v>
      </c>
      <c r="W18">
        <v>1323.87</v>
      </c>
      <c r="X18">
        <v>1323.87</v>
      </c>
    </row>
    <row r="19" spans="1:24">
      <c r="A19" t="s">
        <v>2825</v>
      </c>
      <c r="B19" s="38">
        <v>45714</v>
      </c>
      <c r="C19" s="38">
        <v>45714</v>
      </c>
      <c r="D19" t="s">
        <v>2826</v>
      </c>
      <c r="E19" t="s">
        <v>2764</v>
      </c>
      <c r="F19" t="s">
        <v>186</v>
      </c>
      <c r="G19">
        <v>44000058</v>
      </c>
      <c r="H19" t="s">
        <v>2011</v>
      </c>
      <c r="I19" t="s">
        <v>2765</v>
      </c>
      <c r="J19">
        <v>1</v>
      </c>
      <c r="K19" t="s">
        <v>37</v>
      </c>
      <c r="L19" t="s">
        <v>38</v>
      </c>
      <c r="N19" t="s">
        <v>73</v>
      </c>
      <c r="O19">
        <v>1</v>
      </c>
      <c r="P19" t="s">
        <v>2010</v>
      </c>
      <c r="Q19" t="s">
        <v>2812</v>
      </c>
      <c r="R19" s="38">
        <v>45714</v>
      </c>
      <c r="V19" t="s">
        <v>2827</v>
      </c>
      <c r="W19">
        <v>966.08</v>
      </c>
      <c r="X19">
        <v>966.08</v>
      </c>
    </row>
    <row r="20" spans="1:24">
      <c r="A20" t="s">
        <v>2828</v>
      </c>
      <c r="B20" s="38">
        <v>45714</v>
      </c>
      <c r="C20" s="38">
        <v>45713</v>
      </c>
      <c r="D20" t="s">
        <v>2829</v>
      </c>
      <c r="E20" t="s">
        <v>94</v>
      </c>
      <c r="F20" t="s">
        <v>95</v>
      </c>
      <c r="G20">
        <v>60002072</v>
      </c>
      <c r="H20" t="s">
        <v>2708</v>
      </c>
      <c r="I20" t="s">
        <v>742</v>
      </c>
      <c r="J20">
        <v>1</v>
      </c>
      <c r="K20" t="s">
        <v>269</v>
      </c>
      <c r="L20" t="s">
        <v>441</v>
      </c>
      <c r="M20" t="s">
        <v>73</v>
      </c>
      <c r="N20" t="s">
        <v>73</v>
      </c>
      <c r="O20">
        <v>1</v>
      </c>
      <c r="Q20" t="s">
        <v>2830</v>
      </c>
      <c r="R20" s="38">
        <v>45713</v>
      </c>
      <c r="W20">
        <v>886.36</v>
      </c>
      <c r="X20">
        <v>886.36</v>
      </c>
    </row>
    <row r="21" spans="1:24">
      <c r="A21" t="s">
        <v>2831</v>
      </c>
      <c r="B21" s="38">
        <v>45714</v>
      </c>
      <c r="C21" s="38">
        <v>45714</v>
      </c>
      <c r="D21" t="s">
        <v>2832</v>
      </c>
      <c r="E21" t="s">
        <v>33</v>
      </c>
      <c r="F21" t="s">
        <v>34</v>
      </c>
      <c r="G21">
        <v>50110372</v>
      </c>
      <c r="H21" t="s">
        <v>472</v>
      </c>
      <c r="I21" t="s">
        <v>2763</v>
      </c>
      <c r="J21">
        <v>1</v>
      </c>
      <c r="K21" t="s">
        <v>37</v>
      </c>
      <c r="L21" t="s">
        <v>38</v>
      </c>
      <c r="M21" t="s">
        <v>81</v>
      </c>
      <c r="N21" t="s">
        <v>81</v>
      </c>
      <c r="O21">
        <v>1</v>
      </c>
      <c r="P21" t="s">
        <v>474</v>
      </c>
      <c r="Q21" t="s">
        <v>37</v>
      </c>
      <c r="V21" t="s">
        <v>42</v>
      </c>
      <c r="W21">
        <v>22.54</v>
      </c>
      <c r="X21">
        <v>22.54</v>
      </c>
    </row>
    <row r="22" spans="1:24">
      <c r="A22" t="s">
        <v>2833</v>
      </c>
      <c r="B22" s="38">
        <v>45714</v>
      </c>
      <c r="C22" s="38">
        <v>45713</v>
      </c>
      <c r="D22" t="s">
        <v>2834</v>
      </c>
      <c r="E22" t="s">
        <v>33</v>
      </c>
      <c r="F22" t="s">
        <v>95</v>
      </c>
      <c r="G22" t="s">
        <v>2835</v>
      </c>
      <c r="H22" t="s">
        <v>1510</v>
      </c>
      <c r="I22" t="s">
        <v>2836</v>
      </c>
      <c r="J22">
        <v>1</v>
      </c>
      <c r="K22" t="s">
        <v>269</v>
      </c>
      <c r="L22" t="s">
        <v>441</v>
      </c>
      <c r="M22" t="s">
        <v>39</v>
      </c>
      <c r="N22" t="s">
        <v>2607</v>
      </c>
      <c r="O22">
        <v>0</v>
      </c>
      <c r="Q22" t="s">
        <v>2837</v>
      </c>
      <c r="V22" t="s">
        <v>42</v>
      </c>
      <c r="W22">
        <v>2531.29</v>
      </c>
      <c r="X22">
        <v>2531.29</v>
      </c>
    </row>
    <row r="23" spans="1:24">
      <c r="A23" t="s">
        <v>2838</v>
      </c>
      <c r="B23" s="38">
        <v>45714</v>
      </c>
      <c r="C23" s="38">
        <v>45713</v>
      </c>
      <c r="D23" t="s">
        <v>2839</v>
      </c>
      <c r="E23" t="s">
        <v>345</v>
      </c>
      <c r="F23" t="s">
        <v>34</v>
      </c>
      <c r="G23">
        <v>50110229</v>
      </c>
      <c r="H23" t="s">
        <v>472</v>
      </c>
      <c r="I23" t="s">
        <v>2763</v>
      </c>
      <c r="J23">
        <v>1</v>
      </c>
      <c r="K23" t="s">
        <v>37</v>
      </c>
      <c r="L23" t="s">
        <v>38</v>
      </c>
      <c r="M23" t="s">
        <v>81</v>
      </c>
      <c r="N23" t="s">
        <v>81</v>
      </c>
      <c r="O23">
        <v>1</v>
      </c>
      <c r="P23" t="s">
        <v>474</v>
      </c>
      <c r="Q23" t="s">
        <v>37</v>
      </c>
      <c r="V23" t="s">
        <v>42</v>
      </c>
      <c r="W23">
        <v>22.54</v>
      </c>
      <c r="X23">
        <v>22.54</v>
      </c>
    </row>
    <row r="24" spans="1:24">
      <c r="A24" t="s">
        <v>2840</v>
      </c>
      <c r="B24" s="38">
        <v>45714</v>
      </c>
      <c r="C24" s="38">
        <v>45713</v>
      </c>
      <c r="D24" t="s">
        <v>2841</v>
      </c>
      <c r="E24" t="s">
        <v>125</v>
      </c>
      <c r="F24" t="s">
        <v>34</v>
      </c>
      <c r="G24">
        <v>50110193</v>
      </c>
      <c r="H24" t="s">
        <v>472</v>
      </c>
      <c r="I24" t="s">
        <v>2763</v>
      </c>
      <c r="J24">
        <v>1</v>
      </c>
      <c r="K24" t="s">
        <v>37</v>
      </c>
      <c r="L24" t="s">
        <v>38</v>
      </c>
      <c r="M24" t="s">
        <v>81</v>
      </c>
      <c r="N24" t="s">
        <v>81</v>
      </c>
      <c r="O24">
        <v>1</v>
      </c>
      <c r="P24" t="s">
        <v>474</v>
      </c>
      <c r="Q24" t="s">
        <v>37</v>
      </c>
      <c r="V24" t="s">
        <v>42</v>
      </c>
      <c r="W24">
        <v>22.54</v>
      </c>
      <c r="X24">
        <v>22.54</v>
      </c>
    </row>
    <row r="25" spans="1:24">
      <c r="A25" t="s">
        <v>2842</v>
      </c>
      <c r="B25" s="38">
        <v>45714</v>
      </c>
      <c r="C25" s="38">
        <v>45713</v>
      </c>
      <c r="D25" t="s">
        <v>2843</v>
      </c>
      <c r="E25" t="s">
        <v>365</v>
      </c>
      <c r="F25" t="s">
        <v>328</v>
      </c>
      <c r="G25">
        <v>50000530</v>
      </c>
      <c r="H25" t="s">
        <v>2762</v>
      </c>
      <c r="I25" t="s">
        <v>217</v>
      </c>
      <c r="J25">
        <v>1</v>
      </c>
      <c r="K25" t="s">
        <v>37</v>
      </c>
      <c r="L25" t="s">
        <v>38</v>
      </c>
      <c r="M25" t="s">
        <v>73</v>
      </c>
      <c r="N25" t="s">
        <v>73</v>
      </c>
      <c r="O25">
        <v>1</v>
      </c>
      <c r="Q25" t="s">
        <v>2606</v>
      </c>
      <c r="R25" s="38">
        <v>45712</v>
      </c>
      <c r="V25" t="s">
        <v>2844</v>
      </c>
      <c r="W25">
        <v>1187.4100000000001</v>
      </c>
      <c r="X25">
        <v>1187.4100000000001</v>
      </c>
    </row>
    <row r="26" spans="1:24">
      <c r="A26" t="s">
        <v>2845</v>
      </c>
      <c r="B26" s="38">
        <v>45713</v>
      </c>
      <c r="C26" s="38">
        <v>45713</v>
      </c>
      <c r="E26" t="s">
        <v>292</v>
      </c>
      <c r="H26" t="s">
        <v>2846</v>
      </c>
      <c r="I26" t="s">
        <v>2847</v>
      </c>
      <c r="J26">
        <v>2</v>
      </c>
      <c r="N26" t="s">
        <v>2607</v>
      </c>
      <c r="O26">
        <v>0</v>
      </c>
      <c r="Q26" t="s">
        <v>37</v>
      </c>
      <c r="W26">
        <v>60.71</v>
      </c>
      <c r="X26">
        <v>121.42</v>
      </c>
    </row>
    <row r="27" spans="1:24">
      <c r="A27" t="s">
        <v>2848</v>
      </c>
      <c r="B27" s="38">
        <v>45713</v>
      </c>
      <c r="C27" s="38">
        <v>45713</v>
      </c>
      <c r="E27" t="s">
        <v>777</v>
      </c>
      <c r="F27" t="s">
        <v>2849</v>
      </c>
      <c r="G27">
        <v>51000129</v>
      </c>
      <c r="H27" t="s">
        <v>2850</v>
      </c>
      <c r="I27" t="s">
        <v>2851</v>
      </c>
      <c r="J27">
        <v>1</v>
      </c>
      <c r="N27" t="s">
        <v>2607</v>
      </c>
      <c r="O27">
        <v>0</v>
      </c>
      <c r="Q27" t="s">
        <v>37</v>
      </c>
      <c r="W27">
        <v>60.88</v>
      </c>
      <c r="X27">
        <v>60.88</v>
      </c>
    </row>
    <row r="28" spans="1:24">
      <c r="A28" t="s">
        <v>2852</v>
      </c>
      <c r="B28" s="38">
        <v>45712</v>
      </c>
      <c r="C28" s="38">
        <v>45709</v>
      </c>
      <c r="D28" t="s">
        <v>2853</v>
      </c>
      <c r="E28" t="s">
        <v>134</v>
      </c>
      <c r="F28" t="s">
        <v>140</v>
      </c>
      <c r="G28">
        <v>48300301</v>
      </c>
      <c r="H28" t="s">
        <v>2760</v>
      </c>
      <c r="I28" t="s">
        <v>2761</v>
      </c>
      <c r="J28">
        <v>1</v>
      </c>
      <c r="K28" t="s">
        <v>37</v>
      </c>
      <c r="L28" t="s">
        <v>72</v>
      </c>
      <c r="M28" t="s">
        <v>73</v>
      </c>
      <c r="N28" t="s">
        <v>73</v>
      </c>
      <c r="O28">
        <v>1</v>
      </c>
      <c r="P28" t="s">
        <v>2854</v>
      </c>
      <c r="Q28" t="s">
        <v>2606</v>
      </c>
      <c r="R28" s="38">
        <v>45680</v>
      </c>
      <c r="V28" t="s">
        <v>2855</v>
      </c>
      <c r="W28">
        <v>1240.6400000000001</v>
      </c>
      <c r="X28">
        <v>1240.6400000000001</v>
      </c>
    </row>
    <row r="29" spans="1:24">
      <c r="A29" t="s">
        <v>2856</v>
      </c>
      <c r="B29" s="38">
        <v>45712</v>
      </c>
      <c r="C29" s="38">
        <v>45709</v>
      </c>
      <c r="D29" t="s">
        <v>2857</v>
      </c>
      <c r="E29" t="s">
        <v>33</v>
      </c>
      <c r="F29" t="s">
        <v>34</v>
      </c>
      <c r="G29">
        <v>50110372</v>
      </c>
      <c r="H29" t="s">
        <v>2758</v>
      </c>
      <c r="I29" t="s">
        <v>2759</v>
      </c>
      <c r="J29">
        <v>1</v>
      </c>
      <c r="K29" t="s">
        <v>269</v>
      </c>
      <c r="L29" t="s">
        <v>98</v>
      </c>
      <c r="M29" t="s">
        <v>39</v>
      </c>
      <c r="N29" t="s">
        <v>2607</v>
      </c>
      <c r="O29">
        <v>0</v>
      </c>
      <c r="Q29" t="s">
        <v>2837</v>
      </c>
      <c r="V29" t="s">
        <v>42</v>
      </c>
      <c r="W29">
        <v>96.11</v>
      </c>
      <c r="X29">
        <v>96.11</v>
      </c>
    </row>
    <row r="30" spans="1:24">
      <c r="A30" t="s">
        <v>2858</v>
      </c>
      <c r="B30" s="38">
        <v>45709</v>
      </c>
      <c r="C30" s="38">
        <v>45709</v>
      </c>
      <c r="D30" t="s">
        <v>2859</v>
      </c>
      <c r="E30" t="s">
        <v>154</v>
      </c>
      <c r="F30" t="s">
        <v>102</v>
      </c>
      <c r="G30">
        <v>51000174</v>
      </c>
      <c r="H30" t="s">
        <v>2653</v>
      </c>
      <c r="I30" t="s">
        <v>1000</v>
      </c>
      <c r="J30">
        <v>1</v>
      </c>
      <c r="K30" t="s">
        <v>37</v>
      </c>
      <c r="L30" t="s">
        <v>72</v>
      </c>
      <c r="M30" t="s">
        <v>73</v>
      </c>
      <c r="N30" t="s">
        <v>73</v>
      </c>
      <c r="O30">
        <v>1</v>
      </c>
      <c r="Q30" t="s">
        <v>2808</v>
      </c>
      <c r="R30" s="38">
        <v>45705</v>
      </c>
      <c r="V30" t="s">
        <v>2860</v>
      </c>
      <c r="W30">
        <v>475.51</v>
      </c>
      <c r="X30">
        <v>475.51</v>
      </c>
    </row>
    <row r="31" spans="1:24">
      <c r="A31" t="s">
        <v>2861</v>
      </c>
      <c r="B31" s="38">
        <v>45709</v>
      </c>
      <c r="C31" s="38">
        <v>45708</v>
      </c>
      <c r="D31" t="s">
        <v>2862</v>
      </c>
      <c r="E31" t="s">
        <v>327</v>
      </c>
      <c r="F31" t="s">
        <v>328</v>
      </c>
      <c r="G31">
        <v>50000260</v>
      </c>
      <c r="H31" t="s">
        <v>2756</v>
      </c>
      <c r="I31" t="s">
        <v>2757</v>
      </c>
      <c r="J31">
        <v>1</v>
      </c>
      <c r="K31" t="s">
        <v>269</v>
      </c>
      <c r="L31" t="s">
        <v>98</v>
      </c>
      <c r="M31" t="s">
        <v>39</v>
      </c>
      <c r="N31" t="s">
        <v>2607</v>
      </c>
      <c r="O31">
        <v>0</v>
      </c>
      <c r="Q31" t="s">
        <v>37</v>
      </c>
      <c r="V31" t="s">
        <v>42</v>
      </c>
      <c r="W31">
        <v>24.61</v>
      </c>
      <c r="X31">
        <v>24.61</v>
      </c>
    </row>
    <row r="32" spans="1:24">
      <c r="A32" t="s">
        <v>2861</v>
      </c>
      <c r="B32" s="38">
        <v>45709</v>
      </c>
      <c r="C32" s="38">
        <v>45708</v>
      </c>
      <c r="D32" t="s">
        <v>2862</v>
      </c>
      <c r="E32" t="s">
        <v>327</v>
      </c>
      <c r="F32" t="s">
        <v>328</v>
      </c>
      <c r="G32">
        <v>50000260</v>
      </c>
      <c r="H32" t="s">
        <v>222</v>
      </c>
      <c r="I32" t="s">
        <v>2755</v>
      </c>
      <c r="J32">
        <v>3</v>
      </c>
      <c r="K32" t="s">
        <v>37</v>
      </c>
      <c r="L32" t="s">
        <v>98</v>
      </c>
      <c r="M32" t="s">
        <v>73</v>
      </c>
      <c r="N32" t="s">
        <v>73</v>
      </c>
      <c r="O32">
        <v>3</v>
      </c>
      <c r="Q32" t="s">
        <v>2863</v>
      </c>
      <c r="R32" s="38">
        <v>45707</v>
      </c>
      <c r="V32" t="s">
        <v>42</v>
      </c>
      <c r="W32">
        <v>177.88</v>
      </c>
      <c r="X32">
        <v>533.64</v>
      </c>
    </row>
    <row r="33" spans="1:24">
      <c r="A33" t="s">
        <v>2861</v>
      </c>
      <c r="B33" s="38">
        <v>45709</v>
      </c>
      <c r="C33" s="38">
        <v>45708</v>
      </c>
      <c r="D33" t="s">
        <v>2862</v>
      </c>
      <c r="E33" t="s">
        <v>327</v>
      </c>
      <c r="F33" t="s">
        <v>328</v>
      </c>
      <c r="G33">
        <v>50000260</v>
      </c>
      <c r="H33" t="s">
        <v>1872</v>
      </c>
      <c r="I33" t="s">
        <v>1873</v>
      </c>
      <c r="J33">
        <v>1</v>
      </c>
      <c r="K33" t="s">
        <v>37</v>
      </c>
      <c r="L33" t="s">
        <v>98</v>
      </c>
      <c r="M33" t="s">
        <v>73</v>
      </c>
      <c r="N33" t="s">
        <v>73</v>
      </c>
      <c r="O33">
        <v>1</v>
      </c>
      <c r="Q33" t="s">
        <v>37</v>
      </c>
      <c r="R33" s="38">
        <v>45707</v>
      </c>
      <c r="V33" t="s">
        <v>42</v>
      </c>
      <c r="W33">
        <v>11.43</v>
      </c>
      <c r="X33">
        <v>11.43</v>
      </c>
    </row>
    <row r="34" spans="1:24">
      <c r="A34" t="s">
        <v>2861</v>
      </c>
      <c r="B34" s="38">
        <v>45709</v>
      </c>
      <c r="C34" s="38">
        <v>45708</v>
      </c>
      <c r="D34" t="s">
        <v>2862</v>
      </c>
      <c r="E34" t="s">
        <v>327</v>
      </c>
      <c r="F34" t="s">
        <v>328</v>
      </c>
      <c r="G34">
        <v>50000260</v>
      </c>
      <c r="H34" t="s">
        <v>2753</v>
      </c>
      <c r="I34" t="s">
        <v>2754</v>
      </c>
      <c r="J34">
        <v>1</v>
      </c>
      <c r="K34" t="s">
        <v>37</v>
      </c>
      <c r="L34" t="s">
        <v>98</v>
      </c>
      <c r="M34" t="s">
        <v>73</v>
      </c>
      <c r="N34" t="s">
        <v>73</v>
      </c>
      <c r="O34">
        <v>1</v>
      </c>
      <c r="Q34" t="s">
        <v>2863</v>
      </c>
      <c r="R34" s="38">
        <v>45707</v>
      </c>
      <c r="V34" t="s">
        <v>42</v>
      </c>
      <c r="W34">
        <v>273.58</v>
      </c>
      <c r="X34">
        <v>273.58</v>
      </c>
    </row>
    <row r="35" spans="1:24">
      <c r="A35" t="s">
        <v>2861</v>
      </c>
      <c r="B35" s="38">
        <v>45709</v>
      </c>
      <c r="C35" s="38">
        <v>45708</v>
      </c>
      <c r="D35" t="s">
        <v>2862</v>
      </c>
      <c r="E35" t="s">
        <v>327</v>
      </c>
      <c r="F35" t="s">
        <v>328</v>
      </c>
      <c r="G35">
        <v>50000260</v>
      </c>
      <c r="H35" t="s">
        <v>1876</v>
      </c>
      <c r="I35" t="s">
        <v>2752</v>
      </c>
      <c r="J35">
        <v>3</v>
      </c>
      <c r="K35" t="s">
        <v>269</v>
      </c>
      <c r="L35" t="s">
        <v>98</v>
      </c>
      <c r="M35" t="s">
        <v>39</v>
      </c>
      <c r="N35" t="s">
        <v>2607</v>
      </c>
      <c r="O35">
        <v>0</v>
      </c>
      <c r="P35" t="s">
        <v>481</v>
      </c>
      <c r="Q35" t="s">
        <v>37</v>
      </c>
      <c r="V35" t="s">
        <v>42</v>
      </c>
      <c r="W35">
        <v>80.180000000000007</v>
      </c>
      <c r="X35">
        <v>240.54000000000002</v>
      </c>
    </row>
    <row r="36" spans="1:24">
      <c r="A36" t="s">
        <v>2864</v>
      </c>
      <c r="B36" s="38">
        <v>45709</v>
      </c>
      <c r="C36" s="38">
        <v>45708</v>
      </c>
      <c r="D36" t="s">
        <v>2865</v>
      </c>
      <c r="E36" t="s">
        <v>94</v>
      </c>
      <c r="F36" t="s">
        <v>95</v>
      </c>
      <c r="G36">
        <v>60002072</v>
      </c>
      <c r="H36" t="s">
        <v>1510</v>
      </c>
      <c r="I36" t="s">
        <v>2836</v>
      </c>
      <c r="J36">
        <v>1</v>
      </c>
      <c r="K36" t="s">
        <v>269</v>
      </c>
      <c r="L36" t="s">
        <v>441</v>
      </c>
      <c r="M36" t="s">
        <v>39</v>
      </c>
      <c r="N36" t="s">
        <v>2607</v>
      </c>
      <c r="O36">
        <v>0</v>
      </c>
      <c r="Q36" t="s">
        <v>2837</v>
      </c>
      <c r="W36">
        <v>2531.29</v>
      </c>
      <c r="X36">
        <v>2531.29</v>
      </c>
    </row>
    <row r="37" spans="1:24">
      <c r="A37" t="s">
        <v>2866</v>
      </c>
      <c r="B37" s="38">
        <v>45708</v>
      </c>
      <c r="C37" s="38">
        <v>45708</v>
      </c>
      <c r="D37" t="s">
        <v>2867</v>
      </c>
      <c r="E37" t="s">
        <v>541</v>
      </c>
      <c r="F37" t="s">
        <v>542</v>
      </c>
      <c r="G37">
        <v>61000037</v>
      </c>
      <c r="H37" t="s">
        <v>2799</v>
      </c>
      <c r="I37" t="s">
        <v>2868</v>
      </c>
      <c r="J37">
        <v>1</v>
      </c>
      <c r="K37" t="s">
        <v>269</v>
      </c>
      <c r="L37" t="s">
        <v>72</v>
      </c>
      <c r="M37" t="s">
        <v>39</v>
      </c>
      <c r="N37" t="s">
        <v>2607</v>
      </c>
      <c r="O37">
        <v>0</v>
      </c>
      <c r="Q37" t="s">
        <v>2869</v>
      </c>
      <c r="W37">
        <v>60590.21</v>
      </c>
      <c r="X37">
        <v>60590.21</v>
      </c>
    </row>
    <row r="38" spans="1:24">
      <c r="A38" t="s">
        <v>2870</v>
      </c>
      <c r="B38" s="38">
        <v>45708</v>
      </c>
      <c r="C38" s="38">
        <v>45707</v>
      </c>
      <c r="D38" t="s">
        <v>2871</v>
      </c>
      <c r="E38" t="s">
        <v>1322</v>
      </c>
      <c r="F38" t="s">
        <v>328</v>
      </c>
      <c r="G38">
        <v>50000202</v>
      </c>
      <c r="H38" t="s">
        <v>201</v>
      </c>
      <c r="I38" t="s">
        <v>2751</v>
      </c>
      <c r="J38">
        <v>1</v>
      </c>
      <c r="K38" t="s">
        <v>37</v>
      </c>
      <c r="L38" t="s">
        <v>72</v>
      </c>
      <c r="M38" t="s">
        <v>73</v>
      </c>
      <c r="N38" t="s">
        <v>73</v>
      </c>
      <c r="O38">
        <v>1</v>
      </c>
      <c r="Q38" t="s">
        <v>2606</v>
      </c>
      <c r="R38" s="38">
        <v>45699</v>
      </c>
      <c r="V38" t="s">
        <v>2872</v>
      </c>
      <c r="W38">
        <v>1721.28</v>
      </c>
      <c r="X38">
        <v>1721.28</v>
      </c>
    </row>
    <row r="39" spans="1:24">
      <c r="A39" t="s">
        <v>2873</v>
      </c>
      <c r="B39" s="38">
        <v>45708</v>
      </c>
      <c r="C39" s="38">
        <v>45707</v>
      </c>
      <c r="D39" t="s">
        <v>2874</v>
      </c>
      <c r="E39" t="s">
        <v>125</v>
      </c>
      <c r="F39" t="s">
        <v>34</v>
      </c>
      <c r="G39">
        <v>50110193</v>
      </c>
      <c r="H39" t="s">
        <v>2749</v>
      </c>
      <c r="I39" t="s">
        <v>2750</v>
      </c>
      <c r="J39">
        <v>1</v>
      </c>
      <c r="K39" t="s">
        <v>37</v>
      </c>
      <c r="L39" t="s">
        <v>72</v>
      </c>
      <c r="M39" t="s">
        <v>73</v>
      </c>
      <c r="N39" t="s">
        <v>73</v>
      </c>
      <c r="O39">
        <v>1</v>
      </c>
      <c r="Q39" t="s">
        <v>37</v>
      </c>
      <c r="R39" s="38">
        <v>45708</v>
      </c>
      <c r="V39" t="s">
        <v>42</v>
      </c>
      <c r="W39">
        <v>85.17</v>
      </c>
      <c r="X39">
        <v>85.17</v>
      </c>
    </row>
    <row r="40" spans="1:24">
      <c r="A40" t="s">
        <v>2873</v>
      </c>
      <c r="B40" s="38">
        <v>45708</v>
      </c>
      <c r="C40" s="38">
        <v>45707</v>
      </c>
      <c r="D40" t="s">
        <v>2874</v>
      </c>
      <c r="E40" t="s">
        <v>125</v>
      </c>
      <c r="F40" t="s">
        <v>34</v>
      </c>
      <c r="G40">
        <v>50110193</v>
      </c>
      <c r="H40" t="s">
        <v>1051</v>
      </c>
      <c r="I40" t="s">
        <v>1052</v>
      </c>
      <c r="J40">
        <v>1</v>
      </c>
      <c r="K40" t="s">
        <v>37</v>
      </c>
      <c r="L40" t="s">
        <v>72</v>
      </c>
      <c r="M40" t="s">
        <v>39</v>
      </c>
      <c r="N40" t="s">
        <v>2607</v>
      </c>
      <c r="O40">
        <v>0</v>
      </c>
      <c r="Q40" t="s">
        <v>37</v>
      </c>
      <c r="V40" t="s">
        <v>42</v>
      </c>
      <c r="W40">
        <v>511.16</v>
      </c>
      <c r="X40">
        <v>511.16</v>
      </c>
    </row>
    <row r="41" spans="1:24">
      <c r="A41" t="s">
        <v>2875</v>
      </c>
      <c r="B41" s="38">
        <v>45708</v>
      </c>
      <c r="C41" s="38">
        <v>45707</v>
      </c>
      <c r="D41" t="s">
        <v>2876</v>
      </c>
      <c r="E41" t="s">
        <v>125</v>
      </c>
      <c r="F41" t="s">
        <v>34</v>
      </c>
      <c r="G41">
        <v>50110193</v>
      </c>
      <c r="H41" t="s">
        <v>2747</v>
      </c>
      <c r="I41" t="s">
        <v>2748</v>
      </c>
      <c r="J41">
        <v>1</v>
      </c>
      <c r="K41" t="s">
        <v>37</v>
      </c>
      <c r="L41" t="s">
        <v>72</v>
      </c>
      <c r="M41" t="s">
        <v>81</v>
      </c>
      <c r="N41" t="s">
        <v>73</v>
      </c>
      <c r="O41">
        <v>1</v>
      </c>
      <c r="Q41" t="s">
        <v>37</v>
      </c>
      <c r="R41" s="38">
        <v>45708</v>
      </c>
      <c r="V41" t="s">
        <v>42</v>
      </c>
      <c r="W41">
        <v>10.19</v>
      </c>
      <c r="X41">
        <v>10.19</v>
      </c>
    </row>
    <row r="42" spans="1:24">
      <c r="A42" t="s">
        <v>2877</v>
      </c>
      <c r="B42" s="38">
        <v>45708</v>
      </c>
      <c r="C42" s="38">
        <v>45707</v>
      </c>
      <c r="D42" t="s">
        <v>2878</v>
      </c>
      <c r="E42" t="s">
        <v>101</v>
      </c>
      <c r="F42" t="s">
        <v>102</v>
      </c>
      <c r="G42">
        <v>51000323</v>
      </c>
      <c r="H42" t="s">
        <v>335</v>
      </c>
      <c r="I42" t="s">
        <v>2746</v>
      </c>
      <c r="J42">
        <v>2</v>
      </c>
      <c r="K42" t="s">
        <v>37</v>
      </c>
      <c r="L42" t="s">
        <v>72</v>
      </c>
      <c r="M42" t="s">
        <v>81</v>
      </c>
      <c r="N42" t="s">
        <v>73</v>
      </c>
      <c r="O42">
        <v>2</v>
      </c>
      <c r="Q42" t="s">
        <v>37</v>
      </c>
      <c r="R42" s="38">
        <v>45707</v>
      </c>
      <c r="V42" t="s">
        <v>42</v>
      </c>
      <c r="W42">
        <v>17.28</v>
      </c>
      <c r="X42">
        <v>34.56</v>
      </c>
    </row>
    <row r="43" spans="1:24">
      <c r="A43" t="s">
        <v>2877</v>
      </c>
      <c r="B43" s="38">
        <v>45708</v>
      </c>
      <c r="C43" s="38">
        <v>45707</v>
      </c>
      <c r="D43" t="s">
        <v>2878</v>
      </c>
      <c r="E43" t="s">
        <v>101</v>
      </c>
      <c r="F43" t="s">
        <v>102</v>
      </c>
      <c r="G43">
        <v>51000323</v>
      </c>
      <c r="H43" t="s">
        <v>2259</v>
      </c>
      <c r="I43" t="s">
        <v>2745</v>
      </c>
      <c r="J43">
        <v>1</v>
      </c>
      <c r="K43" t="s">
        <v>37</v>
      </c>
      <c r="L43" t="s">
        <v>72</v>
      </c>
      <c r="M43" t="s">
        <v>39</v>
      </c>
      <c r="N43" t="s">
        <v>2607</v>
      </c>
      <c r="O43">
        <v>0</v>
      </c>
      <c r="Q43" t="s">
        <v>37</v>
      </c>
      <c r="V43" t="s">
        <v>42</v>
      </c>
      <c r="W43">
        <v>7.35</v>
      </c>
      <c r="X43">
        <v>7.35</v>
      </c>
    </row>
    <row r="44" spans="1:24">
      <c r="A44" t="s">
        <v>2879</v>
      </c>
      <c r="B44" s="38">
        <v>45708</v>
      </c>
      <c r="C44" s="38">
        <v>45708</v>
      </c>
      <c r="D44" t="s">
        <v>2880</v>
      </c>
      <c r="E44" t="s">
        <v>298</v>
      </c>
      <c r="F44" t="s">
        <v>2881</v>
      </c>
      <c r="G44">
        <v>43000422</v>
      </c>
      <c r="H44" t="s">
        <v>2744</v>
      </c>
      <c r="I44" t="s">
        <v>1850</v>
      </c>
      <c r="J44">
        <v>1</v>
      </c>
      <c r="K44" t="s">
        <v>37</v>
      </c>
      <c r="L44" t="s">
        <v>72</v>
      </c>
      <c r="M44" t="s">
        <v>73</v>
      </c>
      <c r="N44" t="s">
        <v>73</v>
      </c>
      <c r="O44">
        <v>1</v>
      </c>
      <c r="P44" t="s">
        <v>587</v>
      </c>
      <c r="Q44" t="s">
        <v>37</v>
      </c>
      <c r="R44" s="38">
        <v>45693</v>
      </c>
      <c r="V44" t="s">
        <v>2882</v>
      </c>
      <c r="W44">
        <v>79.989999999999995</v>
      </c>
      <c r="X44">
        <v>79.989999999999995</v>
      </c>
    </row>
    <row r="45" spans="1:24">
      <c r="A45" t="s">
        <v>2883</v>
      </c>
      <c r="B45" s="38">
        <v>45707</v>
      </c>
      <c r="E45" t="s">
        <v>125</v>
      </c>
      <c r="F45" t="s">
        <v>34</v>
      </c>
      <c r="G45">
        <v>50110193</v>
      </c>
      <c r="H45" t="s">
        <v>2884</v>
      </c>
      <c r="I45" t="s">
        <v>2885</v>
      </c>
      <c r="J45">
        <v>1</v>
      </c>
      <c r="M45" t="s">
        <v>289</v>
      </c>
      <c r="N45" t="s">
        <v>289</v>
      </c>
      <c r="O45">
        <v>0</v>
      </c>
      <c r="Q45" t="s">
        <v>37</v>
      </c>
      <c r="W45">
        <v>1099.46</v>
      </c>
      <c r="X45">
        <v>1099.46</v>
      </c>
    </row>
    <row r="46" spans="1:24">
      <c r="A46" t="s">
        <v>2886</v>
      </c>
      <c r="B46" s="38">
        <v>45707</v>
      </c>
      <c r="C46" s="38">
        <v>45707</v>
      </c>
      <c r="D46" t="s">
        <v>2887</v>
      </c>
      <c r="E46" t="s">
        <v>134</v>
      </c>
      <c r="F46" t="s">
        <v>145</v>
      </c>
      <c r="G46">
        <v>48000432</v>
      </c>
      <c r="H46" t="s">
        <v>513</v>
      </c>
      <c r="I46" t="s">
        <v>2293</v>
      </c>
      <c r="J46">
        <v>1</v>
      </c>
      <c r="K46" t="s">
        <v>37</v>
      </c>
      <c r="L46" t="s">
        <v>72</v>
      </c>
      <c r="M46" t="s">
        <v>73</v>
      </c>
      <c r="N46" t="s">
        <v>73</v>
      </c>
      <c r="O46">
        <v>1</v>
      </c>
      <c r="Q46" t="s">
        <v>2606</v>
      </c>
      <c r="R46" s="38">
        <v>45700</v>
      </c>
      <c r="V46" t="s">
        <v>2888</v>
      </c>
      <c r="W46">
        <v>453.02</v>
      </c>
      <c r="X46">
        <v>453.02</v>
      </c>
    </row>
    <row r="47" spans="1:24">
      <c r="A47" t="s">
        <v>2889</v>
      </c>
      <c r="B47" s="38">
        <v>45707</v>
      </c>
      <c r="C47" s="38">
        <v>45707</v>
      </c>
      <c r="D47" t="s">
        <v>2890</v>
      </c>
      <c r="E47" t="s">
        <v>125</v>
      </c>
      <c r="F47" t="s">
        <v>34</v>
      </c>
      <c r="G47">
        <v>50110193</v>
      </c>
      <c r="H47" t="s">
        <v>430</v>
      </c>
      <c r="I47" t="s">
        <v>431</v>
      </c>
      <c r="J47">
        <v>1</v>
      </c>
      <c r="K47" t="s">
        <v>37</v>
      </c>
      <c r="L47" t="s">
        <v>72</v>
      </c>
      <c r="M47" t="s">
        <v>73</v>
      </c>
      <c r="N47" t="s">
        <v>73</v>
      </c>
      <c r="O47">
        <v>1</v>
      </c>
      <c r="Q47" t="s">
        <v>37</v>
      </c>
      <c r="R47" s="38">
        <v>45701</v>
      </c>
      <c r="V47" t="s">
        <v>42</v>
      </c>
      <c r="W47">
        <v>125.99</v>
      </c>
      <c r="X47">
        <v>125.99</v>
      </c>
    </row>
    <row r="48" spans="1:24">
      <c r="A48" t="s">
        <v>2891</v>
      </c>
      <c r="B48" s="38">
        <v>45707</v>
      </c>
      <c r="C48" s="38">
        <v>45339</v>
      </c>
      <c r="D48" t="s">
        <v>2892</v>
      </c>
      <c r="E48" t="s">
        <v>1945</v>
      </c>
      <c r="F48" t="s">
        <v>34</v>
      </c>
      <c r="G48" t="s">
        <v>2658</v>
      </c>
      <c r="H48" t="s">
        <v>2742</v>
      </c>
      <c r="I48" t="s">
        <v>2743</v>
      </c>
      <c r="J48">
        <v>1</v>
      </c>
      <c r="K48" t="s">
        <v>37</v>
      </c>
      <c r="L48" t="s">
        <v>251</v>
      </c>
      <c r="M48" t="s">
        <v>73</v>
      </c>
      <c r="N48" t="s">
        <v>73</v>
      </c>
      <c r="O48">
        <v>1</v>
      </c>
      <c r="P48" t="s">
        <v>2893</v>
      </c>
      <c r="Q48" t="s">
        <v>2606</v>
      </c>
      <c r="R48" s="38">
        <v>45692</v>
      </c>
      <c r="V48" t="s">
        <v>42</v>
      </c>
      <c r="W48">
        <v>6075.1</v>
      </c>
      <c r="X48">
        <v>6075.1</v>
      </c>
    </row>
    <row r="49" spans="1:24">
      <c r="A49" t="s">
        <v>2894</v>
      </c>
      <c r="B49" s="38">
        <v>45707</v>
      </c>
      <c r="C49" s="38">
        <v>45705</v>
      </c>
      <c r="D49" t="s">
        <v>2895</v>
      </c>
      <c r="E49" t="s">
        <v>915</v>
      </c>
      <c r="F49" t="s">
        <v>140</v>
      </c>
      <c r="G49">
        <v>48300375</v>
      </c>
      <c r="H49" t="s">
        <v>446</v>
      </c>
      <c r="I49" t="s">
        <v>2741</v>
      </c>
      <c r="J49">
        <v>1</v>
      </c>
      <c r="K49" t="s">
        <v>37</v>
      </c>
      <c r="L49" t="s">
        <v>38</v>
      </c>
      <c r="M49" t="s">
        <v>73</v>
      </c>
      <c r="N49" t="s">
        <v>73</v>
      </c>
      <c r="O49">
        <v>1</v>
      </c>
      <c r="Q49" t="s">
        <v>2606</v>
      </c>
      <c r="R49" s="38">
        <v>45636</v>
      </c>
      <c r="V49" t="s">
        <v>2896</v>
      </c>
      <c r="W49">
        <v>431.82</v>
      </c>
      <c r="X49">
        <v>431.82</v>
      </c>
    </row>
    <row r="50" spans="1:24">
      <c r="A50" t="s">
        <v>2897</v>
      </c>
      <c r="B50" s="38">
        <v>45707</v>
      </c>
      <c r="C50" s="38">
        <v>45705</v>
      </c>
      <c r="D50" t="s">
        <v>2898</v>
      </c>
      <c r="E50" t="s">
        <v>1322</v>
      </c>
      <c r="F50" t="s">
        <v>328</v>
      </c>
      <c r="G50">
        <v>50000202</v>
      </c>
      <c r="H50" t="s">
        <v>2739</v>
      </c>
      <c r="I50" t="s">
        <v>2740</v>
      </c>
      <c r="J50">
        <v>1</v>
      </c>
      <c r="K50" t="s">
        <v>37</v>
      </c>
      <c r="L50" t="s">
        <v>122</v>
      </c>
      <c r="M50" t="s">
        <v>73</v>
      </c>
      <c r="N50" t="s">
        <v>73</v>
      </c>
      <c r="O50">
        <v>1</v>
      </c>
      <c r="P50" t="s">
        <v>2899</v>
      </c>
      <c r="Q50" t="s">
        <v>2606</v>
      </c>
      <c r="R50" s="38">
        <v>45705</v>
      </c>
      <c r="V50" t="s">
        <v>2872</v>
      </c>
      <c r="W50">
        <v>826.34</v>
      </c>
      <c r="X50">
        <v>826.34</v>
      </c>
    </row>
    <row r="51" spans="1:24">
      <c r="A51" t="s">
        <v>2900</v>
      </c>
      <c r="B51" s="38">
        <v>45707</v>
      </c>
      <c r="C51" s="38">
        <v>45705</v>
      </c>
      <c r="D51" t="s">
        <v>2901</v>
      </c>
      <c r="E51" t="s">
        <v>94</v>
      </c>
      <c r="F51" t="s">
        <v>95</v>
      </c>
      <c r="G51">
        <v>60002072</v>
      </c>
      <c r="H51" t="s">
        <v>1154</v>
      </c>
      <c r="I51" t="s">
        <v>2738</v>
      </c>
      <c r="J51">
        <v>1</v>
      </c>
      <c r="K51" t="s">
        <v>37</v>
      </c>
      <c r="L51" t="s">
        <v>441</v>
      </c>
      <c r="M51" t="s">
        <v>73</v>
      </c>
      <c r="N51" t="s">
        <v>73</v>
      </c>
      <c r="O51">
        <v>1</v>
      </c>
      <c r="Q51" t="s">
        <v>2808</v>
      </c>
      <c r="R51" s="38">
        <v>45693</v>
      </c>
      <c r="W51">
        <v>359.28</v>
      </c>
      <c r="X51">
        <v>359.28</v>
      </c>
    </row>
    <row r="52" spans="1:24">
      <c r="A52" t="s">
        <v>2900</v>
      </c>
      <c r="B52" s="38">
        <v>45707</v>
      </c>
      <c r="C52" s="38">
        <v>45705</v>
      </c>
      <c r="D52" t="s">
        <v>2901</v>
      </c>
      <c r="E52" t="s">
        <v>94</v>
      </c>
      <c r="F52" t="s">
        <v>95</v>
      </c>
      <c r="G52">
        <v>60002072</v>
      </c>
      <c r="H52" t="s">
        <v>517</v>
      </c>
      <c r="I52" t="s">
        <v>2737</v>
      </c>
      <c r="J52">
        <v>1</v>
      </c>
      <c r="K52" t="s">
        <v>37</v>
      </c>
      <c r="L52" t="s">
        <v>441</v>
      </c>
      <c r="M52" t="s">
        <v>73</v>
      </c>
      <c r="N52" t="s">
        <v>73</v>
      </c>
      <c r="O52">
        <v>1</v>
      </c>
      <c r="Q52" t="s">
        <v>37</v>
      </c>
      <c r="R52" s="38">
        <v>45693</v>
      </c>
      <c r="W52">
        <v>77.98</v>
      </c>
      <c r="X52">
        <v>77.98</v>
      </c>
    </row>
    <row r="53" spans="1:24">
      <c r="A53" t="s">
        <v>2902</v>
      </c>
      <c r="B53" s="38">
        <v>45706</v>
      </c>
      <c r="E53" t="s">
        <v>777</v>
      </c>
      <c r="F53" t="s">
        <v>2849</v>
      </c>
      <c r="G53">
        <v>51000129</v>
      </c>
      <c r="H53" t="s">
        <v>2903</v>
      </c>
      <c r="I53" t="s">
        <v>2904</v>
      </c>
      <c r="J53">
        <v>1</v>
      </c>
      <c r="M53" t="s">
        <v>289</v>
      </c>
      <c r="N53" t="s">
        <v>289</v>
      </c>
      <c r="O53">
        <v>0</v>
      </c>
      <c r="Q53" t="s">
        <v>37</v>
      </c>
      <c r="W53">
        <v>5.52</v>
      </c>
      <c r="X53">
        <v>5.52</v>
      </c>
    </row>
    <row r="54" spans="1:24">
      <c r="A54" t="s">
        <v>2905</v>
      </c>
      <c r="B54" s="38">
        <v>45706</v>
      </c>
      <c r="C54" s="38">
        <v>45698</v>
      </c>
      <c r="D54" t="s">
        <v>2906</v>
      </c>
      <c r="E54" t="s">
        <v>2735</v>
      </c>
      <c r="F54" t="s">
        <v>304</v>
      </c>
      <c r="G54">
        <v>47200115</v>
      </c>
      <c r="H54" t="s">
        <v>183</v>
      </c>
      <c r="I54" t="s">
        <v>2736</v>
      </c>
      <c r="J54">
        <v>1</v>
      </c>
      <c r="K54" t="s">
        <v>37</v>
      </c>
      <c r="L54" t="s">
        <v>1477</v>
      </c>
      <c r="M54" t="s">
        <v>73</v>
      </c>
      <c r="N54" t="s">
        <v>73</v>
      </c>
      <c r="O54">
        <v>1</v>
      </c>
      <c r="Q54" t="s">
        <v>2808</v>
      </c>
      <c r="R54" s="38">
        <v>45642</v>
      </c>
      <c r="V54" t="s">
        <v>2907</v>
      </c>
      <c r="W54">
        <v>1317.91</v>
      </c>
      <c r="X54">
        <v>1317.91</v>
      </c>
    </row>
    <row r="55" spans="1:24">
      <c r="A55" t="s">
        <v>2908</v>
      </c>
      <c r="B55" s="38">
        <v>45701</v>
      </c>
      <c r="C55" s="38">
        <v>45700</v>
      </c>
      <c r="D55" t="s">
        <v>2909</v>
      </c>
      <c r="E55" t="s">
        <v>33</v>
      </c>
      <c r="F55" t="s">
        <v>95</v>
      </c>
      <c r="G55">
        <v>60002095</v>
      </c>
      <c r="H55" t="s">
        <v>1172</v>
      </c>
      <c r="I55" t="s">
        <v>2734</v>
      </c>
      <c r="J55">
        <v>1</v>
      </c>
      <c r="K55" t="s">
        <v>37</v>
      </c>
      <c r="L55" t="s">
        <v>122</v>
      </c>
      <c r="M55" t="s">
        <v>73</v>
      </c>
      <c r="N55" t="s">
        <v>73</v>
      </c>
      <c r="O55">
        <v>1</v>
      </c>
      <c r="Q55" t="s">
        <v>2606</v>
      </c>
      <c r="R55" s="38">
        <v>45701</v>
      </c>
      <c r="V55" t="s">
        <v>42</v>
      </c>
      <c r="W55">
        <v>1172.56</v>
      </c>
      <c r="X55">
        <v>1172.56</v>
      </c>
    </row>
    <row r="56" spans="1:24">
      <c r="A56" t="s">
        <v>2910</v>
      </c>
      <c r="B56" s="38">
        <v>45699</v>
      </c>
      <c r="C56" s="38">
        <v>45691</v>
      </c>
      <c r="D56" t="s">
        <v>2911</v>
      </c>
      <c r="E56" t="s">
        <v>333</v>
      </c>
      <c r="F56" t="s">
        <v>334</v>
      </c>
      <c r="G56">
        <v>50300097</v>
      </c>
      <c r="H56" t="s">
        <v>1267</v>
      </c>
      <c r="I56" t="s">
        <v>2733</v>
      </c>
      <c r="J56">
        <v>1</v>
      </c>
      <c r="K56" t="s">
        <v>37</v>
      </c>
      <c r="L56" t="s">
        <v>1372</v>
      </c>
      <c r="M56" t="s">
        <v>39</v>
      </c>
      <c r="N56" t="s">
        <v>73</v>
      </c>
      <c r="O56">
        <v>1</v>
      </c>
      <c r="Q56" t="s">
        <v>37</v>
      </c>
      <c r="R56" s="38">
        <v>45691</v>
      </c>
      <c r="V56" t="s">
        <v>2912</v>
      </c>
      <c r="W56">
        <v>83.29</v>
      </c>
      <c r="X56">
        <v>83.29</v>
      </c>
    </row>
    <row r="57" spans="1:24">
      <c r="A57" t="s">
        <v>2913</v>
      </c>
      <c r="B57" s="38">
        <v>45698</v>
      </c>
      <c r="C57" s="38">
        <v>45698</v>
      </c>
      <c r="D57" t="s">
        <v>2914</v>
      </c>
      <c r="E57" t="s">
        <v>345</v>
      </c>
      <c r="F57" t="s">
        <v>34</v>
      </c>
      <c r="G57">
        <v>50110229</v>
      </c>
      <c r="H57" t="s">
        <v>866</v>
      </c>
      <c r="I57" t="s">
        <v>2732</v>
      </c>
      <c r="J57">
        <v>1</v>
      </c>
      <c r="K57" t="s">
        <v>269</v>
      </c>
      <c r="L57" t="s">
        <v>72</v>
      </c>
      <c r="M57" t="s">
        <v>39</v>
      </c>
      <c r="N57" t="s">
        <v>2607</v>
      </c>
      <c r="O57">
        <v>0</v>
      </c>
      <c r="Q57" t="s">
        <v>37</v>
      </c>
      <c r="V57" t="s">
        <v>42</v>
      </c>
      <c r="W57">
        <v>248.73</v>
      </c>
      <c r="X57">
        <v>248.73</v>
      </c>
    </row>
    <row r="58" spans="1:24">
      <c r="A58" t="s">
        <v>2915</v>
      </c>
      <c r="B58" s="38">
        <v>45698</v>
      </c>
      <c r="C58" s="38">
        <v>45698</v>
      </c>
      <c r="D58" t="s">
        <v>2916</v>
      </c>
      <c r="E58" t="s">
        <v>33</v>
      </c>
      <c r="F58" t="s">
        <v>34</v>
      </c>
      <c r="G58">
        <v>50110372</v>
      </c>
      <c r="H58" t="s">
        <v>329</v>
      </c>
      <c r="I58" t="s">
        <v>346</v>
      </c>
      <c r="J58">
        <v>1</v>
      </c>
      <c r="K58" t="s">
        <v>37</v>
      </c>
      <c r="L58" t="s">
        <v>72</v>
      </c>
      <c r="M58" t="s">
        <v>73</v>
      </c>
      <c r="N58" t="s">
        <v>73</v>
      </c>
      <c r="O58">
        <v>1</v>
      </c>
      <c r="Q58" t="s">
        <v>37</v>
      </c>
      <c r="R58" s="38">
        <v>45695</v>
      </c>
      <c r="V58" t="s">
        <v>42</v>
      </c>
      <c r="W58">
        <v>49.81</v>
      </c>
      <c r="X58">
        <v>49.81</v>
      </c>
    </row>
    <row r="59" spans="1:24">
      <c r="A59" t="s">
        <v>2917</v>
      </c>
      <c r="B59" s="38">
        <v>45698</v>
      </c>
      <c r="C59" s="38">
        <v>45698</v>
      </c>
      <c r="D59" t="s">
        <v>2918</v>
      </c>
      <c r="E59" t="s">
        <v>915</v>
      </c>
      <c r="F59" t="s">
        <v>140</v>
      </c>
      <c r="G59">
        <v>48300375</v>
      </c>
      <c r="H59" t="s">
        <v>2730</v>
      </c>
      <c r="I59" t="s">
        <v>2731</v>
      </c>
      <c r="J59">
        <v>1</v>
      </c>
      <c r="K59" t="s">
        <v>37</v>
      </c>
      <c r="L59" t="s">
        <v>72</v>
      </c>
      <c r="M59" t="s">
        <v>39</v>
      </c>
      <c r="N59" t="s">
        <v>2607</v>
      </c>
      <c r="O59">
        <v>0</v>
      </c>
      <c r="Q59" t="s">
        <v>37</v>
      </c>
      <c r="W59">
        <v>16.329999999999998</v>
      </c>
      <c r="X59">
        <v>16.329999999999998</v>
      </c>
    </row>
    <row r="60" spans="1:24">
      <c r="A60" t="s">
        <v>2919</v>
      </c>
      <c r="B60" s="38">
        <v>45698</v>
      </c>
      <c r="C60" s="38">
        <v>45692</v>
      </c>
      <c r="D60" t="s">
        <v>2920</v>
      </c>
      <c r="E60" t="s">
        <v>33</v>
      </c>
      <c r="F60" t="s">
        <v>328</v>
      </c>
      <c r="G60">
        <v>50000343</v>
      </c>
      <c r="H60" t="s">
        <v>70</v>
      </c>
      <c r="I60" t="s">
        <v>352</v>
      </c>
      <c r="J60">
        <v>1</v>
      </c>
      <c r="K60" t="s">
        <v>37</v>
      </c>
      <c r="L60" t="s">
        <v>72</v>
      </c>
      <c r="M60" t="s">
        <v>81</v>
      </c>
      <c r="N60" t="s">
        <v>81</v>
      </c>
      <c r="O60">
        <v>1</v>
      </c>
      <c r="Q60" t="s">
        <v>37</v>
      </c>
      <c r="R60" s="38">
        <v>45698</v>
      </c>
      <c r="V60" t="s">
        <v>42</v>
      </c>
      <c r="W60">
        <v>35.19</v>
      </c>
      <c r="X60">
        <v>35.19</v>
      </c>
    </row>
    <row r="61" spans="1:24">
      <c r="A61" t="s">
        <v>2921</v>
      </c>
      <c r="B61" s="38">
        <v>45695</v>
      </c>
      <c r="C61" s="38">
        <v>45694</v>
      </c>
      <c r="D61" t="s">
        <v>2922</v>
      </c>
      <c r="E61" t="s">
        <v>2726</v>
      </c>
      <c r="F61" t="s">
        <v>186</v>
      </c>
      <c r="G61">
        <v>44000321</v>
      </c>
      <c r="H61" t="s">
        <v>1037</v>
      </c>
      <c r="I61" t="s">
        <v>2729</v>
      </c>
      <c r="J61">
        <v>1</v>
      </c>
      <c r="K61" t="s">
        <v>37</v>
      </c>
      <c r="L61" t="s">
        <v>1108</v>
      </c>
      <c r="M61" t="s">
        <v>73</v>
      </c>
      <c r="N61" t="s">
        <v>73</v>
      </c>
      <c r="O61">
        <v>1</v>
      </c>
      <c r="Q61" t="s">
        <v>37</v>
      </c>
      <c r="R61" s="38">
        <v>45672</v>
      </c>
      <c r="V61" t="s">
        <v>2923</v>
      </c>
      <c r="W61">
        <v>769.19</v>
      </c>
      <c r="X61">
        <v>769.19</v>
      </c>
    </row>
    <row r="62" spans="1:24">
      <c r="A62" t="s">
        <v>2924</v>
      </c>
      <c r="B62" s="38">
        <v>45691</v>
      </c>
      <c r="C62" s="38">
        <v>45688</v>
      </c>
      <c r="D62" t="s">
        <v>2925</v>
      </c>
      <c r="E62" t="s">
        <v>88</v>
      </c>
      <c r="F62" t="s">
        <v>34</v>
      </c>
      <c r="G62">
        <v>50110057</v>
      </c>
      <c r="H62" t="s">
        <v>2701</v>
      </c>
      <c r="I62" t="s">
        <v>2702</v>
      </c>
      <c r="J62">
        <v>1</v>
      </c>
      <c r="K62" t="s">
        <v>37</v>
      </c>
      <c r="L62" t="s">
        <v>122</v>
      </c>
      <c r="M62" t="s">
        <v>81</v>
      </c>
      <c r="N62" t="s">
        <v>81</v>
      </c>
      <c r="O62">
        <v>1</v>
      </c>
      <c r="Q62" t="s">
        <v>2817</v>
      </c>
      <c r="V62" t="s">
        <v>42</v>
      </c>
      <c r="W62">
        <v>15.33</v>
      </c>
      <c r="X62">
        <v>15.33</v>
      </c>
    </row>
    <row r="63" spans="1:24">
      <c r="A63" t="s">
        <v>2926</v>
      </c>
      <c r="B63" s="38">
        <v>45691</v>
      </c>
      <c r="C63" s="38">
        <v>45688</v>
      </c>
      <c r="D63" t="s">
        <v>2927</v>
      </c>
      <c r="E63" t="s">
        <v>298</v>
      </c>
      <c r="F63" t="s">
        <v>2881</v>
      </c>
      <c r="G63">
        <v>43000422</v>
      </c>
      <c r="H63" t="s">
        <v>2529</v>
      </c>
      <c r="I63" t="s">
        <v>2703</v>
      </c>
      <c r="J63">
        <v>1</v>
      </c>
      <c r="K63" t="s">
        <v>37</v>
      </c>
      <c r="L63" t="s">
        <v>72</v>
      </c>
      <c r="M63" t="s">
        <v>73</v>
      </c>
      <c r="N63" t="s">
        <v>73</v>
      </c>
      <c r="O63">
        <v>1</v>
      </c>
      <c r="P63" t="s">
        <v>2034</v>
      </c>
      <c r="Q63" t="s">
        <v>2928</v>
      </c>
      <c r="R63" s="38">
        <v>45681</v>
      </c>
      <c r="V63" t="s">
        <v>2929</v>
      </c>
      <c r="W63">
        <v>654.77</v>
      </c>
      <c r="X63">
        <v>654.77</v>
      </c>
    </row>
    <row r="64" spans="1:24">
      <c r="A64" t="s">
        <v>2930</v>
      </c>
      <c r="B64" s="38">
        <v>45691</v>
      </c>
      <c r="C64" s="38">
        <v>45691</v>
      </c>
      <c r="D64" t="s">
        <v>2931</v>
      </c>
      <c r="E64" t="s">
        <v>704</v>
      </c>
      <c r="F64" t="s">
        <v>145</v>
      </c>
      <c r="G64">
        <v>48000482</v>
      </c>
      <c r="H64" t="s">
        <v>1650</v>
      </c>
      <c r="I64" t="s">
        <v>2704</v>
      </c>
      <c r="J64">
        <v>1</v>
      </c>
      <c r="K64" t="s">
        <v>37</v>
      </c>
      <c r="L64" t="s">
        <v>72</v>
      </c>
      <c r="M64" t="s">
        <v>73</v>
      </c>
      <c r="N64" t="s">
        <v>73</v>
      </c>
      <c r="O64">
        <v>1</v>
      </c>
      <c r="P64" t="s">
        <v>1652</v>
      </c>
      <c r="Q64" t="s">
        <v>37</v>
      </c>
      <c r="R64" s="38">
        <v>45691</v>
      </c>
      <c r="V64" t="s">
        <v>2932</v>
      </c>
      <c r="W64">
        <v>159.5</v>
      </c>
      <c r="X64">
        <v>159.5</v>
      </c>
    </row>
    <row r="65" spans="1:24">
      <c r="A65" t="s">
        <v>2933</v>
      </c>
      <c r="B65" s="38">
        <v>45691</v>
      </c>
      <c r="C65" s="38">
        <v>45691</v>
      </c>
      <c r="D65" t="s">
        <v>2934</v>
      </c>
      <c r="E65" t="s">
        <v>704</v>
      </c>
      <c r="F65" t="s">
        <v>145</v>
      </c>
      <c r="G65">
        <v>48000482</v>
      </c>
      <c r="H65" t="s">
        <v>446</v>
      </c>
      <c r="I65" t="s">
        <v>509</v>
      </c>
      <c r="J65">
        <v>1</v>
      </c>
      <c r="K65" t="s">
        <v>37</v>
      </c>
      <c r="L65" t="s">
        <v>72</v>
      </c>
      <c r="M65" t="s">
        <v>73</v>
      </c>
      <c r="N65" t="s">
        <v>73</v>
      </c>
      <c r="O65">
        <v>1</v>
      </c>
      <c r="Q65" t="s">
        <v>2606</v>
      </c>
      <c r="R65" s="38">
        <v>45672</v>
      </c>
      <c r="V65" t="s">
        <v>2935</v>
      </c>
      <c r="W65">
        <v>431.82</v>
      </c>
      <c r="X65">
        <v>431.82</v>
      </c>
    </row>
    <row r="66" spans="1:24">
      <c r="A66" t="s">
        <v>2936</v>
      </c>
      <c r="B66" s="38">
        <v>45691</v>
      </c>
      <c r="C66" s="38">
        <v>45691</v>
      </c>
      <c r="D66" t="s">
        <v>2937</v>
      </c>
      <c r="E66" t="s">
        <v>365</v>
      </c>
      <c r="F66" t="s">
        <v>328</v>
      </c>
      <c r="G66">
        <v>50000530</v>
      </c>
      <c r="H66" t="s">
        <v>1064</v>
      </c>
      <c r="I66" t="s">
        <v>2705</v>
      </c>
      <c r="J66">
        <v>1</v>
      </c>
      <c r="K66" t="s">
        <v>269</v>
      </c>
      <c r="L66" t="s">
        <v>1372</v>
      </c>
      <c r="M66" t="s">
        <v>73</v>
      </c>
      <c r="N66" t="s">
        <v>73</v>
      </c>
      <c r="O66">
        <v>1</v>
      </c>
      <c r="Q66" t="s">
        <v>2938</v>
      </c>
      <c r="R66" s="38">
        <v>45688</v>
      </c>
      <c r="V66" t="s">
        <v>2939</v>
      </c>
      <c r="W66">
        <v>396.84</v>
      </c>
      <c r="X66">
        <v>396.84</v>
      </c>
    </row>
    <row r="67" spans="1:24">
      <c r="A67" t="s">
        <v>2940</v>
      </c>
      <c r="B67" s="38">
        <v>45691</v>
      </c>
      <c r="C67" s="38">
        <v>45691</v>
      </c>
      <c r="D67" t="s">
        <v>2941</v>
      </c>
      <c r="E67" t="s">
        <v>365</v>
      </c>
      <c r="F67" t="s">
        <v>328</v>
      </c>
      <c r="G67">
        <v>50000530</v>
      </c>
      <c r="H67" t="s">
        <v>70</v>
      </c>
      <c r="I67" t="s">
        <v>352</v>
      </c>
      <c r="J67">
        <v>1</v>
      </c>
      <c r="K67" t="s">
        <v>37</v>
      </c>
      <c r="L67" t="s">
        <v>72</v>
      </c>
      <c r="M67" t="s">
        <v>73</v>
      </c>
      <c r="N67" t="s">
        <v>73</v>
      </c>
      <c r="O67">
        <v>1</v>
      </c>
      <c r="Q67" t="s">
        <v>37</v>
      </c>
      <c r="R67" s="38">
        <v>45688</v>
      </c>
      <c r="V67" t="s">
        <v>2939</v>
      </c>
      <c r="W67">
        <v>35.19</v>
      </c>
      <c r="X67">
        <v>35.19</v>
      </c>
    </row>
    <row r="68" spans="1:24">
      <c r="A68" t="s">
        <v>2942</v>
      </c>
      <c r="B68" s="38">
        <v>45691</v>
      </c>
      <c r="C68" s="38">
        <v>45691</v>
      </c>
      <c r="D68" t="s">
        <v>2943</v>
      </c>
      <c r="E68" t="s">
        <v>1030</v>
      </c>
      <c r="F68" t="s">
        <v>186</v>
      </c>
      <c r="G68">
        <v>44000010</v>
      </c>
      <c r="H68" t="s">
        <v>587</v>
      </c>
      <c r="I68" t="s">
        <v>2706</v>
      </c>
      <c r="J68">
        <v>1</v>
      </c>
      <c r="K68" t="s">
        <v>37</v>
      </c>
      <c r="L68" t="s">
        <v>72</v>
      </c>
      <c r="M68" t="s">
        <v>73</v>
      </c>
      <c r="N68" t="s">
        <v>73</v>
      </c>
      <c r="O68">
        <v>1</v>
      </c>
      <c r="Q68" t="s">
        <v>37</v>
      </c>
      <c r="R68" s="38">
        <v>45705</v>
      </c>
      <c r="V68" t="s">
        <v>2944</v>
      </c>
      <c r="W68">
        <v>79.989999999999995</v>
      </c>
      <c r="X68">
        <v>79.989999999999995</v>
      </c>
    </row>
    <row r="69" spans="1:24">
      <c r="A69" t="s">
        <v>2945</v>
      </c>
      <c r="B69" s="38">
        <v>45691</v>
      </c>
      <c r="C69" s="38">
        <v>45691</v>
      </c>
      <c r="D69" t="s">
        <v>2946</v>
      </c>
      <c r="E69" t="s">
        <v>125</v>
      </c>
      <c r="F69" t="s">
        <v>34</v>
      </c>
      <c r="G69">
        <v>50110193</v>
      </c>
      <c r="H69" t="s">
        <v>813</v>
      </c>
      <c r="I69" t="s">
        <v>2707</v>
      </c>
      <c r="J69">
        <v>1</v>
      </c>
      <c r="K69" t="s">
        <v>37</v>
      </c>
      <c r="L69" t="s">
        <v>72</v>
      </c>
      <c r="M69" t="s">
        <v>81</v>
      </c>
      <c r="N69" t="s">
        <v>81</v>
      </c>
      <c r="O69">
        <v>1</v>
      </c>
      <c r="Q69" t="s">
        <v>37</v>
      </c>
      <c r="R69" s="38">
        <v>45693</v>
      </c>
      <c r="V69" t="s">
        <v>42</v>
      </c>
      <c r="W69">
        <v>37.229999999999997</v>
      </c>
      <c r="X69">
        <v>37.229999999999997</v>
      </c>
    </row>
    <row r="70" spans="1:24">
      <c r="A70" t="s">
        <v>2947</v>
      </c>
      <c r="B70" s="38">
        <v>45692</v>
      </c>
      <c r="C70" s="38">
        <v>45691</v>
      </c>
      <c r="D70" t="s">
        <v>2948</v>
      </c>
      <c r="E70" t="s">
        <v>134</v>
      </c>
      <c r="F70" t="s">
        <v>140</v>
      </c>
      <c r="G70">
        <v>48300301</v>
      </c>
      <c r="H70" t="s">
        <v>803</v>
      </c>
      <c r="I70" t="s">
        <v>804</v>
      </c>
      <c r="J70">
        <v>1</v>
      </c>
      <c r="K70" t="s">
        <v>37</v>
      </c>
      <c r="L70" t="s">
        <v>72</v>
      </c>
      <c r="M70" t="s">
        <v>73</v>
      </c>
      <c r="N70" t="s">
        <v>73</v>
      </c>
      <c r="O70">
        <v>1</v>
      </c>
      <c r="Q70" t="s">
        <v>2606</v>
      </c>
      <c r="R70" s="38">
        <v>45679</v>
      </c>
      <c r="V70" t="s">
        <v>2855</v>
      </c>
      <c r="W70">
        <v>882.69</v>
      </c>
      <c r="X70">
        <v>882.69</v>
      </c>
    </row>
    <row r="71" spans="1:24">
      <c r="A71" t="s">
        <v>2949</v>
      </c>
      <c r="B71" s="38">
        <v>45692</v>
      </c>
      <c r="C71" s="38">
        <v>45691</v>
      </c>
      <c r="D71" t="s">
        <v>2950</v>
      </c>
      <c r="E71" t="s">
        <v>94</v>
      </c>
      <c r="F71" t="s">
        <v>95</v>
      </c>
      <c r="G71">
        <v>60002072</v>
      </c>
      <c r="H71" t="s">
        <v>2708</v>
      </c>
      <c r="I71" t="s">
        <v>742</v>
      </c>
      <c r="J71">
        <v>1</v>
      </c>
      <c r="K71" t="s">
        <v>37</v>
      </c>
      <c r="L71" t="s">
        <v>441</v>
      </c>
      <c r="M71" t="s">
        <v>73</v>
      </c>
      <c r="N71" t="s">
        <v>73</v>
      </c>
      <c r="O71">
        <v>1</v>
      </c>
      <c r="Q71" t="s">
        <v>2606</v>
      </c>
      <c r="R71" s="38">
        <v>45692</v>
      </c>
      <c r="W71">
        <v>886.36</v>
      </c>
      <c r="X71">
        <v>886.36</v>
      </c>
    </row>
    <row r="72" spans="1:24">
      <c r="A72" t="s">
        <v>2951</v>
      </c>
      <c r="B72" s="38">
        <v>45692</v>
      </c>
      <c r="C72" s="38">
        <v>45688</v>
      </c>
      <c r="D72" t="s">
        <v>2952</v>
      </c>
      <c r="E72" t="s">
        <v>33</v>
      </c>
      <c r="F72" t="s">
        <v>328</v>
      </c>
      <c r="G72">
        <v>50000343</v>
      </c>
      <c r="H72" t="s">
        <v>220</v>
      </c>
      <c r="I72" t="s">
        <v>2709</v>
      </c>
      <c r="J72">
        <v>1</v>
      </c>
      <c r="K72" t="s">
        <v>37</v>
      </c>
      <c r="L72" t="s">
        <v>72</v>
      </c>
      <c r="M72" t="s">
        <v>81</v>
      </c>
      <c r="N72" t="s">
        <v>81</v>
      </c>
      <c r="O72">
        <v>1</v>
      </c>
      <c r="Q72" t="s">
        <v>37</v>
      </c>
      <c r="R72" s="38">
        <v>45693</v>
      </c>
      <c r="V72" t="s">
        <v>42</v>
      </c>
      <c r="W72">
        <v>274.36</v>
      </c>
      <c r="X72">
        <v>274.36</v>
      </c>
    </row>
    <row r="73" spans="1:24">
      <c r="A73" t="s">
        <v>2953</v>
      </c>
      <c r="B73" s="38">
        <v>45692</v>
      </c>
      <c r="C73" s="38">
        <v>45691</v>
      </c>
      <c r="D73" t="s">
        <v>2954</v>
      </c>
      <c r="E73" t="s">
        <v>1322</v>
      </c>
      <c r="F73" t="s">
        <v>328</v>
      </c>
      <c r="G73">
        <v>50000202</v>
      </c>
      <c r="H73" t="s">
        <v>1074</v>
      </c>
      <c r="I73" t="s">
        <v>2710</v>
      </c>
      <c r="J73">
        <v>1</v>
      </c>
      <c r="K73" t="s">
        <v>37</v>
      </c>
      <c r="L73" t="s">
        <v>106</v>
      </c>
      <c r="M73" t="s">
        <v>73</v>
      </c>
      <c r="N73" t="s">
        <v>73</v>
      </c>
      <c r="O73">
        <v>1</v>
      </c>
      <c r="Q73" t="s">
        <v>2606</v>
      </c>
      <c r="R73" s="38">
        <v>45663</v>
      </c>
      <c r="V73" t="s">
        <v>2955</v>
      </c>
      <c r="W73">
        <v>1427.32</v>
      </c>
      <c r="X73">
        <v>1427.32</v>
      </c>
    </row>
    <row r="74" spans="1:24">
      <c r="A74" t="s">
        <v>2956</v>
      </c>
      <c r="B74" s="38">
        <v>45692</v>
      </c>
      <c r="C74" s="38">
        <v>45692</v>
      </c>
      <c r="D74" t="s">
        <v>2957</v>
      </c>
      <c r="E74" t="s">
        <v>704</v>
      </c>
      <c r="F74" t="s">
        <v>145</v>
      </c>
      <c r="G74">
        <v>48000482</v>
      </c>
      <c r="H74" t="s">
        <v>587</v>
      </c>
      <c r="I74" t="s">
        <v>588</v>
      </c>
      <c r="J74">
        <v>1</v>
      </c>
      <c r="K74" t="s">
        <v>37</v>
      </c>
      <c r="L74" t="s">
        <v>72</v>
      </c>
      <c r="M74" t="s">
        <v>39</v>
      </c>
      <c r="N74" t="s">
        <v>73</v>
      </c>
      <c r="O74">
        <v>1</v>
      </c>
      <c r="Q74" t="s">
        <v>37</v>
      </c>
      <c r="R74" s="38">
        <v>45705</v>
      </c>
      <c r="V74" t="s">
        <v>2932</v>
      </c>
      <c r="W74">
        <v>79.989999999999995</v>
      </c>
      <c r="X74">
        <v>79.989999999999995</v>
      </c>
    </row>
    <row r="75" spans="1:24">
      <c r="A75" t="s">
        <v>2958</v>
      </c>
      <c r="B75" s="38">
        <v>45692</v>
      </c>
      <c r="C75" s="38">
        <v>45692</v>
      </c>
      <c r="D75" t="s">
        <v>2959</v>
      </c>
      <c r="E75" t="s">
        <v>134</v>
      </c>
      <c r="F75" t="s">
        <v>186</v>
      </c>
      <c r="G75">
        <v>44000059</v>
      </c>
      <c r="H75" t="s">
        <v>846</v>
      </c>
      <c r="I75" t="s">
        <v>847</v>
      </c>
      <c r="J75">
        <v>1</v>
      </c>
      <c r="K75" t="s">
        <v>37</v>
      </c>
      <c r="L75" t="s">
        <v>72</v>
      </c>
      <c r="M75" t="s">
        <v>73</v>
      </c>
      <c r="N75" t="s">
        <v>73</v>
      </c>
      <c r="O75">
        <v>1</v>
      </c>
      <c r="Q75" t="s">
        <v>2606</v>
      </c>
      <c r="R75" s="38">
        <v>45681</v>
      </c>
      <c r="V75" t="s">
        <v>2855</v>
      </c>
      <c r="W75">
        <v>98.36</v>
      </c>
      <c r="X75">
        <v>98.36</v>
      </c>
    </row>
    <row r="76" spans="1:24">
      <c r="A76" t="s">
        <v>2958</v>
      </c>
      <c r="B76" s="38">
        <v>45692</v>
      </c>
      <c r="C76" s="38">
        <v>45692</v>
      </c>
      <c r="D76" t="s">
        <v>2959</v>
      </c>
      <c r="E76" t="s">
        <v>134</v>
      </c>
      <c r="F76" t="s">
        <v>186</v>
      </c>
      <c r="G76">
        <v>44000059</v>
      </c>
      <c r="H76" t="s">
        <v>2711</v>
      </c>
      <c r="I76" t="s">
        <v>2712</v>
      </c>
      <c r="J76">
        <v>1</v>
      </c>
      <c r="K76" t="s">
        <v>37</v>
      </c>
      <c r="L76" t="s">
        <v>72</v>
      </c>
      <c r="M76" t="s">
        <v>39</v>
      </c>
      <c r="N76" t="s">
        <v>2607</v>
      </c>
      <c r="O76">
        <v>0</v>
      </c>
      <c r="Q76" t="s">
        <v>2817</v>
      </c>
      <c r="W76">
        <v>11.91</v>
      </c>
      <c r="X76">
        <v>11.91</v>
      </c>
    </row>
    <row r="77" spans="1:24">
      <c r="A77" t="s">
        <v>2960</v>
      </c>
      <c r="B77" s="38">
        <v>45692</v>
      </c>
      <c r="C77" s="38">
        <v>45692</v>
      </c>
      <c r="D77" t="s">
        <v>2961</v>
      </c>
      <c r="E77" t="s">
        <v>33</v>
      </c>
      <c r="F77" t="s">
        <v>34</v>
      </c>
      <c r="G77">
        <v>50110372</v>
      </c>
      <c r="H77" t="s">
        <v>2713</v>
      </c>
      <c r="I77" t="s">
        <v>2714</v>
      </c>
      <c r="J77">
        <v>1</v>
      </c>
      <c r="K77" t="s">
        <v>269</v>
      </c>
      <c r="L77" t="s">
        <v>38</v>
      </c>
      <c r="M77" t="s">
        <v>39</v>
      </c>
      <c r="N77" t="s">
        <v>2607</v>
      </c>
      <c r="O77">
        <v>0</v>
      </c>
      <c r="Q77" t="s">
        <v>2817</v>
      </c>
      <c r="V77" t="s">
        <v>42</v>
      </c>
      <c r="W77">
        <v>4764.91</v>
      </c>
      <c r="X77">
        <v>4764.91</v>
      </c>
    </row>
    <row r="78" spans="1:24">
      <c r="A78" t="s">
        <v>2960</v>
      </c>
      <c r="B78" s="38">
        <v>45692</v>
      </c>
      <c r="C78" s="38">
        <v>45326</v>
      </c>
      <c r="D78" t="s">
        <v>2961</v>
      </c>
      <c r="E78" t="s">
        <v>33</v>
      </c>
      <c r="F78" t="s">
        <v>34</v>
      </c>
      <c r="G78">
        <v>50110372</v>
      </c>
      <c r="H78" t="s">
        <v>2715</v>
      </c>
      <c r="I78" t="s">
        <v>2716</v>
      </c>
      <c r="J78">
        <v>1</v>
      </c>
      <c r="K78" t="s">
        <v>269</v>
      </c>
      <c r="L78" t="s">
        <v>38</v>
      </c>
      <c r="M78" t="s">
        <v>73</v>
      </c>
      <c r="N78" t="s">
        <v>73</v>
      </c>
      <c r="O78">
        <v>1</v>
      </c>
      <c r="Q78" t="s">
        <v>37</v>
      </c>
      <c r="R78" s="38">
        <v>45692</v>
      </c>
      <c r="V78" t="s">
        <v>42</v>
      </c>
      <c r="W78">
        <v>254.87</v>
      </c>
      <c r="X78">
        <v>254.87</v>
      </c>
    </row>
    <row r="79" spans="1:24">
      <c r="A79" t="s">
        <v>2962</v>
      </c>
      <c r="B79" s="38">
        <v>45693</v>
      </c>
      <c r="C79" s="38">
        <v>45691</v>
      </c>
      <c r="D79" t="s">
        <v>2963</v>
      </c>
      <c r="E79" t="s">
        <v>101</v>
      </c>
      <c r="F79" t="s">
        <v>102</v>
      </c>
      <c r="G79">
        <v>51000136</v>
      </c>
      <c r="H79" t="s">
        <v>2717</v>
      </c>
      <c r="I79" t="s">
        <v>2718</v>
      </c>
      <c r="J79">
        <v>1</v>
      </c>
      <c r="K79" t="s">
        <v>37</v>
      </c>
      <c r="L79" t="s">
        <v>72</v>
      </c>
      <c r="M79" t="s">
        <v>39</v>
      </c>
      <c r="N79" t="s">
        <v>2607</v>
      </c>
      <c r="O79">
        <v>0</v>
      </c>
      <c r="Q79" t="s">
        <v>37</v>
      </c>
      <c r="V79" t="s">
        <v>42</v>
      </c>
      <c r="W79">
        <v>20.87</v>
      </c>
      <c r="X79">
        <v>20.87</v>
      </c>
    </row>
    <row r="80" spans="1:24">
      <c r="A80" t="s">
        <v>2964</v>
      </c>
      <c r="B80" s="38">
        <v>45693</v>
      </c>
      <c r="C80" s="38">
        <v>45326</v>
      </c>
      <c r="E80" t="s">
        <v>292</v>
      </c>
      <c r="H80" t="s">
        <v>2965</v>
      </c>
      <c r="I80" t="s">
        <v>2966</v>
      </c>
      <c r="J80">
        <v>17</v>
      </c>
      <c r="M80" t="s">
        <v>289</v>
      </c>
      <c r="N80" t="s">
        <v>289</v>
      </c>
      <c r="O80">
        <v>0</v>
      </c>
      <c r="Q80" t="s">
        <v>37</v>
      </c>
      <c r="W80">
        <v>4.9000000000000004</v>
      </c>
      <c r="X80">
        <v>83.300000000000011</v>
      </c>
    </row>
    <row r="81" spans="1:24">
      <c r="A81" t="s">
        <v>2967</v>
      </c>
      <c r="B81" s="38">
        <v>45693</v>
      </c>
      <c r="C81" s="38">
        <v>45327</v>
      </c>
      <c r="E81" t="s">
        <v>292</v>
      </c>
      <c r="H81" t="s">
        <v>2968</v>
      </c>
      <c r="I81" t="s">
        <v>2969</v>
      </c>
      <c r="J81">
        <v>5</v>
      </c>
      <c r="M81" t="s">
        <v>289</v>
      </c>
      <c r="N81" t="s">
        <v>289</v>
      </c>
      <c r="O81">
        <v>0</v>
      </c>
      <c r="Q81" t="s">
        <v>37</v>
      </c>
      <c r="W81">
        <v>132.28</v>
      </c>
      <c r="X81">
        <v>661.4</v>
      </c>
    </row>
    <row r="82" spans="1:24">
      <c r="A82" t="s">
        <v>2970</v>
      </c>
      <c r="B82" s="38">
        <v>45693</v>
      </c>
      <c r="C82" s="38">
        <v>45327</v>
      </c>
      <c r="E82" t="s">
        <v>292</v>
      </c>
      <c r="H82" t="s">
        <v>2971</v>
      </c>
      <c r="I82" t="s">
        <v>2972</v>
      </c>
      <c r="J82">
        <v>3</v>
      </c>
      <c r="M82" t="s">
        <v>289</v>
      </c>
      <c r="N82" t="s">
        <v>289</v>
      </c>
      <c r="O82">
        <v>0</v>
      </c>
      <c r="Q82" t="s">
        <v>37</v>
      </c>
      <c r="W82">
        <v>145.35</v>
      </c>
      <c r="X82">
        <v>436.04999999999995</v>
      </c>
    </row>
    <row r="83" spans="1:24">
      <c r="A83" t="s">
        <v>2973</v>
      </c>
      <c r="B83" s="38">
        <v>45694</v>
      </c>
      <c r="C83" s="38">
        <v>45687</v>
      </c>
      <c r="D83" t="s">
        <v>2974</v>
      </c>
      <c r="E83" t="s">
        <v>33</v>
      </c>
      <c r="F83" t="s">
        <v>95</v>
      </c>
      <c r="G83">
        <v>60002095</v>
      </c>
      <c r="H83" t="s">
        <v>2975</v>
      </c>
      <c r="I83" t="s">
        <v>2976</v>
      </c>
      <c r="J83">
        <v>1</v>
      </c>
      <c r="K83" t="s">
        <v>37</v>
      </c>
      <c r="L83" t="s">
        <v>441</v>
      </c>
      <c r="M83" t="s">
        <v>39</v>
      </c>
      <c r="N83" t="s">
        <v>2607</v>
      </c>
      <c r="O83">
        <v>0</v>
      </c>
      <c r="P83" t="s">
        <v>2977</v>
      </c>
      <c r="Q83" t="s">
        <v>2837</v>
      </c>
      <c r="V83" t="s">
        <v>42</v>
      </c>
      <c r="W83">
        <v>986.75</v>
      </c>
      <c r="X83">
        <v>986.75</v>
      </c>
    </row>
    <row r="84" spans="1:24">
      <c r="A84" t="s">
        <v>2978</v>
      </c>
      <c r="B84" s="38">
        <v>45694</v>
      </c>
      <c r="C84" s="38">
        <v>45692</v>
      </c>
      <c r="D84" t="s">
        <v>2979</v>
      </c>
      <c r="E84" t="s">
        <v>33</v>
      </c>
      <c r="F84" t="s">
        <v>328</v>
      </c>
      <c r="G84">
        <v>50000343</v>
      </c>
      <c r="H84" t="s">
        <v>2380</v>
      </c>
      <c r="I84" t="s">
        <v>2719</v>
      </c>
      <c r="J84">
        <v>1</v>
      </c>
      <c r="K84" t="s">
        <v>37</v>
      </c>
      <c r="L84" t="s">
        <v>122</v>
      </c>
      <c r="M84" t="s">
        <v>73</v>
      </c>
      <c r="N84" t="s">
        <v>73</v>
      </c>
      <c r="O84">
        <v>1</v>
      </c>
      <c r="Q84" t="s">
        <v>2606</v>
      </c>
      <c r="R84" s="38">
        <v>45692</v>
      </c>
      <c r="V84" t="s">
        <v>2980</v>
      </c>
      <c r="W84">
        <v>601.41999999999996</v>
      </c>
      <c r="X84">
        <v>601.41999999999996</v>
      </c>
    </row>
    <row r="85" spans="1:24">
      <c r="A85" t="s">
        <v>2981</v>
      </c>
      <c r="B85" s="38">
        <v>45694</v>
      </c>
      <c r="C85" s="38">
        <v>45693</v>
      </c>
      <c r="D85" t="s">
        <v>2982</v>
      </c>
      <c r="E85" t="s">
        <v>434</v>
      </c>
      <c r="F85" t="s">
        <v>334</v>
      </c>
      <c r="G85" t="s">
        <v>2720</v>
      </c>
      <c r="H85" t="s">
        <v>1494</v>
      </c>
      <c r="I85" t="s">
        <v>2721</v>
      </c>
      <c r="J85">
        <v>1</v>
      </c>
      <c r="K85" t="s">
        <v>37</v>
      </c>
      <c r="L85" t="s">
        <v>106</v>
      </c>
      <c r="M85" t="s">
        <v>73</v>
      </c>
      <c r="N85" t="s">
        <v>73</v>
      </c>
      <c r="O85">
        <v>1</v>
      </c>
      <c r="Q85" t="s">
        <v>37</v>
      </c>
      <c r="R85" s="38">
        <v>45693</v>
      </c>
      <c r="V85" t="s">
        <v>2809</v>
      </c>
      <c r="W85">
        <v>20</v>
      </c>
      <c r="X85">
        <v>20</v>
      </c>
    </row>
    <row r="86" spans="1:24">
      <c r="A86" t="s">
        <v>2983</v>
      </c>
      <c r="B86" s="38">
        <v>45695</v>
      </c>
      <c r="C86" s="38">
        <v>45695</v>
      </c>
      <c r="D86" t="s">
        <v>2984</v>
      </c>
      <c r="E86" t="s">
        <v>33</v>
      </c>
      <c r="F86" t="s">
        <v>95</v>
      </c>
      <c r="G86">
        <v>60002095</v>
      </c>
      <c r="H86" t="s">
        <v>750</v>
      </c>
      <c r="I86" t="s">
        <v>2722</v>
      </c>
      <c r="J86">
        <v>1</v>
      </c>
      <c r="K86" t="s">
        <v>269</v>
      </c>
      <c r="L86" t="s">
        <v>122</v>
      </c>
      <c r="M86" t="s">
        <v>39</v>
      </c>
      <c r="N86" t="s">
        <v>2607</v>
      </c>
      <c r="O86">
        <v>0</v>
      </c>
      <c r="Q86" t="s">
        <v>37</v>
      </c>
      <c r="V86" t="s">
        <v>42</v>
      </c>
      <c r="W86">
        <v>1407.73</v>
      </c>
      <c r="X86">
        <v>1407.73</v>
      </c>
    </row>
    <row r="87" spans="1:24">
      <c r="A87" t="s">
        <v>2985</v>
      </c>
      <c r="B87" s="38">
        <v>45695</v>
      </c>
      <c r="C87" s="38">
        <v>45694</v>
      </c>
      <c r="D87" t="s">
        <v>2986</v>
      </c>
      <c r="E87" t="s">
        <v>1030</v>
      </c>
      <c r="F87" t="s">
        <v>186</v>
      </c>
      <c r="G87" t="s">
        <v>2723</v>
      </c>
      <c r="H87" t="s">
        <v>2724</v>
      </c>
      <c r="I87" t="s">
        <v>2725</v>
      </c>
      <c r="J87">
        <v>1</v>
      </c>
      <c r="K87" t="s">
        <v>37</v>
      </c>
      <c r="L87" t="s">
        <v>1108</v>
      </c>
      <c r="M87" t="s">
        <v>73</v>
      </c>
      <c r="N87" t="s">
        <v>73</v>
      </c>
      <c r="O87">
        <v>1</v>
      </c>
      <c r="P87" t="s">
        <v>2987</v>
      </c>
      <c r="Q87" t="s">
        <v>2606</v>
      </c>
      <c r="R87" s="38">
        <v>45677</v>
      </c>
      <c r="V87" t="s">
        <v>2988</v>
      </c>
      <c r="W87">
        <v>2377.7800000000002</v>
      </c>
      <c r="X87">
        <v>2377.7800000000002</v>
      </c>
    </row>
    <row r="88" spans="1:24">
      <c r="A88" t="s">
        <v>2921</v>
      </c>
      <c r="B88" s="38">
        <v>45695</v>
      </c>
      <c r="C88" s="38">
        <v>45694</v>
      </c>
      <c r="D88" t="s">
        <v>2922</v>
      </c>
      <c r="E88" t="s">
        <v>2726</v>
      </c>
      <c r="F88" t="s">
        <v>186</v>
      </c>
      <c r="G88">
        <v>44000321</v>
      </c>
      <c r="H88" t="s">
        <v>2727</v>
      </c>
      <c r="I88" t="s">
        <v>2728</v>
      </c>
      <c r="J88">
        <v>1</v>
      </c>
      <c r="K88" t="s">
        <v>37</v>
      </c>
      <c r="L88" t="s">
        <v>1108</v>
      </c>
      <c r="M88" t="s">
        <v>73</v>
      </c>
      <c r="N88" t="s">
        <v>73</v>
      </c>
      <c r="O88">
        <v>1</v>
      </c>
      <c r="Q88" t="s">
        <v>37</v>
      </c>
      <c r="R88" s="38">
        <v>45672</v>
      </c>
      <c r="V88" t="s">
        <v>2923</v>
      </c>
      <c r="W88">
        <v>449.1</v>
      </c>
      <c r="X88">
        <v>449.1</v>
      </c>
    </row>
    <row r="89" spans="1:24">
      <c r="B89" s="38"/>
      <c r="C89" s="38"/>
      <c r="J89">
        <f>SUBTOTAL(109,Tabela5[QUANTIDADE])</f>
        <v>113</v>
      </c>
      <c r="O89">
        <f>SUBTOTAL(109,Tabela5[QTD ESTOQUE CP])</f>
        <v>62</v>
      </c>
      <c r="R89" s="3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CA97-3141-49F9-B99C-F7D88D282726}">
  <dimension ref="A1:L89"/>
  <sheetViews>
    <sheetView workbookViewId="0"/>
  </sheetViews>
  <sheetFormatPr defaultRowHeight="14.45"/>
  <cols>
    <col min="1" max="1" width="16.28515625" bestFit="1" customWidth="1"/>
    <col min="2" max="2" width="13.28515625" bestFit="1" customWidth="1"/>
    <col min="3" max="3" width="18" bestFit="1" customWidth="1"/>
    <col min="4" max="4" width="15" bestFit="1" customWidth="1"/>
    <col min="5" max="5" width="50.28515625" bestFit="1" customWidth="1"/>
    <col min="6" max="6" width="18.7109375" bestFit="1" customWidth="1"/>
    <col min="7" max="7" width="21" bestFit="1" customWidth="1"/>
    <col min="8" max="8" width="16.28515625" bestFit="1" customWidth="1"/>
    <col min="9" max="9" width="15.28515625" bestFit="1" customWidth="1"/>
    <col min="10" max="10" width="25.7109375" bestFit="1" customWidth="1"/>
    <col min="11" max="11" width="23.28515625" bestFit="1" customWidth="1"/>
  </cols>
  <sheetData>
    <row r="1" spans="1:12">
      <c r="A1" s="39" t="s">
        <v>2989</v>
      </c>
    </row>
    <row r="3" spans="1:12">
      <c r="A3" t="s">
        <v>2617</v>
      </c>
      <c r="B3" t="s">
        <v>2618</v>
      </c>
      <c r="C3" t="s">
        <v>2619</v>
      </c>
      <c r="D3" t="s">
        <v>2620</v>
      </c>
      <c r="E3" t="s">
        <v>2621</v>
      </c>
      <c r="F3" t="s">
        <v>2622</v>
      </c>
      <c r="G3" t="s">
        <v>2623</v>
      </c>
      <c r="H3" t="s">
        <v>2624</v>
      </c>
      <c r="I3" t="s">
        <v>2625</v>
      </c>
      <c r="J3" t="s">
        <v>2626</v>
      </c>
      <c r="K3" t="s">
        <v>2627</v>
      </c>
      <c r="L3" t="s">
        <v>25</v>
      </c>
    </row>
    <row r="4" spans="1:12">
      <c r="A4">
        <v>41000142</v>
      </c>
      <c r="B4" s="38">
        <v>45716</v>
      </c>
      <c r="C4" t="s">
        <v>777</v>
      </c>
      <c r="D4" t="s">
        <v>253</v>
      </c>
      <c r="E4" t="s">
        <v>2798</v>
      </c>
      <c r="F4">
        <v>1</v>
      </c>
      <c r="G4">
        <v>1</v>
      </c>
      <c r="H4" t="s">
        <v>2603</v>
      </c>
      <c r="I4" s="38">
        <v>45623</v>
      </c>
      <c r="J4" t="s">
        <v>2604</v>
      </c>
      <c r="K4" t="s">
        <v>2615</v>
      </c>
      <c r="L4">
        <v>2</v>
      </c>
    </row>
    <row r="5" spans="1:12">
      <c r="A5" t="s">
        <v>2791</v>
      </c>
      <c r="B5" s="38">
        <v>45716</v>
      </c>
      <c r="C5" t="s">
        <v>2792</v>
      </c>
      <c r="D5" t="s">
        <v>2796</v>
      </c>
      <c r="E5" t="s">
        <v>2797</v>
      </c>
      <c r="F5">
        <v>1</v>
      </c>
      <c r="G5">
        <v>0</v>
      </c>
      <c r="H5" t="s">
        <v>2608</v>
      </c>
      <c r="J5" t="s">
        <v>2604</v>
      </c>
      <c r="K5" t="s">
        <v>2615</v>
      </c>
      <c r="L5">
        <v>2</v>
      </c>
    </row>
    <row r="6" spans="1:12">
      <c r="A6" t="s">
        <v>2791</v>
      </c>
      <c r="B6" s="38">
        <v>45716</v>
      </c>
      <c r="C6" t="s">
        <v>2792</v>
      </c>
      <c r="D6" t="s">
        <v>2559</v>
      </c>
      <c r="E6" t="s">
        <v>2795</v>
      </c>
      <c r="F6">
        <v>1</v>
      </c>
      <c r="G6">
        <v>0</v>
      </c>
      <c r="H6" t="s">
        <v>2608</v>
      </c>
      <c r="J6" t="s">
        <v>2604</v>
      </c>
      <c r="K6" t="s">
        <v>2615</v>
      </c>
      <c r="L6">
        <v>2</v>
      </c>
    </row>
    <row r="7" spans="1:12">
      <c r="A7" t="s">
        <v>2791</v>
      </c>
      <c r="B7" s="38">
        <v>45716</v>
      </c>
      <c r="C7" t="s">
        <v>2792</v>
      </c>
      <c r="D7" t="s">
        <v>803</v>
      </c>
      <c r="E7" t="s">
        <v>2794</v>
      </c>
      <c r="F7">
        <v>1</v>
      </c>
      <c r="G7">
        <v>1</v>
      </c>
      <c r="H7" t="s">
        <v>2603</v>
      </c>
      <c r="I7" s="38">
        <v>45713</v>
      </c>
      <c r="J7" t="s">
        <v>2604</v>
      </c>
      <c r="K7" t="s">
        <v>2615</v>
      </c>
      <c r="L7">
        <v>2</v>
      </c>
    </row>
    <row r="8" spans="1:12">
      <c r="A8" t="s">
        <v>2791</v>
      </c>
      <c r="B8" s="38">
        <v>45716</v>
      </c>
      <c r="C8" t="s">
        <v>2792</v>
      </c>
      <c r="D8" t="s">
        <v>609</v>
      </c>
      <c r="E8" t="s">
        <v>2793</v>
      </c>
      <c r="F8">
        <v>1</v>
      </c>
      <c r="G8">
        <v>1</v>
      </c>
      <c r="H8" t="s">
        <v>2603</v>
      </c>
      <c r="I8" s="38">
        <v>45713</v>
      </c>
      <c r="J8" t="s">
        <v>2604</v>
      </c>
      <c r="K8" t="s">
        <v>2615</v>
      </c>
      <c r="L8">
        <v>2</v>
      </c>
    </row>
    <row r="9" spans="1:12">
      <c r="A9">
        <v>50000202</v>
      </c>
      <c r="B9" s="38">
        <v>45715</v>
      </c>
      <c r="C9" t="s">
        <v>1322</v>
      </c>
      <c r="D9" t="s">
        <v>2259</v>
      </c>
      <c r="E9" t="s">
        <v>2790</v>
      </c>
      <c r="F9">
        <v>2</v>
      </c>
      <c r="G9">
        <v>2</v>
      </c>
      <c r="H9" t="s">
        <v>2603</v>
      </c>
      <c r="I9" s="38">
        <v>45715</v>
      </c>
      <c r="J9" t="s">
        <v>2604</v>
      </c>
      <c r="K9" t="s">
        <v>2615</v>
      </c>
      <c r="L9">
        <v>2</v>
      </c>
    </row>
    <row r="10" spans="1:12">
      <c r="A10">
        <v>50000202</v>
      </c>
      <c r="B10" s="38">
        <v>45715</v>
      </c>
      <c r="C10" t="s">
        <v>1322</v>
      </c>
      <c r="D10" t="s">
        <v>335</v>
      </c>
      <c r="E10" t="s">
        <v>336</v>
      </c>
      <c r="F10">
        <v>2</v>
      </c>
      <c r="G10">
        <v>2</v>
      </c>
      <c r="H10" t="s">
        <v>2603</v>
      </c>
      <c r="I10" s="38">
        <v>45714</v>
      </c>
      <c r="J10" t="s">
        <v>2604</v>
      </c>
      <c r="K10" t="s">
        <v>2615</v>
      </c>
      <c r="L10">
        <v>2</v>
      </c>
    </row>
    <row r="11" spans="1:12">
      <c r="A11">
        <v>50000260</v>
      </c>
      <c r="B11" s="38">
        <v>45715</v>
      </c>
      <c r="C11" t="s">
        <v>327</v>
      </c>
      <c r="D11" t="s">
        <v>329</v>
      </c>
      <c r="E11" t="s">
        <v>1923</v>
      </c>
      <c r="F11">
        <v>1</v>
      </c>
      <c r="G11">
        <v>1</v>
      </c>
      <c r="H11" t="s">
        <v>2603</v>
      </c>
      <c r="I11" s="38">
        <v>45713</v>
      </c>
      <c r="J11" t="s">
        <v>2604</v>
      </c>
      <c r="K11" t="s">
        <v>2615</v>
      </c>
      <c r="L11">
        <v>2</v>
      </c>
    </row>
    <row r="12" spans="1:12">
      <c r="A12">
        <v>50000260</v>
      </c>
      <c r="B12" s="38">
        <v>45715</v>
      </c>
      <c r="C12" t="s">
        <v>327</v>
      </c>
      <c r="D12" t="s">
        <v>379</v>
      </c>
      <c r="E12" t="s">
        <v>2789</v>
      </c>
      <c r="F12">
        <v>1</v>
      </c>
      <c r="G12">
        <v>1</v>
      </c>
      <c r="H12" t="s">
        <v>2603</v>
      </c>
      <c r="I12" s="38">
        <v>45713</v>
      </c>
      <c r="J12" t="s">
        <v>2604</v>
      </c>
      <c r="K12" t="s">
        <v>2615</v>
      </c>
      <c r="L12">
        <v>2</v>
      </c>
    </row>
    <row r="13" spans="1:12">
      <c r="A13">
        <v>50300141</v>
      </c>
      <c r="B13" s="38">
        <v>45715</v>
      </c>
      <c r="C13" t="s">
        <v>434</v>
      </c>
      <c r="D13" t="s">
        <v>278</v>
      </c>
      <c r="E13" t="s">
        <v>2788</v>
      </c>
      <c r="F13">
        <v>1</v>
      </c>
      <c r="G13">
        <v>1</v>
      </c>
      <c r="H13" t="s">
        <v>2603</v>
      </c>
      <c r="I13" s="38">
        <v>45709</v>
      </c>
      <c r="J13" t="s">
        <v>2604</v>
      </c>
      <c r="K13" t="s">
        <v>2615</v>
      </c>
      <c r="L13">
        <v>2</v>
      </c>
    </row>
    <row r="14" spans="1:12">
      <c r="A14">
        <v>50000530</v>
      </c>
      <c r="B14" s="38">
        <v>45715</v>
      </c>
      <c r="C14" t="s">
        <v>365</v>
      </c>
      <c r="D14" t="s">
        <v>1326</v>
      </c>
      <c r="E14" t="s">
        <v>2787</v>
      </c>
      <c r="F14">
        <v>1</v>
      </c>
      <c r="G14">
        <v>1</v>
      </c>
      <c r="H14" t="s">
        <v>2603</v>
      </c>
      <c r="I14" s="38">
        <v>45713</v>
      </c>
      <c r="J14" t="s">
        <v>2604</v>
      </c>
      <c r="K14" t="s">
        <v>2615</v>
      </c>
      <c r="L14">
        <v>2</v>
      </c>
    </row>
    <row r="15" spans="1:12">
      <c r="A15" t="s">
        <v>2783</v>
      </c>
      <c r="B15" s="38">
        <v>45715</v>
      </c>
      <c r="C15" t="s">
        <v>2784</v>
      </c>
      <c r="D15" t="s">
        <v>2785</v>
      </c>
      <c r="E15" t="s">
        <v>2786</v>
      </c>
      <c r="F15">
        <v>1</v>
      </c>
      <c r="G15">
        <v>1</v>
      </c>
      <c r="H15" t="s">
        <v>2603</v>
      </c>
      <c r="I15" s="38">
        <v>45679</v>
      </c>
      <c r="J15" t="s">
        <v>2604</v>
      </c>
      <c r="K15" t="s">
        <v>2615</v>
      </c>
      <c r="L15">
        <v>2</v>
      </c>
    </row>
    <row r="16" spans="1:12">
      <c r="A16">
        <v>51000323</v>
      </c>
      <c r="B16" s="38">
        <v>45715</v>
      </c>
      <c r="C16" t="s">
        <v>101</v>
      </c>
      <c r="D16" t="s">
        <v>323</v>
      </c>
      <c r="E16" t="s">
        <v>2782</v>
      </c>
      <c r="F16">
        <v>1</v>
      </c>
      <c r="G16">
        <v>1</v>
      </c>
      <c r="H16" t="s">
        <v>2603</v>
      </c>
      <c r="J16" t="s">
        <v>2609</v>
      </c>
      <c r="K16" t="s">
        <v>2615</v>
      </c>
      <c r="L16">
        <v>2</v>
      </c>
    </row>
    <row r="17" spans="1:12">
      <c r="A17">
        <v>51000323</v>
      </c>
      <c r="B17" s="38">
        <v>45715</v>
      </c>
      <c r="C17" t="s">
        <v>101</v>
      </c>
      <c r="D17" t="s">
        <v>2780</v>
      </c>
      <c r="E17" t="s">
        <v>2781</v>
      </c>
      <c r="F17">
        <v>1</v>
      </c>
      <c r="G17">
        <v>1</v>
      </c>
      <c r="H17" t="s">
        <v>2603</v>
      </c>
      <c r="I17" s="38">
        <v>45715</v>
      </c>
      <c r="J17" t="s">
        <v>2604</v>
      </c>
      <c r="K17" t="s">
        <v>2615</v>
      </c>
      <c r="L17">
        <v>2</v>
      </c>
    </row>
    <row r="18" spans="1:12">
      <c r="A18">
        <v>51000136</v>
      </c>
      <c r="B18" s="38">
        <v>45715</v>
      </c>
      <c r="C18" t="s">
        <v>101</v>
      </c>
      <c r="D18" t="s">
        <v>2778</v>
      </c>
      <c r="E18" t="s">
        <v>2779</v>
      </c>
      <c r="F18">
        <v>1</v>
      </c>
      <c r="G18">
        <v>0</v>
      </c>
      <c r="H18" t="s">
        <v>2603</v>
      </c>
      <c r="J18" t="s">
        <v>2604</v>
      </c>
      <c r="K18" t="s">
        <v>2615</v>
      </c>
      <c r="L18">
        <v>2</v>
      </c>
    </row>
    <row r="19" spans="1:12">
      <c r="A19">
        <v>51000136</v>
      </c>
      <c r="B19" s="38">
        <v>45715</v>
      </c>
      <c r="C19" t="s">
        <v>101</v>
      </c>
      <c r="D19" t="s">
        <v>2776</v>
      </c>
      <c r="E19" t="s">
        <v>2777</v>
      </c>
      <c r="F19">
        <v>1</v>
      </c>
      <c r="G19">
        <v>1</v>
      </c>
      <c r="H19" t="s">
        <v>2603</v>
      </c>
      <c r="I19" s="38">
        <v>45723</v>
      </c>
      <c r="J19" t="s">
        <v>2604</v>
      </c>
      <c r="K19" t="s">
        <v>2615</v>
      </c>
      <c r="L19">
        <v>2</v>
      </c>
    </row>
    <row r="20" spans="1:12">
      <c r="A20">
        <v>51000136</v>
      </c>
      <c r="B20" s="38">
        <v>45715</v>
      </c>
      <c r="C20" t="s">
        <v>101</v>
      </c>
      <c r="D20" t="s">
        <v>2774</v>
      </c>
      <c r="E20" t="s">
        <v>2775</v>
      </c>
      <c r="F20">
        <v>1</v>
      </c>
      <c r="G20">
        <v>1</v>
      </c>
      <c r="H20" t="s">
        <v>2603</v>
      </c>
      <c r="I20" s="38">
        <v>45723</v>
      </c>
      <c r="J20" t="s">
        <v>2604</v>
      </c>
      <c r="K20" t="s">
        <v>2615</v>
      </c>
      <c r="L20">
        <v>2</v>
      </c>
    </row>
    <row r="21" spans="1:12">
      <c r="A21">
        <v>51000136</v>
      </c>
      <c r="B21" s="38">
        <v>45715</v>
      </c>
      <c r="C21" t="s">
        <v>101</v>
      </c>
      <c r="D21" t="s">
        <v>2772</v>
      </c>
      <c r="E21" t="s">
        <v>2773</v>
      </c>
      <c r="F21">
        <v>1</v>
      </c>
      <c r="G21">
        <v>1</v>
      </c>
      <c r="H21" t="s">
        <v>2603</v>
      </c>
      <c r="J21" t="s">
        <v>2609</v>
      </c>
      <c r="K21" t="s">
        <v>2615</v>
      </c>
      <c r="L21">
        <v>2</v>
      </c>
    </row>
    <row r="22" spans="1:12">
      <c r="A22">
        <v>51000136</v>
      </c>
      <c r="B22" s="38">
        <v>45715</v>
      </c>
      <c r="C22" t="s">
        <v>101</v>
      </c>
      <c r="D22" t="s">
        <v>2770</v>
      </c>
      <c r="E22" t="s">
        <v>2771</v>
      </c>
      <c r="F22">
        <v>1</v>
      </c>
      <c r="G22">
        <v>1</v>
      </c>
      <c r="H22" t="s">
        <v>2603</v>
      </c>
      <c r="I22" s="38">
        <v>45715</v>
      </c>
      <c r="J22" t="s">
        <v>2604</v>
      </c>
      <c r="K22" t="s">
        <v>2615</v>
      </c>
      <c r="L22">
        <v>2</v>
      </c>
    </row>
    <row r="23" spans="1:12">
      <c r="A23">
        <v>51000136</v>
      </c>
      <c r="B23" s="38">
        <v>45715</v>
      </c>
      <c r="C23" t="s">
        <v>101</v>
      </c>
      <c r="D23" t="s">
        <v>885</v>
      </c>
      <c r="E23" t="s">
        <v>2769</v>
      </c>
      <c r="F23">
        <v>1</v>
      </c>
      <c r="G23">
        <v>1</v>
      </c>
      <c r="H23" t="s">
        <v>2603</v>
      </c>
      <c r="J23" t="s">
        <v>2609</v>
      </c>
      <c r="K23" t="s">
        <v>2615</v>
      </c>
      <c r="L23">
        <v>2</v>
      </c>
    </row>
    <row r="24" spans="1:12">
      <c r="A24">
        <v>50110193</v>
      </c>
      <c r="B24" s="38">
        <v>45715</v>
      </c>
      <c r="C24" t="s">
        <v>125</v>
      </c>
      <c r="D24" t="s">
        <v>2767</v>
      </c>
      <c r="E24" t="s">
        <v>2768</v>
      </c>
      <c r="F24">
        <v>1</v>
      </c>
      <c r="G24">
        <v>1</v>
      </c>
      <c r="H24" t="s">
        <v>2603</v>
      </c>
      <c r="I24" s="38">
        <v>45663</v>
      </c>
      <c r="J24" t="s">
        <v>2604</v>
      </c>
      <c r="K24" t="s">
        <v>2615</v>
      </c>
      <c r="L24">
        <v>2</v>
      </c>
    </row>
    <row r="25" spans="1:12">
      <c r="A25">
        <v>60002095</v>
      </c>
      <c r="B25" s="38">
        <v>45714</v>
      </c>
      <c r="C25" t="s">
        <v>33</v>
      </c>
      <c r="D25" t="s">
        <v>281</v>
      </c>
      <c r="E25" t="s">
        <v>282</v>
      </c>
      <c r="F25">
        <v>1</v>
      </c>
      <c r="G25">
        <v>0</v>
      </c>
      <c r="H25" t="s">
        <v>2603</v>
      </c>
      <c r="J25" t="s">
        <v>2604</v>
      </c>
      <c r="K25" t="s">
        <v>2615</v>
      </c>
      <c r="L25">
        <v>2</v>
      </c>
    </row>
    <row r="26" spans="1:12">
      <c r="A26">
        <v>44000058</v>
      </c>
      <c r="B26" s="38">
        <v>45714</v>
      </c>
      <c r="C26" t="s">
        <v>2764</v>
      </c>
      <c r="D26" t="s">
        <v>2017</v>
      </c>
      <c r="E26" t="s">
        <v>2766</v>
      </c>
      <c r="F26">
        <v>1</v>
      </c>
      <c r="G26">
        <v>1</v>
      </c>
      <c r="H26" t="s">
        <v>2603</v>
      </c>
      <c r="I26" s="38">
        <v>45714</v>
      </c>
      <c r="J26" t="s">
        <v>2604</v>
      </c>
      <c r="K26" t="s">
        <v>2615</v>
      </c>
      <c r="L26">
        <v>2</v>
      </c>
    </row>
    <row r="27" spans="1:12">
      <c r="A27">
        <v>44000058</v>
      </c>
      <c r="B27" s="38">
        <v>45714</v>
      </c>
      <c r="C27" t="s">
        <v>2764</v>
      </c>
      <c r="D27" t="s">
        <v>2011</v>
      </c>
      <c r="E27" t="s">
        <v>2765</v>
      </c>
      <c r="F27">
        <v>1</v>
      </c>
      <c r="G27">
        <v>1</v>
      </c>
      <c r="H27" t="s">
        <v>2603</v>
      </c>
      <c r="I27" s="38">
        <v>45714</v>
      </c>
      <c r="J27" t="s">
        <v>2604</v>
      </c>
      <c r="K27" t="s">
        <v>2615</v>
      </c>
      <c r="L27">
        <v>2</v>
      </c>
    </row>
    <row r="28" spans="1:12">
      <c r="A28">
        <v>60002072</v>
      </c>
      <c r="B28" s="38">
        <v>45714</v>
      </c>
      <c r="C28" t="s">
        <v>94</v>
      </c>
      <c r="D28" t="s">
        <v>2708</v>
      </c>
      <c r="E28" t="s">
        <v>742</v>
      </c>
      <c r="F28">
        <v>1</v>
      </c>
      <c r="G28">
        <v>1</v>
      </c>
      <c r="H28" t="s">
        <v>2608</v>
      </c>
      <c r="I28" s="38">
        <v>45713</v>
      </c>
      <c r="J28" t="s">
        <v>2604</v>
      </c>
      <c r="K28" t="s">
        <v>2615</v>
      </c>
      <c r="L28">
        <v>2</v>
      </c>
    </row>
    <row r="29" spans="1:12">
      <c r="A29">
        <v>50110372</v>
      </c>
      <c r="B29" s="38">
        <v>45714</v>
      </c>
      <c r="C29" t="s">
        <v>33</v>
      </c>
      <c r="D29" t="s">
        <v>472</v>
      </c>
      <c r="E29" t="s">
        <v>2763</v>
      </c>
      <c r="F29">
        <v>1</v>
      </c>
      <c r="G29">
        <v>1</v>
      </c>
      <c r="H29" t="s">
        <v>2603</v>
      </c>
      <c r="J29" t="s">
        <v>2609</v>
      </c>
      <c r="K29" t="s">
        <v>2615</v>
      </c>
      <c r="L29">
        <v>2</v>
      </c>
    </row>
    <row r="30" spans="1:12">
      <c r="A30">
        <v>50110229</v>
      </c>
      <c r="B30" s="38">
        <v>45714</v>
      </c>
      <c r="C30" t="s">
        <v>345</v>
      </c>
      <c r="D30" t="s">
        <v>472</v>
      </c>
      <c r="E30" t="s">
        <v>2763</v>
      </c>
      <c r="F30">
        <v>1</v>
      </c>
      <c r="G30">
        <v>1</v>
      </c>
      <c r="H30" t="s">
        <v>2603</v>
      </c>
      <c r="J30" t="s">
        <v>2609</v>
      </c>
      <c r="K30" t="s">
        <v>2615</v>
      </c>
      <c r="L30">
        <v>2</v>
      </c>
    </row>
    <row r="31" spans="1:12">
      <c r="A31">
        <v>50110193</v>
      </c>
      <c r="B31" s="38">
        <v>45714</v>
      </c>
      <c r="C31" t="s">
        <v>125</v>
      </c>
      <c r="D31" t="s">
        <v>472</v>
      </c>
      <c r="E31" t="s">
        <v>2763</v>
      </c>
      <c r="F31">
        <v>1</v>
      </c>
      <c r="G31">
        <v>1</v>
      </c>
      <c r="H31" t="s">
        <v>2603</v>
      </c>
      <c r="J31" t="s">
        <v>2609</v>
      </c>
      <c r="K31" t="s">
        <v>2615</v>
      </c>
      <c r="L31">
        <v>2</v>
      </c>
    </row>
    <row r="32" spans="1:12">
      <c r="A32">
        <v>50000530</v>
      </c>
      <c r="B32" s="38">
        <v>45714</v>
      </c>
      <c r="C32" t="s">
        <v>365</v>
      </c>
      <c r="D32" t="s">
        <v>2762</v>
      </c>
      <c r="E32" t="s">
        <v>217</v>
      </c>
      <c r="F32">
        <v>1</v>
      </c>
      <c r="G32">
        <v>1</v>
      </c>
      <c r="H32" t="s">
        <v>2603</v>
      </c>
      <c r="I32" s="38">
        <v>45712</v>
      </c>
      <c r="J32" t="s">
        <v>2604</v>
      </c>
      <c r="K32" t="s">
        <v>2615</v>
      </c>
      <c r="L32">
        <v>2</v>
      </c>
    </row>
    <row r="33" spans="1:12">
      <c r="A33">
        <v>48300301</v>
      </c>
      <c r="B33" s="38">
        <v>45712</v>
      </c>
      <c r="C33" t="s">
        <v>134</v>
      </c>
      <c r="D33" t="s">
        <v>2760</v>
      </c>
      <c r="E33" t="s">
        <v>2761</v>
      </c>
      <c r="F33">
        <v>1</v>
      </c>
      <c r="G33">
        <v>1</v>
      </c>
      <c r="H33" t="s">
        <v>2603</v>
      </c>
      <c r="I33" s="38">
        <v>45680</v>
      </c>
      <c r="J33" t="s">
        <v>2604</v>
      </c>
      <c r="K33" t="s">
        <v>2615</v>
      </c>
      <c r="L33">
        <v>2</v>
      </c>
    </row>
    <row r="34" spans="1:12">
      <c r="A34">
        <v>50110372</v>
      </c>
      <c r="B34" s="38">
        <v>45712</v>
      </c>
      <c r="C34" t="s">
        <v>33</v>
      </c>
      <c r="D34" t="s">
        <v>2758</v>
      </c>
      <c r="E34" t="s">
        <v>2759</v>
      </c>
      <c r="F34">
        <v>1</v>
      </c>
      <c r="G34">
        <v>0</v>
      </c>
      <c r="H34" t="s">
        <v>2608</v>
      </c>
      <c r="J34" t="s">
        <v>2604</v>
      </c>
      <c r="K34" t="s">
        <v>2615</v>
      </c>
      <c r="L34">
        <v>2</v>
      </c>
    </row>
    <row r="35" spans="1:12">
      <c r="A35">
        <v>51000174</v>
      </c>
      <c r="B35" s="38">
        <v>45709</v>
      </c>
      <c r="C35" t="s">
        <v>154</v>
      </c>
      <c r="D35" t="s">
        <v>2653</v>
      </c>
      <c r="E35" t="s">
        <v>1000</v>
      </c>
      <c r="F35">
        <v>1</v>
      </c>
      <c r="G35">
        <v>1</v>
      </c>
      <c r="H35" t="s">
        <v>2603</v>
      </c>
      <c r="I35" s="38">
        <v>45705</v>
      </c>
      <c r="J35" t="s">
        <v>2604</v>
      </c>
      <c r="K35" t="s">
        <v>2615</v>
      </c>
      <c r="L35">
        <v>2</v>
      </c>
    </row>
    <row r="36" spans="1:12">
      <c r="A36">
        <v>50000260</v>
      </c>
      <c r="B36" s="38">
        <v>45709</v>
      </c>
      <c r="C36" t="s">
        <v>327</v>
      </c>
      <c r="D36" t="s">
        <v>2756</v>
      </c>
      <c r="E36" t="s">
        <v>2757</v>
      </c>
      <c r="F36">
        <v>1</v>
      </c>
      <c r="G36">
        <v>0</v>
      </c>
      <c r="H36" t="s">
        <v>2608</v>
      </c>
      <c r="J36" t="s">
        <v>2604</v>
      </c>
      <c r="K36" t="s">
        <v>2615</v>
      </c>
      <c r="L36">
        <v>2</v>
      </c>
    </row>
    <row r="37" spans="1:12">
      <c r="A37">
        <v>50000260</v>
      </c>
      <c r="B37" s="38">
        <v>45709</v>
      </c>
      <c r="C37" t="s">
        <v>327</v>
      </c>
      <c r="D37" t="s">
        <v>222</v>
      </c>
      <c r="E37" t="s">
        <v>2755</v>
      </c>
      <c r="F37">
        <v>3</v>
      </c>
      <c r="G37">
        <v>3</v>
      </c>
      <c r="H37" t="s">
        <v>2603</v>
      </c>
      <c r="I37" s="38">
        <v>45707</v>
      </c>
      <c r="J37" t="s">
        <v>2604</v>
      </c>
      <c r="K37" t="s">
        <v>2615</v>
      </c>
      <c r="L37">
        <v>2</v>
      </c>
    </row>
    <row r="38" spans="1:12">
      <c r="A38">
        <v>50000260</v>
      </c>
      <c r="B38" s="38">
        <v>45709</v>
      </c>
      <c r="C38" t="s">
        <v>327</v>
      </c>
      <c r="D38" t="s">
        <v>1872</v>
      </c>
      <c r="E38" t="s">
        <v>1873</v>
      </c>
      <c r="F38">
        <v>1</v>
      </c>
      <c r="G38">
        <v>1</v>
      </c>
      <c r="H38" t="s">
        <v>2603</v>
      </c>
      <c r="I38" s="38">
        <v>45707</v>
      </c>
      <c r="J38" t="s">
        <v>2604</v>
      </c>
      <c r="K38" t="s">
        <v>2615</v>
      </c>
      <c r="L38">
        <v>2</v>
      </c>
    </row>
    <row r="39" spans="1:12">
      <c r="A39">
        <v>50000260</v>
      </c>
      <c r="B39" s="38">
        <v>45709</v>
      </c>
      <c r="C39" t="s">
        <v>327</v>
      </c>
      <c r="D39" t="s">
        <v>2753</v>
      </c>
      <c r="E39" t="s">
        <v>2754</v>
      </c>
      <c r="F39">
        <v>1</v>
      </c>
      <c r="G39">
        <v>1</v>
      </c>
      <c r="H39" t="s">
        <v>2603</v>
      </c>
      <c r="I39" s="38">
        <v>45707</v>
      </c>
      <c r="J39" t="s">
        <v>2604</v>
      </c>
      <c r="K39" t="s">
        <v>2615</v>
      </c>
      <c r="L39">
        <v>2</v>
      </c>
    </row>
    <row r="40" spans="1:12">
      <c r="A40">
        <v>50000260</v>
      </c>
      <c r="B40" s="38">
        <v>45709</v>
      </c>
      <c r="C40" t="s">
        <v>327</v>
      </c>
      <c r="D40" t="s">
        <v>1876</v>
      </c>
      <c r="E40" t="s">
        <v>2752</v>
      </c>
      <c r="F40">
        <v>3</v>
      </c>
      <c r="G40">
        <v>0</v>
      </c>
      <c r="H40" t="s">
        <v>2608</v>
      </c>
      <c r="J40" t="s">
        <v>2604</v>
      </c>
      <c r="K40" t="s">
        <v>2615</v>
      </c>
      <c r="L40">
        <v>2</v>
      </c>
    </row>
    <row r="41" spans="1:12">
      <c r="A41">
        <v>50000202</v>
      </c>
      <c r="B41" s="38">
        <v>45708</v>
      </c>
      <c r="C41" t="s">
        <v>1322</v>
      </c>
      <c r="D41" t="s">
        <v>201</v>
      </c>
      <c r="E41" t="s">
        <v>2751</v>
      </c>
      <c r="F41">
        <v>1</v>
      </c>
      <c r="G41">
        <v>1</v>
      </c>
      <c r="H41" t="s">
        <v>2603</v>
      </c>
      <c r="I41" s="38">
        <v>45699</v>
      </c>
      <c r="J41" t="s">
        <v>2604</v>
      </c>
      <c r="K41" t="s">
        <v>2615</v>
      </c>
      <c r="L41">
        <v>2</v>
      </c>
    </row>
    <row r="42" spans="1:12">
      <c r="A42">
        <v>50110193</v>
      </c>
      <c r="B42" s="38">
        <v>45708</v>
      </c>
      <c r="C42" t="s">
        <v>125</v>
      </c>
      <c r="D42" t="s">
        <v>2749</v>
      </c>
      <c r="E42" t="s">
        <v>2750</v>
      </c>
      <c r="F42">
        <v>1</v>
      </c>
      <c r="G42">
        <v>1</v>
      </c>
      <c r="H42" t="s">
        <v>2603</v>
      </c>
      <c r="I42" s="38">
        <v>45708</v>
      </c>
      <c r="J42" t="s">
        <v>2604</v>
      </c>
      <c r="K42" t="s">
        <v>2615</v>
      </c>
      <c r="L42">
        <v>2</v>
      </c>
    </row>
    <row r="43" spans="1:12">
      <c r="A43">
        <v>50110193</v>
      </c>
      <c r="B43" s="38">
        <v>45708</v>
      </c>
      <c r="C43" t="s">
        <v>125</v>
      </c>
      <c r="D43" t="s">
        <v>1051</v>
      </c>
      <c r="E43" t="s">
        <v>1052</v>
      </c>
      <c r="F43">
        <v>1</v>
      </c>
      <c r="G43">
        <v>1</v>
      </c>
      <c r="H43" t="s">
        <v>2603</v>
      </c>
      <c r="I43" s="38">
        <v>45708</v>
      </c>
      <c r="J43" t="s">
        <v>2604</v>
      </c>
      <c r="K43" t="s">
        <v>2615</v>
      </c>
      <c r="L43">
        <v>2</v>
      </c>
    </row>
    <row r="44" spans="1:12">
      <c r="A44">
        <v>50110193</v>
      </c>
      <c r="B44" s="38">
        <v>45708</v>
      </c>
      <c r="C44" t="s">
        <v>125</v>
      </c>
      <c r="D44" t="s">
        <v>2747</v>
      </c>
      <c r="E44" t="s">
        <v>2748</v>
      </c>
      <c r="F44">
        <v>1</v>
      </c>
      <c r="G44">
        <v>1</v>
      </c>
      <c r="H44" t="s">
        <v>2603</v>
      </c>
      <c r="I44" s="38">
        <v>45708</v>
      </c>
      <c r="J44" t="s">
        <v>2604</v>
      </c>
      <c r="K44" t="s">
        <v>2615</v>
      </c>
      <c r="L44">
        <v>2</v>
      </c>
    </row>
    <row r="45" spans="1:12">
      <c r="A45">
        <v>51000323</v>
      </c>
      <c r="B45" s="38">
        <v>45708</v>
      </c>
      <c r="C45" t="s">
        <v>101</v>
      </c>
      <c r="D45" t="s">
        <v>335</v>
      </c>
      <c r="E45" t="s">
        <v>2746</v>
      </c>
      <c r="F45">
        <v>2</v>
      </c>
      <c r="G45">
        <v>2</v>
      </c>
      <c r="H45" t="s">
        <v>2603</v>
      </c>
      <c r="I45" s="38">
        <v>45707</v>
      </c>
      <c r="J45" t="s">
        <v>2604</v>
      </c>
      <c r="K45" t="s">
        <v>2615</v>
      </c>
      <c r="L45">
        <v>2</v>
      </c>
    </row>
    <row r="46" spans="1:12">
      <c r="A46">
        <v>51000323</v>
      </c>
      <c r="B46" s="38">
        <v>45708</v>
      </c>
      <c r="C46" t="s">
        <v>101</v>
      </c>
      <c r="D46" t="s">
        <v>2259</v>
      </c>
      <c r="E46" t="s">
        <v>2745</v>
      </c>
      <c r="F46">
        <v>1</v>
      </c>
      <c r="G46">
        <v>1</v>
      </c>
      <c r="H46" t="s">
        <v>2603</v>
      </c>
      <c r="I46" s="38">
        <v>45708</v>
      </c>
      <c r="J46" t="s">
        <v>2604</v>
      </c>
      <c r="K46" t="s">
        <v>2615</v>
      </c>
      <c r="L46">
        <v>2</v>
      </c>
    </row>
    <row r="47" spans="1:12">
      <c r="A47">
        <v>43000422</v>
      </c>
      <c r="B47" s="38">
        <v>45708</v>
      </c>
      <c r="C47" t="s">
        <v>298</v>
      </c>
      <c r="D47" t="s">
        <v>2744</v>
      </c>
      <c r="E47" t="s">
        <v>1850</v>
      </c>
      <c r="F47">
        <v>1</v>
      </c>
      <c r="G47">
        <v>1</v>
      </c>
      <c r="H47" t="s">
        <v>2603</v>
      </c>
      <c r="I47" s="38">
        <v>45693</v>
      </c>
      <c r="J47" t="s">
        <v>2604</v>
      </c>
      <c r="K47" t="s">
        <v>2615</v>
      </c>
      <c r="L47">
        <v>2</v>
      </c>
    </row>
    <row r="48" spans="1:12">
      <c r="A48">
        <v>48000432</v>
      </c>
      <c r="B48" s="38">
        <v>45707</v>
      </c>
      <c r="C48" t="s">
        <v>134</v>
      </c>
      <c r="D48" t="s">
        <v>513</v>
      </c>
      <c r="E48" t="s">
        <v>2293</v>
      </c>
      <c r="F48">
        <v>1</v>
      </c>
      <c r="G48">
        <v>1</v>
      </c>
      <c r="H48" t="s">
        <v>2603</v>
      </c>
      <c r="I48" s="38">
        <v>45700</v>
      </c>
      <c r="J48" t="s">
        <v>2604</v>
      </c>
      <c r="K48" t="s">
        <v>2615</v>
      </c>
      <c r="L48">
        <v>2</v>
      </c>
    </row>
    <row r="49" spans="1:12">
      <c r="A49">
        <v>50110193</v>
      </c>
      <c r="B49" s="38">
        <v>45707</v>
      </c>
      <c r="C49" t="s">
        <v>125</v>
      </c>
      <c r="D49" t="s">
        <v>430</v>
      </c>
      <c r="E49" t="s">
        <v>431</v>
      </c>
      <c r="F49">
        <v>1</v>
      </c>
      <c r="G49">
        <v>1</v>
      </c>
      <c r="H49" t="s">
        <v>2603</v>
      </c>
      <c r="I49" s="38">
        <v>45701</v>
      </c>
      <c r="J49" t="s">
        <v>2604</v>
      </c>
      <c r="K49" t="s">
        <v>2615</v>
      </c>
      <c r="L49">
        <v>2</v>
      </c>
    </row>
    <row r="50" spans="1:12">
      <c r="A50" t="s">
        <v>2658</v>
      </c>
      <c r="B50" s="38">
        <v>45707</v>
      </c>
      <c r="C50" t="s">
        <v>1945</v>
      </c>
      <c r="D50" t="s">
        <v>2742</v>
      </c>
      <c r="E50" t="s">
        <v>2743</v>
      </c>
      <c r="F50">
        <v>1</v>
      </c>
      <c r="G50">
        <v>1</v>
      </c>
      <c r="H50" t="s">
        <v>2603</v>
      </c>
      <c r="I50" s="38">
        <v>45692</v>
      </c>
      <c r="J50" t="s">
        <v>2604</v>
      </c>
      <c r="K50" t="s">
        <v>2615</v>
      </c>
      <c r="L50">
        <v>2</v>
      </c>
    </row>
    <row r="51" spans="1:12">
      <c r="A51">
        <v>48300375</v>
      </c>
      <c r="B51" s="38">
        <v>45707</v>
      </c>
      <c r="C51" t="s">
        <v>915</v>
      </c>
      <c r="D51" t="s">
        <v>446</v>
      </c>
      <c r="E51" t="s">
        <v>2741</v>
      </c>
      <c r="F51">
        <v>1</v>
      </c>
      <c r="G51">
        <v>1</v>
      </c>
      <c r="H51" t="s">
        <v>2603</v>
      </c>
      <c r="I51" s="38">
        <v>45636</v>
      </c>
      <c r="J51" t="s">
        <v>2604</v>
      </c>
      <c r="K51" t="s">
        <v>2615</v>
      </c>
      <c r="L51">
        <v>2</v>
      </c>
    </row>
    <row r="52" spans="1:12">
      <c r="A52">
        <v>50000202</v>
      </c>
      <c r="B52" s="38">
        <v>45707</v>
      </c>
      <c r="C52" t="s">
        <v>1322</v>
      </c>
      <c r="D52" t="s">
        <v>2739</v>
      </c>
      <c r="E52" t="s">
        <v>2740</v>
      </c>
      <c r="F52">
        <v>1</v>
      </c>
      <c r="G52">
        <v>1</v>
      </c>
      <c r="H52" t="s">
        <v>2603</v>
      </c>
      <c r="I52" s="38">
        <v>45705</v>
      </c>
      <c r="J52" t="s">
        <v>2604</v>
      </c>
      <c r="K52" t="s">
        <v>2615</v>
      </c>
      <c r="L52">
        <v>2</v>
      </c>
    </row>
    <row r="53" spans="1:12">
      <c r="A53">
        <v>60002072</v>
      </c>
      <c r="B53" s="38">
        <v>45707</v>
      </c>
      <c r="C53" t="s">
        <v>94</v>
      </c>
      <c r="D53" t="s">
        <v>1154</v>
      </c>
      <c r="E53" t="s">
        <v>2738</v>
      </c>
      <c r="F53">
        <v>1</v>
      </c>
      <c r="G53">
        <v>1</v>
      </c>
      <c r="H53" t="s">
        <v>2603</v>
      </c>
      <c r="I53" s="38">
        <v>45693</v>
      </c>
      <c r="J53" t="s">
        <v>2604</v>
      </c>
      <c r="K53" t="s">
        <v>2615</v>
      </c>
      <c r="L53">
        <v>2</v>
      </c>
    </row>
    <row r="54" spans="1:12">
      <c r="A54">
        <v>60002072</v>
      </c>
      <c r="B54" s="38">
        <v>45707</v>
      </c>
      <c r="C54" t="s">
        <v>94</v>
      </c>
      <c r="D54" t="s">
        <v>517</v>
      </c>
      <c r="E54" t="s">
        <v>2737</v>
      </c>
      <c r="F54">
        <v>1</v>
      </c>
      <c r="G54">
        <v>1</v>
      </c>
      <c r="H54" t="s">
        <v>2603</v>
      </c>
      <c r="I54" s="38">
        <v>45693</v>
      </c>
      <c r="J54" t="s">
        <v>2604</v>
      </c>
      <c r="K54" t="s">
        <v>2615</v>
      </c>
      <c r="L54">
        <v>2</v>
      </c>
    </row>
    <row r="55" spans="1:12">
      <c r="A55">
        <v>47200115</v>
      </c>
      <c r="B55" s="38">
        <v>45706</v>
      </c>
      <c r="C55" t="s">
        <v>2735</v>
      </c>
      <c r="D55" t="s">
        <v>183</v>
      </c>
      <c r="E55" t="s">
        <v>2736</v>
      </c>
      <c r="F55">
        <v>1</v>
      </c>
      <c r="G55">
        <v>1</v>
      </c>
      <c r="H55" t="s">
        <v>2603</v>
      </c>
      <c r="I55" s="38">
        <v>45642</v>
      </c>
      <c r="J55" t="s">
        <v>2604</v>
      </c>
      <c r="K55" t="s">
        <v>2615</v>
      </c>
      <c r="L55">
        <v>2</v>
      </c>
    </row>
    <row r="56" spans="1:12">
      <c r="A56">
        <v>60002095</v>
      </c>
      <c r="B56" s="38">
        <v>45701</v>
      </c>
      <c r="C56" t="s">
        <v>33</v>
      </c>
      <c r="D56" t="s">
        <v>1172</v>
      </c>
      <c r="E56" t="s">
        <v>2734</v>
      </c>
      <c r="F56">
        <v>1</v>
      </c>
      <c r="G56">
        <v>1</v>
      </c>
      <c r="H56" t="s">
        <v>2603</v>
      </c>
      <c r="I56" s="38">
        <v>45701</v>
      </c>
      <c r="J56" t="s">
        <v>2604</v>
      </c>
      <c r="K56" t="s">
        <v>2615</v>
      </c>
      <c r="L56">
        <v>2</v>
      </c>
    </row>
    <row r="57" spans="1:12">
      <c r="A57">
        <v>50300097</v>
      </c>
      <c r="B57" s="38">
        <v>45699</v>
      </c>
      <c r="C57" t="s">
        <v>333</v>
      </c>
      <c r="D57" t="s">
        <v>1267</v>
      </c>
      <c r="E57" t="s">
        <v>2733</v>
      </c>
      <c r="F57">
        <v>1</v>
      </c>
      <c r="G57">
        <v>1</v>
      </c>
      <c r="H57" t="s">
        <v>2603</v>
      </c>
      <c r="I57" s="38">
        <v>45691</v>
      </c>
      <c r="J57" t="s">
        <v>2604</v>
      </c>
      <c r="K57" t="s">
        <v>2615</v>
      </c>
      <c r="L57">
        <v>2</v>
      </c>
    </row>
    <row r="58" spans="1:12">
      <c r="A58">
        <v>50110057</v>
      </c>
      <c r="B58" s="38">
        <v>45691</v>
      </c>
      <c r="C58" t="s">
        <v>88</v>
      </c>
      <c r="D58" t="s">
        <v>2693</v>
      </c>
      <c r="E58" t="s">
        <v>2694</v>
      </c>
      <c r="F58">
        <v>1</v>
      </c>
      <c r="G58">
        <v>0</v>
      </c>
      <c r="H58" t="s">
        <v>2603</v>
      </c>
      <c r="I58" s="38">
        <v>45706</v>
      </c>
      <c r="J58" t="s">
        <v>2604</v>
      </c>
      <c r="K58" t="s">
        <v>2615</v>
      </c>
      <c r="L58">
        <v>2</v>
      </c>
    </row>
    <row r="59" spans="1:12">
      <c r="A59">
        <v>50110057</v>
      </c>
      <c r="B59" s="38">
        <v>45691</v>
      </c>
      <c r="C59" t="s">
        <v>88</v>
      </c>
      <c r="D59" t="s">
        <v>2695</v>
      </c>
      <c r="E59" t="s">
        <v>2696</v>
      </c>
      <c r="F59">
        <v>1</v>
      </c>
      <c r="G59">
        <v>1</v>
      </c>
      <c r="H59" t="s">
        <v>2603</v>
      </c>
      <c r="I59" s="38">
        <v>45706</v>
      </c>
      <c r="J59" t="s">
        <v>2604</v>
      </c>
      <c r="K59" t="s">
        <v>2615</v>
      </c>
      <c r="L59">
        <v>2</v>
      </c>
    </row>
    <row r="60" spans="1:12">
      <c r="A60">
        <v>50110057</v>
      </c>
      <c r="B60" s="38">
        <v>45691</v>
      </c>
      <c r="C60" t="s">
        <v>88</v>
      </c>
      <c r="D60" t="s">
        <v>2697</v>
      </c>
      <c r="E60" t="s">
        <v>2698</v>
      </c>
      <c r="F60">
        <v>1</v>
      </c>
      <c r="G60">
        <v>1</v>
      </c>
      <c r="H60" t="s">
        <v>2603</v>
      </c>
      <c r="I60" s="38">
        <v>45706</v>
      </c>
      <c r="J60" t="s">
        <v>2604</v>
      </c>
      <c r="K60" t="s">
        <v>2615</v>
      </c>
      <c r="L60">
        <v>2</v>
      </c>
    </row>
    <row r="61" spans="1:12">
      <c r="A61">
        <v>50110372</v>
      </c>
      <c r="B61" s="38">
        <v>45691</v>
      </c>
      <c r="C61" t="s">
        <v>33</v>
      </c>
      <c r="D61" t="s">
        <v>2699</v>
      </c>
      <c r="E61" t="s">
        <v>2700</v>
      </c>
      <c r="F61">
        <v>1</v>
      </c>
      <c r="G61">
        <v>1</v>
      </c>
      <c r="H61" t="s">
        <v>2608</v>
      </c>
      <c r="I61" s="38">
        <v>45705</v>
      </c>
      <c r="J61" t="s">
        <v>2604</v>
      </c>
      <c r="K61" t="s">
        <v>2615</v>
      </c>
      <c r="L61">
        <v>2</v>
      </c>
    </row>
    <row r="62" spans="1:12">
      <c r="A62">
        <v>50110057</v>
      </c>
      <c r="B62" s="38">
        <v>45691</v>
      </c>
      <c r="C62" t="s">
        <v>88</v>
      </c>
      <c r="D62" t="s">
        <v>2701</v>
      </c>
      <c r="E62" t="s">
        <v>2702</v>
      </c>
      <c r="F62">
        <v>1</v>
      </c>
      <c r="G62">
        <v>1</v>
      </c>
      <c r="H62" t="s">
        <v>2603</v>
      </c>
      <c r="J62" t="s">
        <v>2609</v>
      </c>
      <c r="K62" t="s">
        <v>2615</v>
      </c>
      <c r="L62">
        <v>2</v>
      </c>
    </row>
    <row r="63" spans="1:12">
      <c r="A63">
        <v>43000422</v>
      </c>
      <c r="B63" s="38">
        <v>45691</v>
      </c>
      <c r="C63" t="s">
        <v>298</v>
      </c>
      <c r="D63" t="s">
        <v>2529</v>
      </c>
      <c r="E63" t="s">
        <v>2703</v>
      </c>
      <c r="F63">
        <v>1</v>
      </c>
      <c r="G63">
        <v>1</v>
      </c>
      <c r="H63" t="s">
        <v>2603</v>
      </c>
      <c r="I63" s="38">
        <v>45681</v>
      </c>
      <c r="J63" t="s">
        <v>2604</v>
      </c>
      <c r="K63" t="s">
        <v>2615</v>
      </c>
      <c r="L63">
        <v>2</v>
      </c>
    </row>
    <row r="64" spans="1:12">
      <c r="A64">
        <v>48000482</v>
      </c>
      <c r="B64" s="38">
        <v>45691</v>
      </c>
      <c r="C64" t="s">
        <v>704</v>
      </c>
      <c r="D64" t="s">
        <v>1650</v>
      </c>
      <c r="E64" t="s">
        <v>2704</v>
      </c>
      <c r="F64">
        <v>1</v>
      </c>
      <c r="G64">
        <v>1</v>
      </c>
      <c r="H64" t="s">
        <v>2603</v>
      </c>
      <c r="I64" s="38">
        <v>45691</v>
      </c>
      <c r="J64" t="s">
        <v>2604</v>
      </c>
      <c r="K64" t="s">
        <v>2615</v>
      </c>
      <c r="L64">
        <v>2</v>
      </c>
    </row>
    <row r="65" spans="1:12">
      <c r="A65">
        <v>48000482</v>
      </c>
      <c r="B65" s="38">
        <v>45691</v>
      </c>
      <c r="C65" t="s">
        <v>704</v>
      </c>
      <c r="D65" t="s">
        <v>446</v>
      </c>
      <c r="E65" t="s">
        <v>509</v>
      </c>
      <c r="F65">
        <v>1</v>
      </c>
      <c r="G65">
        <v>1</v>
      </c>
      <c r="H65" t="s">
        <v>2603</v>
      </c>
      <c r="I65" s="38">
        <v>45672</v>
      </c>
      <c r="J65" t="s">
        <v>2604</v>
      </c>
      <c r="K65" t="s">
        <v>2615</v>
      </c>
      <c r="L65">
        <v>2</v>
      </c>
    </row>
    <row r="66" spans="1:12">
      <c r="A66">
        <v>50000530</v>
      </c>
      <c r="B66" s="38">
        <v>45691</v>
      </c>
      <c r="C66" t="s">
        <v>365</v>
      </c>
      <c r="D66" t="s">
        <v>1064</v>
      </c>
      <c r="E66" t="s">
        <v>2705</v>
      </c>
      <c r="F66">
        <v>1</v>
      </c>
      <c r="G66">
        <v>1</v>
      </c>
      <c r="H66" t="s">
        <v>2608</v>
      </c>
      <c r="I66" s="38">
        <v>45688</v>
      </c>
      <c r="J66" t="s">
        <v>2604</v>
      </c>
      <c r="K66" t="s">
        <v>2615</v>
      </c>
      <c r="L66">
        <v>2</v>
      </c>
    </row>
    <row r="67" spans="1:12">
      <c r="A67">
        <v>50000530</v>
      </c>
      <c r="B67" s="38">
        <v>45691</v>
      </c>
      <c r="C67" t="s">
        <v>365</v>
      </c>
      <c r="D67" t="s">
        <v>70</v>
      </c>
      <c r="E67" t="s">
        <v>352</v>
      </c>
      <c r="F67">
        <v>1</v>
      </c>
      <c r="G67">
        <v>1</v>
      </c>
      <c r="H67" t="s">
        <v>2603</v>
      </c>
      <c r="I67" s="38">
        <v>45688</v>
      </c>
      <c r="J67" t="s">
        <v>2604</v>
      </c>
      <c r="K67" t="s">
        <v>2615</v>
      </c>
      <c r="L67">
        <v>2</v>
      </c>
    </row>
    <row r="68" spans="1:12">
      <c r="A68">
        <v>44000010</v>
      </c>
      <c r="B68" s="38">
        <v>45691</v>
      </c>
      <c r="C68" t="s">
        <v>1030</v>
      </c>
      <c r="D68" t="s">
        <v>587</v>
      </c>
      <c r="E68" t="s">
        <v>2706</v>
      </c>
      <c r="F68">
        <v>1</v>
      </c>
      <c r="G68">
        <v>1</v>
      </c>
      <c r="H68" t="s">
        <v>2603</v>
      </c>
      <c r="I68" s="38">
        <v>45705</v>
      </c>
      <c r="J68" t="s">
        <v>2604</v>
      </c>
      <c r="K68" t="s">
        <v>2615</v>
      </c>
      <c r="L68">
        <v>2</v>
      </c>
    </row>
    <row r="69" spans="1:12">
      <c r="A69">
        <v>50110193</v>
      </c>
      <c r="B69" s="38">
        <v>45691</v>
      </c>
      <c r="C69" t="s">
        <v>125</v>
      </c>
      <c r="D69" t="s">
        <v>813</v>
      </c>
      <c r="E69" t="s">
        <v>2707</v>
      </c>
      <c r="F69">
        <v>1</v>
      </c>
      <c r="G69">
        <v>1</v>
      </c>
      <c r="H69" t="s">
        <v>2603</v>
      </c>
      <c r="I69" s="38">
        <v>45693</v>
      </c>
      <c r="J69" t="s">
        <v>2609</v>
      </c>
      <c r="K69" t="s">
        <v>2615</v>
      </c>
      <c r="L69">
        <v>2</v>
      </c>
    </row>
    <row r="70" spans="1:12">
      <c r="A70">
        <v>48300301</v>
      </c>
      <c r="B70" s="38">
        <v>45692</v>
      </c>
      <c r="C70" t="s">
        <v>134</v>
      </c>
      <c r="D70" t="s">
        <v>803</v>
      </c>
      <c r="E70" t="s">
        <v>804</v>
      </c>
      <c r="F70">
        <v>1</v>
      </c>
      <c r="G70">
        <v>1</v>
      </c>
      <c r="H70" t="s">
        <v>2603</v>
      </c>
      <c r="I70" s="38">
        <v>45679</v>
      </c>
      <c r="J70" t="s">
        <v>2604</v>
      </c>
      <c r="K70" t="s">
        <v>2615</v>
      </c>
      <c r="L70">
        <v>2</v>
      </c>
    </row>
    <row r="71" spans="1:12">
      <c r="A71">
        <v>60002072</v>
      </c>
      <c r="B71" s="38">
        <v>45692</v>
      </c>
      <c r="C71" t="s">
        <v>94</v>
      </c>
      <c r="D71" t="s">
        <v>2708</v>
      </c>
      <c r="E71" t="s">
        <v>742</v>
      </c>
      <c r="F71">
        <v>1</v>
      </c>
      <c r="G71">
        <v>1</v>
      </c>
      <c r="H71" t="s">
        <v>2603</v>
      </c>
      <c r="I71" s="38">
        <v>45692</v>
      </c>
      <c r="J71" t="s">
        <v>2604</v>
      </c>
      <c r="K71" t="s">
        <v>2615</v>
      </c>
      <c r="L71">
        <v>2</v>
      </c>
    </row>
    <row r="72" spans="1:12">
      <c r="A72">
        <v>50000343</v>
      </c>
      <c r="B72" s="38">
        <v>45692</v>
      </c>
      <c r="C72" t="s">
        <v>33</v>
      </c>
      <c r="D72" t="s">
        <v>220</v>
      </c>
      <c r="E72" t="s">
        <v>2709</v>
      </c>
      <c r="F72">
        <v>1</v>
      </c>
      <c r="G72">
        <v>1</v>
      </c>
      <c r="H72" t="s">
        <v>2603</v>
      </c>
      <c r="I72" s="38">
        <v>45693</v>
      </c>
      <c r="J72" t="s">
        <v>2609</v>
      </c>
      <c r="K72" t="s">
        <v>2615</v>
      </c>
      <c r="L72">
        <v>2</v>
      </c>
    </row>
    <row r="73" spans="1:12">
      <c r="A73">
        <v>50000202</v>
      </c>
      <c r="B73" s="38">
        <v>45692</v>
      </c>
      <c r="C73" t="s">
        <v>1322</v>
      </c>
      <c r="D73" t="s">
        <v>1074</v>
      </c>
      <c r="E73" t="s">
        <v>2710</v>
      </c>
      <c r="F73">
        <v>1</v>
      </c>
      <c r="G73">
        <v>1</v>
      </c>
      <c r="H73" t="s">
        <v>2603</v>
      </c>
      <c r="I73" s="38">
        <v>45663</v>
      </c>
      <c r="J73" t="s">
        <v>2604</v>
      </c>
      <c r="K73" t="s">
        <v>2615</v>
      </c>
      <c r="L73">
        <v>2</v>
      </c>
    </row>
    <row r="74" spans="1:12">
      <c r="A74">
        <v>48000482</v>
      </c>
      <c r="B74" s="38">
        <v>45692</v>
      </c>
      <c r="C74" t="s">
        <v>704</v>
      </c>
      <c r="D74" t="s">
        <v>587</v>
      </c>
      <c r="E74" t="s">
        <v>588</v>
      </c>
      <c r="F74">
        <v>1</v>
      </c>
      <c r="G74">
        <v>1</v>
      </c>
      <c r="H74" t="s">
        <v>2603</v>
      </c>
      <c r="I74" s="38">
        <v>45705</v>
      </c>
      <c r="J74" t="s">
        <v>2604</v>
      </c>
      <c r="K74" t="s">
        <v>2615</v>
      </c>
      <c r="L74">
        <v>2</v>
      </c>
    </row>
    <row r="75" spans="1:12">
      <c r="A75">
        <v>44000059</v>
      </c>
      <c r="B75" s="38">
        <v>45692</v>
      </c>
      <c r="C75" t="s">
        <v>134</v>
      </c>
      <c r="D75" t="s">
        <v>846</v>
      </c>
      <c r="E75" t="s">
        <v>847</v>
      </c>
      <c r="F75">
        <v>1</v>
      </c>
      <c r="G75">
        <v>1</v>
      </c>
      <c r="H75" t="s">
        <v>2603</v>
      </c>
      <c r="I75" s="38">
        <v>45681</v>
      </c>
      <c r="J75" t="s">
        <v>2604</v>
      </c>
      <c r="K75" t="s">
        <v>2615</v>
      </c>
      <c r="L75">
        <v>2</v>
      </c>
    </row>
    <row r="76" spans="1:12">
      <c r="A76">
        <v>44000059</v>
      </c>
      <c r="B76" s="38">
        <v>45692</v>
      </c>
      <c r="C76" t="s">
        <v>134</v>
      </c>
      <c r="D76" t="s">
        <v>2711</v>
      </c>
      <c r="E76" t="s">
        <v>2712</v>
      </c>
      <c r="F76">
        <v>1</v>
      </c>
      <c r="G76">
        <v>1</v>
      </c>
      <c r="H76" t="s">
        <v>2603</v>
      </c>
      <c r="I76" s="38">
        <v>45692</v>
      </c>
      <c r="J76" t="s">
        <v>2604</v>
      </c>
      <c r="K76" t="s">
        <v>2615</v>
      </c>
      <c r="L76">
        <v>2</v>
      </c>
    </row>
    <row r="77" spans="1:12">
      <c r="A77">
        <v>50110372</v>
      </c>
      <c r="B77" s="38">
        <v>45692</v>
      </c>
      <c r="C77" t="s">
        <v>33</v>
      </c>
      <c r="D77" t="s">
        <v>2713</v>
      </c>
      <c r="E77" t="s">
        <v>2714</v>
      </c>
      <c r="F77">
        <v>1</v>
      </c>
      <c r="G77">
        <v>0</v>
      </c>
      <c r="H77" t="s">
        <v>2608</v>
      </c>
      <c r="J77" t="s">
        <v>2604</v>
      </c>
      <c r="K77" t="s">
        <v>2615</v>
      </c>
      <c r="L77">
        <v>2</v>
      </c>
    </row>
    <row r="78" spans="1:12">
      <c r="A78">
        <v>50110372</v>
      </c>
      <c r="B78" s="38">
        <v>45692</v>
      </c>
      <c r="C78" t="s">
        <v>33</v>
      </c>
      <c r="D78" t="s">
        <v>2715</v>
      </c>
      <c r="E78" t="s">
        <v>2716</v>
      </c>
      <c r="F78">
        <v>1</v>
      </c>
      <c r="G78">
        <v>1</v>
      </c>
      <c r="H78" t="s">
        <v>2608</v>
      </c>
      <c r="I78" s="38">
        <v>45692</v>
      </c>
      <c r="J78" t="s">
        <v>2604</v>
      </c>
      <c r="K78" t="s">
        <v>2615</v>
      </c>
      <c r="L78">
        <v>2</v>
      </c>
    </row>
    <row r="79" spans="1:12">
      <c r="A79">
        <v>51000136</v>
      </c>
      <c r="B79" s="38">
        <v>45693</v>
      </c>
      <c r="C79" t="s">
        <v>101</v>
      </c>
      <c r="D79" t="s">
        <v>2717</v>
      </c>
      <c r="E79" t="s">
        <v>2718</v>
      </c>
      <c r="F79">
        <v>1</v>
      </c>
      <c r="G79">
        <v>0</v>
      </c>
      <c r="H79" t="s">
        <v>2603</v>
      </c>
      <c r="J79" t="s">
        <v>2604</v>
      </c>
      <c r="K79" t="s">
        <v>2615</v>
      </c>
      <c r="L79">
        <v>2</v>
      </c>
    </row>
    <row r="80" spans="1:12">
      <c r="A80">
        <v>50000343</v>
      </c>
      <c r="B80" s="38">
        <v>45694</v>
      </c>
      <c r="C80" t="s">
        <v>33</v>
      </c>
      <c r="D80" t="s">
        <v>2380</v>
      </c>
      <c r="E80" t="s">
        <v>2719</v>
      </c>
      <c r="F80">
        <v>1</v>
      </c>
      <c r="G80">
        <v>1</v>
      </c>
      <c r="H80" t="s">
        <v>2603</v>
      </c>
      <c r="I80" s="38">
        <v>45692</v>
      </c>
      <c r="J80" t="s">
        <v>2604</v>
      </c>
      <c r="K80" t="s">
        <v>2615</v>
      </c>
      <c r="L80">
        <v>2</v>
      </c>
    </row>
    <row r="81" spans="1:12">
      <c r="A81" t="s">
        <v>2720</v>
      </c>
      <c r="B81" s="38">
        <v>45694</v>
      </c>
      <c r="C81" t="s">
        <v>434</v>
      </c>
      <c r="D81" t="s">
        <v>1494</v>
      </c>
      <c r="E81" t="s">
        <v>2721</v>
      </c>
      <c r="F81">
        <v>1</v>
      </c>
      <c r="G81">
        <v>1</v>
      </c>
      <c r="H81" t="s">
        <v>2603</v>
      </c>
      <c r="I81" s="38">
        <v>45693</v>
      </c>
      <c r="J81" t="s">
        <v>2604</v>
      </c>
      <c r="K81" t="s">
        <v>2615</v>
      </c>
      <c r="L81">
        <v>2</v>
      </c>
    </row>
    <row r="82" spans="1:12">
      <c r="A82">
        <v>60002095</v>
      </c>
      <c r="B82" s="38">
        <v>45695</v>
      </c>
      <c r="C82" t="s">
        <v>33</v>
      </c>
      <c r="D82" t="s">
        <v>750</v>
      </c>
      <c r="E82" t="s">
        <v>2722</v>
      </c>
      <c r="F82">
        <v>1</v>
      </c>
      <c r="G82">
        <v>0</v>
      </c>
      <c r="H82" t="s">
        <v>2608</v>
      </c>
      <c r="J82" t="s">
        <v>2604</v>
      </c>
      <c r="K82" t="s">
        <v>2615</v>
      </c>
      <c r="L82">
        <v>2</v>
      </c>
    </row>
    <row r="83" spans="1:12">
      <c r="A83" t="s">
        <v>2723</v>
      </c>
      <c r="B83" s="38">
        <v>45695</v>
      </c>
      <c r="C83" t="s">
        <v>1030</v>
      </c>
      <c r="D83" t="s">
        <v>2724</v>
      </c>
      <c r="E83" t="s">
        <v>2725</v>
      </c>
      <c r="F83">
        <v>1</v>
      </c>
      <c r="G83">
        <v>1</v>
      </c>
      <c r="H83" t="s">
        <v>2603</v>
      </c>
      <c r="I83" s="38">
        <v>45677</v>
      </c>
      <c r="J83" t="s">
        <v>2604</v>
      </c>
      <c r="K83" t="s">
        <v>2615</v>
      </c>
      <c r="L83">
        <v>2</v>
      </c>
    </row>
    <row r="84" spans="1:12">
      <c r="A84">
        <v>44000321</v>
      </c>
      <c r="B84" s="38">
        <v>45695</v>
      </c>
      <c r="C84" t="s">
        <v>2726</v>
      </c>
      <c r="D84" t="s">
        <v>2727</v>
      </c>
      <c r="E84" t="s">
        <v>2728</v>
      </c>
      <c r="F84">
        <v>1</v>
      </c>
      <c r="G84">
        <v>1</v>
      </c>
      <c r="H84" t="s">
        <v>2603</v>
      </c>
      <c r="I84" s="38">
        <v>45672</v>
      </c>
      <c r="J84" t="s">
        <v>2604</v>
      </c>
      <c r="K84" t="s">
        <v>2615</v>
      </c>
      <c r="L84">
        <v>2</v>
      </c>
    </row>
    <row r="85" spans="1:12">
      <c r="A85">
        <v>44000321</v>
      </c>
      <c r="B85" s="38">
        <v>45695</v>
      </c>
      <c r="C85" t="s">
        <v>2726</v>
      </c>
      <c r="D85" t="s">
        <v>1037</v>
      </c>
      <c r="E85" t="s">
        <v>2729</v>
      </c>
      <c r="F85">
        <v>1</v>
      </c>
      <c r="G85">
        <v>1</v>
      </c>
      <c r="H85" t="s">
        <v>2603</v>
      </c>
      <c r="I85" s="38">
        <v>45672</v>
      </c>
      <c r="J85" t="s">
        <v>2604</v>
      </c>
      <c r="K85" t="s">
        <v>2615</v>
      </c>
      <c r="L85">
        <v>2</v>
      </c>
    </row>
    <row r="86" spans="1:12">
      <c r="A86">
        <v>50000343</v>
      </c>
      <c r="B86" s="38">
        <v>45698</v>
      </c>
      <c r="C86" t="s">
        <v>33</v>
      </c>
      <c r="D86" t="s">
        <v>70</v>
      </c>
      <c r="E86" t="s">
        <v>352</v>
      </c>
      <c r="F86">
        <v>1</v>
      </c>
      <c r="G86">
        <v>1</v>
      </c>
      <c r="H86" t="s">
        <v>2603</v>
      </c>
      <c r="I86" s="38">
        <v>45698</v>
      </c>
      <c r="J86" t="s">
        <v>2609</v>
      </c>
      <c r="K86" t="s">
        <v>2615</v>
      </c>
      <c r="L86">
        <v>2</v>
      </c>
    </row>
    <row r="87" spans="1:12">
      <c r="A87">
        <v>48300375</v>
      </c>
      <c r="B87" s="38">
        <v>45698</v>
      </c>
      <c r="C87" t="s">
        <v>915</v>
      </c>
      <c r="D87" t="s">
        <v>2730</v>
      </c>
      <c r="E87" t="s">
        <v>2731</v>
      </c>
      <c r="F87">
        <v>1</v>
      </c>
      <c r="G87">
        <v>1</v>
      </c>
      <c r="H87" t="s">
        <v>2603</v>
      </c>
      <c r="J87" t="s">
        <v>2604</v>
      </c>
      <c r="K87" t="s">
        <v>2615</v>
      </c>
      <c r="L87">
        <v>2</v>
      </c>
    </row>
    <row r="88" spans="1:12">
      <c r="A88">
        <v>50110372</v>
      </c>
      <c r="B88" s="38">
        <v>45698</v>
      </c>
      <c r="C88" t="s">
        <v>33</v>
      </c>
      <c r="D88" t="s">
        <v>329</v>
      </c>
      <c r="E88" t="s">
        <v>346</v>
      </c>
      <c r="F88">
        <v>1</v>
      </c>
      <c r="G88">
        <v>1</v>
      </c>
      <c r="H88" t="s">
        <v>2603</v>
      </c>
      <c r="I88" s="38">
        <v>45695</v>
      </c>
      <c r="J88" t="s">
        <v>2604</v>
      </c>
      <c r="K88" t="s">
        <v>2615</v>
      </c>
      <c r="L88">
        <v>2</v>
      </c>
    </row>
    <row r="89" spans="1:12">
      <c r="A89">
        <v>50110229</v>
      </c>
      <c r="B89" s="38">
        <v>45698</v>
      </c>
      <c r="C89" t="s">
        <v>345</v>
      </c>
      <c r="D89" t="s">
        <v>866</v>
      </c>
      <c r="E89" t="s">
        <v>2732</v>
      </c>
      <c r="F89">
        <v>1</v>
      </c>
      <c r="G89">
        <v>1</v>
      </c>
      <c r="H89" t="s">
        <v>2608</v>
      </c>
      <c r="I89" s="38">
        <v>45698</v>
      </c>
      <c r="J89" t="s">
        <v>2604</v>
      </c>
      <c r="K89" t="s">
        <v>2615</v>
      </c>
      <c r="L89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859-8126-48EE-A389-298BF757C48B}">
  <dimension ref="A1:L305"/>
  <sheetViews>
    <sheetView topLeftCell="A273" workbookViewId="0">
      <selection activeCell="F307" sqref="F307"/>
    </sheetView>
  </sheetViews>
  <sheetFormatPr defaultRowHeight="14.45"/>
  <cols>
    <col min="1" max="1" width="16.28515625" bestFit="1" customWidth="1"/>
    <col min="2" max="2" width="13.28515625" bestFit="1" customWidth="1"/>
    <col min="3" max="3" width="18" bestFit="1" customWidth="1"/>
    <col min="4" max="4" width="15" bestFit="1" customWidth="1"/>
    <col min="5" max="5" width="56.42578125" customWidth="1"/>
    <col min="6" max="6" width="18.7109375" bestFit="1" customWidth="1"/>
    <col min="7" max="7" width="21" bestFit="1" customWidth="1"/>
    <col min="8" max="8" width="16.28515625" bestFit="1" customWidth="1"/>
    <col min="9" max="9" width="15.28515625" bestFit="1" customWidth="1"/>
    <col min="10" max="10" width="27.5703125" customWidth="1"/>
    <col min="11" max="11" width="28.7109375" customWidth="1"/>
  </cols>
  <sheetData>
    <row r="1" spans="1:12">
      <c r="A1" s="39" t="s">
        <v>2989</v>
      </c>
    </row>
    <row r="3" spans="1:12">
      <c r="A3" t="s">
        <v>2617</v>
      </c>
      <c r="B3" t="s">
        <v>2618</v>
      </c>
      <c r="C3" t="s">
        <v>2619</v>
      </c>
      <c r="D3" t="s">
        <v>2620</v>
      </c>
      <c r="E3" t="s">
        <v>2621</v>
      </c>
      <c r="F3" t="s">
        <v>2622</v>
      </c>
      <c r="G3" t="s">
        <v>2623</v>
      </c>
      <c r="H3" t="s">
        <v>2624</v>
      </c>
      <c r="I3" t="s">
        <v>2625</v>
      </c>
      <c r="J3" t="s">
        <v>2626</v>
      </c>
      <c r="K3" t="s">
        <v>2627</v>
      </c>
      <c r="L3" t="s">
        <v>25</v>
      </c>
    </row>
    <row r="4" spans="1:12" hidden="1">
      <c r="A4" s="47">
        <v>41000142</v>
      </c>
      <c r="B4" s="48">
        <v>45716</v>
      </c>
      <c r="C4" s="47" t="s">
        <v>777</v>
      </c>
      <c r="D4" s="47" t="s">
        <v>253</v>
      </c>
      <c r="E4" s="49" t="s">
        <v>2798</v>
      </c>
      <c r="F4" s="47">
        <v>1</v>
      </c>
      <c r="G4" s="47">
        <v>1</v>
      </c>
      <c r="H4" s="47" t="s">
        <v>2603</v>
      </c>
      <c r="I4" s="48">
        <v>45623</v>
      </c>
      <c r="J4" s="47" t="s">
        <v>2604</v>
      </c>
      <c r="K4" s="36" t="s">
        <v>2630</v>
      </c>
      <c r="L4" s="47">
        <v>2</v>
      </c>
    </row>
    <row r="5" spans="1:12" hidden="1">
      <c r="A5" s="47" t="s">
        <v>2791</v>
      </c>
      <c r="B5" s="48">
        <v>45716</v>
      </c>
      <c r="C5" s="47" t="s">
        <v>2792</v>
      </c>
      <c r="D5" s="47" t="s">
        <v>2796</v>
      </c>
      <c r="E5" s="49" t="s">
        <v>2797</v>
      </c>
      <c r="F5" s="47">
        <v>1</v>
      </c>
      <c r="G5" s="47">
        <v>0</v>
      </c>
      <c r="H5" s="47" t="s">
        <v>2608</v>
      </c>
      <c r="I5" s="47"/>
      <c r="J5" s="47" t="s">
        <v>2604</v>
      </c>
      <c r="K5" s="50" t="s">
        <v>2630</v>
      </c>
      <c r="L5" s="47">
        <v>2</v>
      </c>
    </row>
    <row r="6" spans="1:12" hidden="1">
      <c r="A6" s="47" t="s">
        <v>2791</v>
      </c>
      <c r="B6" s="48">
        <v>45716</v>
      </c>
      <c r="C6" s="47" t="s">
        <v>2792</v>
      </c>
      <c r="D6" s="47" t="s">
        <v>2559</v>
      </c>
      <c r="E6" s="49" t="s">
        <v>2795</v>
      </c>
      <c r="F6" s="47">
        <v>1</v>
      </c>
      <c r="G6" s="47">
        <v>0</v>
      </c>
      <c r="H6" s="47" t="s">
        <v>2608</v>
      </c>
      <c r="I6" s="47"/>
      <c r="J6" s="47" t="s">
        <v>2604</v>
      </c>
      <c r="K6" s="50" t="s">
        <v>2630</v>
      </c>
      <c r="L6" s="47">
        <v>2</v>
      </c>
    </row>
    <row r="7" spans="1:12" hidden="1">
      <c r="A7" s="47" t="s">
        <v>2791</v>
      </c>
      <c r="B7" s="48">
        <v>45716</v>
      </c>
      <c r="C7" s="47" t="s">
        <v>2792</v>
      </c>
      <c r="D7" s="47" t="s">
        <v>803</v>
      </c>
      <c r="E7" s="49" t="s">
        <v>2794</v>
      </c>
      <c r="F7" s="47">
        <v>1</v>
      </c>
      <c r="G7" s="47">
        <v>1</v>
      </c>
      <c r="H7" s="47" t="s">
        <v>2603</v>
      </c>
      <c r="I7" s="48">
        <v>45713</v>
      </c>
      <c r="J7" s="47" t="s">
        <v>2604</v>
      </c>
      <c r="K7" s="51" t="s">
        <v>2630</v>
      </c>
      <c r="L7" s="47">
        <v>2</v>
      </c>
    </row>
    <row r="8" spans="1:12" hidden="1">
      <c r="A8" s="47" t="s">
        <v>2791</v>
      </c>
      <c r="B8" s="48">
        <v>45716</v>
      </c>
      <c r="C8" s="47" t="s">
        <v>2792</v>
      </c>
      <c r="D8" s="47" t="s">
        <v>609</v>
      </c>
      <c r="E8" s="49" t="s">
        <v>2793</v>
      </c>
      <c r="F8" s="47">
        <v>1</v>
      </c>
      <c r="G8" s="47">
        <v>1</v>
      </c>
      <c r="H8" s="47" t="s">
        <v>2603</v>
      </c>
      <c r="I8" s="48">
        <v>45713</v>
      </c>
      <c r="J8" s="47" t="s">
        <v>2604</v>
      </c>
      <c r="K8" s="32" t="s">
        <v>2630</v>
      </c>
      <c r="L8" s="47">
        <v>2</v>
      </c>
    </row>
    <row r="9" spans="1:12" hidden="1">
      <c r="A9" s="47">
        <v>50000202</v>
      </c>
      <c r="B9" s="48">
        <v>45715</v>
      </c>
      <c r="C9" s="47" t="s">
        <v>1322</v>
      </c>
      <c r="D9" s="47" t="s">
        <v>2259</v>
      </c>
      <c r="E9" s="49" t="s">
        <v>2790</v>
      </c>
      <c r="F9" s="47">
        <v>2</v>
      </c>
      <c r="G9" s="47">
        <v>2</v>
      </c>
      <c r="H9" s="47" t="s">
        <v>2603</v>
      </c>
      <c r="I9" s="48">
        <v>45715</v>
      </c>
      <c r="J9" s="47" t="s">
        <v>2604</v>
      </c>
      <c r="K9" s="32" t="s">
        <v>2630</v>
      </c>
      <c r="L9" s="47">
        <v>2</v>
      </c>
    </row>
    <row r="10" spans="1:12" hidden="1">
      <c r="A10" s="47">
        <v>50000202</v>
      </c>
      <c r="B10" s="48">
        <v>45715</v>
      </c>
      <c r="C10" s="47" t="s">
        <v>1322</v>
      </c>
      <c r="D10" s="47" t="s">
        <v>335</v>
      </c>
      <c r="E10" s="49" t="s">
        <v>336</v>
      </c>
      <c r="F10" s="47">
        <v>2</v>
      </c>
      <c r="G10" s="47">
        <v>2</v>
      </c>
      <c r="H10" s="47" t="s">
        <v>2603</v>
      </c>
      <c r="I10" s="48">
        <v>45714</v>
      </c>
      <c r="J10" s="47" t="s">
        <v>2604</v>
      </c>
      <c r="K10" s="32" t="s">
        <v>2630</v>
      </c>
      <c r="L10" s="47">
        <v>2</v>
      </c>
    </row>
    <row r="11" spans="1:12" hidden="1">
      <c r="A11" s="47">
        <v>50000260</v>
      </c>
      <c r="B11" s="48">
        <v>45715</v>
      </c>
      <c r="C11" s="47" t="s">
        <v>327</v>
      </c>
      <c r="D11" s="47" t="s">
        <v>329</v>
      </c>
      <c r="E11" s="49" t="s">
        <v>1923</v>
      </c>
      <c r="F11" s="47">
        <v>1</v>
      </c>
      <c r="G11" s="47">
        <v>1</v>
      </c>
      <c r="H11" s="47" t="s">
        <v>2603</v>
      </c>
      <c r="I11" s="48">
        <v>45713</v>
      </c>
      <c r="J11" s="47" t="s">
        <v>2604</v>
      </c>
      <c r="K11" s="32" t="s">
        <v>2630</v>
      </c>
      <c r="L11" s="47">
        <v>2</v>
      </c>
    </row>
    <row r="12" spans="1:12" hidden="1">
      <c r="A12" s="47">
        <v>50000260</v>
      </c>
      <c r="B12" s="48">
        <v>45715</v>
      </c>
      <c r="C12" s="47" t="s">
        <v>327</v>
      </c>
      <c r="D12" s="47" t="s">
        <v>379</v>
      </c>
      <c r="E12" s="49" t="s">
        <v>2789</v>
      </c>
      <c r="F12" s="47">
        <v>1</v>
      </c>
      <c r="G12" s="47">
        <v>1</v>
      </c>
      <c r="H12" s="47" t="s">
        <v>2603</v>
      </c>
      <c r="I12" s="48">
        <v>45713</v>
      </c>
      <c r="J12" s="47" t="s">
        <v>2604</v>
      </c>
      <c r="K12" s="32" t="s">
        <v>2630</v>
      </c>
      <c r="L12" s="47">
        <v>2</v>
      </c>
    </row>
    <row r="13" spans="1:12" hidden="1">
      <c r="A13" s="47">
        <v>50300141</v>
      </c>
      <c r="B13" s="48">
        <v>45715</v>
      </c>
      <c r="C13" s="47" t="s">
        <v>434</v>
      </c>
      <c r="D13" s="47" t="s">
        <v>278</v>
      </c>
      <c r="E13" s="49" t="s">
        <v>2788</v>
      </c>
      <c r="F13" s="47">
        <v>1</v>
      </c>
      <c r="G13" s="47">
        <v>1</v>
      </c>
      <c r="H13" s="47" t="s">
        <v>2603</v>
      </c>
      <c r="I13" s="48">
        <v>45709</v>
      </c>
      <c r="J13" s="47" t="s">
        <v>2604</v>
      </c>
      <c r="K13" s="32" t="s">
        <v>2630</v>
      </c>
      <c r="L13" s="47">
        <v>2</v>
      </c>
    </row>
    <row r="14" spans="1:12" hidden="1">
      <c r="A14" s="47">
        <v>50000530</v>
      </c>
      <c r="B14" s="48">
        <v>45715</v>
      </c>
      <c r="C14" s="47" t="s">
        <v>365</v>
      </c>
      <c r="D14" s="47" t="s">
        <v>1326</v>
      </c>
      <c r="E14" s="49" t="s">
        <v>2787</v>
      </c>
      <c r="F14" s="47">
        <v>1</v>
      </c>
      <c r="G14" s="47">
        <v>1</v>
      </c>
      <c r="H14" s="47" t="s">
        <v>2603</v>
      </c>
      <c r="I14" s="48">
        <v>45713</v>
      </c>
      <c r="J14" s="47" t="s">
        <v>2604</v>
      </c>
      <c r="K14" s="32" t="s">
        <v>2630</v>
      </c>
      <c r="L14" s="47">
        <v>2</v>
      </c>
    </row>
    <row r="15" spans="1:12" hidden="1">
      <c r="A15" s="47" t="s">
        <v>2783</v>
      </c>
      <c r="B15" s="48">
        <v>45715</v>
      </c>
      <c r="C15" s="47" t="s">
        <v>2784</v>
      </c>
      <c r="D15" s="47" t="s">
        <v>2785</v>
      </c>
      <c r="E15" s="49" t="s">
        <v>2786</v>
      </c>
      <c r="F15" s="47">
        <v>1</v>
      </c>
      <c r="G15" s="47">
        <v>1</v>
      </c>
      <c r="H15" s="47" t="s">
        <v>2603</v>
      </c>
      <c r="I15" s="48">
        <v>45679</v>
      </c>
      <c r="J15" s="47" t="s">
        <v>2604</v>
      </c>
      <c r="K15" s="32" t="s">
        <v>2630</v>
      </c>
      <c r="L15" s="47">
        <v>2</v>
      </c>
    </row>
    <row r="16" spans="1:12" hidden="1">
      <c r="A16" s="47">
        <v>51000323</v>
      </c>
      <c r="B16" s="48">
        <v>45715</v>
      </c>
      <c r="C16" s="47" t="s">
        <v>101</v>
      </c>
      <c r="D16" s="47" t="s">
        <v>323</v>
      </c>
      <c r="E16" s="49" t="s">
        <v>2782</v>
      </c>
      <c r="F16" s="47">
        <v>1</v>
      </c>
      <c r="G16" s="47">
        <v>1</v>
      </c>
      <c r="H16" s="47" t="s">
        <v>2603</v>
      </c>
      <c r="I16" s="47"/>
      <c r="J16" s="47" t="s">
        <v>2609</v>
      </c>
      <c r="K16" s="32" t="s">
        <v>2630</v>
      </c>
      <c r="L16" s="47">
        <v>2</v>
      </c>
    </row>
    <row r="17" spans="1:12" hidden="1">
      <c r="A17" s="47">
        <v>51000323</v>
      </c>
      <c r="B17" s="48">
        <v>45715</v>
      </c>
      <c r="C17" s="47" t="s">
        <v>101</v>
      </c>
      <c r="D17" s="47" t="s">
        <v>2780</v>
      </c>
      <c r="E17" s="49" t="s">
        <v>2781</v>
      </c>
      <c r="F17" s="47">
        <v>1</v>
      </c>
      <c r="G17" s="47">
        <v>1</v>
      </c>
      <c r="H17" s="47" t="s">
        <v>2603</v>
      </c>
      <c r="I17" s="48">
        <v>45715</v>
      </c>
      <c r="J17" s="47" t="s">
        <v>2604</v>
      </c>
      <c r="K17" s="36" t="s">
        <v>2630</v>
      </c>
      <c r="L17" s="47">
        <v>2</v>
      </c>
    </row>
    <row r="18" spans="1:12" hidden="1">
      <c r="A18" s="47">
        <v>51000136</v>
      </c>
      <c r="B18" s="48">
        <v>45715</v>
      </c>
      <c r="C18" s="47" t="s">
        <v>101</v>
      </c>
      <c r="D18" s="47" t="s">
        <v>2778</v>
      </c>
      <c r="E18" s="49" t="s">
        <v>2779</v>
      </c>
      <c r="F18" s="47">
        <v>1</v>
      </c>
      <c r="G18" s="47">
        <v>0</v>
      </c>
      <c r="H18" s="47" t="s">
        <v>2603</v>
      </c>
      <c r="I18" s="47"/>
      <c r="J18" s="47" t="s">
        <v>2604</v>
      </c>
      <c r="K18" s="50" t="s">
        <v>2630</v>
      </c>
      <c r="L18" s="47">
        <v>2</v>
      </c>
    </row>
    <row r="19" spans="1:12" hidden="1">
      <c r="A19" s="47">
        <v>51000136</v>
      </c>
      <c r="B19" s="48">
        <v>45715</v>
      </c>
      <c r="C19" s="47" t="s">
        <v>101</v>
      </c>
      <c r="D19" s="47" t="s">
        <v>2776</v>
      </c>
      <c r="E19" s="49" t="s">
        <v>2777</v>
      </c>
      <c r="F19" s="47">
        <v>1</v>
      </c>
      <c r="G19" s="47">
        <v>1</v>
      </c>
      <c r="H19" s="47" t="s">
        <v>2603</v>
      </c>
      <c r="I19" s="48">
        <v>45723</v>
      </c>
      <c r="J19" s="47" t="s">
        <v>2604</v>
      </c>
      <c r="K19" s="51" t="s">
        <v>2630</v>
      </c>
      <c r="L19" s="47">
        <v>2</v>
      </c>
    </row>
    <row r="20" spans="1:12" hidden="1">
      <c r="A20" s="47">
        <v>51000136</v>
      </c>
      <c r="B20" s="48">
        <v>45715</v>
      </c>
      <c r="C20" s="47" t="s">
        <v>101</v>
      </c>
      <c r="D20" s="47" t="s">
        <v>2774</v>
      </c>
      <c r="E20" s="49" t="s">
        <v>2775</v>
      </c>
      <c r="F20" s="47">
        <v>1</v>
      </c>
      <c r="G20" s="47">
        <v>1</v>
      </c>
      <c r="H20" s="47" t="s">
        <v>2603</v>
      </c>
      <c r="I20" s="48">
        <v>45723</v>
      </c>
      <c r="J20" s="47" t="s">
        <v>2604</v>
      </c>
      <c r="K20" s="32" t="s">
        <v>2630</v>
      </c>
      <c r="L20" s="47">
        <v>2</v>
      </c>
    </row>
    <row r="21" spans="1:12" hidden="1">
      <c r="A21" s="47">
        <v>51000136</v>
      </c>
      <c r="B21" s="48">
        <v>45715</v>
      </c>
      <c r="C21" s="47" t="s">
        <v>101</v>
      </c>
      <c r="D21" s="47" t="s">
        <v>2772</v>
      </c>
      <c r="E21" s="49" t="s">
        <v>2773</v>
      </c>
      <c r="F21" s="47">
        <v>1</v>
      </c>
      <c r="G21" s="47">
        <v>1</v>
      </c>
      <c r="H21" s="47" t="s">
        <v>2603</v>
      </c>
      <c r="I21" s="47"/>
      <c r="J21" s="47" t="s">
        <v>2609</v>
      </c>
      <c r="K21" s="32" t="s">
        <v>2630</v>
      </c>
      <c r="L21" s="47">
        <v>2</v>
      </c>
    </row>
    <row r="22" spans="1:12" hidden="1">
      <c r="A22" s="47">
        <v>51000136</v>
      </c>
      <c r="B22" s="48">
        <v>45715</v>
      </c>
      <c r="C22" s="47" t="s">
        <v>101</v>
      </c>
      <c r="D22" s="47" t="s">
        <v>2770</v>
      </c>
      <c r="E22" s="49" t="s">
        <v>2771</v>
      </c>
      <c r="F22" s="47">
        <v>1</v>
      </c>
      <c r="G22" s="47">
        <v>1</v>
      </c>
      <c r="H22" s="47" t="s">
        <v>2603</v>
      </c>
      <c r="I22" s="48">
        <v>45715</v>
      </c>
      <c r="J22" s="47" t="s">
        <v>2604</v>
      </c>
      <c r="K22" s="32" t="s">
        <v>2630</v>
      </c>
      <c r="L22" s="47">
        <v>2</v>
      </c>
    </row>
    <row r="23" spans="1:12" hidden="1">
      <c r="A23" s="47">
        <v>51000136</v>
      </c>
      <c r="B23" s="48">
        <v>45715</v>
      </c>
      <c r="C23" s="47" t="s">
        <v>101</v>
      </c>
      <c r="D23" s="47" t="s">
        <v>885</v>
      </c>
      <c r="E23" s="49" t="s">
        <v>2769</v>
      </c>
      <c r="F23" s="47">
        <v>1</v>
      </c>
      <c r="G23" s="47">
        <v>1</v>
      </c>
      <c r="H23" s="47" t="s">
        <v>2603</v>
      </c>
      <c r="I23" s="47"/>
      <c r="J23" s="47" t="s">
        <v>2609</v>
      </c>
      <c r="K23" s="32" t="s">
        <v>2630</v>
      </c>
      <c r="L23" s="47">
        <v>2</v>
      </c>
    </row>
    <row r="24" spans="1:12" hidden="1">
      <c r="A24" s="47">
        <v>50110193</v>
      </c>
      <c r="B24" s="48">
        <v>45715</v>
      </c>
      <c r="C24" s="47" t="s">
        <v>125</v>
      </c>
      <c r="D24" s="47" t="s">
        <v>2767</v>
      </c>
      <c r="E24" s="49" t="s">
        <v>2768</v>
      </c>
      <c r="F24" s="47">
        <v>1</v>
      </c>
      <c r="G24" s="47">
        <v>1</v>
      </c>
      <c r="H24" s="47" t="s">
        <v>2603</v>
      </c>
      <c r="I24" s="48">
        <v>45663</v>
      </c>
      <c r="J24" s="47" t="s">
        <v>2604</v>
      </c>
      <c r="K24" s="36" t="s">
        <v>2630</v>
      </c>
      <c r="L24" s="47">
        <v>2</v>
      </c>
    </row>
    <row r="25" spans="1:12" hidden="1">
      <c r="A25" s="47">
        <v>60002095</v>
      </c>
      <c r="B25" s="48">
        <v>45714</v>
      </c>
      <c r="C25" s="47" t="s">
        <v>33</v>
      </c>
      <c r="D25" s="47" t="s">
        <v>281</v>
      </c>
      <c r="E25" s="49" t="s">
        <v>282</v>
      </c>
      <c r="F25" s="47">
        <v>1</v>
      </c>
      <c r="G25" s="47">
        <v>0</v>
      </c>
      <c r="H25" s="47" t="s">
        <v>2603</v>
      </c>
      <c r="I25" s="47"/>
      <c r="J25" s="47" t="s">
        <v>2604</v>
      </c>
      <c r="K25" s="50" t="s">
        <v>2630</v>
      </c>
      <c r="L25" s="47">
        <v>2</v>
      </c>
    </row>
    <row r="26" spans="1:12" hidden="1">
      <c r="A26" s="47">
        <v>44000058</v>
      </c>
      <c r="B26" s="48">
        <v>45714</v>
      </c>
      <c r="C26" s="47" t="s">
        <v>2764</v>
      </c>
      <c r="D26" s="47" t="s">
        <v>2017</v>
      </c>
      <c r="E26" s="49" t="s">
        <v>2766</v>
      </c>
      <c r="F26" s="47">
        <v>1</v>
      </c>
      <c r="G26" s="47">
        <v>1</v>
      </c>
      <c r="H26" s="47" t="s">
        <v>2603</v>
      </c>
      <c r="I26" s="48">
        <v>45714</v>
      </c>
      <c r="J26" s="47" t="s">
        <v>2604</v>
      </c>
      <c r="K26" s="51" t="s">
        <v>2630</v>
      </c>
      <c r="L26" s="47">
        <v>2</v>
      </c>
    </row>
    <row r="27" spans="1:12" hidden="1">
      <c r="A27" s="47">
        <v>44000058</v>
      </c>
      <c r="B27" s="48">
        <v>45714</v>
      </c>
      <c r="C27" s="47" t="s">
        <v>2764</v>
      </c>
      <c r="D27" s="47" t="s">
        <v>2011</v>
      </c>
      <c r="E27" s="49" t="s">
        <v>2765</v>
      </c>
      <c r="F27" s="47">
        <v>1</v>
      </c>
      <c r="G27" s="47">
        <v>1</v>
      </c>
      <c r="H27" s="47" t="s">
        <v>2603</v>
      </c>
      <c r="I27" s="48">
        <v>45714</v>
      </c>
      <c r="J27" s="47" t="s">
        <v>2604</v>
      </c>
      <c r="K27" s="32" t="s">
        <v>2630</v>
      </c>
      <c r="L27" s="47">
        <v>2</v>
      </c>
    </row>
    <row r="28" spans="1:12" hidden="1">
      <c r="A28" s="47">
        <v>60002072</v>
      </c>
      <c r="B28" s="48">
        <v>45714</v>
      </c>
      <c r="C28" s="47" t="s">
        <v>94</v>
      </c>
      <c r="D28" s="47" t="s">
        <v>2708</v>
      </c>
      <c r="E28" s="49" t="s">
        <v>742</v>
      </c>
      <c r="F28" s="47">
        <v>1</v>
      </c>
      <c r="G28" s="47">
        <v>1</v>
      </c>
      <c r="H28" s="47" t="s">
        <v>2608</v>
      </c>
      <c r="I28" s="48">
        <v>45713</v>
      </c>
      <c r="J28" s="47" t="s">
        <v>2604</v>
      </c>
      <c r="K28" s="32" t="s">
        <v>2630</v>
      </c>
      <c r="L28" s="47">
        <v>2</v>
      </c>
    </row>
    <row r="29" spans="1:12" hidden="1">
      <c r="A29" s="47">
        <v>50110372</v>
      </c>
      <c r="B29" s="48">
        <v>45714</v>
      </c>
      <c r="C29" s="47" t="s">
        <v>33</v>
      </c>
      <c r="D29" s="47" t="s">
        <v>472</v>
      </c>
      <c r="E29" s="49" t="s">
        <v>2763</v>
      </c>
      <c r="F29" s="47">
        <v>1</v>
      </c>
      <c r="G29" s="47">
        <v>1</v>
      </c>
      <c r="H29" s="47" t="s">
        <v>2603</v>
      </c>
      <c r="I29" s="47"/>
      <c r="J29" s="47" t="s">
        <v>2609</v>
      </c>
      <c r="K29" s="32" t="s">
        <v>2630</v>
      </c>
      <c r="L29" s="47">
        <v>2</v>
      </c>
    </row>
    <row r="30" spans="1:12" hidden="1">
      <c r="A30" s="47">
        <v>50110229</v>
      </c>
      <c r="B30" s="48">
        <v>45714</v>
      </c>
      <c r="C30" s="47" t="s">
        <v>345</v>
      </c>
      <c r="D30" s="47" t="s">
        <v>472</v>
      </c>
      <c r="E30" s="49" t="s">
        <v>2763</v>
      </c>
      <c r="F30" s="47">
        <v>1</v>
      </c>
      <c r="G30" s="47">
        <v>1</v>
      </c>
      <c r="H30" s="47" t="s">
        <v>2603</v>
      </c>
      <c r="I30" s="47"/>
      <c r="J30" s="47" t="s">
        <v>2609</v>
      </c>
      <c r="K30" s="32" t="s">
        <v>2630</v>
      </c>
      <c r="L30" s="47">
        <v>2</v>
      </c>
    </row>
    <row r="31" spans="1:12" hidden="1">
      <c r="A31" s="47">
        <v>50110193</v>
      </c>
      <c r="B31" s="48">
        <v>45714</v>
      </c>
      <c r="C31" s="47" t="s">
        <v>125</v>
      </c>
      <c r="D31" s="47" t="s">
        <v>472</v>
      </c>
      <c r="E31" s="49" t="s">
        <v>2763</v>
      </c>
      <c r="F31" s="47">
        <v>1</v>
      </c>
      <c r="G31" s="47">
        <v>1</v>
      </c>
      <c r="H31" s="47" t="s">
        <v>2603</v>
      </c>
      <c r="I31" s="47"/>
      <c r="J31" s="47" t="s">
        <v>2609</v>
      </c>
      <c r="K31" s="32" t="s">
        <v>2630</v>
      </c>
      <c r="L31" s="47">
        <v>2</v>
      </c>
    </row>
    <row r="32" spans="1:12" hidden="1">
      <c r="A32" s="47">
        <v>50000530</v>
      </c>
      <c r="B32" s="48">
        <v>45714</v>
      </c>
      <c r="C32" s="47" t="s">
        <v>365</v>
      </c>
      <c r="D32" s="47" t="s">
        <v>2762</v>
      </c>
      <c r="E32" s="49" t="s">
        <v>217</v>
      </c>
      <c r="F32" s="47">
        <v>1</v>
      </c>
      <c r="G32" s="47">
        <v>1</v>
      </c>
      <c r="H32" s="47" t="s">
        <v>2603</v>
      </c>
      <c r="I32" s="48">
        <v>45712</v>
      </c>
      <c r="J32" s="47" t="s">
        <v>2604</v>
      </c>
      <c r="K32" s="32" t="s">
        <v>2630</v>
      </c>
      <c r="L32" s="47">
        <v>2</v>
      </c>
    </row>
    <row r="33" spans="1:12" hidden="1">
      <c r="A33" s="47">
        <v>48300301</v>
      </c>
      <c r="B33" s="48">
        <v>45712</v>
      </c>
      <c r="C33" s="47" t="s">
        <v>134</v>
      </c>
      <c r="D33" s="47" t="s">
        <v>2760</v>
      </c>
      <c r="E33" s="49" t="s">
        <v>2761</v>
      </c>
      <c r="F33" s="47">
        <v>1</v>
      </c>
      <c r="G33" s="47">
        <v>1</v>
      </c>
      <c r="H33" s="47" t="s">
        <v>2603</v>
      </c>
      <c r="I33" s="48">
        <v>45680</v>
      </c>
      <c r="J33" s="47" t="s">
        <v>2604</v>
      </c>
      <c r="K33" s="36" t="s">
        <v>2630</v>
      </c>
      <c r="L33" s="47">
        <v>2</v>
      </c>
    </row>
    <row r="34" spans="1:12" hidden="1">
      <c r="A34" s="47">
        <v>50110372</v>
      </c>
      <c r="B34" s="48">
        <v>45712</v>
      </c>
      <c r="C34" s="47" t="s">
        <v>33</v>
      </c>
      <c r="D34" s="47" t="s">
        <v>2758</v>
      </c>
      <c r="E34" s="49" t="s">
        <v>2759</v>
      </c>
      <c r="F34" s="47">
        <v>1</v>
      </c>
      <c r="G34" s="47">
        <v>0</v>
      </c>
      <c r="H34" s="47" t="s">
        <v>2608</v>
      </c>
      <c r="I34" s="47"/>
      <c r="J34" s="47" t="s">
        <v>2604</v>
      </c>
      <c r="K34" s="50" t="s">
        <v>2630</v>
      </c>
      <c r="L34" s="47">
        <v>2</v>
      </c>
    </row>
    <row r="35" spans="1:12" hidden="1">
      <c r="A35" s="47">
        <v>51000174</v>
      </c>
      <c r="B35" s="48">
        <v>45709</v>
      </c>
      <c r="C35" s="47" t="s">
        <v>154</v>
      </c>
      <c r="D35" s="47" t="s">
        <v>2653</v>
      </c>
      <c r="E35" s="49" t="s">
        <v>1000</v>
      </c>
      <c r="F35" s="47">
        <v>1</v>
      </c>
      <c r="G35" s="47">
        <v>1</v>
      </c>
      <c r="H35" s="47" t="s">
        <v>2603</v>
      </c>
      <c r="I35" s="48">
        <v>45705</v>
      </c>
      <c r="J35" s="47" t="s">
        <v>2604</v>
      </c>
      <c r="K35" s="52" t="s">
        <v>2630</v>
      </c>
      <c r="L35" s="47">
        <v>2</v>
      </c>
    </row>
    <row r="36" spans="1:12" hidden="1">
      <c r="A36" s="47">
        <v>50000260</v>
      </c>
      <c r="B36" s="48">
        <v>45709</v>
      </c>
      <c r="C36" s="47" t="s">
        <v>327</v>
      </c>
      <c r="D36" s="47" t="s">
        <v>2756</v>
      </c>
      <c r="E36" s="49" t="s">
        <v>2757</v>
      </c>
      <c r="F36" s="47">
        <v>1</v>
      </c>
      <c r="G36" s="47">
        <v>0</v>
      </c>
      <c r="H36" s="47" t="s">
        <v>2608</v>
      </c>
      <c r="I36" s="47"/>
      <c r="J36" s="47" t="s">
        <v>2604</v>
      </c>
      <c r="K36" s="50" t="s">
        <v>2630</v>
      </c>
      <c r="L36" s="47">
        <v>2</v>
      </c>
    </row>
    <row r="37" spans="1:12" hidden="1">
      <c r="A37" s="47">
        <v>50000260</v>
      </c>
      <c r="B37" s="48">
        <v>45709</v>
      </c>
      <c r="C37" s="47" t="s">
        <v>327</v>
      </c>
      <c r="D37" s="47" t="s">
        <v>222</v>
      </c>
      <c r="E37" s="49" t="s">
        <v>2755</v>
      </c>
      <c r="F37" s="47">
        <v>3</v>
      </c>
      <c r="G37" s="47">
        <v>3</v>
      </c>
      <c r="H37" s="47" t="s">
        <v>2603</v>
      </c>
      <c r="I37" s="48">
        <v>45707</v>
      </c>
      <c r="J37" s="47" t="s">
        <v>2604</v>
      </c>
      <c r="K37" s="51" t="s">
        <v>2630</v>
      </c>
      <c r="L37" s="47">
        <v>2</v>
      </c>
    </row>
    <row r="38" spans="1:12" hidden="1">
      <c r="A38" s="47">
        <v>50000260</v>
      </c>
      <c r="B38" s="48">
        <v>45709</v>
      </c>
      <c r="C38" s="47" t="s">
        <v>327</v>
      </c>
      <c r="D38" s="47" t="s">
        <v>1872</v>
      </c>
      <c r="E38" s="49" t="s">
        <v>1873</v>
      </c>
      <c r="F38" s="47">
        <v>1</v>
      </c>
      <c r="G38" s="47">
        <v>1</v>
      </c>
      <c r="H38" s="47" t="s">
        <v>2603</v>
      </c>
      <c r="I38" s="48">
        <v>45707</v>
      </c>
      <c r="J38" s="47" t="s">
        <v>2604</v>
      </c>
      <c r="K38" s="32" t="s">
        <v>2630</v>
      </c>
      <c r="L38" s="47">
        <v>2</v>
      </c>
    </row>
    <row r="39" spans="1:12" hidden="1">
      <c r="A39" s="47">
        <v>50000260</v>
      </c>
      <c r="B39" s="48">
        <v>45709</v>
      </c>
      <c r="C39" s="47" t="s">
        <v>327</v>
      </c>
      <c r="D39" s="47" t="s">
        <v>2753</v>
      </c>
      <c r="E39" s="49" t="s">
        <v>2754</v>
      </c>
      <c r="F39" s="47">
        <v>1</v>
      </c>
      <c r="G39" s="47">
        <v>1</v>
      </c>
      <c r="H39" s="47" t="s">
        <v>2603</v>
      </c>
      <c r="I39" s="48">
        <v>45707</v>
      </c>
      <c r="J39" s="47" t="s">
        <v>2604</v>
      </c>
      <c r="K39" s="36" t="s">
        <v>2630</v>
      </c>
      <c r="L39" s="47">
        <v>2</v>
      </c>
    </row>
    <row r="40" spans="1:12" hidden="1">
      <c r="A40" s="47">
        <v>50000260</v>
      </c>
      <c r="B40" s="48">
        <v>45709</v>
      </c>
      <c r="C40" s="47" t="s">
        <v>327</v>
      </c>
      <c r="D40" s="47" t="s">
        <v>1876</v>
      </c>
      <c r="E40" s="49" t="s">
        <v>2752</v>
      </c>
      <c r="F40" s="47">
        <v>3</v>
      </c>
      <c r="G40" s="47">
        <v>0</v>
      </c>
      <c r="H40" s="47" t="s">
        <v>2608</v>
      </c>
      <c r="I40" s="47"/>
      <c r="J40" s="47" t="s">
        <v>2604</v>
      </c>
      <c r="K40" s="50" t="s">
        <v>2630</v>
      </c>
      <c r="L40" s="47">
        <v>2</v>
      </c>
    </row>
    <row r="41" spans="1:12" hidden="1">
      <c r="A41" s="47">
        <v>50000202</v>
      </c>
      <c r="B41" s="48">
        <v>45708</v>
      </c>
      <c r="C41" s="47" t="s">
        <v>1322</v>
      </c>
      <c r="D41" s="47" t="s">
        <v>201</v>
      </c>
      <c r="E41" s="49" t="s">
        <v>2751</v>
      </c>
      <c r="F41" s="47">
        <v>1</v>
      </c>
      <c r="G41" s="47">
        <v>1</v>
      </c>
      <c r="H41" s="47" t="s">
        <v>2603</v>
      </c>
      <c r="I41" s="48">
        <v>45699</v>
      </c>
      <c r="J41" s="47" t="s">
        <v>2604</v>
      </c>
      <c r="K41" s="51" t="s">
        <v>2630</v>
      </c>
      <c r="L41" s="47">
        <v>2</v>
      </c>
    </row>
    <row r="42" spans="1:12" hidden="1">
      <c r="A42" s="47">
        <v>50110193</v>
      </c>
      <c r="B42" s="48">
        <v>45708</v>
      </c>
      <c r="C42" s="47" t="s">
        <v>125</v>
      </c>
      <c r="D42" s="47" t="s">
        <v>2749</v>
      </c>
      <c r="E42" s="49" t="s">
        <v>2750</v>
      </c>
      <c r="F42" s="47">
        <v>1</v>
      </c>
      <c r="G42" s="47">
        <v>1</v>
      </c>
      <c r="H42" s="47" t="s">
        <v>2603</v>
      </c>
      <c r="I42" s="48">
        <v>45708</v>
      </c>
      <c r="J42" s="47" t="s">
        <v>2604</v>
      </c>
      <c r="K42" s="32" t="s">
        <v>2630</v>
      </c>
      <c r="L42" s="47">
        <v>2</v>
      </c>
    </row>
    <row r="43" spans="1:12" hidden="1">
      <c r="A43" s="47">
        <v>50110193</v>
      </c>
      <c r="B43" s="48">
        <v>45708</v>
      </c>
      <c r="C43" s="47" t="s">
        <v>125</v>
      </c>
      <c r="D43" s="47" t="s">
        <v>1051</v>
      </c>
      <c r="E43" s="49" t="s">
        <v>1052</v>
      </c>
      <c r="F43" s="47">
        <v>1</v>
      </c>
      <c r="G43" s="47">
        <v>1</v>
      </c>
      <c r="H43" s="47" t="s">
        <v>2603</v>
      </c>
      <c r="I43" s="48">
        <v>45708</v>
      </c>
      <c r="J43" s="47" t="s">
        <v>2604</v>
      </c>
      <c r="K43" s="32" t="s">
        <v>2630</v>
      </c>
      <c r="L43" s="47">
        <v>2</v>
      </c>
    </row>
    <row r="44" spans="1:12" hidden="1">
      <c r="A44" s="47">
        <v>50110193</v>
      </c>
      <c r="B44" s="48">
        <v>45708</v>
      </c>
      <c r="C44" s="47" t="s">
        <v>125</v>
      </c>
      <c r="D44" s="47" t="s">
        <v>2747</v>
      </c>
      <c r="E44" s="49" t="s">
        <v>2748</v>
      </c>
      <c r="F44" s="47">
        <v>1</v>
      </c>
      <c r="G44" s="47">
        <v>1</v>
      </c>
      <c r="H44" s="47" t="s">
        <v>2603</v>
      </c>
      <c r="I44" s="48">
        <v>45708</v>
      </c>
      <c r="J44" s="47" t="s">
        <v>2604</v>
      </c>
      <c r="K44" s="32" t="s">
        <v>2630</v>
      </c>
      <c r="L44" s="47">
        <v>2</v>
      </c>
    </row>
    <row r="45" spans="1:12" hidden="1">
      <c r="A45" s="47">
        <v>51000323</v>
      </c>
      <c r="B45" s="48">
        <v>45708</v>
      </c>
      <c r="C45" s="47" t="s">
        <v>101</v>
      </c>
      <c r="D45" s="47" t="s">
        <v>335</v>
      </c>
      <c r="E45" s="49" t="s">
        <v>2746</v>
      </c>
      <c r="F45" s="47">
        <v>2</v>
      </c>
      <c r="G45" s="47">
        <v>2</v>
      </c>
      <c r="H45" s="47" t="s">
        <v>2603</v>
      </c>
      <c r="I45" s="48">
        <v>45707</v>
      </c>
      <c r="J45" s="47" t="s">
        <v>2604</v>
      </c>
      <c r="K45" s="32" t="s">
        <v>2630</v>
      </c>
      <c r="L45" s="47">
        <v>2</v>
      </c>
    </row>
    <row r="46" spans="1:12" hidden="1">
      <c r="A46" s="47">
        <v>51000323</v>
      </c>
      <c r="B46" s="48">
        <v>45708</v>
      </c>
      <c r="C46" s="47" t="s">
        <v>101</v>
      </c>
      <c r="D46" s="47" t="s">
        <v>2259</v>
      </c>
      <c r="E46" s="49" t="s">
        <v>2745</v>
      </c>
      <c r="F46" s="47">
        <v>1</v>
      </c>
      <c r="G46" s="47">
        <v>1</v>
      </c>
      <c r="H46" s="47" t="s">
        <v>2603</v>
      </c>
      <c r="I46" s="48">
        <v>45708</v>
      </c>
      <c r="J46" s="47" t="s">
        <v>2604</v>
      </c>
      <c r="K46" s="32" t="s">
        <v>2630</v>
      </c>
      <c r="L46" s="47">
        <v>2</v>
      </c>
    </row>
    <row r="47" spans="1:12" hidden="1">
      <c r="A47" s="47">
        <v>43000422</v>
      </c>
      <c r="B47" s="48">
        <v>45708</v>
      </c>
      <c r="C47" s="47" t="s">
        <v>298</v>
      </c>
      <c r="D47" s="47" t="s">
        <v>2744</v>
      </c>
      <c r="E47" s="49" t="s">
        <v>1850</v>
      </c>
      <c r="F47" s="47">
        <v>1</v>
      </c>
      <c r="G47" s="47">
        <v>1</v>
      </c>
      <c r="H47" s="47" t="s">
        <v>2603</v>
      </c>
      <c r="I47" s="48">
        <v>45693</v>
      </c>
      <c r="J47" s="47" t="s">
        <v>2604</v>
      </c>
      <c r="K47" s="32" t="s">
        <v>2630</v>
      </c>
      <c r="L47" s="47">
        <v>2</v>
      </c>
    </row>
    <row r="48" spans="1:12" hidden="1">
      <c r="A48" s="47">
        <v>48000432</v>
      </c>
      <c r="B48" s="48">
        <v>45707</v>
      </c>
      <c r="C48" s="47" t="s">
        <v>134</v>
      </c>
      <c r="D48" s="47" t="s">
        <v>513</v>
      </c>
      <c r="E48" s="49" t="s">
        <v>2293</v>
      </c>
      <c r="F48" s="47">
        <v>1</v>
      </c>
      <c r="G48" s="47">
        <v>1</v>
      </c>
      <c r="H48" s="47" t="s">
        <v>2603</v>
      </c>
      <c r="I48" s="48">
        <v>45700</v>
      </c>
      <c r="J48" s="47" t="s">
        <v>2604</v>
      </c>
      <c r="K48" s="32" t="s">
        <v>2630</v>
      </c>
      <c r="L48" s="47">
        <v>2</v>
      </c>
    </row>
    <row r="49" spans="1:12" hidden="1">
      <c r="A49" s="47">
        <v>50110193</v>
      </c>
      <c r="B49" s="48">
        <v>45707</v>
      </c>
      <c r="C49" s="47" t="s">
        <v>125</v>
      </c>
      <c r="D49" s="47" t="s">
        <v>430</v>
      </c>
      <c r="E49" s="49" t="s">
        <v>431</v>
      </c>
      <c r="F49" s="47">
        <v>1</v>
      </c>
      <c r="G49" s="47">
        <v>1</v>
      </c>
      <c r="H49" s="47" t="s">
        <v>2603</v>
      </c>
      <c r="I49" s="48">
        <v>45701</v>
      </c>
      <c r="J49" s="47" t="s">
        <v>2604</v>
      </c>
      <c r="K49" s="32" t="s">
        <v>2630</v>
      </c>
      <c r="L49" s="47">
        <v>2</v>
      </c>
    </row>
    <row r="50" spans="1:12" hidden="1">
      <c r="A50" s="47" t="s">
        <v>2658</v>
      </c>
      <c r="B50" s="48">
        <v>45707</v>
      </c>
      <c r="C50" s="47" t="s">
        <v>1945</v>
      </c>
      <c r="D50" s="47" t="s">
        <v>2742</v>
      </c>
      <c r="E50" s="49" t="s">
        <v>2743</v>
      </c>
      <c r="F50" s="47">
        <v>1</v>
      </c>
      <c r="G50" s="47">
        <v>1</v>
      </c>
      <c r="H50" s="47" t="s">
        <v>2603</v>
      </c>
      <c r="I50" s="48">
        <v>45692</v>
      </c>
      <c r="J50" s="47" t="s">
        <v>2604</v>
      </c>
      <c r="K50" s="32" t="s">
        <v>2630</v>
      </c>
      <c r="L50" s="47">
        <v>2</v>
      </c>
    </row>
    <row r="51" spans="1:12" hidden="1">
      <c r="A51" s="47">
        <v>48300375</v>
      </c>
      <c r="B51" s="48">
        <v>45707</v>
      </c>
      <c r="C51" s="47" t="s">
        <v>915</v>
      </c>
      <c r="D51" s="47" t="s">
        <v>446</v>
      </c>
      <c r="E51" s="49" t="s">
        <v>2741</v>
      </c>
      <c r="F51" s="47">
        <v>1</v>
      </c>
      <c r="G51" s="47">
        <v>1</v>
      </c>
      <c r="H51" s="47" t="s">
        <v>2603</v>
      </c>
      <c r="I51" s="48">
        <v>45636</v>
      </c>
      <c r="J51" s="47" t="s">
        <v>2604</v>
      </c>
      <c r="K51" s="32" t="s">
        <v>2630</v>
      </c>
      <c r="L51" s="47">
        <v>2</v>
      </c>
    </row>
    <row r="52" spans="1:12" hidden="1">
      <c r="A52" s="47">
        <v>50000202</v>
      </c>
      <c r="B52" s="48">
        <v>45707</v>
      </c>
      <c r="C52" s="47" t="s">
        <v>1322</v>
      </c>
      <c r="D52" s="47" t="s">
        <v>2739</v>
      </c>
      <c r="E52" s="49" t="s">
        <v>2740</v>
      </c>
      <c r="F52" s="47">
        <v>1</v>
      </c>
      <c r="G52" s="47">
        <v>1</v>
      </c>
      <c r="H52" s="47" t="s">
        <v>2603</v>
      </c>
      <c r="I52" s="48">
        <v>45705</v>
      </c>
      <c r="J52" s="47" t="s">
        <v>2604</v>
      </c>
      <c r="K52" s="32" t="s">
        <v>2630</v>
      </c>
      <c r="L52" s="47">
        <v>2</v>
      </c>
    </row>
    <row r="53" spans="1:12" hidden="1">
      <c r="A53" s="47">
        <v>60002072</v>
      </c>
      <c r="B53" s="48">
        <v>45707</v>
      </c>
      <c r="C53" s="47" t="s">
        <v>94</v>
      </c>
      <c r="D53" s="47" t="s">
        <v>1154</v>
      </c>
      <c r="E53" s="49" t="s">
        <v>2738</v>
      </c>
      <c r="F53" s="47">
        <v>1</v>
      </c>
      <c r="G53" s="47">
        <v>1</v>
      </c>
      <c r="H53" s="47" t="s">
        <v>2603</v>
      </c>
      <c r="I53" s="48">
        <v>45693</v>
      </c>
      <c r="J53" s="47" t="s">
        <v>2604</v>
      </c>
      <c r="K53" s="32" t="s">
        <v>2630</v>
      </c>
      <c r="L53" s="47">
        <v>2</v>
      </c>
    </row>
    <row r="54" spans="1:12" hidden="1">
      <c r="A54" s="47">
        <v>60002072</v>
      </c>
      <c r="B54" s="48">
        <v>45707</v>
      </c>
      <c r="C54" s="47" t="s">
        <v>94</v>
      </c>
      <c r="D54" s="47" t="s">
        <v>517</v>
      </c>
      <c r="E54" s="49" t="s">
        <v>2737</v>
      </c>
      <c r="F54" s="47">
        <v>1</v>
      </c>
      <c r="G54" s="47">
        <v>1</v>
      </c>
      <c r="H54" s="47" t="s">
        <v>2603</v>
      </c>
      <c r="I54" s="48">
        <v>45693</v>
      </c>
      <c r="J54" s="47" t="s">
        <v>2604</v>
      </c>
      <c r="K54" s="32" t="s">
        <v>2630</v>
      </c>
      <c r="L54" s="47">
        <v>2</v>
      </c>
    </row>
    <row r="55" spans="1:12" hidden="1">
      <c r="A55" s="47">
        <v>47200115</v>
      </c>
      <c r="B55" s="48">
        <v>45706</v>
      </c>
      <c r="C55" s="47" t="s">
        <v>2735</v>
      </c>
      <c r="D55" s="47" t="s">
        <v>183</v>
      </c>
      <c r="E55" s="49" t="s">
        <v>2736</v>
      </c>
      <c r="F55" s="47">
        <v>1</v>
      </c>
      <c r="G55" s="47">
        <v>1</v>
      </c>
      <c r="H55" s="47" t="s">
        <v>2603</v>
      </c>
      <c r="I55" s="48">
        <v>45642</v>
      </c>
      <c r="J55" s="47" t="s">
        <v>2604</v>
      </c>
      <c r="K55" s="32" t="s">
        <v>2630</v>
      </c>
      <c r="L55" s="47">
        <v>2</v>
      </c>
    </row>
    <row r="56" spans="1:12" hidden="1">
      <c r="A56" s="47">
        <v>60002095</v>
      </c>
      <c r="B56" s="48">
        <v>45701</v>
      </c>
      <c r="C56" s="47" t="s">
        <v>33</v>
      </c>
      <c r="D56" s="47" t="s">
        <v>1172</v>
      </c>
      <c r="E56" s="49" t="s">
        <v>2734</v>
      </c>
      <c r="F56" s="47">
        <v>1</v>
      </c>
      <c r="G56" s="47">
        <v>1</v>
      </c>
      <c r="H56" s="47" t="s">
        <v>2603</v>
      </c>
      <c r="I56" s="48">
        <v>45701</v>
      </c>
      <c r="J56" s="47" t="s">
        <v>2604</v>
      </c>
      <c r="K56" s="32" t="s">
        <v>2630</v>
      </c>
      <c r="L56" s="47">
        <v>2</v>
      </c>
    </row>
    <row r="57" spans="1:12" hidden="1">
      <c r="A57" s="47">
        <v>50300097</v>
      </c>
      <c r="B57" s="48">
        <v>45699</v>
      </c>
      <c r="C57" s="47" t="s">
        <v>333</v>
      </c>
      <c r="D57" s="47" t="s">
        <v>1267</v>
      </c>
      <c r="E57" s="49" t="s">
        <v>2733</v>
      </c>
      <c r="F57" s="47">
        <v>1</v>
      </c>
      <c r="G57" s="47">
        <v>1</v>
      </c>
      <c r="H57" s="47" t="s">
        <v>2603</v>
      </c>
      <c r="I57" s="48">
        <v>45691</v>
      </c>
      <c r="J57" s="47" t="s">
        <v>2604</v>
      </c>
      <c r="K57" s="36" t="s">
        <v>2630</v>
      </c>
      <c r="L57" s="47">
        <v>2</v>
      </c>
    </row>
    <row r="58" spans="1:12" hidden="1">
      <c r="A58" s="47">
        <v>50110057</v>
      </c>
      <c r="B58" s="48">
        <v>45691</v>
      </c>
      <c r="C58" s="47" t="s">
        <v>88</v>
      </c>
      <c r="D58" s="47" t="s">
        <v>2693</v>
      </c>
      <c r="E58" s="49" t="s">
        <v>2694</v>
      </c>
      <c r="F58" s="47">
        <v>1</v>
      </c>
      <c r="G58" s="47">
        <v>0</v>
      </c>
      <c r="H58" s="47" t="s">
        <v>2603</v>
      </c>
      <c r="I58" s="48">
        <v>45706</v>
      </c>
      <c r="J58" s="47" t="s">
        <v>2604</v>
      </c>
      <c r="K58" s="50" t="s">
        <v>2630</v>
      </c>
      <c r="L58" s="47">
        <v>2</v>
      </c>
    </row>
    <row r="59" spans="1:12" hidden="1">
      <c r="A59" s="47">
        <v>50110057</v>
      </c>
      <c r="B59" s="48">
        <v>45691</v>
      </c>
      <c r="C59" s="47" t="s">
        <v>88</v>
      </c>
      <c r="D59" s="47" t="s">
        <v>2695</v>
      </c>
      <c r="E59" s="49" t="s">
        <v>2696</v>
      </c>
      <c r="F59" s="47">
        <v>1</v>
      </c>
      <c r="G59" s="47">
        <v>1</v>
      </c>
      <c r="H59" s="47" t="s">
        <v>2603</v>
      </c>
      <c r="I59" s="48">
        <v>45706</v>
      </c>
      <c r="J59" s="47" t="s">
        <v>2604</v>
      </c>
      <c r="K59" s="51" t="s">
        <v>2630</v>
      </c>
      <c r="L59" s="47">
        <v>2</v>
      </c>
    </row>
    <row r="60" spans="1:12" hidden="1">
      <c r="A60" s="47">
        <v>50110057</v>
      </c>
      <c r="B60" s="48">
        <v>45691</v>
      </c>
      <c r="C60" s="47" t="s">
        <v>88</v>
      </c>
      <c r="D60" s="47" t="s">
        <v>2697</v>
      </c>
      <c r="E60" s="49" t="s">
        <v>2698</v>
      </c>
      <c r="F60" s="47">
        <v>1</v>
      </c>
      <c r="G60" s="47">
        <v>1</v>
      </c>
      <c r="H60" s="47" t="s">
        <v>2603</v>
      </c>
      <c r="I60" s="48">
        <v>45706</v>
      </c>
      <c r="J60" s="47" t="s">
        <v>2604</v>
      </c>
      <c r="K60" s="32" t="s">
        <v>2630</v>
      </c>
      <c r="L60" s="47">
        <v>2</v>
      </c>
    </row>
    <row r="61" spans="1:12" hidden="1">
      <c r="A61" s="47">
        <v>50110372</v>
      </c>
      <c r="B61" s="48">
        <v>45691</v>
      </c>
      <c r="C61" s="47" t="s">
        <v>33</v>
      </c>
      <c r="D61" s="47" t="s">
        <v>2699</v>
      </c>
      <c r="E61" s="49" t="s">
        <v>2700</v>
      </c>
      <c r="F61" s="47">
        <v>1</v>
      </c>
      <c r="G61" s="47">
        <v>1</v>
      </c>
      <c r="H61" s="47" t="s">
        <v>2608</v>
      </c>
      <c r="I61" s="48">
        <v>45705</v>
      </c>
      <c r="J61" s="47" t="s">
        <v>2604</v>
      </c>
      <c r="K61" s="32" t="s">
        <v>2630</v>
      </c>
      <c r="L61" s="47">
        <v>2</v>
      </c>
    </row>
    <row r="62" spans="1:12" hidden="1">
      <c r="A62" s="47">
        <v>50110057</v>
      </c>
      <c r="B62" s="48">
        <v>45691</v>
      </c>
      <c r="C62" s="47" t="s">
        <v>88</v>
      </c>
      <c r="D62" s="47" t="s">
        <v>2701</v>
      </c>
      <c r="E62" s="49" t="s">
        <v>2702</v>
      </c>
      <c r="F62" s="47">
        <v>1</v>
      </c>
      <c r="G62" s="47">
        <v>1</v>
      </c>
      <c r="H62" s="47" t="s">
        <v>2603</v>
      </c>
      <c r="I62" s="47"/>
      <c r="J62" s="47" t="s">
        <v>2609</v>
      </c>
      <c r="K62" s="32" t="s">
        <v>2630</v>
      </c>
      <c r="L62" s="47">
        <v>2</v>
      </c>
    </row>
    <row r="63" spans="1:12" hidden="1">
      <c r="A63" s="47">
        <v>43000422</v>
      </c>
      <c r="B63" s="48">
        <v>45691</v>
      </c>
      <c r="C63" s="47" t="s">
        <v>298</v>
      </c>
      <c r="D63" s="47" t="s">
        <v>2529</v>
      </c>
      <c r="E63" s="49" t="s">
        <v>2703</v>
      </c>
      <c r="F63" s="47">
        <v>1</v>
      </c>
      <c r="G63" s="47">
        <v>1</v>
      </c>
      <c r="H63" s="47" t="s">
        <v>2603</v>
      </c>
      <c r="I63" s="48">
        <v>45681</v>
      </c>
      <c r="J63" s="47" t="s">
        <v>2604</v>
      </c>
      <c r="K63" s="32" t="s">
        <v>2630</v>
      </c>
      <c r="L63" s="47">
        <v>2</v>
      </c>
    </row>
    <row r="64" spans="1:12" hidden="1">
      <c r="A64" s="47">
        <v>48000482</v>
      </c>
      <c r="B64" s="48">
        <v>45691</v>
      </c>
      <c r="C64" s="47" t="s">
        <v>704</v>
      </c>
      <c r="D64" s="47" t="s">
        <v>1650</v>
      </c>
      <c r="E64" s="49" t="s">
        <v>2704</v>
      </c>
      <c r="F64" s="47">
        <v>1</v>
      </c>
      <c r="G64" s="47">
        <v>1</v>
      </c>
      <c r="H64" s="47" t="s">
        <v>2603</v>
      </c>
      <c r="I64" s="48">
        <v>45691</v>
      </c>
      <c r="J64" s="47" t="s">
        <v>2604</v>
      </c>
      <c r="K64" s="32" t="s">
        <v>2630</v>
      </c>
      <c r="L64" s="47">
        <v>2</v>
      </c>
    </row>
    <row r="65" spans="1:12" hidden="1">
      <c r="A65" s="47">
        <v>48000482</v>
      </c>
      <c r="B65" s="48">
        <v>45691</v>
      </c>
      <c r="C65" s="47" t="s">
        <v>704</v>
      </c>
      <c r="D65" s="47" t="s">
        <v>446</v>
      </c>
      <c r="E65" s="49" t="s">
        <v>509</v>
      </c>
      <c r="F65" s="47">
        <v>1</v>
      </c>
      <c r="G65" s="47">
        <v>1</v>
      </c>
      <c r="H65" s="47" t="s">
        <v>2603</v>
      </c>
      <c r="I65" s="48">
        <v>45672</v>
      </c>
      <c r="J65" s="47" t="s">
        <v>2604</v>
      </c>
      <c r="K65" s="32" t="s">
        <v>2630</v>
      </c>
      <c r="L65" s="47">
        <v>2</v>
      </c>
    </row>
    <row r="66" spans="1:12" hidden="1">
      <c r="A66" s="47">
        <v>50000530</v>
      </c>
      <c r="B66" s="48">
        <v>45691</v>
      </c>
      <c r="C66" s="47" t="s">
        <v>365</v>
      </c>
      <c r="D66" s="47" t="s">
        <v>1064</v>
      </c>
      <c r="E66" s="49" t="s">
        <v>2705</v>
      </c>
      <c r="F66" s="47">
        <v>1</v>
      </c>
      <c r="G66" s="47">
        <v>1</v>
      </c>
      <c r="H66" s="47" t="s">
        <v>2608</v>
      </c>
      <c r="I66" s="48">
        <v>45688</v>
      </c>
      <c r="J66" s="47" t="s">
        <v>2604</v>
      </c>
      <c r="K66" s="32" t="s">
        <v>2630</v>
      </c>
      <c r="L66" s="47">
        <v>2</v>
      </c>
    </row>
    <row r="67" spans="1:12" hidden="1">
      <c r="A67" s="47">
        <v>50000530</v>
      </c>
      <c r="B67" s="48">
        <v>45691</v>
      </c>
      <c r="C67" s="47" t="s">
        <v>365</v>
      </c>
      <c r="D67" s="47" t="s">
        <v>70</v>
      </c>
      <c r="E67" s="49" t="s">
        <v>352</v>
      </c>
      <c r="F67" s="47">
        <v>1</v>
      </c>
      <c r="G67" s="47">
        <v>1</v>
      </c>
      <c r="H67" s="47" t="s">
        <v>2603</v>
      </c>
      <c r="I67" s="48">
        <v>45688</v>
      </c>
      <c r="J67" s="47" t="s">
        <v>2604</v>
      </c>
      <c r="K67" s="32" t="s">
        <v>2630</v>
      </c>
      <c r="L67" s="47">
        <v>2</v>
      </c>
    </row>
    <row r="68" spans="1:12" hidden="1">
      <c r="A68" s="47">
        <v>44000010</v>
      </c>
      <c r="B68" s="48">
        <v>45691</v>
      </c>
      <c r="C68" s="47" t="s">
        <v>1030</v>
      </c>
      <c r="D68" s="47" t="s">
        <v>587</v>
      </c>
      <c r="E68" s="49" t="s">
        <v>2706</v>
      </c>
      <c r="F68" s="47">
        <v>1</v>
      </c>
      <c r="G68" s="47">
        <v>1</v>
      </c>
      <c r="H68" s="47" t="s">
        <v>2603</v>
      </c>
      <c r="I68" s="48">
        <v>45705</v>
      </c>
      <c r="J68" s="47" t="s">
        <v>2604</v>
      </c>
      <c r="K68" s="32" t="s">
        <v>2630</v>
      </c>
      <c r="L68" s="47">
        <v>2</v>
      </c>
    </row>
    <row r="69" spans="1:12" hidden="1">
      <c r="A69" s="47">
        <v>50110193</v>
      </c>
      <c r="B69" s="48">
        <v>45691</v>
      </c>
      <c r="C69" s="47" t="s">
        <v>125</v>
      </c>
      <c r="D69" s="47" t="s">
        <v>813</v>
      </c>
      <c r="E69" s="49" t="s">
        <v>2707</v>
      </c>
      <c r="F69" s="47">
        <v>1</v>
      </c>
      <c r="G69" s="47">
        <v>1</v>
      </c>
      <c r="H69" s="47" t="s">
        <v>2603</v>
      </c>
      <c r="I69" s="48">
        <v>45693</v>
      </c>
      <c r="J69" s="47" t="s">
        <v>2609</v>
      </c>
      <c r="K69" s="32" t="s">
        <v>2630</v>
      </c>
      <c r="L69" s="47">
        <v>2</v>
      </c>
    </row>
    <row r="70" spans="1:12" hidden="1">
      <c r="A70" s="47">
        <v>48300301</v>
      </c>
      <c r="B70" s="48">
        <v>45692</v>
      </c>
      <c r="C70" s="47" t="s">
        <v>134</v>
      </c>
      <c r="D70" s="47" t="s">
        <v>803</v>
      </c>
      <c r="E70" s="49" t="s">
        <v>804</v>
      </c>
      <c r="F70" s="47">
        <v>1</v>
      </c>
      <c r="G70" s="47">
        <v>1</v>
      </c>
      <c r="H70" s="47" t="s">
        <v>2603</v>
      </c>
      <c r="I70" s="48">
        <v>45679</v>
      </c>
      <c r="J70" s="47" t="s">
        <v>2604</v>
      </c>
      <c r="K70" s="32" t="s">
        <v>2630</v>
      </c>
      <c r="L70" s="47">
        <v>2</v>
      </c>
    </row>
    <row r="71" spans="1:12" hidden="1">
      <c r="A71" s="47">
        <v>60002072</v>
      </c>
      <c r="B71" s="48">
        <v>45692</v>
      </c>
      <c r="C71" s="47" t="s">
        <v>94</v>
      </c>
      <c r="D71" s="47" t="s">
        <v>2708</v>
      </c>
      <c r="E71" s="49" t="s">
        <v>742</v>
      </c>
      <c r="F71" s="47">
        <v>1</v>
      </c>
      <c r="G71" s="47">
        <v>1</v>
      </c>
      <c r="H71" s="47" t="s">
        <v>2603</v>
      </c>
      <c r="I71" s="48">
        <v>45692</v>
      </c>
      <c r="J71" s="47" t="s">
        <v>2604</v>
      </c>
      <c r="K71" s="32" t="s">
        <v>2630</v>
      </c>
      <c r="L71" s="47">
        <v>2</v>
      </c>
    </row>
    <row r="72" spans="1:12" hidden="1">
      <c r="A72" s="47">
        <v>50000343</v>
      </c>
      <c r="B72" s="48">
        <v>45692</v>
      </c>
      <c r="C72" s="47" t="s">
        <v>33</v>
      </c>
      <c r="D72" s="47" t="s">
        <v>220</v>
      </c>
      <c r="E72" s="49" t="s">
        <v>2709</v>
      </c>
      <c r="F72" s="47">
        <v>1</v>
      </c>
      <c r="G72" s="47">
        <v>1</v>
      </c>
      <c r="H72" s="47" t="s">
        <v>2603</v>
      </c>
      <c r="I72" s="48">
        <v>45693</v>
      </c>
      <c r="J72" s="47" t="s">
        <v>2609</v>
      </c>
      <c r="K72" s="32" t="s">
        <v>2630</v>
      </c>
      <c r="L72" s="47">
        <v>2</v>
      </c>
    </row>
    <row r="73" spans="1:12" hidden="1">
      <c r="A73" s="47">
        <v>50000202</v>
      </c>
      <c r="B73" s="48">
        <v>45692</v>
      </c>
      <c r="C73" s="47" t="s">
        <v>1322</v>
      </c>
      <c r="D73" s="47" t="s">
        <v>1074</v>
      </c>
      <c r="E73" s="49" t="s">
        <v>2710</v>
      </c>
      <c r="F73" s="47">
        <v>1</v>
      </c>
      <c r="G73" s="47">
        <v>1</v>
      </c>
      <c r="H73" s="47" t="s">
        <v>2603</v>
      </c>
      <c r="I73" s="48">
        <v>45663</v>
      </c>
      <c r="J73" s="47" t="s">
        <v>2604</v>
      </c>
      <c r="K73" s="32" t="s">
        <v>2630</v>
      </c>
      <c r="L73" s="47">
        <v>2</v>
      </c>
    </row>
    <row r="74" spans="1:12" hidden="1">
      <c r="A74" s="47">
        <v>48000482</v>
      </c>
      <c r="B74" s="48">
        <v>45692</v>
      </c>
      <c r="C74" s="47" t="s">
        <v>704</v>
      </c>
      <c r="D74" s="47" t="s">
        <v>587</v>
      </c>
      <c r="E74" s="49" t="s">
        <v>588</v>
      </c>
      <c r="F74" s="47">
        <v>1</v>
      </c>
      <c r="G74" s="47">
        <v>1</v>
      </c>
      <c r="H74" s="47" t="s">
        <v>2603</v>
      </c>
      <c r="I74" s="48">
        <v>45705</v>
      </c>
      <c r="J74" s="47" t="s">
        <v>2604</v>
      </c>
      <c r="K74" s="32" t="s">
        <v>2630</v>
      </c>
      <c r="L74" s="47">
        <v>2</v>
      </c>
    </row>
    <row r="75" spans="1:12" hidden="1">
      <c r="A75" s="47">
        <v>44000059</v>
      </c>
      <c r="B75" s="48">
        <v>45692</v>
      </c>
      <c r="C75" s="47" t="s">
        <v>134</v>
      </c>
      <c r="D75" s="47" t="s">
        <v>846</v>
      </c>
      <c r="E75" s="49" t="s">
        <v>847</v>
      </c>
      <c r="F75" s="47">
        <v>1</v>
      </c>
      <c r="G75" s="47">
        <v>1</v>
      </c>
      <c r="H75" s="47" t="s">
        <v>2603</v>
      </c>
      <c r="I75" s="48">
        <v>45681</v>
      </c>
      <c r="J75" s="47" t="s">
        <v>2604</v>
      </c>
      <c r="K75" s="32" t="s">
        <v>2630</v>
      </c>
      <c r="L75" s="47">
        <v>2</v>
      </c>
    </row>
    <row r="76" spans="1:12" hidden="1">
      <c r="A76" s="47">
        <v>44000059</v>
      </c>
      <c r="B76" s="48">
        <v>45692</v>
      </c>
      <c r="C76" s="47" t="s">
        <v>134</v>
      </c>
      <c r="D76" s="47" t="s">
        <v>2711</v>
      </c>
      <c r="E76" s="49" t="s">
        <v>2712</v>
      </c>
      <c r="F76" s="47">
        <v>1</v>
      </c>
      <c r="G76" s="47">
        <v>1</v>
      </c>
      <c r="H76" s="47" t="s">
        <v>2603</v>
      </c>
      <c r="I76" s="48">
        <v>45692</v>
      </c>
      <c r="J76" s="47" t="s">
        <v>2604</v>
      </c>
      <c r="K76" s="36" t="s">
        <v>2630</v>
      </c>
      <c r="L76" s="47">
        <v>2</v>
      </c>
    </row>
    <row r="77" spans="1:12" hidden="1">
      <c r="A77" s="47">
        <v>50110372</v>
      </c>
      <c r="B77" s="48">
        <v>45692</v>
      </c>
      <c r="C77" s="47" t="s">
        <v>33</v>
      </c>
      <c r="D77" s="47" t="s">
        <v>2713</v>
      </c>
      <c r="E77" s="49" t="s">
        <v>2714</v>
      </c>
      <c r="F77" s="47">
        <v>1</v>
      </c>
      <c r="G77" s="47">
        <v>0</v>
      </c>
      <c r="H77" s="47" t="s">
        <v>2608</v>
      </c>
      <c r="I77" s="47"/>
      <c r="J77" s="47" t="s">
        <v>2604</v>
      </c>
      <c r="K77" s="50" t="s">
        <v>2630</v>
      </c>
      <c r="L77" s="47">
        <v>2</v>
      </c>
    </row>
    <row r="78" spans="1:12" hidden="1">
      <c r="A78" s="47">
        <v>50110372</v>
      </c>
      <c r="B78" s="48">
        <v>45692</v>
      </c>
      <c r="C78" s="47" t="s">
        <v>33</v>
      </c>
      <c r="D78" s="47" t="s">
        <v>2715</v>
      </c>
      <c r="E78" s="49" t="s">
        <v>2716</v>
      </c>
      <c r="F78" s="47">
        <v>1</v>
      </c>
      <c r="G78" s="47">
        <v>1</v>
      </c>
      <c r="H78" s="47" t="s">
        <v>2608</v>
      </c>
      <c r="I78" s="48">
        <v>45692</v>
      </c>
      <c r="J78" s="47" t="s">
        <v>2604</v>
      </c>
      <c r="K78" s="52" t="s">
        <v>2630</v>
      </c>
      <c r="L78" s="47">
        <v>2</v>
      </c>
    </row>
    <row r="79" spans="1:12" hidden="1">
      <c r="A79" s="47">
        <v>51000136</v>
      </c>
      <c r="B79" s="48">
        <v>45693</v>
      </c>
      <c r="C79" s="47" t="s">
        <v>101</v>
      </c>
      <c r="D79" s="47" t="s">
        <v>2717</v>
      </c>
      <c r="E79" s="49" t="s">
        <v>2718</v>
      </c>
      <c r="F79" s="47">
        <v>1</v>
      </c>
      <c r="G79" s="47">
        <v>0</v>
      </c>
      <c r="H79" s="47" t="s">
        <v>2603</v>
      </c>
      <c r="I79" s="47"/>
      <c r="J79" s="47" t="s">
        <v>2604</v>
      </c>
      <c r="K79" s="50" t="s">
        <v>2630</v>
      </c>
      <c r="L79" s="47">
        <v>2</v>
      </c>
    </row>
    <row r="80" spans="1:12" hidden="1">
      <c r="A80" s="47">
        <v>50000343</v>
      </c>
      <c r="B80" s="48">
        <v>45694</v>
      </c>
      <c r="C80" s="47" t="s">
        <v>33</v>
      </c>
      <c r="D80" s="47" t="s">
        <v>2380</v>
      </c>
      <c r="E80" s="49" t="s">
        <v>2719</v>
      </c>
      <c r="F80" s="47">
        <v>1</v>
      </c>
      <c r="G80" s="47">
        <v>1</v>
      </c>
      <c r="H80" s="47" t="s">
        <v>2603</v>
      </c>
      <c r="I80" s="48">
        <v>45692</v>
      </c>
      <c r="J80" s="47" t="s">
        <v>2604</v>
      </c>
      <c r="K80" s="51" t="s">
        <v>2630</v>
      </c>
      <c r="L80" s="47">
        <v>2</v>
      </c>
    </row>
    <row r="81" spans="1:12" hidden="1">
      <c r="A81" s="47" t="s">
        <v>2720</v>
      </c>
      <c r="B81" s="48">
        <v>45694</v>
      </c>
      <c r="C81" s="47" t="s">
        <v>434</v>
      </c>
      <c r="D81" s="47" t="s">
        <v>1494</v>
      </c>
      <c r="E81" s="49" t="s">
        <v>2721</v>
      </c>
      <c r="F81" s="47">
        <v>1</v>
      </c>
      <c r="G81" s="47">
        <v>1</v>
      </c>
      <c r="H81" s="47" t="s">
        <v>2603</v>
      </c>
      <c r="I81" s="48">
        <v>45693</v>
      </c>
      <c r="J81" s="47" t="s">
        <v>2604</v>
      </c>
      <c r="K81" s="36" t="s">
        <v>2630</v>
      </c>
      <c r="L81" s="47">
        <v>2</v>
      </c>
    </row>
    <row r="82" spans="1:12" hidden="1">
      <c r="A82" s="47">
        <v>60002095</v>
      </c>
      <c r="B82" s="48">
        <v>45695</v>
      </c>
      <c r="C82" s="47" t="s">
        <v>33</v>
      </c>
      <c r="D82" s="47" t="s">
        <v>750</v>
      </c>
      <c r="E82" s="49" t="s">
        <v>2722</v>
      </c>
      <c r="F82" s="47">
        <v>1</v>
      </c>
      <c r="G82" s="47">
        <v>0</v>
      </c>
      <c r="H82" s="47" t="s">
        <v>2608</v>
      </c>
      <c r="I82" s="47"/>
      <c r="J82" s="47" t="s">
        <v>2604</v>
      </c>
      <c r="K82" s="50" t="s">
        <v>2630</v>
      </c>
      <c r="L82" s="47">
        <v>2</v>
      </c>
    </row>
    <row r="83" spans="1:12" hidden="1">
      <c r="A83" s="47" t="s">
        <v>2723</v>
      </c>
      <c r="B83" s="48">
        <v>45695</v>
      </c>
      <c r="C83" s="47" t="s">
        <v>1030</v>
      </c>
      <c r="D83" s="47" t="s">
        <v>2724</v>
      </c>
      <c r="E83" s="49" t="s">
        <v>2725</v>
      </c>
      <c r="F83" s="47">
        <v>1</v>
      </c>
      <c r="G83" s="47">
        <v>1</v>
      </c>
      <c r="H83" s="47" t="s">
        <v>2603</v>
      </c>
      <c r="I83" s="48">
        <v>45677</v>
      </c>
      <c r="J83" s="47" t="s">
        <v>2604</v>
      </c>
      <c r="K83" s="51" t="s">
        <v>2630</v>
      </c>
      <c r="L83" s="47">
        <v>2</v>
      </c>
    </row>
    <row r="84" spans="1:12" hidden="1">
      <c r="A84" s="47">
        <v>44000321</v>
      </c>
      <c r="B84" s="48">
        <v>45695</v>
      </c>
      <c r="C84" s="47" t="s">
        <v>2726</v>
      </c>
      <c r="D84" s="47" t="s">
        <v>2727</v>
      </c>
      <c r="E84" s="49" t="s">
        <v>2728</v>
      </c>
      <c r="F84" s="47">
        <v>1</v>
      </c>
      <c r="G84" s="47">
        <v>1</v>
      </c>
      <c r="H84" s="47" t="s">
        <v>2603</v>
      </c>
      <c r="I84" s="48">
        <v>45672</v>
      </c>
      <c r="J84" s="47" t="s">
        <v>2604</v>
      </c>
      <c r="K84" s="32" t="s">
        <v>2630</v>
      </c>
      <c r="L84" s="47">
        <v>2</v>
      </c>
    </row>
    <row r="85" spans="1:12" hidden="1">
      <c r="A85" s="47">
        <v>44000321</v>
      </c>
      <c r="B85" s="48">
        <v>45695</v>
      </c>
      <c r="C85" s="47" t="s">
        <v>2726</v>
      </c>
      <c r="D85" s="47" t="s">
        <v>1037</v>
      </c>
      <c r="E85" s="49" t="s">
        <v>2729</v>
      </c>
      <c r="F85" s="47">
        <v>1</v>
      </c>
      <c r="G85" s="47">
        <v>1</v>
      </c>
      <c r="H85" s="47" t="s">
        <v>2603</v>
      </c>
      <c r="I85" s="48">
        <v>45672</v>
      </c>
      <c r="J85" s="47" t="s">
        <v>2604</v>
      </c>
      <c r="K85" s="32" t="s">
        <v>2630</v>
      </c>
      <c r="L85" s="47">
        <v>2</v>
      </c>
    </row>
    <row r="86" spans="1:12" hidden="1">
      <c r="A86" s="47">
        <v>50000343</v>
      </c>
      <c r="B86" s="48">
        <v>45698</v>
      </c>
      <c r="C86" s="47" t="s">
        <v>33</v>
      </c>
      <c r="D86" s="47" t="s">
        <v>70</v>
      </c>
      <c r="E86" s="49" t="s">
        <v>352</v>
      </c>
      <c r="F86" s="47">
        <v>1</v>
      </c>
      <c r="G86" s="47">
        <v>1</v>
      </c>
      <c r="H86" s="47" t="s">
        <v>2603</v>
      </c>
      <c r="I86" s="48">
        <v>45698</v>
      </c>
      <c r="J86" s="47" t="s">
        <v>2609</v>
      </c>
      <c r="K86" s="32" t="s">
        <v>2630</v>
      </c>
      <c r="L86" s="47">
        <v>2</v>
      </c>
    </row>
    <row r="87" spans="1:12" hidden="1">
      <c r="A87" s="47">
        <v>48300375</v>
      </c>
      <c r="B87" s="48">
        <v>45698</v>
      </c>
      <c r="C87" s="47" t="s">
        <v>915</v>
      </c>
      <c r="D87" s="47" t="s">
        <v>2730</v>
      </c>
      <c r="E87" s="49" t="s">
        <v>2731</v>
      </c>
      <c r="F87" s="47">
        <v>1</v>
      </c>
      <c r="G87" s="47">
        <v>1</v>
      </c>
      <c r="H87" s="47" t="s">
        <v>2603</v>
      </c>
      <c r="I87" s="47"/>
      <c r="J87" s="47" t="s">
        <v>2604</v>
      </c>
      <c r="K87" s="32" t="s">
        <v>2630</v>
      </c>
      <c r="L87" s="47">
        <v>2</v>
      </c>
    </row>
    <row r="88" spans="1:12" hidden="1">
      <c r="A88" s="47">
        <v>50110372</v>
      </c>
      <c r="B88" s="48">
        <v>45698</v>
      </c>
      <c r="C88" s="47" t="s">
        <v>33</v>
      </c>
      <c r="D88" s="47" t="s">
        <v>329</v>
      </c>
      <c r="E88" s="49" t="s">
        <v>346</v>
      </c>
      <c r="F88" s="47">
        <v>1</v>
      </c>
      <c r="G88" s="47">
        <v>1</v>
      </c>
      <c r="H88" s="47" t="s">
        <v>2603</v>
      </c>
      <c r="I88" s="48">
        <v>45695</v>
      </c>
      <c r="J88" s="47" t="s">
        <v>2604</v>
      </c>
      <c r="K88" s="32" t="s">
        <v>2630</v>
      </c>
      <c r="L88" s="47">
        <v>2</v>
      </c>
    </row>
    <row r="89" spans="1:12" hidden="1">
      <c r="A89" s="47">
        <v>50110229</v>
      </c>
      <c r="B89" s="48">
        <v>45698</v>
      </c>
      <c r="C89" s="47" t="s">
        <v>345</v>
      </c>
      <c r="D89" s="47" t="s">
        <v>866</v>
      </c>
      <c r="E89" s="49" t="s">
        <v>2732</v>
      </c>
      <c r="F89" s="47">
        <v>1</v>
      </c>
      <c r="G89" s="47">
        <v>1</v>
      </c>
      <c r="H89" s="47" t="s">
        <v>2608</v>
      </c>
      <c r="I89" s="48">
        <v>45698</v>
      </c>
      <c r="J89" s="47" t="s">
        <v>2604</v>
      </c>
      <c r="K89" s="32" t="s">
        <v>2630</v>
      </c>
      <c r="L89" s="47">
        <v>2</v>
      </c>
    </row>
    <row r="90" spans="1:12" ht="15.6" hidden="1">
      <c r="A90" s="53">
        <v>50000260</v>
      </c>
      <c r="B90" s="54">
        <v>45719</v>
      </c>
      <c r="C90" s="55" t="s">
        <v>327</v>
      </c>
      <c r="D90" s="55" t="s">
        <v>626</v>
      </c>
      <c r="E90" s="41" t="s">
        <v>2106</v>
      </c>
      <c r="F90" s="55">
        <v>1</v>
      </c>
      <c r="G90" s="56">
        <v>1</v>
      </c>
      <c r="H90" s="56" t="s">
        <v>2603</v>
      </c>
      <c r="I90" s="57"/>
      <c r="J90" s="58" t="s">
        <v>2604</v>
      </c>
      <c r="K90" s="32" t="s">
        <v>2630</v>
      </c>
      <c r="L90" s="59">
        <f>MONTH(Table4[[#This Row],[Order Date]])</f>
        <v>2</v>
      </c>
    </row>
    <row r="91" spans="1:12" ht="15.6" hidden="1">
      <c r="A91" s="53">
        <v>50000260</v>
      </c>
      <c r="B91" s="54">
        <v>45719</v>
      </c>
      <c r="C91" s="55" t="s">
        <v>327</v>
      </c>
      <c r="D91" s="55" t="s">
        <v>2990</v>
      </c>
      <c r="E91" s="41" t="s">
        <v>2991</v>
      </c>
      <c r="F91" s="55">
        <v>1</v>
      </c>
      <c r="G91" s="56">
        <v>1</v>
      </c>
      <c r="H91" s="56" t="s">
        <v>2603</v>
      </c>
      <c r="I91" s="57"/>
      <c r="J91" s="58" t="s">
        <v>2604</v>
      </c>
      <c r="K91" s="32" t="s">
        <v>2630</v>
      </c>
      <c r="L91" s="59">
        <f>MONTH(Table4[[#This Row],[Order Date]])</f>
        <v>2</v>
      </c>
    </row>
    <row r="92" spans="1:12" ht="15.6" hidden="1">
      <c r="A92" s="53">
        <v>51000323</v>
      </c>
      <c r="B92" s="60">
        <v>45722</v>
      </c>
      <c r="C92" s="55" t="s">
        <v>101</v>
      </c>
      <c r="D92" s="55" t="s">
        <v>126</v>
      </c>
      <c r="E92" s="41" t="s">
        <v>675</v>
      </c>
      <c r="F92" s="55">
        <v>1</v>
      </c>
      <c r="G92" s="56">
        <v>1</v>
      </c>
      <c r="H92" s="56" t="s">
        <v>2603</v>
      </c>
      <c r="I92" s="57"/>
      <c r="J92" s="58" t="s">
        <v>2604</v>
      </c>
      <c r="K92" s="32" t="s">
        <v>2630</v>
      </c>
      <c r="L92" s="59">
        <f>MONTH(Table4[[#This Row],[Order Date]])</f>
        <v>2</v>
      </c>
    </row>
    <row r="93" spans="1:12" ht="15.6" hidden="1">
      <c r="A93" s="53">
        <v>51000323</v>
      </c>
      <c r="B93" s="54">
        <v>45722</v>
      </c>
      <c r="C93" s="55" t="s">
        <v>101</v>
      </c>
      <c r="D93" s="55" t="s">
        <v>527</v>
      </c>
      <c r="E93" s="41" t="s">
        <v>2992</v>
      </c>
      <c r="F93" s="55">
        <v>1</v>
      </c>
      <c r="G93" s="56">
        <v>1</v>
      </c>
      <c r="H93" s="56" t="s">
        <v>2603</v>
      </c>
      <c r="I93" s="57"/>
      <c r="J93" s="56" t="s">
        <v>2604</v>
      </c>
      <c r="K93" s="36" t="s">
        <v>2630</v>
      </c>
      <c r="L93" s="59">
        <f>MONTH(Table4[[#This Row],[Order Date]])</f>
        <v>2</v>
      </c>
    </row>
    <row r="94" spans="1:12" ht="15.6" hidden="1">
      <c r="A94" s="61">
        <v>51000323</v>
      </c>
      <c r="B94" s="62">
        <v>45722</v>
      </c>
      <c r="C94" s="63" t="s">
        <v>101</v>
      </c>
      <c r="D94" s="63" t="s">
        <v>2993</v>
      </c>
      <c r="E94" s="45" t="s">
        <v>2994</v>
      </c>
      <c r="F94" s="63">
        <v>1</v>
      </c>
      <c r="G94" s="47">
        <v>0</v>
      </c>
      <c r="H94" s="47" t="s">
        <v>2603</v>
      </c>
      <c r="I94" s="48"/>
      <c r="J94" s="47" t="s">
        <v>2604</v>
      </c>
      <c r="K94" s="50" t="s">
        <v>2630</v>
      </c>
      <c r="L94" s="47">
        <f>MONTH(Table4[[#This Row],[Order Date]])</f>
        <v>2</v>
      </c>
    </row>
    <row r="95" spans="1:12" ht="15.6" hidden="1">
      <c r="A95" s="64">
        <v>44000010</v>
      </c>
      <c r="B95" s="65">
        <v>45722</v>
      </c>
      <c r="C95" s="64" t="s">
        <v>2995</v>
      </c>
      <c r="D95" s="64" t="s">
        <v>2120</v>
      </c>
      <c r="E95" s="46" t="s">
        <v>2996</v>
      </c>
      <c r="F95" s="64">
        <v>1</v>
      </c>
      <c r="G95" s="66">
        <v>1</v>
      </c>
      <c r="H95" s="66" t="s">
        <v>2603</v>
      </c>
      <c r="I95" s="67"/>
      <c r="J95" s="68" t="s">
        <v>2604</v>
      </c>
      <c r="K95" s="51" t="s">
        <v>2630</v>
      </c>
      <c r="L95" s="69">
        <f>MONTH(Table4[[#This Row],[Order Date]])</f>
        <v>2</v>
      </c>
    </row>
    <row r="96" spans="1:12" ht="15.6" hidden="1">
      <c r="A96" s="70">
        <v>43000422</v>
      </c>
      <c r="B96" s="54">
        <v>45722</v>
      </c>
      <c r="C96" s="55" t="s">
        <v>298</v>
      </c>
      <c r="D96" s="55" t="s">
        <v>971</v>
      </c>
      <c r="E96" s="42" t="s">
        <v>386</v>
      </c>
      <c r="F96" s="55">
        <v>1</v>
      </c>
      <c r="G96" s="56">
        <v>1</v>
      </c>
      <c r="H96" s="56" t="s">
        <v>2603</v>
      </c>
      <c r="I96" s="57"/>
      <c r="J96" s="58" t="s">
        <v>2604</v>
      </c>
      <c r="K96" s="32" t="s">
        <v>2630</v>
      </c>
      <c r="L96" s="59">
        <f>MONTH(Table4[[#This Row],[Order Date]])</f>
        <v>2</v>
      </c>
    </row>
    <row r="97" spans="1:12" ht="15.6" hidden="1">
      <c r="A97" s="55">
        <v>43000422</v>
      </c>
      <c r="B97" s="54">
        <v>45722</v>
      </c>
      <c r="C97" s="55" t="s">
        <v>298</v>
      </c>
      <c r="D97" s="55" t="s">
        <v>362</v>
      </c>
      <c r="E97" s="43" t="s">
        <v>2997</v>
      </c>
      <c r="F97" s="55">
        <v>2</v>
      </c>
      <c r="G97" s="56">
        <v>2</v>
      </c>
      <c r="H97" s="56" t="s">
        <v>2603</v>
      </c>
      <c r="I97" s="57"/>
      <c r="J97" s="56" t="s">
        <v>2604</v>
      </c>
      <c r="K97" s="32" t="s">
        <v>2630</v>
      </c>
      <c r="L97" s="59">
        <f>MONTH(Table4[[#This Row],[Order Date]])</f>
        <v>2</v>
      </c>
    </row>
    <row r="98" spans="1:12" ht="15.6" hidden="1">
      <c r="A98" s="70">
        <v>43000422</v>
      </c>
      <c r="B98" s="60">
        <v>45722</v>
      </c>
      <c r="C98" s="70" t="s">
        <v>298</v>
      </c>
      <c r="D98" s="70" t="s">
        <v>2998</v>
      </c>
      <c r="E98" s="44" t="s">
        <v>2324</v>
      </c>
      <c r="F98" s="70">
        <v>1</v>
      </c>
      <c r="G98" s="58">
        <v>1</v>
      </c>
      <c r="H98" s="58" t="s">
        <v>2603</v>
      </c>
      <c r="I98" s="71"/>
      <c r="J98" s="58" t="s">
        <v>2604</v>
      </c>
      <c r="K98" s="32" t="s">
        <v>2630</v>
      </c>
      <c r="L98" s="58">
        <f>MONTH(Table4[[#This Row],[Order Date]])</f>
        <v>2</v>
      </c>
    </row>
    <row r="99" spans="1:12" hidden="1">
      <c r="A99" s="70">
        <v>50110372</v>
      </c>
      <c r="B99" s="60">
        <v>45723</v>
      </c>
      <c r="C99" s="70" t="s">
        <v>33</v>
      </c>
      <c r="D99" s="70" t="s">
        <v>2999</v>
      </c>
      <c r="E99" s="72" t="s">
        <v>3000</v>
      </c>
      <c r="F99" s="70">
        <v>1</v>
      </c>
      <c r="G99" s="58">
        <v>1</v>
      </c>
      <c r="H99" s="58" t="s">
        <v>2603</v>
      </c>
      <c r="I99" s="71"/>
      <c r="J99" s="58" t="s">
        <v>2604</v>
      </c>
      <c r="K99" s="32" t="s">
        <v>2630</v>
      </c>
      <c r="L99" s="58">
        <f>MONTH(Table4[[#This Row],[Order Date]])</f>
        <v>2</v>
      </c>
    </row>
    <row r="100" spans="1:12" hidden="1">
      <c r="A100" s="31">
        <v>50000260</v>
      </c>
      <c r="B100" s="73" t="s">
        <v>3001</v>
      </c>
      <c r="C100" s="31" t="s">
        <v>327</v>
      </c>
      <c r="D100" s="31" t="s">
        <v>626</v>
      </c>
      <c r="E100" s="74" t="s">
        <v>2106</v>
      </c>
      <c r="F100" s="31">
        <v>1</v>
      </c>
      <c r="G100" s="32">
        <v>1</v>
      </c>
      <c r="H100" s="32" t="s">
        <v>2603</v>
      </c>
      <c r="I100" s="75"/>
      <c r="J100" s="32" t="s">
        <v>2604</v>
      </c>
      <c r="K100" s="32" t="s">
        <v>2630</v>
      </c>
      <c r="L100" s="32">
        <v>3</v>
      </c>
    </row>
    <row r="101" spans="1:12" hidden="1">
      <c r="A101" s="31">
        <v>51000323</v>
      </c>
      <c r="B101" s="73">
        <v>45722</v>
      </c>
      <c r="C101" s="31" t="s">
        <v>101</v>
      </c>
      <c r="D101" s="31" t="s">
        <v>126</v>
      </c>
      <c r="E101" s="74" t="s">
        <v>675</v>
      </c>
      <c r="F101" s="31">
        <v>1</v>
      </c>
      <c r="G101" s="32">
        <v>1</v>
      </c>
      <c r="H101" s="32" t="s">
        <v>2603</v>
      </c>
      <c r="I101" s="75"/>
      <c r="J101" s="32" t="s">
        <v>2604</v>
      </c>
      <c r="K101" s="32" t="s">
        <v>2630</v>
      </c>
      <c r="L101" s="32">
        <v>3</v>
      </c>
    </row>
    <row r="102" spans="1:12" hidden="1">
      <c r="A102" s="31">
        <v>51000323</v>
      </c>
      <c r="B102" s="73">
        <v>45722</v>
      </c>
      <c r="C102" s="31" t="s">
        <v>101</v>
      </c>
      <c r="D102" s="31" t="s">
        <v>527</v>
      </c>
      <c r="E102" s="74" t="s">
        <v>2992</v>
      </c>
      <c r="F102" s="31">
        <v>1</v>
      </c>
      <c r="G102" s="32">
        <v>1</v>
      </c>
      <c r="H102" s="32" t="s">
        <v>2603</v>
      </c>
      <c r="I102" s="75"/>
      <c r="J102" s="32" t="s">
        <v>2604</v>
      </c>
      <c r="K102" s="32" t="s">
        <v>2630</v>
      </c>
      <c r="L102" s="32">
        <v>3</v>
      </c>
    </row>
    <row r="103" spans="1:12" hidden="1">
      <c r="A103" s="31">
        <v>51000323</v>
      </c>
      <c r="B103" s="73">
        <v>45722</v>
      </c>
      <c r="C103" s="31" t="s">
        <v>101</v>
      </c>
      <c r="D103" s="31" t="s">
        <v>2993</v>
      </c>
      <c r="E103" s="74" t="s">
        <v>2994</v>
      </c>
      <c r="F103" s="31">
        <v>1</v>
      </c>
      <c r="G103" s="32">
        <v>1</v>
      </c>
      <c r="H103" s="32" t="s">
        <v>2603</v>
      </c>
      <c r="I103" s="75"/>
      <c r="J103" s="32" t="s">
        <v>2604</v>
      </c>
      <c r="K103" s="32" t="s">
        <v>2630</v>
      </c>
      <c r="L103" s="32">
        <v>3</v>
      </c>
    </row>
    <row r="104" spans="1:12" hidden="1">
      <c r="A104" s="31">
        <v>44000010</v>
      </c>
      <c r="B104" s="73">
        <v>45722</v>
      </c>
      <c r="C104" s="31" t="s">
        <v>2995</v>
      </c>
      <c r="D104" s="31" t="s">
        <v>2120</v>
      </c>
      <c r="E104" s="74" t="s">
        <v>2996</v>
      </c>
      <c r="F104" s="31">
        <v>1</v>
      </c>
      <c r="G104" s="32">
        <v>1</v>
      </c>
      <c r="H104" s="32" t="s">
        <v>2603</v>
      </c>
      <c r="I104" s="75"/>
      <c r="J104" s="32" t="s">
        <v>2604</v>
      </c>
      <c r="K104" s="32" t="s">
        <v>2630</v>
      </c>
      <c r="L104" s="32">
        <v>3</v>
      </c>
    </row>
    <row r="105" spans="1:12" hidden="1">
      <c r="A105" s="31">
        <v>43000422</v>
      </c>
      <c r="B105" s="73">
        <v>45722</v>
      </c>
      <c r="C105" s="31" t="s">
        <v>298</v>
      </c>
      <c r="D105" s="31" t="s">
        <v>971</v>
      </c>
      <c r="E105" s="76" t="s">
        <v>386</v>
      </c>
      <c r="F105" s="31">
        <v>1</v>
      </c>
      <c r="G105" s="32">
        <v>1</v>
      </c>
      <c r="H105" s="32" t="s">
        <v>2603</v>
      </c>
      <c r="I105" s="75"/>
      <c r="J105" s="32" t="s">
        <v>2604</v>
      </c>
      <c r="K105" s="32" t="s">
        <v>2630</v>
      </c>
      <c r="L105" s="32">
        <v>3</v>
      </c>
    </row>
    <row r="106" spans="1:12" hidden="1">
      <c r="A106" s="31">
        <v>43000422</v>
      </c>
      <c r="B106" s="73">
        <v>45722</v>
      </c>
      <c r="C106" s="31" t="s">
        <v>298</v>
      </c>
      <c r="D106" s="31" t="s">
        <v>362</v>
      </c>
      <c r="E106" s="77" t="s">
        <v>2997</v>
      </c>
      <c r="F106" s="31">
        <v>2</v>
      </c>
      <c r="G106" s="32">
        <v>2</v>
      </c>
      <c r="H106" s="32" t="s">
        <v>2603</v>
      </c>
      <c r="I106" s="75"/>
      <c r="J106" s="32" t="s">
        <v>2604</v>
      </c>
      <c r="K106" s="32" t="s">
        <v>2630</v>
      </c>
      <c r="L106" s="32">
        <v>3</v>
      </c>
    </row>
    <row r="107" spans="1:12" hidden="1">
      <c r="A107" s="31">
        <v>43000422</v>
      </c>
      <c r="B107" s="73">
        <v>45722</v>
      </c>
      <c r="C107" s="31" t="s">
        <v>298</v>
      </c>
      <c r="D107" s="31" t="s">
        <v>2998</v>
      </c>
      <c r="E107" s="74" t="s">
        <v>2324</v>
      </c>
      <c r="F107" s="31">
        <v>1</v>
      </c>
      <c r="G107" s="32">
        <v>1</v>
      </c>
      <c r="H107" s="32" t="s">
        <v>2603</v>
      </c>
      <c r="I107" s="75"/>
      <c r="J107" s="32" t="s">
        <v>2604</v>
      </c>
      <c r="K107" s="32" t="s">
        <v>2630</v>
      </c>
      <c r="L107" s="32">
        <v>3</v>
      </c>
    </row>
    <row r="108" spans="1:12" hidden="1">
      <c r="A108" s="31">
        <v>50110372</v>
      </c>
      <c r="B108" s="73">
        <v>45723</v>
      </c>
      <c r="C108" s="31" t="s">
        <v>33</v>
      </c>
      <c r="D108" s="31" t="s">
        <v>2999</v>
      </c>
      <c r="E108" s="74" t="s">
        <v>3000</v>
      </c>
      <c r="F108" s="31">
        <v>1</v>
      </c>
      <c r="G108" s="32">
        <v>1</v>
      </c>
      <c r="H108" s="32" t="s">
        <v>2603</v>
      </c>
      <c r="I108" s="75"/>
      <c r="J108" s="32" t="s">
        <v>2604</v>
      </c>
      <c r="K108" s="32" t="s">
        <v>2630</v>
      </c>
      <c r="L108" s="32">
        <v>3</v>
      </c>
    </row>
    <row r="109" spans="1:12" hidden="1">
      <c r="A109" s="31">
        <v>50000260</v>
      </c>
      <c r="B109" s="73">
        <v>45726</v>
      </c>
      <c r="C109" s="31" t="s">
        <v>327</v>
      </c>
      <c r="D109" s="31" t="s">
        <v>2417</v>
      </c>
      <c r="E109" s="74" t="s">
        <v>3002</v>
      </c>
      <c r="F109" s="31">
        <v>1</v>
      </c>
      <c r="G109" s="32">
        <v>1</v>
      </c>
      <c r="H109" s="32" t="s">
        <v>2603</v>
      </c>
      <c r="I109" s="75"/>
      <c r="J109" s="32" t="s">
        <v>2604</v>
      </c>
      <c r="K109" s="32" t="s">
        <v>2630</v>
      </c>
      <c r="L109" s="32">
        <v>3</v>
      </c>
    </row>
    <row r="110" spans="1:12" hidden="1">
      <c r="A110" s="31">
        <v>61000037</v>
      </c>
      <c r="B110" s="73">
        <v>45708</v>
      </c>
      <c r="C110" s="31" t="s">
        <v>541</v>
      </c>
      <c r="D110" s="31" t="s">
        <v>2799</v>
      </c>
      <c r="E110" s="74" t="s">
        <v>2800</v>
      </c>
      <c r="F110" s="31">
        <v>1</v>
      </c>
      <c r="G110" s="32">
        <v>1</v>
      </c>
      <c r="H110" s="32" t="s">
        <v>2608</v>
      </c>
      <c r="I110" s="75">
        <v>45728</v>
      </c>
      <c r="J110" s="32" t="s">
        <v>2604</v>
      </c>
      <c r="K110" s="32" t="s">
        <v>2630</v>
      </c>
      <c r="L110" s="32">
        <v>2</v>
      </c>
    </row>
    <row r="111" spans="1:12" hidden="1">
      <c r="A111" s="31">
        <v>48000044</v>
      </c>
      <c r="B111" s="73">
        <v>45728</v>
      </c>
      <c r="C111" s="31" t="s">
        <v>154</v>
      </c>
      <c r="D111" s="31" t="s">
        <v>2482</v>
      </c>
      <c r="E111" s="74" t="s">
        <v>3003</v>
      </c>
      <c r="F111" s="31">
        <v>1</v>
      </c>
      <c r="G111" s="32">
        <v>1</v>
      </c>
      <c r="H111" s="32" t="s">
        <v>2603</v>
      </c>
      <c r="I111" s="75"/>
      <c r="J111" s="32" t="s">
        <v>2604</v>
      </c>
      <c r="K111" s="32" t="s">
        <v>2630</v>
      </c>
      <c r="L111" s="32">
        <v>3</v>
      </c>
    </row>
    <row r="112" spans="1:12" hidden="1">
      <c r="A112" s="31">
        <v>48000002</v>
      </c>
      <c r="B112" s="73">
        <v>45728</v>
      </c>
      <c r="C112" s="31" t="s">
        <v>512</v>
      </c>
      <c r="D112" s="31" t="s">
        <v>3004</v>
      </c>
      <c r="E112" s="74" t="s">
        <v>3005</v>
      </c>
      <c r="F112" s="31">
        <v>1</v>
      </c>
      <c r="G112" s="32">
        <v>1</v>
      </c>
      <c r="H112" s="32" t="s">
        <v>2603</v>
      </c>
      <c r="I112" s="75"/>
      <c r="J112" s="32" t="s">
        <v>2604</v>
      </c>
      <c r="K112" s="32" t="s">
        <v>2630</v>
      </c>
      <c r="L112" s="32">
        <v>3</v>
      </c>
    </row>
    <row r="113" spans="1:12" hidden="1">
      <c r="A113" s="31">
        <v>50000530</v>
      </c>
      <c r="B113" s="73">
        <v>45729</v>
      </c>
      <c r="C113" s="31" t="s">
        <v>365</v>
      </c>
      <c r="D113" s="31" t="s">
        <v>1094</v>
      </c>
      <c r="E113" s="74" t="s">
        <v>1095</v>
      </c>
      <c r="F113" s="31">
        <v>2</v>
      </c>
      <c r="G113" s="32">
        <v>2</v>
      </c>
      <c r="H113" s="32" t="s">
        <v>2603</v>
      </c>
      <c r="I113" s="75"/>
      <c r="J113" s="32" t="s">
        <v>2604</v>
      </c>
      <c r="K113" s="32" t="s">
        <v>2630</v>
      </c>
      <c r="L113" s="32">
        <v>3</v>
      </c>
    </row>
    <row r="114" spans="1:12" hidden="1">
      <c r="A114" s="31">
        <v>50000530</v>
      </c>
      <c r="B114" s="73">
        <v>45729</v>
      </c>
      <c r="C114" s="31" t="s">
        <v>365</v>
      </c>
      <c r="D114" s="31" t="s">
        <v>329</v>
      </c>
      <c r="E114" s="74" t="s">
        <v>3006</v>
      </c>
      <c r="F114" s="31">
        <v>1</v>
      </c>
      <c r="G114" s="32">
        <v>1</v>
      </c>
      <c r="H114" s="32" t="s">
        <v>2603</v>
      </c>
      <c r="I114" s="75"/>
      <c r="J114" s="32" t="s">
        <v>2604</v>
      </c>
      <c r="K114" s="32" t="s">
        <v>2630</v>
      </c>
      <c r="L114" s="32">
        <v>3</v>
      </c>
    </row>
    <row r="115" spans="1:12" hidden="1">
      <c r="A115" s="31">
        <v>40000288</v>
      </c>
      <c r="B115" s="73">
        <v>45730</v>
      </c>
      <c r="C115" s="31" t="s">
        <v>94</v>
      </c>
      <c r="D115" s="31" t="s">
        <v>741</v>
      </c>
      <c r="E115" s="74" t="s">
        <v>3007</v>
      </c>
      <c r="F115" s="31">
        <v>1</v>
      </c>
      <c r="G115" s="32">
        <v>1</v>
      </c>
      <c r="H115" s="32" t="s">
        <v>2603</v>
      </c>
      <c r="I115" s="75"/>
      <c r="J115" s="32" t="s">
        <v>2604</v>
      </c>
      <c r="K115" s="32" t="s">
        <v>2630</v>
      </c>
      <c r="L115" s="32">
        <v>3</v>
      </c>
    </row>
    <row r="116" spans="1:12" hidden="1">
      <c r="A116" s="31">
        <v>48500665</v>
      </c>
      <c r="B116" s="73">
        <v>45730</v>
      </c>
      <c r="C116" s="31" t="s">
        <v>2792</v>
      </c>
      <c r="D116" s="31" t="s">
        <v>2559</v>
      </c>
      <c r="E116" s="74" t="s">
        <v>2560</v>
      </c>
      <c r="F116" s="31">
        <v>1</v>
      </c>
      <c r="G116" s="32">
        <v>1</v>
      </c>
      <c r="H116" s="32" t="s">
        <v>2603</v>
      </c>
      <c r="I116" s="75"/>
      <c r="J116" s="32" t="s">
        <v>2604</v>
      </c>
      <c r="K116" s="32" t="s">
        <v>2630</v>
      </c>
      <c r="L116" s="32">
        <v>3</v>
      </c>
    </row>
    <row r="117" spans="1:12" hidden="1">
      <c r="A117" s="31">
        <v>60002072</v>
      </c>
      <c r="B117" s="73">
        <v>45730</v>
      </c>
      <c r="C117" s="31" t="s">
        <v>94</v>
      </c>
      <c r="D117" s="31" t="s">
        <v>267</v>
      </c>
      <c r="E117" s="74" t="s">
        <v>3008</v>
      </c>
      <c r="F117" s="31">
        <v>1</v>
      </c>
      <c r="G117" s="32">
        <v>1</v>
      </c>
      <c r="H117" s="32" t="s">
        <v>2603</v>
      </c>
      <c r="I117" s="75"/>
      <c r="J117" s="32" t="s">
        <v>2604</v>
      </c>
      <c r="K117" s="32" t="s">
        <v>2630</v>
      </c>
      <c r="L117" s="32">
        <v>3</v>
      </c>
    </row>
    <row r="118" spans="1:12" hidden="1">
      <c r="A118" s="31">
        <v>60002072</v>
      </c>
      <c r="B118" s="73">
        <v>45730</v>
      </c>
      <c r="C118" s="31" t="s">
        <v>94</v>
      </c>
      <c r="D118" s="31" t="s">
        <v>3009</v>
      </c>
      <c r="E118" s="74" t="s">
        <v>3010</v>
      </c>
      <c r="F118" s="31">
        <v>1</v>
      </c>
      <c r="G118" s="32">
        <v>1</v>
      </c>
      <c r="H118" s="32" t="s">
        <v>2603</v>
      </c>
      <c r="I118" s="75"/>
      <c r="J118" s="32" t="s">
        <v>2604</v>
      </c>
      <c r="K118" s="32" t="s">
        <v>2630</v>
      </c>
      <c r="L118" s="32">
        <v>3</v>
      </c>
    </row>
    <row r="119" spans="1:12" hidden="1">
      <c r="A119" s="31">
        <v>60002072</v>
      </c>
      <c r="B119" s="73">
        <v>45730</v>
      </c>
      <c r="C119" s="31" t="s">
        <v>94</v>
      </c>
      <c r="D119" s="31" t="s">
        <v>517</v>
      </c>
      <c r="E119" s="74" t="s">
        <v>1157</v>
      </c>
      <c r="F119" s="31">
        <v>1</v>
      </c>
      <c r="G119" s="32">
        <v>1</v>
      </c>
      <c r="H119" s="32" t="s">
        <v>2603</v>
      </c>
      <c r="I119" s="75"/>
      <c r="J119" s="32" t="s">
        <v>2604</v>
      </c>
      <c r="K119" s="32" t="s">
        <v>2630</v>
      </c>
      <c r="L119" s="32">
        <v>3</v>
      </c>
    </row>
    <row r="120" spans="1:12" hidden="1">
      <c r="A120" s="32">
        <v>44000059</v>
      </c>
      <c r="B120" s="73">
        <v>45730</v>
      </c>
      <c r="C120" s="31" t="s">
        <v>134</v>
      </c>
      <c r="D120" s="31" t="s">
        <v>3011</v>
      </c>
      <c r="E120" s="74" t="s">
        <v>3012</v>
      </c>
      <c r="F120" s="31">
        <v>1</v>
      </c>
      <c r="G120" s="32">
        <v>1</v>
      </c>
      <c r="H120" s="32" t="s">
        <v>2603</v>
      </c>
      <c r="I120" s="75"/>
      <c r="J120" s="32" t="s">
        <v>2604</v>
      </c>
      <c r="K120" s="32" t="s">
        <v>2630</v>
      </c>
      <c r="L120" s="32">
        <v>3</v>
      </c>
    </row>
    <row r="121" spans="1:12" hidden="1">
      <c r="A121" s="31">
        <v>50110261</v>
      </c>
      <c r="B121" s="73">
        <v>45722</v>
      </c>
      <c r="C121" s="31" t="s">
        <v>298</v>
      </c>
      <c r="D121" s="31" t="s">
        <v>3013</v>
      </c>
      <c r="E121" s="74" t="s">
        <v>3014</v>
      </c>
      <c r="F121" s="31">
        <v>1</v>
      </c>
      <c r="G121" s="32">
        <v>1</v>
      </c>
      <c r="H121" s="32" t="s">
        <v>2608</v>
      </c>
      <c r="I121" s="75"/>
      <c r="J121" s="34" t="s">
        <v>2604</v>
      </c>
      <c r="K121" s="34" t="s">
        <v>2630</v>
      </c>
      <c r="L121" s="32">
        <v>3</v>
      </c>
    </row>
    <row r="122" spans="1:12" hidden="1">
      <c r="A122" s="35">
        <v>47100399</v>
      </c>
      <c r="B122" s="78">
        <v>45722</v>
      </c>
      <c r="C122" s="35" t="s">
        <v>1549</v>
      </c>
      <c r="D122" s="35" t="s">
        <v>3015</v>
      </c>
      <c r="E122" s="79" t="s">
        <v>3016</v>
      </c>
      <c r="F122" s="35">
        <v>1</v>
      </c>
      <c r="G122" s="36">
        <v>1</v>
      </c>
      <c r="H122" s="36" t="s">
        <v>2603</v>
      </c>
      <c r="I122" s="80"/>
      <c r="J122" s="37" t="s">
        <v>2604</v>
      </c>
      <c r="K122" s="37" t="s">
        <v>2630</v>
      </c>
      <c r="L122" s="36">
        <v>3</v>
      </c>
    </row>
    <row r="123" spans="1:12" hidden="1">
      <c r="A123" s="81">
        <v>50110372</v>
      </c>
      <c r="B123" s="82">
        <v>45722</v>
      </c>
      <c r="C123" s="81" t="s">
        <v>33</v>
      </c>
      <c r="D123" s="81" t="s">
        <v>1655</v>
      </c>
      <c r="E123" s="83" t="s">
        <v>1656</v>
      </c>
      <c r="F123" s="81">
        <v>1</v>
      </c>
      <c r="G123" s="50">
        <v>0</v>
      </c>
      <c r="H123" s="50" t="s">
        <v>2603</v>
      </c>
      <c r="I123" s="84"/>
      <c r="J123" s="85" t="s">
        <v>2604</v>
      </c>
      <c r="K123" s="85" t="s">
        <v>2630</v>
      </c>
      <c r="L123" s="50">
        <v>3</v>
      </c>
    </row>
    <row r="124" spans="1:12" hidden="1">
      <c r="A124" s="86">
        <v>51000136</v>
      </c>
      <c r="B124" s="87">
        <v>45722</v>
      </c>
      <c r="C124" s="86" t="s">
        <v>101</v>
      </c>
      <c r="D124" s="86" t="s">
        <v>3017</v>
      </c>
      <c r="E124" s="88" t="s">
        <v>3018</v>
      </c>
      <c r="F124" s="86">
        <v>1</v>
      </c>
      <c r="G124" s="51">
        <v>1</v>
      </c>
      <c r="H124" s="51" t="s">
        <v>2603</v>
      </c>
      <c r="I124" s="89"/>
      <c r="J124" s="90" t="s">
        <v>2604</v>
      </c>
      <c r="K124" s="90" t="s">
        <v>2630</v>
      </c>
      <c r="L124" s="51">
        <v>3</v>
      </c>
    </row>
    <row r="125" spans="1:12" hidden="1">
      <c r="A125" s="31">
        <v>51000323</v>
      </c>
      <c r="B125" s="73">
        <v>45723</v>
      </c>
      <c r="C125" s="31" t="s">
        <v>101</v>
      </c>
      <c r="D125" s="31" t="s">
        <v>2993</v>
      </c>
      <c r="E125" s="74" t="s">
        <v>2994</v>
      </c>
      <c r="F125" s="31">
        <v>1</v>
      </c>
      <c r="G125" s="32">
        <v>1</v>
      </c>
      <c r="H125" s="32" t="s">
        <v>2603</v>
      </c>
      <c r="I125" s="75"/>
      <c r="J125" s="34" t="s">
        <v>2604</v>
      </c>
      <c r="K125" s="34" t="s">
        <v>2630</v>
      </c>
      <c r="L125" s="32">
        <v>3</v>
      </c>
    </row>
    <row r="126" spans="1:12" hidden="1">
      <c r="A126" s="35">
        <v>51000323</v>
      </c>
      <c r="B126" s="78">
        <v>45723</v>
      </c>
      <c r="C126" s="35" t="s">
        <v>101</v>
      </c>
      <c r="D126" s="35" t="s">
        <v>126</v>
      </c>
      <c r="E126" s="79" t="s">
        <v>675</v>
      </c>
      <c r="F126" s="35">
        <v>1</v>
      </c>
      <c r="G126" s="36">
        <v>1</v>
      </c>
      <c r="H126" s="36" t="s">
        <v>2603</v>
      </c>
      <c r="I126" s="80"/>
      <c r="J126" s="37" t="s">
        <v>2604</v>
      </c>
      <c r="K126" s="37" t="s">
        <v>2630</v>
      </c>
      <c r="L126" s="36">
        <v>3</v>
      </c>
    </row>
    <row r="127" spans="1:12" hidden="1">
      <c r="A127" s="81">
        <v>51000323</v>
      </c>
      <c r="B127" s="82">
        <v>45723</v>
      </c>
      <c r="C127" s="81" t="s">
        <v>101</v>
      </c>
      <c r="D127" s="81" t="s">
        <v>527</v>
      </c>
      <c r="E127" s="83" t="s">
        <v>2992</v>
      </c>
      <c r="F127" s="81">
        <v>1</v>
      </c>
      <c r="G127" s="50">
        <v>0</v>
      </c>
      <c r="H127" s="50" t="s">
        <v>2603</v>
      </c>
      <c r="I127" s="84"/>
      <c r="J127" s="85" t="s">
        <v>2604</v>
      </c>
      <c r="K127" s="85" t="s">
        <v>2630</v>
      </c>
      <c r="L127" s="50">
        <v>3</v>
      </c>
    </row>
    <row r="128" spans="1:12" hidden="1">
      <c r="A128" s="86">
        <v>51000136</v>
      </c>
      <c r="B128" s="87">
        <v>45723</v>
      </c>
      <c r="C128" s="86" t="s">
        <v>101</v>
      </c>
      <c r="D128" s="86" t="s">
        <v>167</v>
      </c>
      <c r="E128" s="88" t="s">
        <v>168</v>
      </c>
      <c r="F128" s="86">
        <v>1</v>
      </c>
      <c r="G128" s="51">
        <v>1</v>
      </c>
      <c r="H128" s="51" t="s">
        <v>2603</v>
      </c>
      <c r="I128" s="89"/>
      <c r="J128" s="90" t="s">
        <v>2604</v>
      </c>
      <c r="K128" s="90" t="s">
        <v>2630</v>
      </c>
      <c r="L128" s="51">
        <v>3</v>
      </c>
    </row>
    <row r="129" spans="1:12" hidden="1">
      <c r="A129" s="35">
        <v>51000323</v>
      </c>
      <c r="B129" s="78">
        <v>45723</v>
      </c>
      <c r="C129" s="35" t="s">
        <v>101</v>
      </c>
      <c r="D129" s="35" t="s">
        <v>167</v>
      </c>
      <c r="E129" s="79" t="s">
        <v>168</v>
      </c>
      <c r="F129" s="35">
        <v>1</v>
      </c>
      <c r="G129" s="36">
        <v>1</v>
      </c>
      <c r="H129" s="36" t="s">
        <v>2603</v>
      </c>
      <c r="I129" s="80"/>
      <c r="J129" s="37" t="s">
        <v>2604</v>
      </c>
      <c r="K129" s="37" t="s">
        <v>2630</v>
      </c>
      <c r="L129" s="36">
        <v>3</v>
      </c>
    </row>
    <row r="130" spans="1:12" hidden="1">
      <c r="A130" s="81">
        <v>60002095</v>
      </c>
      <c r="B130" s="82">
        <v>45723</v>
      </c>
      <c r="C130" s="81" t="s">
        <v>33</v>
      </c>
      <c r="D130" s="81" t="s">
        <v>3019</v>
      </c>
      <c r="E130" s="83" t="s">
        <v>3020</v>
      </c>
      <c r="F130" s="81">
        <v>1</v>
      </c>
      <c r="G130" s="50">
        <v>0</v>
      </c>
      <c r="H130" s="50" t="s">
        <v>2603</v>
      </c>
      <c r="I130" s="84"/>
      <c r="J130" s="85" t="s">
        <v>2604</v>
      </c>
      <c r="K130" s="85" t="s">
        <v>2630</v>
      </c>
      <c r="L130" s="50">
        <v>3</v>
      </c>
    </row>
    <row r="131" spans="1:12" hidden="1">
      <c r="A131" s="81">
        <v>51000323</v>
      </c>
      <c r="B131" s="82">
        <v>45728</v>
      </c>
      <c r="C131" s="81" t="s">
        <v>101</v>
      </c>
      <c r="D131" s="81" t="s">
        <v>3021</v>
      </c>
      <c r="E131" s="83" t="s">
        <v>3022</v>
      </c>
      <c r="F131" s="81">
        <v>1</v>
      </c>
      <c r="G131" s="50">
        <v>0</v>
      </c>
      <c r="H131" s="50" t="s">
        <v>2608</v>
      </c>
      <c r="I131" s="84">
        <v>45742</v>
      </c>
      <c r="J131" s="85" t="s">
        <v>2604</v>
      </c>
      <c r="K131" s="50" t="s">
        <v>2630</v>
      </c>
      <c r="L131" s="50">
        <v>3</v>
      </c>
    </row>
    <row r="132" spans="1:12" hidden="1">
      <c r="A132" s="86">
        <v>50110261</v>
      </c>
      <c r="B132" s="87">
        <v>45728</v>
      </c>
      <c r="C132" s="86" t="s">
        <v>298</v>
      </c>
      <c r="D132" s="86" t="s">
        <v>1838</v>
      </c>
      <c r="E132" s="88" t="s">
        <v>3023</v>
      </c>
      <c r="F132" s="86">
        <v>1</v>
      </c>
      <c r="G132" s="51">
        <v>1</v>
      </c>
      <c r="H132" s="51" t="s">
        <v>2608</v>
      </c>
      <c r="I132" s="89"/>
      <c r="J132" s="90" t="s">
        <v>2605</v>
      </c>
      <c r="K132" s="90" t="s">
        <v>2630</v>
      </c>
      <c r="L132" s="51">
        <v>3</v>
      </c>
    </row>
    <row r="133" spans="1:12" hidden="1">
      <c r="A133" s="31">
        <v>60002072</v>
      </c>
      <c r="B133" s="73">
        <v>45729</v>
      </c>
      <c r="C133" s="31" t="s">
        <v>94</v>
      </c>
      <c r="D133" s="31" t="s">
        <v>267</v>
      </c>
      <c r="E133" s="74" t="s">
        <v>1422</v>
      </c>
      <c r="F133" s="31">
        <v>1</v>
      </c>
      <c r="G133" s="32">
        <v>1</v>
      </c>
      <c r="H133" s="32" t="s">
        <v>2603</v>
      </c>
      <c r="I133" s="75"/>
      <c r="J133" s="34" t="s">
        <v>2604</v>
      </c>
      <c r="K133" s="34" t="s">
        <v>2630</v>
      </c>
      <c r="L133" s="32">
        <v>3</v>
      </c>
    </row>
    <row r="134" spans="1:12" hidden="1">
      <c r="A134" s="31">
        <v>48000002</v>
      </c>
      <c r="B134" s="73">
        <v>45729</v>
      </c>
      <c r="C134" s="31" t="s">
        <v>512</v>
      </c>
      <c r="D134" s="31" t="s">
        <v>3004</v>
      </c>
      <c r="E134" s="74" t="s">
        <v>3024</v>
      </c>
      <c r="F134" s="31">
        <v>1</v>
      </c>
      <c r="G134" s="32">
        <v>1</v>
      </c>
      <c r="H134" s="32" t="s">
        <v>2603</v>
      </c>
      <c r="I134" s="75"/>
      <c r="J134" s="34" t="s">
        <v>2604</v>
      </c>
      <c r="K134" s="34" t="s">
        <v>2630</v>
      </c>
      <c r="L134" s="32">
        <v>3</v>
      </c>
    </row>
    <row r="135" spans="1:12" hidden="1">
      <c r="A135" s="31">
        <v>48000002</v>
      </c>
      <c r="B135" s="73">
        <v>45729</v>
      </c>
      <c r="C135" s="31" t="s">
        <v>512</v>
      </c>
      <c r="D135" s="31" t="s">
        <v>2032</v>
      </c>
      <c r="E135" s="74" t="s">
        <v>3025</v>
      </c>
      <c r="F135" s="31">
        <v>1</v>
      </c>
      <c r="G135" s="32">
        <v>1</v>
      </c>
      <c r="H135" s="32" t="s">
        <v>2603</v>
      </c>
      <c r="I135" s="75"/>
      <c r="J135" s="34" t="s">
        <v>2604</v>
      </c>
      <c r="K135" s="34" t="s">
        <v>2630</v>
      </c>
      <c r="L135" s="32">
        <v>3</v>
      </c>
    </row>
    <row r="136" spans="1:12" hidden="1">
      <c r="A136" s="31">
        <v>60002095</v>
      </c>
      <c r="B136" s="73">
        <v>45729</v>
      </c>
      <c r="C136" s="31" t="s">
        <v>33</v>
      </c>
      <c r="D136" s="31" t="s">
        <v>1721</v>
      </c>
      <c r="E136" s="74" t="s">
        <v>3026</v>
      </c>
      <c r="F136" s="31">
        <v>1</v>
      </c>
      <c r="G136" s="32">
        <v>1</v>
      </c>
      <c r="H136" s="32" t="s">
        <v>2603</v>
      </c>
      <c r="I136" s="75"/>
      <c r="J136" s="34" t="s">
        <v>2604</v>
      </c>
      <c r="K136" s="34" t="s">
        <v>2630</v>
      </c>
      <c r="L136" s="32">
        <v>3</v>
      </c>
    </row>
    <row r="137" spans="1:12" hidden="1">
      <c r="A137" s="31">
        <v>50110261</v>
      </c>
      <c r="B137" s="73">
        <v>45730</v>
      </c>
      <c r="C137" s="31" t="s">
        <v>298</v>
      </c>
      <c r="D137" s="31" t="s">
        <v>3027</v>
      </c>
      <c r="E137" s="74" t="s">
        <v>230</v>
      </c>
      <c r="F137" s="31">
        <v>1</v>
      </c>
      <c r="G137" s="32">
        <v>1</v>
      </c>
      <c r="H137" s="32" t="s">
        <v>2603</v>
      </c>
      <c r="I137" s="75"/>
      <c r="J137" s="34" t="s">
        <v>2604</v>
      </c>
      <c r="K137" s="34" t="s">
        <v>2630</v>
      </c>
      <c r="L137" s="32">
        <v>3</v>
      </c>
    </row>
    <row r="138" spans="1:12" hidden="1">
      <c r="A138" s="31">
        <v>51000316</v>
      </c>
      <c r="B138" s="73">
        <v>45730</v>
      </c>
      <c r="C138" s="31" t="s">
        <v>101</v>
      </c>
      <c r="D138" s="31" t="s">
        <v>103</v>
      </c>
      <c r="E138" s="74" t="s">
        <v>2650</v>
      </c>
      <c r="F138" s="31">
        <v>2</v>
      </c>
      <c r="G138" s="32">
        <v>2</v>
      </c>
      <c r="H138" s="32" t="s">
        <v>2603</v>
      </c>
      <c r="I138" s="75"/>
      <c r="J138" s="34" t="s">
        <v>2604</v>
      </c>
      <c r="K138" s="34" t="s">
        <v>2630</v>
      </c>
      <c r="L138" s="32">
        <v>3</v>
      </c>
    </row>
    <row r="139" spans="1:12" hidden="1">
      <c r="A139" s="31">
        <v>50300141</v>
      </c>
      <c r="B139" s="73">
        <v>45730</v>
      </c>
      <c r="C139" s="31" t="s">
        <v>434</v>
      </c>
      <c r="D139" s="31" t="s">
        <v>278</v>
      </c>
      <c r="E139" s="74" t="s">
        <v>3028</v>
      </c>
      <c r="F139" s="31">
        <v>1</v>
      </c>
      <c r="G139" s="32">
        <v>1</v>
      </c>
      <c r="H139" s="32" t="s">
        <v>2603</v>
      </c>
      <c r="I139" s="75"/>
      <c r="J139" s="34" t="s">
        <v>2604</v>
      </c>
      <c r="K139" s="34" t="s">
        <v>2630</v>
      </c>
      <c r="L139" s="32">
        <v>3</v>
      </c>
    </row>
    <row r="140" spans="1:12" hidden="1">
      <c r="A140" s="31">
        <v>44000010</v>
      </c>
      <c r="B140" s="73">
        <v>45730</v>
      </c>
      <c r="C140" s="31" t="s">
        <v>1030</v>
      </c>
      <c r="D140" s="31" t="s">
        <v>2120</v>
      </c>
      <c r="E140" s="74" t="s">
        <v>3029</v>
      </c>
      <c r="F140" s="31">
        <v>1</v>
      </c>
      <c r="G140" s="32">
        <v>1</v>
      </c>
      <c r="H140" s="32" t="s">
        <v>2603</v>
      </c>
      <c r="I140" s="75"/>
      <c r="J140" s="34" t="s">
        <v>2604</v>
      </c>
      <c r="K140" s="34" t="s">
        <v>2630</v>
      </c>
      <c r="L140" s="32">
        <v>3</v>
      </c>
    </row>
    <row r="141" spans="1:12" hidden="1">
      <c r="A141" s="31">
        <v>51000136</v>
      </c>
      <c r="B141" s="73">
        <v>45730</v>
      </c>
      <c r="C141" s="31" t="s">
        <v>101</v>
      </c>
      <c r="D141" s="31" t="s">
        <v>91</v>
      </c>
      <c r="E141" s="74" t="s">
        <v>3030</v>
      </c>
      <c r="F141" s="31">
        <v>1</v>
      </c>
      <c r="G141" s="32">
        <v>1</v>
      </c>
      <c r="H141" s="32" t="s">
        <v>2603</v>
      </c>
      <c r="I141" s="75"/>
      <c r="J141" s="34" t="s">
        <v>2604</v>
      </c>
      <c r="K141" s="34" t="s">
        <v>2630</v>
      </c>
      <c r="L141" s="32">
        <v>3</v>
      </c>
    </row>
    <row r="142" spans="1:12" hidden="1">
      <c r="A142" s="31">
        <v>48000482</v>
      </c>
      <c r="B142" s="73">
        <v>45730</v>
      </c>
      <c r="C142" s="31" t="s">
        <v>704</v>
      </c>
      <c r="D142" s="31" t="s">
        <v>335</v>
      </c>
      <c r="E142" s="74" t="s">
        <v>3031</v>
      </c>
      <c r="F142" s="31">
        <v>2</v>
      </c>
      <c r="G142" s="32">
        <v>2</v>
      </c>
      <c r="H142" s="32" t="s">
        <v>2603</v>
      </c>
      <c r="I142" s="75"/>
      <c r="J142" s="34" t="s">
        <v>2604</v>
      </c>
      <c r="K142" s="34" t="s">
        <v>2630</v>
      </c>
      <c r="L142" s="32">
        <v>3</v>
      </c>
    </row>
    <row r="143" spans="1:12" hidden="1">
      <c r="A143" s="31" t="s">
        <v>3032</v>
      </c>
      <c r="B143" s="73">
        <v>45730</v>
      </c>
      <c r="C143" s="31" t="s">
        <v>94</v>
      </c>
      <c r="D143" s="31" t="s">
        <v>89</v>
      </c>
      <c r="E143" s="74" t="s">
        <v>3033</v>
      </c>
      <c r="F143" s="31">
        <v>1</v>
      </c>
      <c r="G143" s="32">
        <v>1</v>
      </c>
      <c r="H143" s="32" t="s">
        <v>2603</v>
      </c>
      <c r="I143" s="75"/>
      <c r="J143" s="34" t="s">
        <v>2604</v>
      </c>
      <c r="K143" s="34" t="s">
        <v>2630</v>
      </c>
      <c r="L143" s="32">
        <v>3</v>
      </c>
    </row>
    <row r="144" spans="1:12" hidden="1">
      <c r="A144" s="31">
        <v>50110261</v>
      </c>
      <c r="B144" s="73">
        <v>45733</v>
      </c>
      <c r="C144" s="31" t="s">
        <v>298</v>
      </c>
      <c r="D144" s="31" t="s">
        <v>126</v>
      </c>
      <c r="E144" s="74" t="s">
        <v>3034</v>
      </c>
      <c r="F144" s="31">
        <v>1</v>
      </c>
      <c r="G144" s="32">
        <v>1</v>
      </c>
      <c r="H144" s="32" t="s">
        <v>2603</v>
      </c>
      <c r="I144" s="75"/>
      <c r="J144" s="34" t="s">
        <v>2604</v>
      </c>
      <c r="K144" s="34" t="s">
        <v>2630</v>
      </c>
      <c r="L144" s="32">
        <v>3</v>
      </c>
    </row>
    <row r="145" spans="1:12" hidden="1">
      <c r="A145" s="31">
        <v>50110261</v>
      </c>
      <c r="B145" s="73">
        <v>45733</v>
      </c>
      <c r="C145" s="31" t="s">
        <v>298</v>
      </c>
      <c r="D145" s="31" t="s">
        <v>626</v>
      </c>
      <c r="E145" s="74" t="s">
        <v>3035</v>
      </c>
      <c r="F145" s="31">
        <v>1</v>
      </c>
      <c r="G145" s="32">
        <v>1</v>
      </c>
      <c r="H145" s="32" t="s">
        <v>2603</v>
      </c>
      <c r="I145" s="75"/>
      <c r="J145" s="34" t="s">
        <v>2604</v>
      </c>
      <c r="K145" s="34" t="s">
        <v>2630</v>
      </c>
      <c r="L145" s="32">
        <v>3</v>
      </c>
    </row>
    <row r="146" spans="1:12" hidden="1">
      <c r="A146" s="31">
        <v>50110261</v>
      </c>
      <c r="B146" s="73">
        <v>45733</v>
      </c>
      <c r="C146" s="31" t="s">
        <v>298</v>
      </c>
      <c r="D146" s="31" t="s">
        <v>82</v>
      </c>
      <c r="E146" s="74" t="s">
        <v>531</v>
      </c>
      <c r="F146" s="31">
        <v>1</v>
      </c>
      <c r="G146" s="32">
        <v>1</v>
      </c>
      <c r="H146" s="32" t="s">
        <v>2603</v>
      </c>
      <c r="I146" s="75"/>
      <c r="J146" s="34" t="s">
        <v>2604</v>
      </c>
      <c r="K146" s="34" t="s">
        <v>2630</v>
      </c>
      <c r="L146" s="32">
        <v>3</v>
      </c>
    </row>
    <row r="147" spans="1:12" hidden="1">
      <c r="A147" s="31">
        <v>50110261</v>
      </c>
      <c r="B147" s="73">
        <v>45733</v>
      </c>
      <c r="C147" s="31" t="s">
        <v>298</v>
      </c>
      <c r="D147" s="31" t="s">
        <v>79</v>
      </c>
      <c r="E147" s="74" t="s">
        <v>531</v>
      </c>
      <c r="F147" s="31">
        <v>1</v>
      </c>
      <c r="G147" s="32">
        <v>1</v>
      </c>
      <c r="H147" s="32" t="s">
        <v>2603</v>
      </c>
      <c r="I147" s="75"/>
      <c r="J147" s="34" t="s">
        <v>2604</v>
      </c>
      <c r="K147" s="34" t="s">
        <v>2630</v>
      </c>
      <c r="L147" s="32">
        <v>3</v>
      </c>
    </row>
    <row r="148" spans="1:12" hidden="1">
      <c r="A148" s="31">
        <v>50110372</v>
      </c>
      <c r="B148" s="73">
        <v>45733</v>
      </c>
      <c r="C148" s="31" t="s">
        <v>33</v>
      </c>
      <c r="D148" s="31" t="s">
        <v>329</v>
      </c>
      <c r="E148" s="74" t="s">
        <v>1923</v>
      </c>
      <c r="F148" s="31">
        <v>1</v>
      </c>
      <c r="G148" s="32">
        <v>1</v>
      </c>
      <c r="H148" s="32" t="s">
        <v>2603</v>
      </c>
      <c r="I148" s="75"/>
      <c r="J148" s="34" t="s">
        <v>2604</v>
      </c>
      <c r="K148" s="34" t="s">
        <v>2630</v>
      </c>
      <c r="L148" s="32">
        <v>3</v>
      </c>
    </row>
    <row r="149" spans="1:12" hidden="1">
      <c r="A149" s="31">
        <v>50110372</v>
      </c>
      <c r="B149" s="73">
        <v>45733</v>
      </c>
      <c r="C149" s="31" t="s">
        <v>33</v>
      </c>
      <c r="D149" s="31" t="s">
        <v>82</v>
      </c>
      <c r="E149" s="74" t="s">
        <v>3036</v>
      </c>
      <c r="F149" s="31">
        <v>1</v>
      </c>
      <c r="G149" s="32">
        <v>1</v>
      </c>
      <c r="H149" s="32" t="s">
        <v>2603</v>
      </c>
      <c r="I149" s="75"/>
      <c r="J149" s="34" t="s">
        <v>2604</v>
      </c>
      <c r="K149" s="34" t="s">
        <v>2630</v>
      </c>
      <c r="L149" s="32">
        <v>3</v>
      </c>
    </row>
    <row r="150" spans="1:12" hidden="1">
      <c r="A150" s="31">
        <v>50110372</v>
      </c>
      <c r="B150" s="73">
        <v>45733</v>
      </c>
      <c r="C150" s="31" t="s">
        <v>33</v>
      </c>
      <c r="D150" s="31" t="s">
        <v>79</v>
      </c>
      <c r="E150" s="74" t="s">
        <v>970</v>
      </c>
      <c r="F150" s="31">
        <v>1</v>
      </c>
      <c r="G150" s="32">
        <v>1</v>
      </c>
      <c r="H150" s="32" t="s">
        <v>2603</v>
      </c>
      <c r="I150" s="75"/>
      <c r="J150" s="34" t="s">
        <v>2604</v>
      </c>
      <c r="K150" s="34" t="s">
        <v>2630</v>
      </c>
      <c r="L150" s="32">
        <v>3</v>
      </c>
    </row>
    <row r="151" spans="1:12" hidden="1">
      <c r="A151" s="35">
        <v>51000136</v>
      </c>
      <c r="B151" s="78">
        <v>45733</v>
      </c>
      <c r="C151" s="35" t="s">
        <v>101</v>
      </c>
      <c r="D151" s="35" t="s">
        <v>3037</v>
      </c>
      <c r="E151" s="79" t="s">
        <v>3038</v>
      </c>
      <c r="F151" s="35">
        <v>1</v>
      </c>
      <c r="G151" s="36">
        <v>1</v>
      </c>
      <c r="H151" s="36" t="s">
        <v>2603</v>
      </c>
      <c r="I151" s="80"/>
      <c r="J151" s="37" t="s">
        <v>2604</v>
      </c>
      <c r="K151" s="37" t="s">
        <v>2630</v>
      </c>
      <c r="L151" s="36">
        <v>3</v>
      </c>
    </row>
    <row r="152" spans="1:12" hidden="1">
      <c r="A152" s="81">
        <v>51000323</v>
      </c>
      <c r="B152" s="82">
        <v>45733</v>
      </c>
      <c r="C152" s="81" t="s">
        <v>101</v>
      </c>
      <c r="D152" s="81" t="s">
        <v>3039</v>
      </c>
      <c r="E152" s="83" t="s">
        <v>3040</v>
      </c>
      <c r="F152" s="81">
        <v>1</v>
      </c>
      <c r="G152" s="50">
        <v>0</v>
      </c>
      <c r="H152" s="50" t="s">
        <v>2603</v>
      </c>
      <c r="I152" s="84"/>
      <c r="J152" s="85" t="s">
        <v>2604</v>
      </c>
      <c r="K152" s="85" t="s">
        <v>2630</v>
      </c>
      <c r="L152" s="50">
        <v>3</v>
      </c>
    </row>
    <row r="153" spans="1:12" hidden="1">
      <c r="A153" s="81">
        <v>51000323</v>
      </c>
      <c r="B153" s="82">
        <v>45733</v>
      </c>
      <c r="C153" s="81" t="s">
        <v>101</v>
      </c>
      <c r="D153" s="81" t="s">
        <v>3041</v>
      </c>
      <c r="E153" s="83" t="s">
        <v>3042</v>
      </c>
      <c r="F153" s="81">
        <v>1</v>
      </c>
      <c r="G153" s="50">
        <v>0</v>
      </c>
      <c r="H153" s="50" t="s">
        <v>2603</v>
      </c>
      <c r="I153" s="84"/>
      <c r="J153" s="85" t="s">
        <v>2604</v>
      </c>
      <c r="K153" s="85" t="s">
        <v>2630</v>
      </c>
      <c r="L153" s="50">
        <v>3</v>
      </c>
    </row>
    <row r="154" spans="1:12" hidden="1">
      <c r="A154" s="91">
        <v>50000530</v>
      </c>
      <c r="B154" s="92">
        <v>45733</v>
      </c>
      <c r="C154" s="91" t="s">
        <v>365</v>
      </c>
      <c r="D154" s="91" t="s">
        <v>1479</v>
      </c>
      <c r="E154" s="93" t="s">
        <v>3043</v>
      </c>
      <c r="F154" s="91">
        <v>2</v>
      </c>
      <c r="G154" s="52">
        <v>2</v>
      </c>
      <c r="H154" s="52" t="s">
        <v>2603</v>
      </c>
      <c r="I154" s="94"/>
      <c r="J154" s="95" t="s">
        <v>2604</v>
      </c>
      <c r="K154" s="95" t="s">
        <v>2630</v>
      </c>
      <c r="L154" s="52">
        <v>3</v>
      </c>
    </row>
    <row r="155" spans="1:12" hidden="1">
      <c r="A155" s="81">
        <v>60002095</v>
      </c>
      <c r="B155" s="82">
        <v>45733</v>
      </c>
      <c r="C155" s="81" t="s">
        <v>33</v>
      </c>
      <c r="D155" s="81" t="s">
        <v>3044</v>
      </c>
      <c r="E155" s="83" t="s">
        <v>3045</v>
      </c>
      <c r="F155" s="81">
        <v>1</v>
      </c>
      <c r="G155" s="50">
        <v>0</v>
      </c>
      <c r="H155" s="50" t="s">
        <v>2608</v>
      </c>
      <c r="I155" s="84"/>
      <c r="J155" s="85" t="s">
        <v>2604</v>
      </c>
      <c r="K155" s="85" t="s">
        <v>2630</v>
      </c>
      <c r="L155" s="50">
        <v>3</v>
      </c>
    </row>
    <row r="156" spans="1:12" hidden="1">
      <c r="A156" s="81">
        <v>48000432</v>
      </c>
      <c r="B156" s="82">
        <v>45735</v>
      </c>
      <c r="C156" s="81" t="s">
        <v>134</v>
      </c>
      <c r="D156" s="81" t="s">
        <v>3046</v>
      </c>
      <c r="E156" s="83" t="s">
        <v>3047</v>
      </c>
      <c r="F156" s="81">
        <v>1</v>
      </c>
      <c r="G156" s="50">
        <v>0</v>
      </c>
      <c r="H156" s="50" t="s">
        <v>2603</v>
      </c>
      <c r="I156" s="84"/>
      <c r="J156" s="85" t="s">
        <v>2604</v>
      </c>
      <c r="K156" s="85" t="s">
        <v>2630</v>
      </c>
      <c r="L156" s="50">
        <v>3</v>
      </c>
    </row>
    <row r="157" spans="1:12" hidden="1">
      <c r="A157" s="86">
        <v>50300129</v>
      </c>
      <c r="B157" s="87">
        <v>45735</v>
      </c>
      <c r="C157" s="86" t="s">
        <v>1025</v>
      </c>
      <c r="D157" s="86" t="s">
        <v>201</v>
      </c>
      <c r="E157" s="88" t="s">
        <v>3048</v>
      </c>
      <c r="F157" s="86">
        <v>1</v>
      </c>
      <c r="G157" s="51">
        <v>1</v>
      </c>
      <c r="H157" s="51" t="s">
        <v>2603</v>
      </c>
      <c r="I157" s="89"/>
      <c r="J157" s="90" t="s">
        <v>2604</v>
      </c>
      <c r="K157" s="90" t="s">
        <v>2630</v>
      </c>
      <c r="L157" s="51">
        <v>3</v>
      </c>
    </row>
    <row r="158" spans="1:12" hidden="1">
      <c r="A158" s="31">
        <v>51000323</v>
      </c>
      <c r="B158" s="73">
        <v>45735</v>
      </c>
      <c r="C158" s="31" t="s">
        <v>101</v>
      </c>
      <c r="D158" s="31" t="s">
        <v>3049</v>
      </c>
      <c r="E158" s="74" t="s">
        <v>3050</v>
      </c>
      <c r="F158" s="31">
        <v>1</v>
      </c>
      <c r="G158" s="32">
        <v>1</v>
      </c>
      <c r="H158" s="32" t="s">
        <v>2603</v>
      </c>
      <c r="I158" s="75"/>
      <c r="J158" s="34" t="s">
        <v>2604</v>
      </c>
      <c r="K158" s="34" t="s">
        <v>2630</v>
      </c>
      <c r="L158" s="32">
        <v>3</v>
      </c>
    </row>
    <row r="159" spans="1:12" hidden="1">
      <c r="A159" s="35">
        <v>48000044</v>
      </c>
      <c r="B159" s="78">
        <v>45735</v>
      </c>
      <c r="C159" s="35" t="s">
        <v>154</v>
      </c>
      <c r="D159" s="35" t="s">
        <v>2482</v>
      </c>
      <c r="E159" s="79" t="s">
        <v>3051</v>
      </c>
      <c r="F159" s="35">
        <v>1</v>
      </c>
      <c r="G159" s="36">
        <v>1</v>
      </c>
      <c r="H159" s="36" t="s">
        <v>2603</v>
      </c>
      <c r="I159" s="80"/>
      <c r="J159" s="37" t="s">
        <v>2604</v>
      </c>
      <c r="K159" s="37" t="s">
        <v>2630</v>
      </c>
      <c r="L159" s="36">
        <v>3</v>
      </c>
    </row>
    <row r="160" spans="1:12" hidden="1">
      <c r="A160" s="81">
        <v>50000260</v>
      </c>
      <c r="B160" s="82">
        <v>45736</v>
      </c>
      <c r="C160" s="81" t="s">
        <v>327</v>
      </c>
      <c r="D160" s="81" t="s">
        <v>1019</v>
      </c>
      <c r="E160" s="83" t="s">
        <v>3052</v>
      </c>
      <c r="F160" s="81">
        <v>1</v>
      </c>
      <c r="G160" s="50">
        <v>0</v>
      </c>
      <c r="H160" s="50" t="s">
        <v>2608</v>
      </c>
      <c r="I160" s="84"/>
      <c r="J160" s="85" t="s">
        <v>2604</v>
      </c>
      <c r="K160" s="85" t="s">
        <v>2630</v>
      </c>
      <c r="L160" s="50">
        <v>3</v>
      </c>
    </row>
    <row r="161" spans="1:12" hidden="1">
      <c r="A161" s="86">
        <v>50110229</v>
      </c>
      <c r="B161" s="87">
        <v>45736</v>
      </c>
      <c r="C161" s="86" t="s">
        <v>345</v>
      </c>
      <c r="D161" s="86" t="s">
        <v>2762</v>
      </c>
      <c r="E161" s="88" t="s">
        <v>217</v>
      </c>
      <c r="F161" s="86">
        <v>1</v>
      </c>
      <c r="G161" s="51">
        <v>1</v>
      </c>
      <c r="H161" s="51" t="s">
        <v>2608</v>
      </c>
      <c r="I161" s="89"/>
      <c r="J161" s="90" t="s">
        <v>2604</v>
      </c>
      <c r="K161" s="90" t="s">
        <v>2630</v>
      </c>
      <c r="L161" s="51">
        <v>3</v>
      </c>
    </row>
    <row r="162" spans="1:12" hidden="1">
      <c r="A162" s="35">
        <v>50110372</v>
      </c>
      <c r="B162" s="78">
        <v>45737</v>
      </c>
      <c r="C162" s="35" t="s">
        <v>33</v>
      </c>
      <c r="D162" s="35" t="s">
        <v>1927</v>
      </c>
      <c r="E162" s="79" t="s">
        <v>1000</v>
      </c>
      <c r="F162" s="35">
        <v>1</v>
      </c>
      <c r="G162" s="36">
        <v>1</v>
      </c>
      <c r="H162" s="36" t="s">
        <v>2603</v>
      </c>
      <c r="I162" s="80"/>
      <c r="J162" s="37" t="s">
        <v>2604</v>
      </c>
      <c r="K162" s="37" t="s">
        <v>2630</v>
      </c>
      <c r="L162" s="36">
        <v>3</v>
      </c>
    </row>
    <row r="163" spans="1:12" hidden="1">
      <c r="A163" s="81">
        <v>50110372</v>
      </c>
      <c r="B163" s="82">
        <v>45737</v>
      </c>
      <c r="C163" s="81" t="s">
        <v>33</v>
      </c>
      <c r="D163" s="81" t="s">
        <v>3053</v>
      </c>
      <c r="E163" s="83" t="s">
        <v>3054</v>
      </c>
      <c r="F163" s="81">
        <v>1</v>
      </c>
      <c r="G163" s="50">
        <v>0</v>
      </c>
      <c r="H163" s="50" t="s">
        <v>2603</v>
      </c>
      <c r="I163" s="84"/>
      <c r="J163" s="85" t="s">
        <v>2604</v>
      </c>
      <c r="K163" s="85" t="s">
        <v>2630</v>
      </c>
      <c r="L163" s="50">
        <v>3</v>
      </c>
    </row>
    <row r="164" spans="1:12" hidden="1">
      <c r="A164" s="86">
        <v>50110372</v>
      </c>
      <c r="B164" s="87">
        <v>45737</v>
      </c>
      <c r="C164" s="86" t="s">
        <v>33</v>
      </c>
      <c r="D164" s="86" t="s">
        <v>1326</v>
      </c>
      <c r="E164" s="88" t="s">
        <v>3055</v>
      </c>
      <c r="F164" s="86">
        <v>1</v>
      </c>
      <c r="G164" s="51">
        <v>1</v>
      </c>
      <c r="H164" s="51" t="s">
        <v>2603</v>
      </c>
      <c r="I164" s="89"/>
      <c r="J164" s="90" t="s">
        <v>2604</v>
      </c>
      <c r="K164" s="90" t="s">
        <v>2630</v>
      </c>
      <c r="L164" s="51">
        <v>3</v>
      </c>
    </row>
    <row r="165" spans="1:12" hidden="1">
      <c r="A165" s="31">
        <v>60002072</v>
      </c>
      <c r="B165" s="73">
        <v>45740</v>
      </c>
      <c r="C165" s="31" t="s">
        <v>94</v>
      </c>
      <c r="D165" s="31" t="s">
        <v>517</v>
      </c>
      <c r="E165" s="74" t="s">
        <v>3056</v>
      </c>
      <c r="F165" s="31">
        <v>1</v>
      </c>
      <c r="G165" s="32">
        <v>1</v>
      </c>
      <c r="H165" s="32" t="s">
        <v>2603</v>
      </c>
      <c r="I165" s="75"/>
      <c r="J165" s="34" t="s">
        <v>2604</v>
      </c>
      <c r="K165" s="34" t="s">
        <v>2630</v>
      </c>
      <c r="L165" s="32">
        <v>3</v>
      </c>
    </row>
    <row r="166" spans="1:12" hidden="1">
      <c r="A166" s="31">
        <v>50300097</v>
      </c>
      <c r="B166" s="73">
        <v>45741</v>
      </c>
      <c r="C166" s="31" t="s">
        <v>333</v>
      </c>
      <c r="D166" s="31" t="s">
        <v>517</v>
      </c>
      <c r="E166" s="74" t="s">
        <v>3056</v>
      </c>
      <c r="F166" s="31">
        <v>1</v>
      </c>
      <c r="G166" s="32">
        <v>1</v>
      </c>
      <c r="H166" s="32" t="s">
        <v>2603</v>
      </c>
      <c r="I166" s="75"/>
      <c r="J166" s="34" t="s">
        <v>2604</v>
      </c>
      <c r="K166" s="34" t="s">
        <v>2630</v>
      </c>
      <c r="L166" s="32">
        <v>3</v>
      </c>
    </row>
    <row r="167" spans="1:12" hidden="1">
      <c r="A167" s="35">
        <v>50300097</v>
      </c>
      <c r="B167" s="78">
        <v>45741</v>
      </c>
      <c r="C167" s="35" t="s">
        <v>333</v>
      </c>
      <c r="D167" s="35" t="s">
        <v>3057</v>
      </c>
      <c r="E167" s="79" t="s">
        <v>3058</v>
      </c>
      <c r="F167" s="35">
        <v>1</v>
      </c>
      <c r="G167" s="36">
        <v>1</v>
      </c>
      <c r="H167" s="36" t="s">
        <v>2603</v>
      </c>
      <c r="I167" s="80"/>
      <c r="J167" s="37" t="s">
        <v>2604</v>
      </c>
      <c r="K167" s="37" t="s">
        <v>2630</v>
      </c>
      <c r="L167" s="36">
        <v>3</v>
      </c>
    </row>
    <row r="168" spans="1:12" hidden="1">
      <c r="A168" s="81">
        <v>50300129</v>
      </c>
      <c r="B168" s="82">
        <v>45741</v>
      </c>
      <c r="C168" s="81" t="s">
        <v>1025</v>
      </c>
      <c r="D168" s="81" t="s">
        <v>3059</v>
      </c>
      <c r="E168" s="83" t="s">
        <v>3060</v>
      </c>
      <c r="F168" s="81">
        <v>1</v>
      </c>
      <c r="G168" s="50">
        <v>0</v>
      </c>
      <c r="H168" s="50" t="s">
        <v>2603</v>
      </c>
      <c r="I168" s="84"/>
      <c r="J168" s="85" t="s">
        <v>2604</v>
      </c>
      <c r="K168" s="85" t="s">
        <v>2630</v>
      </c>
      <c r="L168" s="50">
        <v>3</v>
      </c>
    </row>
    <row r="169" spans="1:12" hidden="1">
      <c r="A169" s="81">
        <v>50110229</v>
      </c>
      <c r="B169" s="82">
        <v>45741</v>
      </c>
      <c r="C169" s="81" t="s">
        <v>345</v>
      </c>
      <c r="D169" s="81" t="s">
        <v>3061</v>
      </c>
      <c r="E169" s="83" t="s">
        <v>3062</v>
      </c>
      <c r="F169" s="81">
        <v>1</v>
      </c>
      <c r="G169" s="50">
        <v>0</v>
      </c>
      <c r="H169" s="50" t="s">
        <v>2608</v>
      </c>
      <c r="I169" s="84"/>
      <c r="J169" s="85" t="s">
        <v>2604</v>
      </c>
      <c r="K169" s="85" t="s">
        <v>2630</v>
      </c>
      <c r="L169" s="50">
        <v>3</v>
      </c>
    </row>
    <row r="170" spans="1:12" hidden="1">
      <c r="A170" s="91">
        <v>50110057</v>
      </c>
      <c r="B170" s="92">
        <v>45743</v>
      </c>
      <c r="C170" s="91" t="s">
        <v>88</v>
      </c>
      <c r="D170" s="91" t="s">
        <v>754</v>
      </c>
      <c r="E170" s="93" t="s">
        <v>3063</v>
      </c>
      <c r="F170" s="91">
        <v>1</v>
      </c>
      <c r="G170" s="52">
        <v>1</v>
      </c>
      <c r="H170" s="52" t="s">
        <v>2603</v>
      </c>
      <c r="I170" s="94"/>
      <c r="J170" s="95" t="s">
        <v>2604</v>
      </c>
      <c r="K170" s="95" t="s">
        <v>2630</v>
      </c>
      <c r="L170" s="52">
        <v>3</v>
      </c>
    </row>
    <row r="171" spans="1:12" hidden="1">
      <c r="A171" s="31">
        <v>50110057</v>
      </c>
      <c r="B171" s="73">
        <v>45749</v>
      </c>
      <c r="C171" s="31" t="s">
        <v>88</v>
      </c>
      <c r="D171" s="96" t="s">
        <v>3064</v>
      </c>
      <c r="E171" s="74" t="s">
        <v>3065</v>
      </c>
      <c r="F171" s="31">
        <v>1</v>
      </c>
      <c r="G171" s="32">
        <v>1</v>
      </c>
      <c r="H171" s="32" t="s">
        <v>2603</v>
      </c>
      <c r="I171" s="75">
        <v>45748</v>
      </c>
      <c r="J171" s="34" t="s">
        <v>2604</v>
      </c>
      <c r="K171" s="37" t="s">
        <v>2630</v>
      </c>
      <c r="L171" s="58">
        <v>4</v>
      </c>
    </row>
    <row r="172" spans="1:12" hidden="1">
      <c r="A172" s="31">
        <v>50110057</v>
      </c>
      <c r="B172" s="73">
        <v>45749</v>
      </c>
      <c r="C172" s="31" t="s">
        <v>88</v>
      </c>
      <c r="D172" s="96" t="s">
        <v>3066</v>
      </c>
      <c r="E172" s="74" t="s">
        <v>3067</v>
      </c>
      <c r="F172" s="31">
        <v>1</v>
      </c>
      <c r="G172" s="32">
        <v>1</v>
      </c>
      <c r="H172" s="32" t="s">
        <v>2603</v>
      </c>
      <c r="I172" s="75">
        <v>45748</v>
      </c>
      <c r="J172" s="34" t="s">
        <v>2604</v>
      </c>
      <c r="K172" s="37" t="s">
        <v>2630</v>
      </c>
      <c r="L172" s="58">
        <v>4</v>
      </c>
    </row>
    <row r="173" spans="1:12" hidden="1">
      <c r="A173" s="31">
        <v>48300301</v>
      </c>
      <c r="B173" s="73">
        <v>45749</v>
      </c>
      <c r="C173" s="31" t="s">
        <v>134</v>
      </c>
      <c r="D173" s="96" t="s">
        <v>2251</v>
      </c>
      <c r="E173" s="74" t="s">
        <v>3068</v>
      </c>
      <c r="F173" s="31">
        <v>1</v>
      </c>
      <c r="G173" s="32">
        <v>1</v>
      </c>
      <c r="H173" s="32" t="s">
        <v>2603</v>
      </c>
      <c r="I173" s="75">
        <v>45748</v>
      </c>
      <c r="J173" s="34" t="s">
        <v>2604</v>
      </c>
      <c r="K173" s="37" t="s">
        <v>2630</v>
      </c>
      <c r="L173" s="58">
        <v>4</v>
      </c>
    </row>
    <row r="174" spans="1:12" hidden="1">
      <c r="A174" s="31">
        <v>48300301</v>
      </c>
      <c r="B174" s="73">
        <v>45749</v>
      </c>
      <c r="C174" s="31" t="s">
        <v>134</v>
      </c>
      <c r="D174" s="96" t="s">
        <v>1467</v>
      </c>
      <c r="E174" s="74" t="s">
        <v>3069</v>
      </c>
      <c r="F174" s="31">
        <v>1</v>
      </c>
      <c r="G174" s="32">
        <v>1</v>
      </c>
      <c r="H174" s="32" t="s">
        <v>2603</v>
      </c>
      <c r="I174" s="75">
        <v>45748</v>
      </c>
      <c r="J174" s="34" t="s">
        <v>2604</v>
      </c>
      <c r="K174" s="37" t="s">
        <v>2630</v>
      </c>
      <c r="L174" s="58">
        <v>4</v>
      </c>
    </row>
    <row r="175" spans="1:12" hidden="1">
      <c r="A175" s="31">
        <v>48000432</v>
      </c>
      <c r="B175" s="73">
        <v>45749</v>
      </c>
      <c r="C175" s="31" t="s">
        <v>134</v>
      </c>
      <c r="D175" s="96" t="s">
        <v>1467</v>
      </c>
      <c r="E175" s="74" t="s">
        <v>3069</v>
      </c>
      <c r="F175" s="31">
        <v>1</v>
      </c>
      <c r="G175" s="32">
        <v>1</v>
      </c>
      <c r="H175" s="32" t="s">
        <v>2603</v>
      </c>
      <c r="I175" s="75">
        <v>45748</v>
      </c>
      <c r="J175" s="34" t="s">
        <v>2604</v>
      </c>
      <c r="K175" s="37" t="s">
        <v>2630</v>
      </c>
      <c r="L175" s="58">
        <v>4</v>
      </c>
    </row>
    <row r="176" spans="1:12" hidden="1">
      <c r="A176" s="31">
        <v>50000260</v>
      </c>
      <c r="B176" s="73">
        <v>45749</v>
      </c>
      <c r="C176" s="31" t="s">
        <v>327</v>
      </c>
      <c r="D176" s="96" t="s">
        <v>3070</v>
      </c>
      <c r="E176" s="74" t="s">
        <v>3071</v>
      </c>
      <c r="F176" s="31">
        <v>3</v>
      </c>
      <c r="G176" s="32">
        <v>3</v>
      </c>
      <c r="H176" s="32" t="s">
        <v>2603</v>
      </c>
      <c r="I176" s="75"/>
      <c r="J176" s="34" t="s">
        <v>2604</v>
      </c>
      <c r="K176" s="37" t="s">
        <v>2630</v>
      </c>
      <c r="L176" s="58">
        <v>4</v>
      </c>
    </row>
    <row r="177" spans="1:12" hidden="1">
      <c r="A177" s="31">
        <v>50000260</v>
      </c>
      <c r="B177" s="73">
        <v>45749</v>
      </c>
      <c r="C177" s="31" t="s">
        <v>327</v>
      </c>
      <c r="D177" s="96" t="s">
        <v>220</v>
      </c>
      <c r="E177" s="74" t="s">
        <v>3072</v>
      </c>
      <c r="F177" s="31">
        <v>1</v>
      </c>
      <c r="G177" s="32">
        <v>1</v>
      </c>
      <c r="H177" s="32" t="s">
        <v>2603</v>
      </c>
      <c r="I177" s="75"/>
      <c r="J177" s="34" t="s">
        <v>2604</v>
      </c>
      <c r="K177" s="37" t="s">
        <v>2630</v>
      </c>
      <c r="L177" s="58">
        <v>4</v>
      </c>
    </row>
    <row r="178" spans="1:12" hidden="1">
      <c r="A178" s="31">
        <v>50000260</v>
      </c>
      <c r="B178" s="73">
        <v>45749</v>
      </c>
      <c r="C178" s="31" t="s">
        <v>327</v>
      </c>
      <c r="D178" s="96" t="s">
        <v>403</v>
      </c>
      <c r="E178" s="74" t="s">
        <v>3073</v>
      </c>
      <c r="F178" s="31">
        <v>1</v>
      </c>
      <c r="G178" s="32">
        <v>1</v>
      </c>
      <c r="H178" s="32" t="s">
        <v>2603</v>
      </c>
      <c r="I178" s="75"/>
      <c r="J178" s="34" t="s">
        <v>2604</v>
      </c>
      <c r="K178" s="37" t="s">
        <v>2630</v>
      </c>
      <c r="L178" s="58">
        <v>4</v>
      </c>
    </row>
    <row r="179" spans="1:12" hidden="1">
      <c r="A179" s="31">
        <v>50000260</v>
      </c>
      <c r="B179" s="73">
        <v>45749</v>
      </c>
      <c r="C179" s="31" t="s">
        <v>327</v>
      </c>
      <c r="D179" s="96" t="s">
        <v>3074</v>
      </c>
      <c r="E179" s="74" t="s">
        <v>3075</v>
      </c>
      <c r="F179" s="31">
        <v>1</v>
      </c>
      <c r="G179" s="32">
        <v>1</v>
      </c>
      <c r="H179" s="32" t="s">
        <v>2603</v>
      </c>
      <c r="I179" s="75">
        <v>45748</v>
      </c>
      <c r="J179" s="34" t="s">
        <v>2604</v>
      </c>
      <c r="K179" s="37" t="s">
        <v>2630</v>
      </c>
      <c r="L179" s="58">
        <v>4</v>
      </c>
    </row>
    <row r="180" spans="1:12" hidden="1">
      <c r="A180" s="31">
        <v>50000260</v>
      </c>
      <c r="B180" s="73">
        <v>45749</v>
      </c>
      <c r="C180" s="31" t="s">
        <v>327</v>
      </c>
      <c r="D180" s="96" t="s">
        <v>548</v>
      </c>
      <c r="E180" s="74" t="s">
        <v>3076</v>
      </c>
      <c r="F180" s="31">
        <v>1</v>
      </c>
      <c r="G180" s="32">
        <v>1</v>
      </c>
      <c r="H180" s="32" t="s">
        <v>2603</v>
      </c>
      <c r="I180" s="75"/>
      <c r="J180" s="34" t="s">
        <v>2604</v>
      </c>
      <c r="K180" s="37" t="s">
        <v>2630</v>
      </c>
      <c r="L180" s="58">
        <v>4</v>
      </c>
    </row>
    <row r="181" spans="1:12" hidden="1">
      <c r="A181" s="31">
        <v>50000260</v>
      </c>
      <c r="B181" s="73">
        <v>45749</v>
      </c>
      <c r="C181" s="31" t="s">
        <v>327</v>
      </c>
      <c r="D181" s="96" t="s">
        <v>3077</v>
      </c>
      <c r="E181" s="74" t="s">
        <v>3078</v>
      </c>
      <c r="F181" s="31">
        <v>1</v>
      </c>
      <c r="G181" s="32">
        <v>1</v>
      </c>
      <c r="H181" s="32" t="s">
        <v>2603</v>
      </c>
      <c r="I181" s="75">
        <v>45749</v>
      </c>
      <c r="J181" s="34" t="s">
        <v>2604</v>
      </c>
      <c r="K181" s="37" t="s">
        <v>2630</v>
      </c>
      <c r="L181" s="58">
        <v>4</v>
      </c>
    </row>
    <row r="182" spans="1:12" hidden="1">
      <c r="A182" s="31">
        <v>50000260</v>
      </c>
      <c r="B182" s="73">
        <v>45749</v>
      </c>
      <c r="C182" s="31" t="s">
        <v>327</v>
      </c>
      <c r="D182" s="96" t="s">
        <v>3079</v>
      </c>
      <c r="E182" s="74" t="s">
        <v>3080</v>
      </c>
      <c r="F182" s="31">
        <v>3</v>
      </c>
      <c r="G182" s="32">
        <v>3</v>
      </c>
      <c r="H182" s="32" t="s">
        <v>2603</v>
      </c>
      <c r="I182" s="75"/>
      <c r="J182" s="34" t="s">
        <v>2604</v>
      </c>
      <c r="K182" s="37" t="s">
        <v>2630</v>
      </c>
      <c r="L182" s="58">
        <v>4</v>
      </c>
    </row>
    <row r="183" spans="1:12" hidden="1">
      <c r="A183" s="31">
        <v>50000260</v>
      </c>
      <c r="B183" s="73">
        <v>45749</v>
      </c>
      <c r="C183" s="31" t="s">
        <v>327</v>
      </c>
      <c r="D183" s="96" t="s">
        <v>1655</v>
      </c>
      <c r="E183" s="74" t="s">
        <v>3081</v>
      </c>
      <c r="F183" s="31">
        <v>1</v>
      </c>
      <c r="G183" s="32">
        <v>1</v>
      </c>
      <c r="H183" s="32" t="s">
        <v>2603</v>
      </c>
      <c r="I183" s="75"/>
      <c r="J183" s="34" t="s">
        <v>2604</v>
      </c>
      <c r="K183" s="37" t="s">
        <v>2630</v>
      </c>
      <c r="L183" s="58">
        <v>4</v>
      </c>
    </row>
    <row r="184" spans="1:12" hidden="1">
      <c r="A184" s="31">
        <v>48500271</v>
      </c>
      <c r="B184" s="73">
        <v>45750</v>
      </c>
      <c r="C184" s="31" t="s">
        <v>613</v>
      </c>
      <c r="D184" s="96" t="s">
        <v>3082</v>
      </c>
      <c r="E184" s="74" t="s">
        <v>3083</v>
      </c>
      <c r="F184" s="31">
        <v>1</v>
      </c>
      <c r="G184" s="32">
        <v>1</v>
      </c>
      <c r="H184" s="32" t="s">
        <v>2603</v>
      </c>
      <c r="I184" s="75">
        <v>45750</v>
      </c>
      <c r="J184" s="34" t="s">
        <v>2604</v>
      </c>
      <c r="K184" s="37" t="s">
        <v>2630</v>
      </c>
      <c r="L184" s="58">
        <v>4</v>
      </c>
    </row>
    <row r="185" spans="1:12" hidden="1">
      <c r="A185" s="31">
        <v>51000136</v>
      </c>
      <c r="B185" s="73">
        <v>45751</v>
      </c>
      <c r="C185" s="31" t="s">
        <v>101</v>
      </c>
      <c r="D185" s="96" t="s">
        <v>103</v>
      </c>
      <c r="E185" s="74" t="s">
        <v>2650</v>
      </c>
      <c r="F185" s="31">
        <v>1</v>
      </c>
      <c r="G185" s="32">
        <v>1</v>
      </c>
      <c r="H185" s="32" t="s">
        <v>2603</v>
      </c>
      <c r="I185" s="75">
        <v>45750</v>
      </c>
      <c r="J185" s="34" t="s">
        <v>2604</v>
      </c>
      <c r="K185" s="37" t="s">
        <v>2630</v>
      </c>
      <c r="L185" s="58">
        <v>4</v>
      </c>
    </row>
    <row r="186" spans="1:12" hidden="1">
      <c r="A186" s="31" t="s">
        <v>3084</v>
      </c>
      <c r="B186" s="73">
        <v>45751</v>
      </c>
      <c r="C186" s="31" t="s">
        <v>333</v>
      </c>
      <c r="D186" s="96" t="s">
        <v>3085</v>
      </c>
      <c r="E186" s="74" t="s">
        <v>349</v>
      </c>
      <c r="F186" s="31">
        <v>1</v>
      </c>
      <c r="G186" s="32">
        <v>1</v>
      </c>
      <c r="H186" s="32" t="s">
        <v>2603</v>
      </c>
      <c r="I186" s="75">
        <v>45750</v>
      </c>
      <c r="J186" s="34" t="s">
        <v>2604</v>
      </c>
      <c r="K186" s="37" t="s">
        <v>2630</v>
      </c>
      <c r="L186" s="58">
        <v>4</v>
      </c>
    </row>
    <row r="187" spans="1:12" hidden="1">
      <c r="A187" s="31">
        <v>51000136</v>
      </c>
      <c r="B187" s="73">
        <v>45751</v>
      </c>
      <c r="C187" s="31" t="s">
        <v>915</v>
      </c>
      <c r="D187" s="96" t="s">
        <v>1721</v>
      </c>
      <c r="E187" s="74" t="s">
        <v>3086</v>
      </c>
      <c r="F187" s="31">
        <v>1</v>
      </c>
      <c r="G187" s="32">
        <v>1</v>
      </c>
      <c r="H187" s="32" t="s">
        <v>2603</v>
      </c>
      <c r="I187" s="75">
        <v>45749</v>
      </c>
      <c r="J187" s="34" t="s">
        <v>2604</v>
      </c>
      <c r="K187" s="37" t="s">
        <v>2630</v>
      </c>
      <c r="L187" s="58">
        <v>4</v>
      </c>
    </row>
    <row r="188" spans="1:12" hidden="1">
      <c r="A188" s="31">
        <v>51000136</v>
      </c>
      <c r="B188" s="73">
        <v>45754</v>
      </c>
      <c r="C188" s="31" t="s">
        <v>303</v>
      </c>
      <c r="D188" s="96" t="s">
        <v>3087</v>
      </c>
      <c r="E188" s="74" t="s">
        <v>3088</v>
      </c>
      <c r="F188" s="31">
        <v>1</v>
      </c>
      <c r="G188" s="32">
        <v>1</v>
      </c>
      <c r="H188" s="32" t="s">
        <v>2603</v>
      </c>
      <c r="I188" s="75"/>
      <c r="J188" s="34" t="s">
        <v>2604</v>
      </c>
      <c r="K188" s="37" t="s">
        <v>2630</v>
      </c>
      <c r="L188" s="58">
        <v>4</v>
      </c>
    </row>
    <row r="189" spans="1:12" hidden="1">
      <c r="A189" s="31">
        <v>47200115</v>
      </c>
      <c r="B189" s="73">
        <v>45755</v>
      </c>
      <c r="C189" s="31" t="s">
        <v>2735</v>
      </c>
      <c r="D189" s="96" t="s">
        <v>803</v>
      </c>
      <c r="E189" s="74" t="s">
        <v>3089</v>
      </c>
      <c r="F189" s="31">
        <v>1</v>
      </c>
      <c r="G189" s="32">
        <v>1</v>
      </c>
      <c r="H189" s="32" t="s">
        <v>2603</v>
      </c>
      <c r="I189" s="75"/>
      <c r="J189" s="34" t="s">
        <v>2604</v>
      </c>
      <c r="K189" s="37" t="s">
        <v>2630</v>
      </c>
      <c r="L189" s="58">
        <v>4</v>
      </c>
    </row>
    <row r="190" spans="1:12" hidden="1">
      <c r="A190" s="31">
        <v>50000202</v>
      </c>
      <c r="B190" s="73">
        <v>45755</v>
      </c>
      <c r="C190" s="31" t="s">
        <v>1322</v>
      </c>
      <c r="D190" s="96" t="s">
        <v>3090</v>
      </c>
      <c r="E190" s="74" t="s">
        <v>3091</v>
      </c>
      <c r="F190" s="31">
        <v>1</v>
      </c>
      <c r="G190" s="32">
        <v>1</v>
      </c>
      <c r="H190" s="32" t="s">
        <v>2603</v>
      </c>
      <c r="I190" s="75">
        <v>45750</v>
      </c>
      <c r="J190" s="34" t="s">
        <v>2604</v>
      </c>
      <c r="K190" s="37" t="s">
        <v>2630</v>
      </c>
      <c r="L190" s="58">
        <v>4</v>
      </c>
    </row>
    <row r="191" spans="1:12" hidden="1">
      <c r="A191" s="31">
        <v>51000136</v>
      </c>
      <c r="B191" s="73">
        <v>45755</v>
      </c>
      <c r="C191" s="31" t="s">
        <v>101</v>
      </c>
      <c r="D191" s="96" t="s">
        <v>3092</v>
      </c>
      <c r="E191" s="74" t="s">
        <v>3093</v>
      </c>
      <c r="F191" s="31">
        <v>1</v>
      </c>
      <c r="G191" s="32">
        <v>1</v>
      </c>
      <c r="H191" s="32" t="s">
        <v>2603</v>
      </c>
      <c r="I191" s="75">
        <v>45754</v>
      </c>
      <c r="J191" s="34" t="s">
        <v>2604</v>
      </c>
      <c r="K191" s="37" t="s">
        <v>2630</v>
      </c>
      <c r="L191" s="58">
        <v>4</v>
      </c>
    </row>
    <row r="192" spans="1:12" hidden="1">
      <c r="A192" s="31">
        <v>50000530</v>
      </c>
      <c r="B192" s="73">
        <v>45756</v>
      </c>
      <c r="C192" s="31" t="s">
        <v>3094</v>
      </c>
      <c r="D192" s="96" t="s">
        <v>70</v>
      </c>
      <c r="E192" s="74" t="s">
        <v>3095</v>
      </c>
      <c r="F192" s="31">
        <v>1</v>
      </c>
      <c r="G192" s="32">
        <v>1</v>
      </c>
      <c r="H192" s="32" t="s">
        <v>2603</v>
      </c>
      <c r="I192" s="75"/>
      <c r="J192" s="34" t="s">
        <v>2604</v>
      </c>
      <c r="K192" s="37" t="s">
        <v>2630</v>
      </c>
      <c r="L192" s="58">
        <v>4</v>
      </c>
    </row>
    <row r="193" spans="1:12" hidden="1">
      <c r="A193" s="31">
        <v>51000136</v>
      </c>
      <c r="B193" s="73">
        <v>45756</v>
      </c>
      <c r="C193" s="31" t="s">
        <v>101</v>
      </c>
      <c r="D193" s="96" t="s">
        <v>426</v>
      </c>
      <c r="E193" s="74" t="s">
        <v>3096</v>
      </c>
      <c r="F193" s="31">
        <v>1</v>
      </c>
      <c r="G193" s="32">
        <v>1</v>
      </c>
      <c r="H193" s="32" t="s">
        <v>2603</v>
      </c>
      <c r="I193" s="75"/>
      <c r="J193" s="34" t="s">
        <v>2604</v>
      </c>
      <c r="K193" s="37" t="s">
        <v>2630</v>
      </c>
      <c r="L193" s="58">
        <v>4</v>
      </c>
    </row>
    <row r="194" spans="1:12" hidden="1">
      <c r="A194" s="31">
        <v>44000216</v>
      </c>
      <c r="B194" s="73">
        <v>45756</v>
      </c>
      <c r="C194" s="31" t="s">
        <v>162</v>
      </c>
      <c r="D194" s="96" t="s">
        <v>259</v>
      </c>
      <c r="E194" s="74" t="s">
        <v>3097</v>
      </c>
      <c r="F194" s="31">
        <v>1</v>
      </c>
      <c r="G194" s="32">
        <v>1</v>
      </c>
      <c r="H194" s="32" t="s">
        <v>2603</v>
      </c>
      <c r="I194" s="75"/>
      <c r="J194" s="34" t="s">
        <v>2604</v>
      </c>
      <c r="K194" s="37" t="s">
        <v>2630</v>
      </c>
      <c r="L194" s="58">
        <v>4</v>
      </c>
    </row>
    <row r="195" spans="1:12" hidden="1">
      <c r="A195" s="31">
        <v>48300315</v>
      </c>
      <c r="B195" s="73">
        <v>45756</v>
      </c>
      <c r="C195" s="31" t="s">
        <v>162</v>
      </c>
      <c r="D195" s="96" t="s">
        <v>587</v>
      </c>
      <c r="E195" s="74" t="s">
        <v>3098</v>
      </c>
      <c r="F195" s="31">
        <v>1</v>
      </c>
      <c r="G195" s="32">
        <v>1</v>
      </c>
      <c r="H195" s="32" t="s">
        <v>2603</v>
      </c>
      <c r="I195" s="75"/>
      <c r="J195" s="34" t="s">
        <v>2604</v>
      </c>
      <c r="K195" s="37" t="s">
        <v>2630</v>
      </c>
      <c r="L195" s="58">
        <v>4</v>
      </c>
    </row>
    <row r="196" spans="1:12" hidden="1">
      <c r="A196" s="31">
        <v>60002095</v>
      </c>
      <c r="B196" s="73">
        <v>45758</v>
      </c>
      <c r="C196" s="31" t="s">
        <v>33</v>
      </c>
      <c r="D196" s="96" t="s">
        <v>3099</v>
      </c>
      <c r="E196" s="74" t="s">
        <v>3100</v>
      </c>
      <c r="F196" s="31">
        <v>1</v>
      </c>
      <c r="G196" s="32">
        <v>1</v>
      </c>
      <c r="H196" s="32" t="s">
        <v>2603</v>
      </c>
      <c r="I196" s="75"/>
      <c r="J196" s="34" t="s">
        <v>2604</v>
      </c>
      <c r="K196" s="37" t="s">
        <v>2630</v>
      </c>
      <c r="L196" s="58">
        <v>4</v>
      </c>
    </row>
    <row r="197" spans="1:12" hidden="1">
      <c r="A197" s="31">
        <v>50110193</v>
      </c>
      <c r="B197" s="73">
        <v>45757</v>
      </c>
      <c r="C197" s="31" t="s">
        <v>125</v>
      </c>
      <c r="D197" s="96" t="s">
        <v>2653</v>
      </c>
      <c r="E197" s="74" t="s">
        <v>3101</v>
      </c>
      <c r="F197" s="31">
        <v>1</v>
      </c>
      <c r="G197" s="32">
        <v>1</v>
      </c>
      <c r="H197" s="32" t="s">
        <v>2603</v>
      </c>
      <c r="I197" s="75"/>
      <c r="J197" s="34" t="s">
        <v>2604</v>
      </c>
      <c r="K197" s="37" t="s">
        <v>2630</v>
      </c>
      <c r="L197" s="58">
        <v>4</v>
      </c>
    </row>
    <row r="198" spans="1:12" hidden="1">
      <c r="A198" s="31">
        <v>50110261</v>
      </c>
      <c r="B198" s="73">
        <v>45756</v>
      </c>
      <c r="C198" s="31" t="s">
        <v>298</v>
      </c>
      <c r="D198" s="96" t="s">
        <v>3102</v>
      </c>
      <c r="E198" s="74" t="s">
        <v>3103</v>
      </c>
      <c r="F198" s="31">
        <v>1</v>
      </c>
      <c r="G198" s="32">
        <v>1</v>
      </c>
      <c r="H198" s="32" t="s">
        <v>2603</v>
      </c>
      <c r="I198" s="75">
        <v>45782</v>
      </c>
      <c r="J198" s="34" t="s">
        <v>2604</v>
      </c>
      <c r="K198" s="37" t="s">
        <v>2630</v>
      </c>
      <c r="L198" s="58">
        <v>4</v>
      </c>
    </row>
    <row r="199" spans="1:12" hidden="1">
      <c r="A199" s="31">
        <v>51000136</v>
      </c>
      <c r="B199" s="73">
        <v>45757</v>
      </c>
      <c r="C199" s="31" t="s">
        <v>101</v>
      </c>
      <c r="D199" s="96" t="s">
        <v>3104</v>
      </c>
      <c r="E199" s="74" t="s">
        <v>3105</v>
      </c>
      <c r="F199" s="31">
        <v>1</v>
      </c>
      <c r="G199" s="32">
        <v>1</v>
      </c>
      <c r="H199" s="32" t="s">
        <v>2603</v>
      </c>
      <c r="I199" s="75"/>
      <c r="J199" s="34" t="s">
        <v>2604</v>
      </c>
      <c r="K199" s="37" t="s">
        <v>2630</v>
      </c>
      <c r="L199" s="58">
        <v>4</v>
      </c>
    </row>
    <row r="200" spans="1:12" hidden="1">
      <c r="A200" s="31" t="s">
        <v>3084</v>
      </c>
      <c r="B200" s="73">
        <v>45756</v>
      </c>
      <c r="C200" s="31" t="s">
        <v>333</v>
      </c>
      <c r="D200" s="96" t="s">
        <v>2653</v>
      </c>
      <c r="E200" s="74" t="s">
        <v>3101</v>
      </c>
      <c r="F200" s="31">
        <v>1</v>
      </c>
      <c r="G200" s="32">
        <v>1</v>
      </c>
      <c r="H200" s="32" t="s">
        <v>2603</v>
      </c>
      <c r="I200" s="75"/>
      <c r="J200" s="34" t="s">
        <v>2604</v>
      </c>
      <c r="K200" s="37" t="s">
        <v>2630</v>
      </c>
      <c r="L200" s="58">
        <v>4</v>
      </c>
    </row>
    <row r="201" spans="1:12" hidden="1">
      <c r="A201" s="31" t="s">
        <v>3084</v>
      </c>
      <c r="B201" s="73">
        <v>45756</v>
      </c>
      <c r="C201" s="31" t="s">
        <v>333</v>
      </c>
      <c r="D201" s="96" t="s">
        <v>79</v>
      </c>
      <c r="E201" s="74" t="s">
        <v>3106</v>
      </c>
      <c r="F201" s="31">
        <v>1</v>
      </c>
      <c r="G201" s="32">
        <v>1</v>
      </c>
      <c r="H201" s="32" t="s">
        <v>2603</v>
      </c>
      <c r="I201" s="75"/>
      <c r="J201" s="34" t="s">
        <v>2604</v>
      </c>
      <c r="K201" s="37" t="s">
        <v>2630</v>
      </c>
      <c r="L201" s="58">
        <v>4</v>
      </c>
    </row>
    <row r="202" spans="1:12" hidden="1">
      <c r="A202" s="31" t="s">
        <v>3084</v>
      </c>
      <c r="B202" s="73">
        <v>45756</v>
      </c>
      <c r="C202" s="31" t="s">
        <v>333</v>
      </c>
      <c r="D202" s="96" t="s">
        <v>82</v>
      </c>
      <c r="E202" s="74" t="s">
        <v>3107</v>
      </c>
      <c r="F202" s="31">
        <v>1</v>
      </c>
      <c r="G202" s="32">
        <v>1</v>
      </c>
      <c r="H202" s="32" t="s">
        <v>2603</v>
      </c>
      <c r="I202" s="75"/>
      <c r="J202" s="34" t="s">
        <v>2604</v>
      </c>
      <c r="K202" s="37" t="s">
        <v>2630</v>
      </c>
      <c r="L202" s="58">
        <v>4</v>
      </c>
    </row>
    <row r="203" spans="1:12" hidden="1">
      <c r="A203" s="32">
        <v>51000323</v>
      </c>
      <c r="B203" s="73">
        <v>45758</v>
      </c>
      <c r="C203" s="31" t="s">
        <v>101</v>
      </c>
      <c r="D203" s="96" t="s">
        <v>3108</v>
      </c>
      <c r="E203" s="74" t="s">
        <v>336</v>
      </c>
      <c r="F203" s="31">
        <v>2</v>
      </c>
      <c r="G203" s="32">
        <v>2</v>
      </c>
      <c r="H203" s="32" t="s">
        <v>2603</v>
      </c>
      <c r="I203" s="75">
        <v>45758</v>
      </c>
      <c r="J203" s="34" t="s">
        <v>2604</v>
      </c>
      <c r="K203" s="37" t="s">
        <v>2630</v>
      </c>
      <c r="L203" s="58">
        <v>4</v>
      </c>
    </row>
    <row r="204" spans="1:12" hidden="1">
      <c r="A204" s="31">
        <v>48000002</v>
      </c>
      <c r="B204" s="73">
        <v>45758</v>
      </c>
      <c r="C204" s="31" t="s">
        <v>512</v>
      </c>
      <c r="D204" s="96" t="s">
        <v>1996</v>
      </c>
      <c r="E204" s="74" t="s">
        <v>3109</v>
      </c>
      <c r="F204" s="31">
        <v>1</v>
      </c>
      <c r="G204" s="32">
        <v>1</v>
      </c>
      <c r="H204" s="32" t="s">
        <v>2603</v>
      </c>
      <c r="I204" s="75"/>
      <c r="J204" s="34" t="s">
        <v>2604</v>
      </c>
      <c r="K204" s="37" t="s">
        <v>2630</v>
      </c>
      <c r="L204" s="58">
        <v>4</v>
      </c>
    </row>
    <row r="205" spans="1:12" hidden="1">
      <c r="A205" s="31">
        <v>50110193</v>
      </c>
      <c r="B205" s="73">
        <v>45758</v>
      </c>
      <c r="C205" s="31" t="s">
        <v>125</v>
      </c>
      <c r="D205" s="96" t="s">
        <v>3110</v>
      </c>
      <c r="E205" s="74" t="s">
        <v>3111</v>
      </c>
      <c r="F205" s="31">
        <v>1</v>
      </c>
      <c r="G205" s="32">
        <v>1</v>
      </c>
      <c r="H205" s="32" t="s">
        <v>2603</v>
      </c>
      <c r="I205" s="75"/>
      <c r="J205" s="34" t="s">
        <v>2604</v>
      </c>
      <c r="K205" s="37" t="s">
        <v>2630</v>
      </c>
      <c r="L205" s="58">
        <v>4</v>
      </c>
    </row>
    <row r="206" spans="1:12" hidden="1">
      <c r="A206" s="35">
        <v>46000018</v>
      </c>
      <c r="B206" s="78">
        <v>45758</v>
      </c>
      <c r="C206" s="35" t="s">
        <v>247</v>
      </c>
      <c r="D206" s="97" t="s">
        <v>3112</v>
      </c>
      <c r="E206" s="79" t="s">
        <v>3113</v>
      </c>
      <c r="F206" s="35">
        <v>1</v>
      </c>
      <c r="G206" s="36">
        <v>1</v>
      </c>
      <c r="H206" s="36" t="s">
        <v>2603</v>
      </c>
      <c r="I206" s="80"/>
      <c r="J206" s="37" t="s">
        <v>2604</v>
      </c>
      <c r="K206" s="37" t="s">
        <v>2630</v>
      </c>
      <c r="L206" s="56">
        <v>4</v>
      </c>
    </row>
    <row r="207" spans="1:12" hidden="1">
      <c r="A207" s="81">
        <v>46000053</v>
      </c>
      <c r="B207" s="82">
        <v>45758</v>
      </c>
      <c r="C207" s="81" t="s">
        <v>247</v>
      </c>
      <c r="D207" s="81" t="s">
        <v>3114</v>
      </c>
      <c r="E207" s="83" t="s">
        <v>3115</v>
      </c>
      <c r="F207" s="81">
        <v>1</v>
      </c>
      <c r="G207" s="50">
        <v>0</v>
      </c>
      <c r="H207" s="50" t="s">
        <v>2603</v>
      </c>
      <c r="I207" s="84"/>
      <c r="J207" s="85" t="s">
        <v>2604</v>
      </c>
      <c r="K207" s="85" t="s">
        <v>2630</v>
      </c>
      <c r="L207" s="47">
        <v>4</v>
      </c>
    </row>
    <row r="208" spans="1:12" hidden="1">
      <c r="A208" s="91">
        <v>46000018</v>
      </c>
      <c r="B208" s="92">
        <v>45758</v>
      </c>
      <c r="C208" s="91" t="s">
        <v>247</v>
      </c>
      <c r="D208" s="98" t="s">
        <v>3116</v>
      </c>
      <c r="E208" s="93" t="s">
        <v>3117</v>
      </c>
      <c r="F208" s="91">
        <v>1</v>
      </c>
      <c r="G208" s="52">
        <v>1</v>
      </c>
      <c r="H208" s="52" t="s">
        <v>2603</v>
      </c>
      <c r="I208" s="94"/>
      <c r="J208" s="95" t="s">
        <v>2604</v>
      </c>
      <c r="K208" s="95" t="s">
        <v>2630</v>
      </c>
      <c r="L208" s="66">
        <v>4</v>
      </c>
    </row>
    <row r="209" spans="1:12" hidden="1">
      <c r="A209" s="81">
        <v>46000018</v>
      </c>
      <c r="B209" s="82">
        <v>45758</v>
      </c>
      <c r="C209" s="81" t="s">
        <v>247</v>
      </c>
      <c r="D209" s="81" t="s">
        <v>1203</v>
      </c>
      <c r="E209" s="83" t="s">
        <v>3118</v>
      </c>
      <c r="F209" s="81">
        <v>1</v>
      </c>
      <c r="G209" s="50">
        <v>0</v>
      </c>
      <c r="H209" s="50" t="s">
        <v>2603</v>
      </c>
      <c r="I209" s="84"/>
      <c r="J209" s="85" t="s">
        <v>2604</v>
      </c>
      <c r="K209" s="85" t="s">
        <v>2630</v>
      </c>
      <c r="L209" s="47">
        <v>4</v>
      </c>
    </row>
    <row r="210" spans="1:12" hidden="1">
      <c r="A210" s="81">
        <v>46000018</v>
      </c>
      <c r="B210" s="82">
        <v>45758</v>
      </c>
      <c r="C210" s="81" t="s">
        <v>247</v>
      </c>
      <c r="D210" s="81" t="s">
        <v>426</v>
      </c>
      <c r="E210" s="83" t="s">
        <v>427</v>
      </c>
      <c r="F210" s="81">
        <v>1</v>
      </c>
      <c r="G210" s="50">
        <v>0</v>
      </c>
      <c r="H210" s="50" t="s">
        <v>2603</v>
      </c>
      <c r="I210" s="84"/>
      <c r="J210" s="85" t="s">
        <v>2604</v>
      </c>
      <c r="K210" s="85" t="s">
        <v>2630</v>
      </c>
      <c r="L210" s="47">
        <v>4</v>
      </c>
    </row>
    <row r="211" spans="1:12" hidden="1">
      <c r="A211" s="91">
        <v>46000053</v>
      </c>
      <c r="B211" s="92">
        <v>45758</v>
      </c>
      <c r="C211" s="91" t="s">
        <v>247</v>
      </c>
      <c r="D211" s="98" t="s">
        <v>3119</v>
      </c>
      <c r="E211" s="93" t="s">
        <v>3120</v>
      </c>
      <c r="F211" s="91">
        <v>1</v>
      </c>
      <c r="G211" s="52">
        <v>1</v>
      </c>
      <c r="H211" s="52" t="s">
        <v>2603</v>
      </c>
      <c r="I211" s="94"/>
      <c r="J211" s="95" t="s">
        <v>2604</v>
      </c>
      <c r="K211" s="95" t="s">
        <v>2630</v>
      </c>
      <c r="L211" s="66">
        <v>4</v>
      </c>
    </row>
    <row r="212" spans="1:12" hidden="1">
      <c r="A212" s="81">
        <v>46000018</v>
      </c>
      <c r="B212" s="82">
        <v>45758</v>
      </c>
      <c r="C212" s="81" t="s">
        <v>247</v>
      </c>
      <c r="D212" s="81" t="s">
        <v>595</v>
      </c>
      <c r="E212" s="83" t="s">
        <v>3121</v>
      </c>
      <c r="F212" s="81">
        <v>1</v>
      </c>
      <c r="G212" s="50">
        <v>0</v>
      </c>
      <c r="H212" s="50" t="s">
        <v>2603</v>
      </c>
      <c r="I212" s="84"/>
      <c r="J212" s="85" t="s">
        <v>2604</v>
      </c>
      <c r="K212" s="85" t="s">
        <v>2630</v>
      </c>
      <c r="L212" s="47">
        <v>4</v>
      </c>
    </row>
    <row r="213" spans="1:12" hidden="1">
      <c r="A213" s="81">
        <v>46000018</v>
      </c>
      <c r="B213" s="82">
        <v>45758</v>
      </c>
      <c r="C213" s="81" t="s">
        <v>247</v>
      </c>
      <c r="D213" s="81" t="s">
        <v>3122</v>
      </c>
      <c r="E213" s="83" t="s">
        <v>823</v>
      </c>
      <c r="F213" s="81">
        <v>1</v>
      </c>
      <c r="G213" s="50">
        <v>0</v>
      </c>
      <c r="H213" s="50" t="s">
        <v>2603</v>
      </c>
      <c r="I213" s="84"/>
      <c r="J213" s="85" t="s">
        <v>2604</v>
      </c>
      <c r="K213" s="85" t="s">
        <v>2630</v>
      </c>
      <c r="L213" s="47">
        <v>4</v>
      </c>
    </row>
    <row r="214" spans="1:12" hidden="1">
      <c r="A214" s="81">
        <v>46000018</v>
      </c>
      <c r="B214" s="82">
        <v>45758</v>
      </c>
      <c r="C214" s="81" t="s">
        <v>247</v>
      </c>
      <c r="D214" s="81" t="s">
        <v>3123</v>
      </c>
      <c r="E214" s="83" t="s">
        <v>3124</v>
      </c>
      <c r="F214" s="81">
        <v>1</v>
      </c>
      <c r="G214" s="50">
        <v>0</v>
      </c>
      <c r="H214" s="50" t="s">
        <v>2603</v>
      </c>
      <c r="I214" s="84"/>
      <c r="J214" s="85" t="s">
        <v>2604</v>
      </c>
      <c r="K214" s="85" t="s">
        <v>2630</v>
      </c>
      <c r="L214" s="47">
        <v>4</v>
      </c>
    </row>
    <row r="215" spans="1:12" hidden="1">
      <c r="A215" s="51">
        <v>51000323</v>
      </c>
      <c r="B215" s="87">
        <v>45756</v>
      </c>
      <c r="C215" s="86" t="s">
        <v>101</v>
      </c>
      <c r="D215" s="99" t="s">
        <v>3125</v>
      </c>
      <c r="E215" s="88" t="s">
        <v>3126</v>
      </c>
      <c r="F215" s="86">
        <v>1</v>
      </c>
      <c r="G215" s="51">
        <v>1</v>
      </c>
      <c r="H215" s="51" t="s">
        <v>2603</v>
      </c>
      <c r="I215" s="89">
        <v>45754</v>
      </c>
      <c r="J215" s="90" t="s">
        <v>2604</v>
      </c>
      <c r="K215" s="95" t="s">
        <v>2630</v>
      </c>
      <c r="L215" s="68">
        <v>4</v>
      </c>
    </row>
    <row r="216" spans="1:12" hidden="1">
      <c r="A216" s="31" t="s">
        <v>3084</v>
      </c>
      <c r="B216" s="73">
        <v>45761</v>
      </c>
      <c r="C216" s="31" t="s">
        <v>333</v>
      </c>
      <c r="D216" s="96" t="s">
        <v>3127</v>
      </c>
      <c r="E216" s="74" t="s">
        <v>3128</v>
      </c>
      <c r="F216" s="31">
        <v>1</v>
      </c>
      <c r="G216" s="32">
        <v>1</v>
      </c>
      <c r="H216" s="32" t="s">
        <v>2603</v>
      </c>
      <c r="I216" s="75"/>
      <c r="J216" s="34" t="s">
        <v>2604</v>
      </c>
      <c r="K216" s="37" t="s">
        <v>2630</v>
      </c>
      <c r="L216" s="58">
        <v>4</v>
      </c>
    </row>
    <row r="217" spans="1:12" hidden="1">
      <c r="A217" s="31">
        <v>44000058</v>
      </c>
      <c r="B217" s="73">
        <v>45761</v>
      </c>
      <c r="C217" s="31" t="s">
        <v>2764</v>
      </c>
      <c r="D217" s="96" t="s">
        <v>2122</v>
      </c>
      <c r="E217" s="74" t="s">
        <v>3129</v>
      </c>
      <c r="F217" s="31">
        <v>3</v>
      </c>
      <c r="G217" s="32">
        <v>3</v>
      </c>
      <c r="H217" s="32" t="s">
        <v>2603</v>
      </c>
      <c r="I217" s="75"/>
      <c r="J217" s="34" t="s">
        <v>2604</v>
      </c>
      <c r="K217" s="37" t="s">
        <v>2630</v>
      </c>
      <c r="L217" s="58">
        <v>4</v>
      </c>
    </row>
    <row r="218" spans="1:12" hidden="1">
      <c r="A218" s="31">
        <v>61000037</v>
      </c>
      <c r="B218" s="73">
        <v>45750</v>
      </c>
      <c r="C218" s="31" t="s">
        <v>541</v>
      </c>
      <c r="D218" s="96" t="s">
        <v>977</v>
      </c>
      <c r="E218" s="74" t="s">
        <v>3130</v>
      </c>
      <c r="F218" s="31">
        <v>1</v>
      </c>
      <c r="G218" s="32">
        <v>1</v>
      </c>
      <c r="H218" s="32" t="s">
        <v>2603</v>
      </c>
      <c r="I218" s="75"/>
      <c r="J218" s="34" t="s">
        <v>2604</v>
      </c>
      <c r="K218" s="37" t="s">
        <v>2630</v>
      </c>
      <c r="L218" s="58">
        <v>4</v>
      </c>
    </row>
    <row r="219" spans="1:12" hidden="1">
      <c r="A219" s="31">
        <v>46000053</v>
      </c>
      <c r="B219" s="73">
        <v>45761</v>
      </c>
      <c r="C219" s="31" t="s">
        <v>247</v>
      </c>
      <c r="D219" s="96" t="s">
        <v>2010</v>
      </c>
      <c r="E219" s="74" t="s">
        <v>3131</v>
      </c>
      <c r="F219" s="31">
        <v>1</v>
      </c>
      <c r="G219" s="32">
        <v>1</v>
      </c>
      <c r="H219" s="32" t="s">
        <v>2603</v>
      </c>
      <c r="I219" s="75"/>
      <c r="J219" s="34" t="s">
        <v>2604</v>
      </c>
      <c r="K219" s="37" t="s">
        <v>2630</v>
      </c>
      <c r="L219" s="58">
        <v>4</v>
      </c>
    </row>
    <row r="220" spans="1:12" hidden="1">
      <c r="A220" s="31">
        <v>50110229</v>
      </c>
      <c r="B220" s="73">
        <v>45762</v>
      </c>
      <c r="C220" s="31" t="s">
        <v>345</v>
      </c>
      <c r="D220" s="96" t="s">
        <v>788</v>
      </c>
      <c r="E220" s="74" t="s">
        <v>3132</v>
      </c>
      <c r="F220" s="31">
        <v>1</v>
      </c>
      <c r="G220" s="32">
        <v>1</v>
      </c>
      <c r="H220" s="32" t="s">
        <v>2603</v>
      </c>
      <c r="I220" s="75"/>
      <c r="J220" s="34" t="s">
        <v>2604</v>
      </c>
      <c r="K220" s="37" t="s">
        <v>2630</v>
      </c>
      <c r="L220" s="58">
        <v>4</v>
      </c>
    </row>
    <row r="221" spans="1:12" hidden="1">
      <c r="A221" s="31">
        <v>50110372</v>
      </c>
      <c r="B221" s="73">
        <v>45762</v>
      </c>
      <c r="C221" s="31" t="s">
        <v>33</v>
      </c>
      <c r="D221" s="96" t="s">
        <v>1026</v>
      </c>
      <c r="E221" s="74" t="s">
        <v>1027</v>
      </c>
      <c r="F221" s="31">
        <v>1</v>
      </c>
      <c r="G221" s="32">
        <v>1</v>
      </c>
      <c r="H221" s="32" t="s">
        <v>2603</v>
      </c>
      <c r="I221" s="75">
        <v>45758</v>
      </c>
      <c r="J221" s="34" t="s">
        <v>2604</v>
      </c>
      <c r="K221" s="37" t="s">
        <v>2630</v>
      </c>
      <c r="L221" s="58">
        <v>4</v>
      </c>
    </row>
    <row r="222" spans="1:12" hidden="1">
      <c r="A222" s="31">
        <v>50110372</v>
      </c>
      <c r="B222" s="73">
        <v>45762</v>
      </c>
      <c r="C222" s="31" t="s">
        <v>33</v>
      </c>
      <c r="D222" s="96" t="s">
        <v>581</v>
      </c>
      <c r="E222" s="74" t="s">
        <v>582</v>
      </c>
      <c r="F222" s="31">
        <v>1</v>
      </c>
      <c r="G222" s="32">
        <v>1</v>
      </c>
      <c r="H222" s="32" t="s">
        <v>2603</v>
      </c>
      <c r="I222" s="75">
        <v>45758</v>
      </c>
      <c r="J222" s="34" t="s">
        <v>2604</v>
      </c>
      <c r="K222" s="37" t="s">
        <v>2630</v>
      </c>
      <c r="L222" s="58">
        <v>4</v>
      </c>
    </row>
    <row r="223" spans="1:12" hidden="1">
      <c r="A223" s="31">
        <v>50110193</v>
      </c>
      <c r="B223" s="73">
        <v>45762</v>
      </c>
      <c r="C223" s="31" t="s">
        <v>125</v>
      </c>
      <c r="D223" s="96" t="s">
        <v>788</v>
      </c>
      <c r="E223" s="74" t="s">
        <v>3132</v>
      </c>
      <c r="F223" s="31">
        <v>2</v>
      </c>
      <c r="G223" s="32">
        <v>2</v>
      </c>
      <c r="H223" s="32" t="s">
        <v>2603</v>
      </c>
      <c r="I223" s="75"/>
      <c r="J223" s="34" t="s">
        <v>2604</v>
      </c>
      <c r="K223" s="37" t="s">
        <v>2630</v>
      </c>
      <c r="L223" s="58">
        <v>4</v>
      </c>
    </row>
    <row r="224" spans="1:12" hidden="1">
      <c r="A224" s="35">
        <v>60002095</v>
      </c>
      <c r="B224" s="78">
        <v>45762</v>
      </c>
      <c r="C224" s="35" t="s">
        <v>33</v>
      </c>
      <c r="D224" s="97" t="s">
        <v>581</v>
      </c>
      <c r="E224" s="79" t="s">
        <v>582</v>
      </c>
      <c r="F224" s="35">
        <v>1</v>
      </c>
      <c r="G224" s="36">
        <v>1</v>
      </c>
      <c r="H224" s="36" t="s">
        <v>2603</v>
      </c>
      <c r="I224" s="80"/>
      <c r="J224" s="37" t="s">
        <v>2604</v>
      </c>
      <c r="K224" s="37" t="s">
        <v>2630</v>
      </c>
      <c r="L224" s="56">
        <v>4</v>
      </c>
    </row>
    <row r="225" spans="1:12" hidden="1">
      <c r="A225" s="81">
        <v>50110193</v>
      </c>
      <c r="B225" s="82">
        <v>45763</v>
      </c>
      <c r="C225" s="81" t="s">
        <v>125</v>
      </c>
      <c r="D225" s="81" t="s">
        <v>3133</v>
      </c>
      <c r="E225" s="83" t="s">
        <v>3134</v>
      </c>
      <c r="F225" s="81">
        <v>1</v>
      </c>
      <c r="G225" s="50">
        <v>0</v>
      </c>
      <c r="H225" s="50" t="s">
        <v>2603</v>
      </c>
      <c r="I225" s="84"/>
      <c r="J225" s="85" t="s">
        <v>2604</v>
      </c>
      <c r="K225" s="85" t="s">
        <v>2630</v>
      </c>
      <c r="L225" s="47">
        <v>4</v>
      </c>
    </row>
    <row r="226" spans="1:12" hidden="1">
      <c r="A226" s="86" t="s">
        <v>3084</v>
      </c>
      <c r="B226" s="87">
        <v>45763</v>
      </c>
      <c r="C226" s="86" t="s">
        <v>333</v>
      </c>
      <c r="D226" s="99" t="s">
        <v>1022</v>
      </c>
      <c r="E226" s="88" t="s">
        <v>490</v>
      </c>
      <c r="F226" s="86">
        <v>1</v>
      </c>
      <c r="G226" s="51">
        <v>1</v>
      </c>
      <c r="H226" s="51" t="s">
        <v>2603</v>
      </c>
      <c r="I226" s="89"/>
      <c r="J226" s="90" t="s">
        <v>2604</v>
      </c>
      <c r="K226" s="95" t="s">
        <v>2630</v>
      </c>
      <c r="L226" s="68">
        <v>4</v>
      </c>
    </row>
    <row r="227" spans="1:12" hidden="1">
      <c r="A227" s="31">
        <v>50000260</v>
      </c>
      <c r="B227" s="73">
        <v>45769</v>
      </c>
      <c r="C227" s="31" t="s">
        <v>327</v>
      </c>
      <c r="D227" s="96" t="s">
        <v>415</v>
      </c>
      <c r="E227" s="74" t="s">
        <v>2771</v>
      </c>
      <c r="F227" s="31">
        <v>1</v>
      </c>
      <c r="G227" s="32">
        <v>1</v>
      </c>
      <c r="H227" s="32" t="s">
        <v>2603</v>
      </c>
      <c r="I227" s="75"/>
      <c r="J227" s="34" t="s">
        <v>2604</v>
      </c>
      <c r="K227" s="37" t="s">
        <v>2630</v>
      </c>
      <c r="L227" s="58">
        <v>4</v>
      </c>
    </row>
    <row r="228" spans="1:12" hidden="1">
      <c r="A228" s="36">
        <v>51100110</v>
      </c>
      <c r="B228" s="78">
        <v>45769</v>
      </c>
      <c r="C228" s="35" t="s">
        <v>1371</v>
      </c>
      <c r="D228" s="97" t="s">
        <v>3135</v>
      </c>
      <c r="E228" s="79" t="s">
        <v>3136</v>
      </c>
      <c r="F228" s="35">
        <v>1</v>
      </c>
      <c r="G228" s="36">
        <v>1</v>
      </c>
      <c r="H228" s="36" t="s">
        <v>2603</v>
      </c>
      <c r="I228" s="80">
        <v>45764</v>
      </c>
      <c r="J228" s="37" t="s">
        <v>2604</v>
      </c>
      <c r="K228" s="37" t="s">
        <v>2630</v>
      </c>
      <c r="L228" s="56">
        <v>4</v>
      </c>
    </row>
    <row r="229" spans="1:12" hidden="1">
      <c r="A229" s="50">
        <v>51100110</v>
      </c>
      <c r="B229" s="82">
        <v>45769</v>
      </c>
      <c r="C229" s="81" t="s">
        <v>1371</v>
      </c>
      <c r="D229" s="81" t="s">
        <v>3137</v>
      </c>
      <c r="E229" s="83" t="s">
        <v>3138</v>
      </c>
      <c r="F229" s="81">
        <v>1</v>
      </c>
      <c r="G229" s="50">
        <v>0</v>
      </c>
      <c r="H229" s="50" t="s">
        <v>2603</v>
      </c>
      <c r="I229" s="84"/>
      <c r="J229" s="85" t="s">
        <v>2604</v>
      </c>
      <c r="K229" s="85" t="s">
        <v>2630</v>
      </c>
      <c r="L229" s="47">
        <v>4</v>
      </c>
    </row>
    <row r="230" spans="1:12" hidden="1">
      <c r="A230" s="81">
        <v>46000018</v>
      </c>
      <c r="B230" s="82">
        <v>45771</v>
      </c>
      <c r="C230" s="81" t="s">
        <v>247</v>
      </c>
      <c r="D230" s="81" t="s">
        <v>595</v>
      </c>
      <c r="E230" s="83" t="s">
        <v>3121</v>
      </c>
      <c r="F230" s="81">
        <v>1</v>
      </c>
      <c r="G230" s="50">
        <v>0</v>
      </c>
      <c r="H230" s="50" t="s">
        <v>2603</v>
      </c>
      <c r="I230" s="84"/>
      <c r="J230" s="85" t="s">
        <v>2604</v>
      </c>
      <c r="K230" s="85" t="s">
        <v>2630</v>
      </c>
      <c r="L230" s="47">
        <v>4</v>
      </c>
    </row>
    <row r="231" spans="1:12" hidden="1">
      <c r="A231" s="86">
        <v>50110229</v>
      </c>
      <c r="B231" s="87">
        <v>45771</v>
      </c>
      <c r="C231" s="86" t="s">
        <v>345</v>
      </c>
      <c r="D231" s="99" t="s">
        <v>222</v>
      </c>
      <c r="E231" s="88" t="s">
        <v>3139</v>
      </c>
      <c r="F231" s="86">
        <v>1</v>
      </c>
      <c r="G231" s="51">
        <v>1</v>
      </c>
      <c r="H231" s="51" t="s">
        <v>2603</v>
      </c>
      <c r="I231" s="89"/>
      <c r="J231" s="90" t="s">
        <v>2604</v>
      </c>
      <c r="K231" s="95" t="s">
        <v>2630</v>
      </c>
      <c r="L231" s="68">
        <v>4</v>
      </c>
    </row>
    <row r="232" spans="1:12" hidden="1">
      <c r="A232" s="35">
        <v>50110057</v>
      </c>
      <c r="B232" s="78">
        <v>45771</v>
      </c>
      <c r="C232" s="35" t="s">
        <v>88</v>
      </c>
      <c r="D232" s="97" t="s">
        <v>3140</v>
      </c>
      <c r="E232" s="79" t="s">
        <v>3141</v>
      </c>
      <c r="F232" s="35">
        <v>2</v>
      </c>
      <c r="G232" s="36">
        <v>2</v>
      </c>
      <c r="H232" s="36" t="s">
        <v>2603</v>
      </c>
      <c r="I232" s="80">
        <v>45764</v>
      </c>
      <c r="J232" s="37" t="s">
        <v>2604</v>
      </c>
      <c r="K232" s="37" t="s">
        <v>2630</v>
      </c>
      <c r="L232" s="56">
        <v>4</v>
      </c>
    </row>
    <row r="233" spans="1:12" hidden="1">
      <c r="A233" s="81">
        <v>50110057</v>
      </c>
      <c r="B233" s="82">
        <v>45771</v>
      </c>
      <c r="C233" s="81" t="s">
        <v>88</v>
      </c>
      <c r="D233" s="81" t="s">
        <v>3142</v>
      </c>
      <c r="E233" s="83" t="s">
        <v>3143</v>
      </c>
      <c r="F233" s="81">
        <v>1</v>
      </c>
      <c r="G233" s="50">
        <v>0</v>
      </c>
      <c r="H233" s="50" t="s">
        <v>2603</v>
      </c>
      <c r="I233" s="84"/>
      <c r="J233" s="85" t="s">
        <v>2604</v>
      </c>
      <c r="K233" s="85" t="s">
        <v>2630</v>
      </c>
      <c r="L233" s="47">
        <v>4</v>
      </c>
    </row>
    <row r="234" spans="1:12" hidden="1">
      <c r="A234" s="91">
        <v>50110057</v>
      </c>
      <c r="B234" s="92">
        <v>45771</v>
      </c>
      <c r="C234" s="91" t="s">
        <v>88</v>
      </c>
      <c r="D234" s="98" t="s">
        <v>403</v>
      </c>
      <c r="E234" s="93" t="s">
        <v>404</v>
      </c>
      <c r="F234" s="91">
        <v>2</v>
      </c>
      <c r="G234" s="52">
        <v>1</v>
      </c>
      <c r="H234" s="52" t="s">
        <v>2603</v>
      </c>
      <c r="I234" s="94"/>
      <c r="J234" s="95" t="s">
        <v>2604</v>
      </c>
      <c r="K234" s="95" t="s">
        <v>2630</v>
      </c>
      <c r="L234" s="66">
        <v>4</v>
      </c>
    </row>
    <row r="235" spans="1:12" hidden="1">
      <c r="A235" s="81">
        <v>50110057</v>
      </c>
      <c r="B235" s="82">
        <v>45771</v>
      </c>
      <c r="C235" s="81" t="s">
        <v>88</v>
      </c>
      <c r="D235" s="81" t="s">
        <v>3144</v>
      </c>
      <c r="E235" s="83" t="s">
        <v>3145</v>
      </c>
      <c r="F235" s="81">
        <v>1</v>
      </c>
      <c r="G235" s="50">
        <v>0</v>
      </c>
      <c r="H235" s="50" t="s">
        <v>2603</v>
      </c>
      <c r="I235" s="84"/>
      <c r="J235" s="85" t="s">
        <v>2604</v>
      </c>
      <c r="K235" s="85" t="s">
        <v>2630</v>
      </c>
      <c r="L235" s="47">
        <v>4</v>
      </c>
    </row>
    <row r="236" spans="1:12" hidden="1">
      <c r="A236" s="86">
        <v>44000059</v>
      </c>
      <c r="B236" s="87">
        <v>45772</v>
      </c>
      <c r="C236" s="86" t="s">
        <v>134</v>
      </c>
      <c r="D236" s="99" t="s">
        <v>944</v>
      </c>
      <c r="E236" s="88" t="s">
        <v>588</v>
      </c>
      <c r="F236" s="86">
        <v>1</v>
      </c>
      <c r="G236" s="51">
        <v>1</v>
      </c>
      <c r="H236" s="51" t="s">
        <v>2603</v>
      </c>
      <c r="I236" s="89"/>
      <c r="J236" s="90" t="s">
        <v>2604</v>
      </c>
      <c r="K236" s="95" t="s">
        <v>2630</v>
      </c>
      <c r="L236" s="68">
        <v>4</v>
      </c>
    </row>
    <row r="237" spans="1:12" hidden="1">
      <c r="A237" s="31">
        <v>50110372</v>
      </c>
      <c r="B237" s="73">
        <v>45775</v>
      </c>
      <c r="C237" s="31" t="s">
        <v>33</v>
      </c>
      <c r="D237" s="96" t="s">
        <v>2686</v>
      </c>
      <c r="E237" s="74" t="s">
        <v>2687</v>
      </c>
      <c r="F237" s="31">
        <v>1</v>
      </c>
      <c r="G237" s="32">
        <v>1</v>
      </c>
      <c r="H237" s="32" t="s">
        <v>2603</v>
      </c>
      <c r="I237" s="75"/>
      <c r="J237" s="34" t="s">
        <v>2604</v>
      </c>
      <c r="K237" s="37" t="s">
        <v>2630</v>
      </c>
      <c r="L237" s="58">
        <v>4</v>
      </c>
    </row>
    <row r="238" spans="1:12" hidden="1">
      <c r="A238" s="31">
        <v>60002095</v>
      </c>
      <c r="B238" s="73">
        <v>45775</v>
      </c>
      <c r="C238" s="31" t="s">
        <v>33</v>
      </c>
      <c r="D238" s="96" t="s">
        <v>3146</v>
      </c>
      <c r="E238" s="74" t="s">
        <v>3147</v>
      </c>
      <c r="F238" s="31">
        <v>1</v>
      </c>
      <c r="G238" s="32">
        <v>1</v>
      </c>
      <c r="H238" s="32" t="s">
        <v>2603</v>
      </c>
      <c r="I238" s="75">
        <v>45764</v>
      </c>
      <c r="J238" s="34" t="s">
        <v>2604</v>
      </c>
      <c r="K238" s="37" t="s">
        <v>2630</v>
      </c>
      <c r="L238" s="58">
        <v>4</v>
      </c>
    </row>
    <row r="239" spans="1:12" hidden="1">
      <c r="A239" s="31">
        <v>46000018</v>
      </c>
      <c r="B239" s="73">
        <v>45776</v>
      </c>
      <c r="C239" s="31" t="s">
        <v>247</v>
      </c>
      <c r="D239" s="96" t="s">
        <v>3119</v>
      </c>
      <c r="E239" s="74" t="s">
        <v>3120</v>
      </c>
      <c r="F239" s="31">
        <v>1</v>
      </c>
      <c r="G239" s="32">
        <v>1</v>
      </c>
      <c r="H239" s="32" t="s">
        <v>2603</v>
      </c>
      <c r="I239" s="75"/>
      <c r="J239" s="34" t="s">
        <v>2604</v>
      </c>
      <c r="K239" s="37" t="s">
        <v>2630</v>
      </c>
      <c r="L239" s="58">
        <v>4</v>
      </c>
    </row>
    <row r="240" spans="1:12" hidden="1">
      <c r="A240" s="35">
        <v>50110193</v>
      </c>
      <c r="B240" s="78">
        <v>45776</v>
      </c>
      <c r="C240" s="35" t="s">
        <v>125</v>
      </c>
      <c r="D240" s="97" t="s">
        <v>1920</v>
      </c>
      <c r="E240" s="79" t="s">
        <v>1921</v>
      </c>
      <c r="F240" s="35">
        <v>1</v>
      </c>
      <c r="G240" s="36">
        <v>1</v>
      </c>
      <c r="H240" s="36" t="s">
        <v>2603</v>
      </c>
      <c r="I240" s="80">
        <v>45772</v>
      </c>
      <c r="J240" s="37" t="s">
        <v>2604</v>
      </c>
      <c r="K240" s="37" t="s">
        <v>2630</v>
      </c>
      <c r="L240" s="56">
        <v>4</v>
      </c>
    </row>
    <row r="241" spans="1:12" hidden="1">
      <c r="A241" s="81">
        <v>50110193</v>
      </c>
      <c r="B241" s="82">
        <v>45776</v>
      </c>
      <c r="C241" s="81" t="s">
        <v>125</v>
      </c>
      <c r="D241" s="81" t="s">
        <v>3148</v>
      </c>
      <c r="E241" s="83" t="s">
        <v>3149</v>
      </c>
      <c r="F241" s="81">
        <v>1</v>
      </c>
      <c r="G241" s="50">
        <v>0</v>
      </c>
      <c r="H241" s="50" t="s">
        <v>2603</v>
      </c>
      <c r="I241" s="84"/>
      <c r="J241" s="85" t="s">
        <v>2604</v>
      </c>
      <c r="K241" s="85" t="s">
        <v>2630</v>
      </c>
      <c r="L241" s="47">
        <v>4</v>
      </c>
    </row>
    <row r="242" spans="1:12" hidden="1">
      <c r="A242" s="86">
        <v>61000037</v>
      </c>
      <c r="B242" s="87">
        <v>45776</v>
      </c>
      <c r="C242" s="86" t="s">
        <v>541</v>
      </c>
      <c r="D242" s="99" t="s">
        <v>3150</v>
      </c>
      <c r="E242" s="88" t="s">
        <v>3151</v>
      </c>
      <c r="F242" s="86">
        <v>1</v>
      </c>
      <c r="G242" s="51">
        <v>1</v>
      </c>
      <c r="H242" s="51" t="s">
        <v>2603</v>
      </c>
      <c r="I242" s="89"/>
      <c r="J242" s="90" t="s">
        <v>2604</v>
      </c>
      <c r="K242" s="95" t="s">
        <v>2630</v>
      </c>
      <c r="L242" s="68">
        <v>4</v>
      </c>
    </row>
    <row r="243" spans="1:12" hidden="1">
      <c r="A243" s="35">
        <v>61000037</v>
      </c>
      <c r="B243" s="78">
        <v>45776</v>
      </c>
      <c r="C243" s="35" t="s">
        <v>541</v>
      </c>
      <c r="D243" s="97" t="s">
        <v>3152</v>
      </c>
      <c r="E243" s="79" t="s">
        <v>3153</v>
      </c>
      <c r="F243" s="35">
        <v>1</v>
      </c>
      <c r="G243" s="36">
        <v>1</v>
      </c>
      <c r="H243" s="36" t="s">
        <v>2603</v>
      </c>
      <c r="I243" s="80"/>
      <c r="J243" s="37" t="s">
        <v>2604</v>
      </c>
      <c r="K243" s="37" t="s">
        <v>2630</v>
      </c>
      <c r="L243" s="56">
        <v>4</v>
      </c>
    </row>
    <row r="244" spans="1:12">
      <c r="A244" s="70">
        <v>50110229</v>
      </c>
      <c r="B244" s="71">
        <v>45782</v>
      </c>
      <c r="C244" s="70" t="s">
        <v>345</v>
      </c>
      <c r="D244" s="70" t="s">
        <v>70</v>
      </c>
      <c r="E244" s="72" t="s">
        <v>71</v>
      </c>
      <c r="F244" s="70">
        <v>1</v>
      </c>
      <c r="G244" s="58">
        <v>1</v>
      </c>
      <c r="H244" s="58" t="s">
        <v>2603</v>
      </c>
      <c r="I244" s="75"/>
      <c r="J244" s="34" t="s">
        <v>2604</v>
      </c>
      <c r="K244" s="34" t="s">
        <v>2630</v>
      </c>
      <c r="L244" s="58">
        <v>5</v>
      </c>
    </row>
    <row r="245" spans="1:12">
      <c r="A245" s="70">
        <v>50110229</v>
      </c>
      <c r="B245" s="71">
        <v>45782</v>
      </c>
      <c r="C245" s="70" t="s">
        <v>345</v>
      </c>
      <c r="D245" s="70" t="s">
        <v>216</v>
      </c>
      <c r="E245" s="72" t="s">
        <v>941</v>
      </c>
      <c r="F245" s="70">
        <v>1</v>
      </c>
      <c r="G245" s="58">
        <v>1</v>
      </c>
      <c r="H245" s="58" t="s">
        <v>2603</v>
      </c>
      <c r="I245" s="75"/>
      <c r="J245" s="34" t="s">
        <v>2604</v>
      </c>
      <c r="K245" s="34" t="s">
        <v>2630</v>
      </c>
      <c r="L245" s="58">
        <v>5</v>
      </c>
    </row>
    <row r="246" spans="1:12">
      <c r="A246" s="55">
        <v>48300400</v>
      </c>
      <c r="B246" s="57">
        <v>45782</v>
      </c>
      <c r="C246" s="55" t="s">
        <v>3154</v>
      </c>
      <c r="D246" s="55" t="s">
        <v>446</v>
      </c>
      <c r="E246" s="100" t="s">
        <v>3155</v>
      </c>
      <c r="F246" s="55">
        <v>1</v>
      </c>
      <c r="G246" s="56">
        <v>1</v>
      </c>
      <c r="H246" s="56" t="s">
        <v>2603</v>
      </c>
      <c r="I246" s="80"/>
      <c r="J246" s="37" t="s">
        <v>2604</v>
      </c>
      <c r="K246" s="37" t="s">
        <v>2630</v>
      </c>
      <c r="L246" s="58">
        <v>5</v>
      </c>
    </row>
    <row r="247" spans="1:12">
      <c r="A247" s="63">
        <v>50110229</v>
      </c>
      <c r="B247" s="48">
        <v>45782</v>
      </c>
      <c r="C247" s="63" t="s">
        <v>345</v>
      </c>
      <c r="D247" s="63" t="s">
        <v>405</v>
      </c>
      <c r="E247" s="101" t="s">
        <v>3156</v>
      </c>
      <c r="F247" s="63">
        <v>2</v>
      </c>
      <c r="G247" s="47">
        <v>1</v>
      </c>
      <c r="H247" s="47" t="s">
        <v>2603</v>
      </c>
      <c r="I247" s="84"/>
      <c r="J247" s="85" t="s">
        <v>2604</v>
      </c>
      <c r="K247" s="85" t="s">
        <v>2630</v>
      </c>
      <c r="L247" s="58">
        <v>5</v>
      </c>
    </row>
    <row r="248" spans="1:12">
      <c r="A248" s="102">
        <v>50110229</v>
      </c>
      <c r="B248" s="103">
        <v>45782</v>
      </c>
      <c r="C248" s="102" t="s">
        <v>345</v>
      </c>
      <c r="D248" s="102" t="s">
        <v>3157</v>
      </c>
      <c r="E248" s="104" t="s">
        <v>3158</v>
      </c>
      <c r="F248" s="102">
        <v>1</v>
      </c>
      <c r="G248" s="68">
        <v>1</v>
      </c>
      <c r="H248" s="68" t="s">
        <v>2603</v>
      </c>
      <c r="I248" s="89"/>
      <c r="J248" s="90" t="s">
        <v>2604</v>
      </c>
      <c r="K248" s="90" t="s">
        <v>2630</v>
      </c>
      <c r="L248" s="58">
        <v>5</v>
      </c>
    </row>
    <row r="249" spans="1:12">
      <c r="A249" s="55">
        <v>60002095</v>
      </c>
      <c r="B249" s="57">
        <v>45782</v>
      </c>
      <c r="C249" s="55" t="s">
        <v>33</v>
      </c>
      <c r="D249" s="55" t="s">
        <v>1267</v>
      </c>
      <c r="E249" s="100" t="s">
        <v>3159</v>
      </c>
      <c r="F249" s="55">
        <v>1</v>
      </c>
      <c r="G249" s="56">
        <v>1</v>
      </c>
      <c r="H249" s="56" t="s">
        <v>2603</v>
      </c>
      <c r="I249" s="80"/>
      <c r="J249" s="37" t="s">
        <v>2604</v>
      </c>
      <c r="K249" s="37" t="s">
        <v>2630</v>
      </c>
      <c r="L249" s="58">
        <v>5</v>
      </c>
    </row>
    <row r="250" spans="1:12">
      <c r="A250" s="63">
        <v>50110229</v>
      </c>
      <c r="B250" s="62">
        <v>45782</v>
      </c>
      <c r="C250" s="63" t="s">
        <v>345</v>
      </c>
      <c r="D250" s="63" t="s">
        <v>807</v>
      </c>
      <c r="E250" s="101" t="s">
        <v>808</v>
      </c>
      <c r="F250" s="63">
        <v>1</v>
      </c>
      <c r="G250" s="47">
        <v>1</v>
      </c>
      <c r="H250" s="47" t="s">
        <v>2603</v>
      </c>
      <c r="I250" s="84"/>
      <c r="J250" s="85" t="s">
        <v>2604</v>
      </c>
      <c r="K250" s="85" t="s">
        <v>2630</v>
      </c>
      <c r="L250" s="58">
        <v>5</v>
      </c>
    </row>
    <row r="251" spans="1:12">
      <c r="A251" s="102">
        <v>50110229</v>
      </c>
      <c r="B251" s="105">
        <v>45782</v>
      </c>
      <c r="C251" s="102" t="s">
        <v>345</v>
      </c>
      <c r="D251" s="102" t="s">
        <v>809</v>
      </c>
      <c r="E251" s="104" t="s">
        <v>810</v>
      </c>
      <c r="F251" s="102">
        <v>1</v>
      </c>
      <c r="G251" s="68">
        <v>1</v>
      </c>
      <c r="H251" s="68" t="s">
        <v>2603</v>
      </c>
      <c r="I251" s="89"/>
      <c r="J251" s="90" t="s">
        <v>2604</v>
      </c>
      <c r="K251" s="90" t="s">
        <v>2630</v>
      </c>
      <c r="L251" s="58">
        <v>5</v>
      </c>
    </row>
    <row r="252" spans="1:12">
      <c r="A252" s="55">
        <v>50110229</v>
      </c>
      <c r="B252" s="54">
        <v>45782</v>
      </c>
      <c r="C252" s="55" t="s">
        <v>345</v>
      </c>
      <c r="D252" s="55" t="s">
        <v>1099</v>
      </c>
      <c r="E252" s="100" t="s">
        <v>3160</v>
      </c>
      <c r="F252" s="55">
        <v>1</v>
      </c>
      <c r="G252" s="56">
        <v>1</v>
      </c>
      <c r="H252" s="56" t="s">
        <v>2608</v>
      </c>
      <c r="I252" s="80"/>
      <c r="J252" s="37" t="s">
        <v>2604</v>
      </c>
      <c r="K252" s="37" t="s">
        <v>2630</v>
      </c>
      <c r="L252" s="58">
        <v>5</v>
      </c>
    </row>
    <row r="253" spans="1:12">
      <c r="A253" s="63">
        <v>50110229</v>
      </c>
      <c r="B253" s="62">
        <v>45783</v>
      </c>
      <c r="C253" s="63" t="s">
        <v>345</v>
      </c>
      <c r="D253" s="63" t="s">
        <v>3161</v>
      </c>
      <c r="E253" s="101" t="s">
        <v>3162</v>
      </c>
      <c r="F253" s="63">
        <v>1</v>
      </c>
      <c r="G253" s="47">
        <v>1</v>
      </c>
      <c r="H253" s="47" t="s">
        <v>2603</v>
      </c>
      <c r="I253" s="84"/>
      <c r="J253" s="85" t="s">
        <v>2604</v>
      </c>
      <c r="K253" s="85" t="s">
        <v>2630</v>
      </c>
      <c r="L253" s="58">
        <v>5</v>
      </c>
    </row>
    <row r="254" spans="1:12">
      <c r="A254" s="64">
        <v>51100064</v>
      </c>
      <c r="B254" s="65">
        <v>45783</v>
      </c>
      <c r="C254" s="64" t="s">
        <v>3163</v>
      </c>
      <c r="D254" s="64" t="s">
        <v>3164</v>
      </c>
      <c r="E254" s="106" t="s">
        <v>3165</v>
      </c>
      <c r="F254" s="64">
        <v>1</v>
      </c>
      <c r="G254" s="66">
        <v>1</v>
      </c>
      <c r="H254" s="66" t="s">
        <v>2603</v>
      </c>
      <c r="I254" s="94"/>
      <c r="J254" s="95" t="s">
        <v>2604</v>
      </c>
      <c r="K254" s="95" t="s">
        <v>2630</v>
      </c>
      <c r="L254" s="58">
        <v>5</v>
      </c>
    </row>
    <row r="255" spans="1:12">
      <c r="A255" s="63">
        <v>48000432</v>
      </c>
      <c r="B255" s="62">
        <v>45783</v>
      </c>
      <c r="C255" s="63" t="s">
        <v>134</v>
      </c>
      <c r="D255" s="63" t="s">
        <v>3166</v>
      </c>
      <c r="E255" s="101" t="s">
        <v>3121</v>
      </c>
      <c r="F255" s="63">
        <v>1</v>
      </c>
      <c r="G255" s="47">
        <v>1</v>
      </c>
      <c r="H255" s="47" t="s">
        <v>2603</v>
      </c>
      <c r="I255" s="84"/>
      <c r="J255" s="85" t="s">
        <v>2604</v>
      </c>
      <c r="K255" s="85" t="s">
        <v>2630</v>
      </c>
      <c r="L255" s="58">
        <v>5</v>
      </c>
    </row>
    <row r="256" spans="1:12">
      <c r="A256" s="102">
        <v>50000351</v>
      </c>
      <c r="B256" s="105">
        <v>45784</v>
      </c>
      <c r="C256" s="102" t="s">
        <v>333</v>
      </c>
      <c r="D256" s="102" t="s">
        <v>3167</v>
      </c>
      <c r="E256" s="104" t="s">
        <v>3168</v>
      </c>
      <c r="F256" s="102">
        <v>5</v>
      </c>
      <c r="G256" s="68">
        <v>5</v>
      </c>
      <c r="H256" s="68" t="s">
        <v>2603</v>
      </c>
      <c r="I256" s="89"/>
      <c r="J256" s="90" t="s">
        <v>2604</v>
      </c>
      <c r="K256" s="90" t="s">
        <v>2630</v>
      </c>
      <c r="L256" s="58">
        <v>5</v>
      </c>
    </row>
    <row r="257" spans="1:12">
      <c r="A257" s="70">
        <v>50000351</v>
      </c>
      <c r="B257" s="60">
        <v>45784</v>
      </c>
      <c r="C257" s="70" t="s">
        <v>333</v>
      </c>
      <c r="D257" s="70" t="s">
        <v>3169</v>
      </c>
      <c r="E257" s="72" t="s">
        <v>3170</v>
      </c>
      <c r="F257" s="70">
        <v>5</v>
      </c>
      <c r="G257" s="58">
        <v>5</v>
      </c>
      <c r="H257" s="58" t="s">
        <v>2603</v>
      </c>
      <c r="I257" s="75"/>
      <c r="J257" s="34" t="s">
        <v>2604</v>
      </c>
      <c r="K257" s="34" t="s">
        <v>2630</v>
      </c>
      <c r="L257" s="58">
        <v>5</v>
      </c>
    </row>
    <row r="258" spans="1:12">
      <c r="A258" s="70">
        <v>51000136</v>
      </c>
      <c r="B258" s="60">
        <v>45784</v>
      </c>
      <c r="C258" s="70" t="s">
        <v>101</v>
      </c>
      <c r="D258" s="70" t="s">
        <v>3171</v>
      </c>
      <c r="E258" s="72" t="s">
        <v>3172</v>
      </c>
      <c r="F258" s="70">
        <v>8</v>
      </c>
      <c r="G258" s="58">
        <v>8</v>
      </c>
      <c r="H258" s="58" t="s">
        <v>2603</v>
      </c>
      <c r="I258" s="75"/>
      <c r="J258" s="34" t="s">
        <v>2604</v>
      </c>
      <c r="K258" s="34" t="s">
        <v>2630</v>
      </c>
      <c r="L258" s="58">
        <v>5</v>
      </c>
    </row>
    <row r="259" spans="1:12">
      <c r="A259" s="55">
        <v>51000136</v>
      </c>
      <c r="B259" s="54">
        <v>45784</v>
      </c>
      <c r="C259" s="55" t="s">
        <v>101</v>
      </c>
      <c r="D259" s="55" t="s">
        <v>866</v>
      </c>
      <c r="E259" s="100" t="s">
        <v>3173</v>
      </c>
      <c r="F259" s="55">
        <v>2</v>
      </c>
      <c r="G259" s="56">
        <v>2</v>
      </c>
      <c r="H259" s="56" t="s">
        <v>2603</v>
      </c>
      <c r="I259" s="80"/>
      <c r="J259" s="37" t="s">
        <v>2604</v>
      </c>
      <c r="K259" s="37" t="s">
        <v>2630</v>
      </c>
      <c r="L259" s="58">
        <v>5</v>
      </c>
    </row>
    <row r="260" spans="1:12">
      <c r="A260" s="63">
        <v>50110229</v>
      </c>
      <c r="B260" s="62">
        <v>45784</v>
      </c>
      <c r="C260" s="63" t="s">
        <v>345</v>
      </c>
      <c r="D260" s="63" t="s">
        <v>3133</v>
      </c>
      <c r="E260" s="101" t="s">
        <v>3174</v>
      </c>
      <c r="F260" s="63">
        <v>1</v>
      </c>
      <c r="G260" s="47">
        <v>0</v>
      </c>
      <c r="H260" s="47" t="s">
        <v>2603</v>
      </c>
      <c r="I260" s="84"/>
      <c r="J260" s="85" t="s">
        <v>2604</v>
      </c>
      <c r="K260" s="85" t="s">
        <v>2630</v>
      </c>
      <c r="L260" s="58">
        <v>5</v>
      </c>
    </row>
    <row r="261" spans="1:12">
      <c r="A261" s="63">
        <v>48000482</v>
      </c>
      <c r="B261" s="62">
        <v>45785</v>
      </c>
      <c r="C261" s="63" t="s">
        <v>704</v>
      </c>
      <c r="D261" s="63" t="s">
        <v>3175</v>
      </c>
      <c r="E261" s="101" t="s">
        <v>3176</v>
      </c>
      <c r="F261" s="63">
        <v>1</v>
      </c>
      <c r="G261" s="47">
        <v>0</v>
      </c>
      <c r="H261" s="47" t="s">
        <v>2603</v>
      </c>
      <c r="I261" s="84"/>
      <c r="J261" s="85" t="s">
        <v>2604</v>
      </c>
      <c r="K261" s="85" t="s">
        <v>2630</v>
      </c>
      <c r="L261" s="58">
        <v>5</v>
      </c>
    </row>
    <row r="262" spans="1:12">
      <c r="A262" s="64">
        <v>50000260</v>
      </c>
      <c r="B262" s="65">
        <v>45785</v>
      </c>
      <c r="C262" s="64" t="s">
        <v>327</v>
      </c>
      <c r="D262" s="64" t="s">
        <v>3177</v>
      </c>
      <c r="E262" s="106" t="s">
        <v>3178</v>
      </c>
      <c r="F262" s="64">
        <v>1</v>
      </c>
      <c r="G262" s="66">
        <v>1</v>
      </c>
      <c r="H262" s="66" t="s">
        <v>2603</v>
      </c>
      <c r="I262" s="94"/>
      <c r="J262" s="95" t="s">
        <v>2604</v>
      </c>
      <c r="K262" s="95" t="s">
        <v>2630</v>
      </c>
      <c r="L262" s="58">
        <v>5</v>
      </c>
    </row>
    <row r="263" spans="1:12">
      <c r="A263" s="63">
        <v>50110229</v>
      </c>
      <c r="B263" s="62">
        <v>45785</v>
      </c>
      <c r="C263" s="63" t="s">
        <v>345</v>
      </c>
      <c r="D263" s="63" t="s">
        <v>1489</v>
      </c>
      <c r="E263" s="101" t="s">
        <v>3179</v>
      </c>
      <c r="F263" s="63">
        <v>1</v>
      </c>
      <c r="G263" s="47">
        <v>0</v>
      </c>
      <c r="H263" s="47" t="s">
        <v>2603</v>
      </c>
      <c r="I263" s="84"/>
      <c r="J263" s="85" t="s">
        <v>2604</v>
      </c>
      <c r="K263" s="85" t="s">
        <v>2630</v>
      </c>
      <c r="L263" s="58">
        <v>5</v>
      </c>
    </row>
    <row r="264" spans="1:12">
      <c r="A264" s="102">
        <v>44000059</v>
      </c>
      <c r="B264" s="105">
        <v>45789</v>
      </c>
      <c r="C264" s="102" t="s">
        <v>134</v>
      </c>
      <c r="D264" s="102" t="s">
        <v>2760</v>
      </c>
      <c r="E264" s="104" t="s">
        <v>3180</v>
      </c>
      <c r="F264" s="102">
        <v>1</v>
      </c>
      <c r="G264" s="68">
        <v>1</v>
      </c>
      <c r="H264" s="68" t="s">
        <v>2603</v>
      </c>
      <c r="I264" s="89"/>
      <c r="J264" s="90" t="s">
        <v>2604</v>
      </c>
      <c r="K264" s="90" t="s">
        <v>2630</v>
      </c>
      <c r="L264" s="58">
        <v>5</v>
      </c>
    </row>
    <row r="265" spans="1:12">
      <c r="A265" s="70">
        <v>60002072</v>
      </c>
      <c r="B265" s="60">
        <v>45789</v>
      </c>
      <c r="C265" s="70" t="s">
        <v>94</v>
      </c>
      <c r="D265" s="70" t="s">
        <v>1162</v>
      </c>
      <c r="E265" s="72" t="s">
        <v>3181</v>
      </c>
      <c r="F265" s="70">
        <v>4</v>
      </c>
      <c r="G265" s="58">
        <v>4</v>
      </c>
      <c r="H265" s="58" t="s">
        <v>2603</v>
      </c>
      <c r="I265" s="75"/>
      <c r="J265" s="34" t="s">
        <v>2604</v>
      </c>
      <c r="K265" s="34" t="s">
        <v>2630</v>
      </c>
      <c r="L265" s="58">
        <v>5</v>
      </c>
    </row>
    <row r="266" spans="1:12">
      <c r="A266" s="70">
        <v>51000323</v>
      </c>
      <c r="B266" s="60">
        <v>45789</v>
      </c>
      <c r="C266" s="70" t="s">
        <v>101</v>
      </c>
      <c r="D266" s="70" t="s">
        <v>2279</v>
      </c>
      <c r="E266" s="72" t="s">
        <v>2746</v>
      </c>
      <c r="F266" s="70">
        <v>2</v>
      </c>
      <c r="G266" s="58">
        <v>2</v>
      </c>
      <c r="H266" s="58" t="s">
        <v>2603</v>
      </c>
      <c r="I266" s="75"/>
      <c r="J266" s="34" t="s">
        <v>2604</v>
      </c>
      <c r="K266" s="34" t="s">
        <v>2630</v>
      </c>
      <c r="L266" s="58">
        <v>5</v>
      </c>
    </row>
    <row r="267" spans="1:12">
      <c r="A267" s="70">
        <v>51000136</v>
      </c>
      <c r="B267" s="60">
        <v>45789</v>
      </c>
      <c r="C267" s="70" t="s">
        <v>101</v>
      </c>
      <c r="D267" s="70" t="s">
        <v>2279</v>
      </c>
      <c r="E267" s="72" t="s">
        <v>2746</v>
      </c>
      <c r="F267" s="70">
        <v>2</v>
      </c>
      <c r="G267" s="58">
        <v>2</v>
      </c>
      <c r="H267" s="58" t="s">
        <v>2603</v>
      </c>
      <c r="I267" s="75"/>
      <c r="J267" s="34" t="s">
        <v>2604</v>
      </c>
      <c r="K267" s="34" t="s">
        <v>2630</v>
      </c>
      <c r="L267" s="58">
        <v>5</v>
      </c>
    </row>
    <row r="268" spans="1:12">
      <c r="A268" s="70">
        <v>48000432</v>
      </c>
      <c r="B268" s="60">
        <v>45789</v>
      </c>
      <c r="C268" s="70" t="s">
        <v>134</v>
      </c>
      <c r="D268" s="70" t="s">
        <v>3182</v>
      </c>
      <c r="E268" s="72" t="s">
        <v>3183</v>
      </c>
      <c r="F268" s="70">
        <v>1</v>
      </c>
      <c r="G268" s="58">
        <v>1</v>
      </c>
      <c r="H268" s="58" t="s">
        <v>2603</v>
      </c>
      <c r="I268" s="75"/>
      <c r="J268" s="34" t="s">
        <v>2604</v>
      </c>
      <c r="K268" s="34" t="s">
        <v>2630</v>
      </c>
      <c r="L268" s="58">
        <v>5</v>
      </c>
    </row>
    <row r="269" spans="1:12">
      <c r="A269" s="70">
        <v>50110057</v>
      </c>
      <c r="B269" s="60">
        <v>45789</v>
      </c>
      <c r="C269" s="70" t="s">
        <v>3184</v>
      </c>
      <c r="D269" s="70" t="s">
        <v>3185</v>
      </c>
      <c r="E269" s="72" t="s">
        <v>3186</v>
      </c>
      <c r="F269" s="70">
        <v>1</v>
      </c>
      <c r="G269" s="58">
        <v>1</v>
      </c>
      <c r="H269" s="58" t="s">
        <v>2603</v>
      </c>
      <c r="I269" s="75"/>
      <c r="J269" s="34" t="s">
        <v>2604</v>
      </c>
      <c r="K269" s="34" t="s">
        <v>2630</v>
      </c>
      <c r="L269" s="58">
        <v>5</v>
      </c>
    </row>
    <row r="270" spans="1:12">
      <c r="A270" s="70">
        <v>60002095</v>
      </c>
      <c r="B270" s="60">
        <v>45789</v>
      </c>
      <c r="C270" s="70" t="s">
        <v>33</v>
      </c>
      <c r="D270" s="70" t="s">
        <v>3187</v>
      </c>
      <c r="E270" s="72" t="s">
        <v>3188</v>
      </c>
      <c r="F270" s="70">
        <v>1</v>
      </c>
      <c r="G270" s="58">
        <v>1</v>
      </c>
      <c r="H270" s="58" t="s">
        <v>2603</v>
      </c>
      <c r="I270" s="75"/>
      <c r="J270" s="34" t="s">
        <v>2604</v>
      </c>
      <c r="K270" s="34" t="s">
        <v>2630</v>
      </c>
      <c r="L270" s="58">
        <v>5</v>
      </c>
    </row>
    <row r="271" spans="1:12">
      <c r="A271" s="70">
        <v>50110372</v>
      </c>
      <c r="B271" s="60">
        <v>45789</v>
      </c>
      <c r="C271" s="70" t="s">
        <v>33</v>
      </c>
      <c r="D271" s="70" t="s">
        <v>3157</v>
      </c>
      <c r="E271" s="72" t="s">
        <v>3158</v>
      </c>
      <c r="F271" s="70">
        <v>1</v>
      </c>
      <c r="G271" s="58">
        <v>1</v>
      </c>
      <c r="H271" s="58" t="s">
        <v>2603</v>
      </c>
      <c r="I271" s="75"/>
      <c r="J271" s="34" t="s">
        <v>2604</v>
      </c>
      <c r="K271" s="34" t="s">
        <v>2630</v>
      </c>
      <c r="L271" s="58">
        <v>5</v>
      </c>
    </row>
    <row r="272" spans="1:12">
      <c r="A272" s="70">
        <v>50110372</v>
      </c>
      <c r="B272" s="60">
        <v>45789</v>
      </c>
      <c r="C272" s="70" t="s">
        <v>33</v>
      </c>
      <c r="D272" s="70" t="s">
        <v>1401</v>
      </c>
      <c r="E272" s="72" t="s">
        <v>1402</v>
      </c>
      <c r="F272" s="70">
        <v>1</v>
      </c>
      <c r="G272" s="58">
        <v>1</v>
      </c>
      <c r="H272" s="58" t="s">
        <v>2603</v>
      </c>
      <c r="I272" s="75"/>
      <c r="J272" s="34" t="s">
        <v>2604</v>
      </c>
      <c r="K272" s="34" t="s">
        <v>2630</v>
      </c>
      <c r="L272" s="58">
        <v>5</v>
      </c>
    </row>
    <row r="273" spans="1:12">
      <c r="A273" s="70">
        <v>60002095</v>
      </c>
      <c r="B273" s="60">
        <v>45792</v>
      </c>
      <c r="C273" s="70" t="s">
        <v>33</v>
      </c>
      <c r="D273" s="70" t="s">
        <v>3189</v>
      </c>
      <c r="E273" s="72" t="s">
        <v>3190</v>
      </c>
      <c r="F273" s="70">
        <v>1</v>
      </c>
      <c r="G273" s="58">
        <v>1</v>
      </c>
      <c r="H273" s="58" t="s">
        <v>2603</v>
      </c>
      <c r="I273" s="75"/>
      <c r="J273" s="34" t="s">
        <v>2604</v>
      </c>
      <c r="K273" s="34" t="s">
        <v>2630</v>
      </c>
      <c r="L273" s="58">
        <v>5</v>
      </c>
    </row>
    <row r="274" spans="1:12">
      <c r="A274" s="70">
        <v>50110193</v>
      </c>
      <c r="B274" s="60">
        <v>45792</v>
      </c>
      <c r="C274" s="70" t="s">
        <v>125</v>
      </c>
      <c r="D274" s="70" t="s">
        <v>82</v>
      </c>
      <c r="E274" s="72" t="s">
        <v>974</v>
      </c>
      <c r="F274" s="70">
        <v>1</v>
      </c>
      <c r="G274" s="58">
        <v>1</v>
      </c>
      <c r="H274" s="58" t="s">
        <v>2603</v>
      </c>
      <c r="I274" s="75"/>
      <c r="J274" s="34" t="s">
        <v>2604</v>
      </c>
      <c r="K274" s="34" t="s">
        <v>2630</v>
      </c>
      <c r="L274" s="58">
        <v>5</v>
      </c>
    </row>
    <row r="275" spans="1:12">
      <c r="A275" s="70">
        <v>50110193</v>
      </c>
      <c r="B275" s="60">
        <v>45792</v>
      </c>
      <c r="C275" s="70" t="s">
        <v>125</v>
      </c>
      <c r="D275" s="70" t="s">
        <v>2486</v>
      </c>
      <c r="E275" s="72" t="s">
        <v>355</v>
      </c>
      <c r="F275" s="70">
        <v>1</v>
      </c>
      <c r="G275" s="58">
        <v>1</v>
      </c>
      <c r="H275" s="58" t="s">
        <v>2603</v>
      </c>
      <c r="I275" s="75"/>
      <c r="J275" s="34" t="s">
        <v>2604</v>
      </c>
      <c r="K275" s="34" t="s">
        <v>2630</v>
      </c>
      <c r="L275" s="58">
        <v>5</v>
      </c>
    </row>
    <row r="276" spans="1:12">
      <c r="A276" s="70">
        <v>51000323</v>
      </c>
      <c r="B276" s="60">
        <v>45792</v>
      </c>
      <c r="C276" s="70" t="s">
        <v>101</v>
      </c>
      <c r="D276" s="70" t="s">
        <v>3191</v>
      </c>
      <c r="E276" s="72" t="s">
        <v>3192</v>
      </c>
      <c r="F276" s="70">
        <v>2</v>
      </c>
      <c r="G276" s="58">
        <v>2</v>
      </c>
      <c r="H276" s="58" t="s">
        <v>2603</v>
      </c>
      <c r="I276" s="75"/>
      <c r="J276" s="34" t="s">
        <v>2604</v>
      </c>
      <c r="K276" s="34" t="s">
        <v>2630</v>
      </c>
      <c r="L276" s="58">
        <v>5</v>
      </c>
    </row>
    <row r="277" spans="1:12">
      <c r="A277" s="55">
        <v>50110193</v>
      </c>
      <c r="B277" s="54">
        <v>45793</v>
      </c>
      <c r="C277" s="55" t="s">
        <v>125</v>
      </c>
      <c r="D277" s="55" t="s">
        <v>3193</v>
      </c>
      <c r="E277" s="100" t="s">
        <v>3194</v>
      </c>
      <c r="F277" s="55">
        <v>1</v>
      </c>
      <c r="G277" s="56">
        <v>1</v>
      </c>
      <c r="H277" s="56" t="s">
        <v>2603</v>
      </c>
      <c r="I277" s="80"/>
      <c r="J277" s="37" t="s">
        <v>2604</v>
      </c>
      <c r="K277" s="37" t="s">
        <v>2630</v>
      </c>
      <c r="L277" s="58">
        <v>5</v>
      </c>
    </row>
    <row r="278" spans="1:12">
      <c r="A278" s="63">
        <v>50300097</v>
      </c>
      <c r="B278" s="62">
        <v>45793</v>
      </c>
      <c r="C278" s="63" t="s">
        <v>333</v>
      </c>
      <c r="D278" s="63" t="s">
        <v>3195</v>
      </c>
      <c r="E278" s="101" t="s">
        <v>3196</v>
      </c>
      <c r="F278" s="63">
        <v>1</v>
      </c>
      <c r="G278" s="47">
        <v>0</v>
      </c>
      <c r="H278" s="47" t="s">
        <v>2603</v>
      </c>
      <c r="I278" s="84"/>
      <c r="J278" s="85" t="s">
        <v>2604</v>
      </c>
      <c r="K278" s="85" t="s">
        <v>2630</v>
      </c>
      <c r="L278" s="58">
        <v>5</v>
      </c>
    </row>
    <row r="279" spans="1:12">
      <c r="A279" s="102">
        <v>50300098</v>
      </c>
      <c r="B279" s="105">
        <v>45793</v>
      </c>
      <c r="C279" s="102" t="s">
        <v>333</v>
      </c>
      <c r="D279" s="102" t="s">
        <v>1920</v>
      </c>
      <c r="E279" s="104" t="s">
        <v>3197</v>
      </c>
      <c r="F279" s="102">
        <v>1</v>
      </c>
      <c r="G279" s="68">
        <v>1</v>
      </c>
      <c r="H279" s="68" t="s">
        <v>2603</v>
      </c>
      <c r="I279" s="89"/>
      <c r="J279" s="90" t="s">
        <v>2604</v>
      </c>
      <c r="K279" s="90" t="s">
        <v>2630</v>
      </c>
      <c r="L279" s="58">
        <v>5</v>
      </c>
    </row>
    <row r="280" spans="1:12">
      <c r="A280" s="70">
        <v>48000044</v>
      </c>
      <c r="B280" s="60">
        <v>45793</v>
      </c>
      <c r="C280" s="70" t="s">
        <v>154</v>
      </c>
      <c r="D280" s="70" t="s">
        <v>448</v>
      </c>
      <c r="E280" s="72" t="s">
        <v>2119</v>
      </c>
      <c r="F280" s="70">
        <v>1</v>
      </c>
      <c r="G280" s="58">
        <v>1</v>
      </c>
      <c r="H280" s="58" t="s">
        <v>2603</v>
      </c>
      <c r="I280" s="75"/>
      <c r="J280" s="34" t="s">
        <v>2604</v>
      </c>
      <c r="K280" s="34" t="s">
        <v>2630</v>
      </c>
      <c r="L280" s="58">
        <v>5</v>
      </c>
    </row>
    <row r="281" spans="1:12">
      <c r="A281" s="55">
        <v>50110229</v>
      </c>
      <c r="B281" s="54">
        <v>45793</v>
      </c>
      <c r="C281" s="55" t="s">
        <v>345</v>
      </c>
      <c r="D281" s="55" t="s">
        <v>629</v>
      </c>
      <c r="E281" s="100" t="s">
        <v>3198</v>
      </c>
      <c r="F281" s="55">
        <v>1</v>
      </c>
      <c r="G281" s="56">
        <v>1</v>
      </c>
      <c r="H281" s="56" t="s">
        <v>2603</v>
      </c>
      <c r="I281" s="80"/>
      <c r="J281" s="37" t="s">
        <v>2604</v>
      </c>
      <c r="K281" s="37" t="s">
        <v>2630</v>
      </c>
      <c r="L281" s="58">
        <v>5</v>
      </c>
    </row>
    <row r="282" spans="1:12">
      <c r="A282" s="70">
        <v>51000136</v>
      </c>
      <c r="B282" s="60">
        <v>45793</v>
      </c>
      <c r="C282" s="70" t="s">
        <v>101</v>
      </c>
      <c r="D282" s="70" t="s">
        <v>2776</v>
      </c>
      <c r="E282" s="72" t="s">
        <v>3199</v>
      </c>
      <c r="F282" s="107">
        <v>1</v>
      </c>
      <c r="G282" s="68">
        <v>1</v>
      </c>
      <c r="H282" s="68" t="s">
        <v>2603</v>
      </c>
      <c r="I282" s="89"/>
      <c r="J282" s="90" t="s">
        <v>2604</v>
      </c>
      <c r="K282" s="90" t="s">
        <v>2630</v>
      </c>
      <c r="L282" s="58">
        <v>5</v>
      </c>
    </row>
    <row r="283" spans="1:12">
      <c r="A283" s="70">
        <v>51000136</v>
      </c>
      <c r="B283" s="60">
        <v>45793</v>
      </c>
      <c r="C283" s="70" t="s">
        <v>101</v>
      </c>
      <c r="D283" s="70" t="s">
        <v>417</v>
      </c>
      <c r="E283" s="72" t="s">
        <v>567</v>
      </c>
      <c r="F283" s="107">
        <v>1</v>
      </c>
      <c r="G283" s="58">
        <v>1</v>
      </c>
      <c r="H283" s="58" t="s">
        <v>2603</v>
      </c>
      <c r="I283" s="71"/>
      <c r="J283" s="58" t="s">
        <v>2604</v>
      </c>
      <c r="K283" s="58" t="s">
        <v>2630</v>
      </c>
      <c r="L283" s="58">
        <v>5</v>
      </c>
    </row>
    <row r="284" spans="1:12">
      <c r="A284" s="70">
        <v>50110193</v>
      </c>
      <c r="B284" s="60">
        <v>45797</v>
      </c>
      <c r="C284" s="70" t="s">
        <v>125</v>
      </c>
      <c r="D284" s="70" t="s">
        <v>1292</v>
      </c>
      <c r="E284" s="72" t="s">
        <v>3200</v>
      </c>
      <c r="F284" s="107">
        <v>1</v>
      </c>
      <c r="G284" s="58">
        <v>1</v>
      </c>
      <c r="H284" s="58" t="s">
        <v>2603</v>
      </c>
      <c r="I284" s="71"/>
      <c r="J284" s="58" t="s">
        <v>2604</v>
      </c>
      <c r="K284" s="58" t="s">
        <v>2630</v>
      </c>
      <c r="L284" s="58">
        <v>5</v>
      </c>
    </row>
    <row r="285" spans="1:12">
      <c r="A285" s="70">
        <v>50110372</v>
      </c>
      <c r="B285" s="60">
        <v>45797</v>
      </c>
      <c r="C285" s="70" t="s">
        <v>33</v>
      </c>
      <c r="D285" s="70" t="s">
        <v>3201</v>
      </c>
      <c r="E285" s="72" t="s">
        <v>3202</v>
      </c>
      <c r="F285" s="107">
        <v>1</v>
      </c>
      <c r="G285" s="58">
        <v>1</v>
      </c>
      <c r="H285" s="58" t="s">
        <v>2603</v>
      </c>
      <c r="I285" s="71"/>
      <c r="J285" s="58" t="s">
        <v>2604</v>
      </c>
      <c r="K285" s="58" t="s">
        <v>2630</v>
      </c>
      <c r="L285" s="58">
        <v>5</v>
      </c>
    </row>
    <row r="286" spans="1:12">
      <c r="A286" s="70">
        <v>44000216</v>
      </c>
      <c r="B286" s="60">
        <v>45797</v>
      </c>
      <c r="C286" s="70" t="s">
        <v>162</v>
      </c>
      <c r="D286" s="70" t="s">
        <v>2120</v>
      </c>
      <c r="E286" s="72" t="s">
        <v>3029</v>
      </c>
      <c r="F286" s="107">
        <v>1</v>
      </c>
      <c r="G286" s="58">
        <v>1</v>
      </c>
      <c r="H286" s="58" t="s">
        <v>2603</v>
      </c>
      <c r="I286" s="71"/>
      <c r="J286" s="58" t="s">
        <v>2604</v>
      </c>
      <c r="K286" s="58" t="s">
        <v>2630</v>
      </c>
      <c r="L286" s="58">
        <v>5</v>
      </c>
    </row>
    <row r="287" spans="1:12">
      <c r="A287" s="70">
        <v>50110372</v>
      </c>
      <c r="B287" s="60">
        <v>45800</v>
      </c>
      <c r="C287" s="70" t="s">
        <v>33</v>
      </c>
      <c r="D287" s="70" t="s">
        <v>329</v>
      </c>
      <c r="E287" s="72" t="s">
        <v>349</v>
      </c>
      <c r="F287" s="107">
        <v>1</v>
      </c>
      <c r="G287" s="58">
        <v>1</v>
      </c>
      <c r="H287" s="58" t="s">
        <v>2603</v>
      </c>
      <c r="I287" s="71"/>
      <c r="J287" s="58" t="s">
        <v>2604</v>
      </c>
      <c r="K287" s="58" t="s">
        <v>2630</v>
      </c>
      <c r="L287" s="58">
        <v>5</v>
      </c>
    </row>
    <row r="288" spans="1:12">
      <c r="A288" s="70">
        <v>50110057</v>
      </c>
      <c r="B288" s="60">
        <v>45803</v>
      </c>
      <c r="C288" s="70" t="s">
        <v>88</v>
      </c>
      <c r="D288" s="70" t="s">
        <v>1691</v>
      </c>
      <c r="E288" s="72" t="s">
        <v>3203</v>
      </c>
      <c r="F288" s="107">
        <v>1</v>
      </c>
      <c r="G288" s="58">
        <v>1</v>
      </c>
      <c r="H288" s="58" t="s">
        <v>2603</v>
      </c>
      <c r="I288" s="71"/>
      <c r="J288" s="58" t="s">
        <v>2604</v>
      </c>
      <c r="K288" s="58" t="s">
        <v>2630</v>
      </c>
      <c r="L288" s="58">
        <v>5</v>
      </c>
    </row>
    <row r="289" spans="1:12">
      <c r="A289" s="70">
        <v>50000530</v>
      </c>
      <c r="B289" s="60">
        <v>45803</v>
      </c>
      <c r="C289" s="70" t="s">
        <v>365</v>
      </c>
      <c r="D289" s="70" t="s">
        <v>403</v>
      </c>
      <c r="E289" s="72" t="s">
        <v>3204</v>
      </c>
      <c r="F289" s="107">
        <v>2</v>
      </c>
      <c r="G289" s="58">
        <v>1</v>
      </c>
      <c r="H289" s="58" t="s">
        <v>2603</v>
      </c>
      <c r="I289" s="71"/>
      <c r="J289" s="58" t="s">
        <v>2604</v>
      </c>
      <c r="K289" s="58" t="s">
        <v>2630</v>
      </c>
      <c r="L289" s="58">
        <v>5</v>
      </c>
    </row>
    <row r="290" spans="1:12">
      <c r="A290" s="70">
        <v>50000530</v>
      </c>
      <c r="B290" s="60">
        <v>45803</v>
      </c>
      <c r="C290" s="70" t="s">
        <v>365</v>
      </c>
      <c r="D290" s="70" t="s">
        <v>405</v>
      </c>
      <c r="E290" s="72" t="s">
        <v>406</v>
      </c>
      <c r="F290" s="107">
        <v>4</v>
      </c>
      <c r="G290" s="58">
        <v>2</v>
      </c>
      <c r="H290" s="58" t="s">
        <v>2603</v>
      </c>
      <c r="I290" s="71"/>
      <c r="J290" s="58" t="s">
        <v>2604</v>
      </c>
      <c r="K290" s="58" t="s">
        <v>2630</v>
      </c>
      <c r="L290" s="58">
        <v>5</v>
      </c>
    </row>
    <row r="291" spans="1:12">
      <c r="A291" s="70">
        <v>47100399</v>
      </c>
      <c r="B291" s="60">
        <v>45803</v>
      </c>
      <c r="C291" s="70" t="s">
        <v>1549</v>
      </c>
      <c r="D291" s="70" t="s">
        <v>3205</v>
      </c>
      <c r="E291" s="72" t="s">
        <v>3206</v>
      </c>
      <c r="F291" s="107">
        <v>2</v>
      </c>
      <c r="G291" s="58">
        <v>4</v>
      </c>
      <c r="H291" s="58" t="s">
        <v>2603</v>
      </c>
      <c r="I291" s="71"/>
      <c r="J291" s="58" t="s">
        <v>2604</v>
      </c>
      <c r="K291" s="58" t="s">
        <v>2630</v>
      </c>
      <c r="L291" s="58">
        <v>5</v>
      </c>
    </row>
    <row r="292" spans="1:12">
      <c r="A292" s="70">
        <v>50110229</v>
      </c>
      <c r="B292" s="60">
        <v>45799</v>
      </c>
      <c r="C292" s="70" t="s">
        <v>345</v>
      </c>
      <c r="D292" s="70" t="s">
        <v>222</v>
      </c>
      <c r="E292" s="72" t="s">
        <v>3139</v>
      </c>
      <c r="F292" s="107">
        <v>1</v>
      </c>
      <c r="G292" s="58">
        <v>2</v>
      </c>
      <c r="H292" s="58" t="s">
        <v>2603</v>
      </c>
      <c r="I292" s="71"/>
      <c r="J292" s="58" t="s">
        <v>2604</v>
      </c>
      <c r="K292" s="58" t="s">
        <v>2630</v>
      </c>
      <c r="L292" s="58">
        <v>5</v>
      </c>
    </row>
    <row r="293" spans="1:12">
      <c r="A293" s="70">
        <v>60002072</v>
      </c>
      <c r="B293" s="60">
        <v>45803</v>
      </c>
      <c r="C293" s="70" t="s">
        <v>94</v>
      </c>
      <c r="D293" s="70" t="s">
        <v>741</v>
      </c>
      <c r="E293" s="72" t="s">
        <v>3207</v>
      </c>
      <c r="F293" s="107">
        <v>1</v>
      </c>
      <c r="G293" s="58">
        <v>1</v>
      </c>
      <c r="H293" s="58" t="s">
        <v>2603</v>
      </c>
      <c r="I293" s="71"/>
      <c r="J293" s="58" t="s">
        <v>2604</v>
      </c>
      <c r="K293" s="58" t="s">
        <v>2630</v>
      </c>
      <c r="L293" s="58">
        <v>5</v>
      </c>
    </row>
    <row r="294" spans="1:12">
      <c r="A294" s="70">
        <v>60002072</v>
      </c>
      <c r="B294" s="60">
        <v>45803</v>
      </c>
      <c r="C294" s="70" t="s">
        <v>94</v>
      </c>
      <c r="D294" s="70" t="s">
        <v>741</v>
      </c>
      <c r="E294" s="72" t="s">
        <v>3207</v>
      </c>
      <c r="F294" s="107">
        <v>1</v>
      </c>
      <c r="G294" s="58">
        <v>1</v>
      </c>
      <c r="H294" s="58" t="s">
        <v>2603</v>
      </c>
      <c r="I294" s="71"/>
      <c r="J294" s="58" t="s">
        <v>2604</v>
      </c>
      <c r="K294" s="58" t="s">
        <v>2630</v>
      </c>
      <c r="L294" s="58">
        <v>5</v>
      </c>
    </row>
    <row r="295" spans="1:12">
      <c r="A295" s="70">
        <v>51000323</v>
      </c>
      <c r="B295" s="60">
        <v>45803</v>
      </c>
      <c r="C295" s="70" t="s">
        <v>101</v>
      </c>
      <c r="D295" s="70" t="s">
        <v>2653</v>
      </c>
      <c r="E295" s="72" t="s">
        <v>1000</v>
      </c>
      <c r="F295" s="107">
        <v>1</v>
      </c>
      <c r="G295" s="58">
        <v>1</v>
      </c>
      <c r="H295" s="58" t="s">
        <v>2603</v>
      </c>
      <c r="I295" s="71"/>
      <c r="J295" s="58" t="s">
        <v>2604</v>
      </c>
      <c r="K295" s="58" t="s">
        <v>2630</v>
      </c>
      <c r="L295" s="58">
        <v>5</v>
      </c>
    </row>
    <row r="296" spans="1:12">
      <c r="A296" s="70">
        <v>48500556</v>
      </c>
      <c r="B296" s="60">
        <v>45804</v>
      </c>
      <c r="C296" s="70" t="s">
        <v>3208</v>
      </c>
      <c r="D296" s="70" t="s">
        <v>1316</v>
      </c>
      <c r="E296" s="72" t="s">
        <v>1317</v>
      </c>
      <c r="F296" s="107">
        <v>1</v>
      </c>
      <c r="G296" s="58">
        <v>1</v>
      </c>
      <c r="H296" s="58" t="s">
        <v>2603</v>
      </c>
      <c r="I296" s="71"/>
      <c r="J296" s="58" t="s">
        <v>2604</v>
      </c>
      <c r="K296" s="58" t="s">
        <v>2630</v>
      </c>
      <c r="L296" s="58">
        <v>5</v>
      </c>
    </row>
    <row r="297" spans="1:12">
      <c r="A297" s="70">
        <v>48300375</v>
      </c>
      <c r="B297" s="60">
        <v>45804</v>
      </c>
      <c r="C297" s="70" t="s">
        <v>915</v>
      </c>
      <c r="D297" s="70" t="s">
        <v>2034</v>
      </c>
      <c r="E297" s="72" t="s">
        <v>3209</v>
      </c>
      <c r="F297" s="107">
        <v>1</v>
      </c>
      <c r="G297" s="58">
        <v>1</v>
      </c>
      <c r="H297" s="58" t="s">
        <v>2603</v>
      </c>
      <c r="I297" s="71"/>
      <c r="J297" s="58" t="s">
        <v>2604</v>
      </c>
      <c r="K297" s="58" t="s">
        <v>2630</v>
      </c>
      <c r="L297" s="58">
        <v>5</v>
      </c>
    </row>
    <row r="298" spans="1:12">
      <c r="A298" s="70">
        <v>48300253</v>
      </c>
      <c r="B298" s="60">
        <v>45804</v>
      </c>
      <c r="C298" s="70" t="s">
        <v>3210</v>
      </c>
      <c r="D298" s="70" t="s">
        <v>3211</v>
      </c>
      <c r="E298" s="72" t="s">
        <v>3212</v>
      </c>
      <c r="F298" s="107">
        <v>1</v>
      </c>
      <c r="G298" s="58">
        <v>1</v>
      </c>
      <c r="H298" s="58" t="s">
        <v>2603</v>
      </c>
      <c r="I298" s="71"/>
      <c r="J298" s="58" t="s">
        <v>2604</v>
      </c>
      <c r="K298" s="58" t="s">
        <v>2630</v>
      </c>
      <c r="L298" s="58">
        <v>5</v>
      </c>
    </row>
    <row r="299" spans="1:12">
      <c r="A299" s="70">
        <v>50300129</v>
      </c>
      <c r="B299" s="60">
        <v>45804</v>
      </c>
      <c r="C299" s="70" t="s">
        <v>1025</v>
      </c>
      <c r="D299" s="70" t="s">
        <v>3213</v>
      </c>
      <c r="E299" s="72" t="s">
        <v>3214</v>
      </c>
      <c r="F299" s="107">
        <v>1</v>
      </c>
      <c r="G299" s="58">
        <v>1</v>
      </c>
      <c r="H299" s="58" t="s">
        <v>2603</v>
      </c>
      <c r="I299" s="71"/>
      <c r="J299" s="58" t="s">
        <v>2604</v>
      </c>
      <c r="K299" s="58" t="s">
        <v>2630</v>
      </c>
      <c r="L299" s="58">
        <v>5</v>
      </c>
    </row>
    <row r="300" spans="1:12">
      <c r="A300" s="70">
        <v>50300129</v>
      </c>
      <c r="B300" s="60">
        <v>45804</v>
      </c>
      <c r="C300" s="70" t="s">
        <v>1025</v>
      </c>
      <c r="D300" s="70" t="s">
        <v>3215</v>
      </c>
      <c r="E300" s="72" t="s">
        <v>3216</v>
      </c>
      <c r="F300" s="107">
        <v>1</v>
      </c>
      <c r="G300" s="58">
        <v>1</v>
      </c>
      <c r="H300" s="58" t="s">
        <v>2603</v>
      </c>
      <c r="I300" s="71"/>
      <c r="J300" s="58" t="s">
        <v>2604</v>
      </c>
      <c r="K300" s="58" t="s">
        <v>2630</v>
      </c>
      <c r="L300" s="58">
        <v>5</v>
      </c>
    </row>
    <row r="301" spans="1:12">
      <c r="A301" s="70">
        <v>50300129</v>
      </c>
      <c r="B301" s="60">
        <v>45804</v>
      </c>
      <c r="C301" s="70" t="s">
        <v>1025</v>
      </c>
      <c r="D301" s="70" t="s">
        <v>495</v>
      </c>
      <c r="E301" s="72" t="s">
        <v>3217</v>
      </c>
      <c r="F301" s="107">
        <v>1</v>
      </c>
      <c r="G301" s="58">
        <v>1</v>
      </c>
      <c r="H301" s="58" t="s">
        <v>2603</v>
      </c>
      <c r="I301" s="71"/>
      <c r="J301" s="58" t="s">
        <v>2604</v>
      </c>
      <c r="K301" s="58" t="s">
        <v>2630</v>
      </c>
      <c r="L301" s="58">
        <v>5</v>
      </c>
    </row>
    <row r="302" spans="1:12">
      <c r="A302" s="70">
        <v>50300129</v>
      </c>
      <c r="B302" s="60">
        <v>45804</v>
      </c>
      <c r="C302" s="70" t="s">
        <v>1025</v>
      </c>
      <c r="D302" s="70" t="s">
        <v>649</v>
      </c>
      <c r="E302" s="72" t="s">
        <v>3218</v>
      </c>
      <c r="F302" s="107">
        <v>1</v>
      </c>
      <c r="G302" s="58">
        <v>1</v>
      </c>
      <c r="H302" s="58" t="s">
        <v>2603</v>
      </c>
      <c r="I302" s="71"/>
      <c r="J302" s="58" t="s">
        <v>2604</v>
      </c>
      <c r="K302" s="58" t="s">
        <v>2630</v>
      </c>
      <c r="L302" s="58">
        <v>5</v>
      </c>
    </row>
    <row r="303" spans="1:12">
      <c r="A303" s="70">
        <v>50110057</v>
      </c>
      <c r="B303" s="60">
        <v>45805</v>
      </c>
      <c r="C303" s="70" t="s">
        <v>88</v>
      </c>
      <c r="D303" s="70" t="s">
        <v>3219</v>
      </c>
      <c r="E303" s="72" t="s">
        <v>3220</v>
      </c>
      <c r="F303" s="107">
        <v>1</v>
      </c>
      <c r="G303" s="56">
        <v>1</v>
      </c>
      <c r="H303" s="56" t="s">
        <v>2603</v>
      </c>
      <c r="I303" s="57"/>
      <c r="J303" s="56" t="s">
        <v>2604</v>
      </c>
      <c r="K303" s="56" t="s">
        <v>2630</v>
      </c>
      <c r="L303" s="58">
        <v>5</v>
      </c>
    </row>
    <row r="304" spans="1:12">
      <c r="A304" s="70">
        <v>50110261</v>
      </c>
      <c r="B304" s="60">
        <v>45805</v>
      </c>
      <c r="C304" s="70" t="s">
        <v>298</v>
      </c>
      <c r="D304" s="70" t="s">
        <v>3221</v>
      </c>
      <c r="E304" s="72" t="s">
        <v>3156</v>
      </c>
      <c r="F304" s="107">
        <v>4</v>
      </c>
      <c r="G304" s="58">
        <v>0</v>
      </c>
      <c r="H304" s="58" t="s">
        <v>2603</v>
      </c>
      <c r="I304" s="71"/>
      <c r="J304" s="58" t="s">
        <v>2604</v>
      </c>
      <c r="K304" s="58" t="s">
        <v>2630</v>
      </c>
      <c r="L304" s="58">
        <v>5</v>
      </c>
    </row>
    <row r="305" spans="1:12">
      <c r="A305" s="55">
        <v>50110261</v>
      </c>
      <c r="B305" s="54">
        <v>45806</v>
      </c>
      <c r="C305" s="55" t="s">
        <v>298</v>
      </c>
      <c r="D305" s="55" t="s">
        <v>329</v>
      </c>
      <c r="E305" s="100" t="s">
        <v>1923</v>
      </c>
      <c r="F305" s="108">
        <v>1</v>
      </c>
      <c r="G305" s="56">
        <v>1</v>
      </c>
      <c r="H305" s="56" t="s">
        <v>2603</v>
      </c>
      <c r="I305" s="57"/>
      <c r="J305" s="56" t="s">
        <v>2604</v>
      </c>
      <c r="K305" s="56" t="s">
        <v>2630</v>
      </c>
      <c r="L305" s="58">
        <v>5</v>
      </c>
    </row>
  </sheetData>
  <dataValidations count="2">
    <dataValidation type="date" allowBlank="1" showInputMessage="1" showErrorMessage="1" sqref="B250:B291 B293:B305" xr:uid="{DCB08EE9-6BE2-43CF-A129-0CA2140AD96F}">
      <formula1>44927</formula1>
      <formula2>46387</formula2>
    </dataValidation>
    <dataValidation type="date" allowBlank="1" showInputMessage="1" showErrorMessage="1" sqref="B244:B249" xr:uid="{3E65DFF8-BCFD-4910-A54D-5FE0716500ED}">
      <formula1>45292</formula1>
      <formula2>46387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4B0775-69D6-4E39-8804-BFB15D6812F0}">
          <x14:formula1>
            <xm:f>DB!$E$2:$E$3</xm:f>
          </x14:formula1>
          <xm:sqref>K131 J90:K112 K4:K89</xm:sqref>
        </x14:dataValidation>
        <x14:dataValidation type="list" allowBlank="1" showInputMessage="1" showErrorMessage="1" xr:uid="{37A55711-F6AD-4CD1-82E2-052125626ABC}">
          <x14:formula1>
            <xm:f>DB!$C$2:$C$3</xm:f>
          </x14:formula1>
          <xm:sqref>H90:H112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18CD-CB7B-4AC9-BE32-E3ABB31B7ED1}">
  <dimension ref="A1:L89"/>
  <sheetViews>
    <sheetView workbookViewId="0"/>
  </sheetViews>
  <sheetFormatPr defaultRowHeight="14.45"/>
  <cols>
    <col min="1" max="1" width="34.7109375" bestFit="1" customWidth="1"/>
    <col min="2" max="2" width="13.28515625" bestFit="1" customWidth="1"/>
    <col min="3" max="3" width="18" bestFit="1" customWidth="1"/>
    <col min="4" max="4" width="15" bestFit="1" customWidth="1"/>
    <col min="5" max="5" width="50.28515625" bestFit="1" customWidth="1"/>
    <col min="6" max="6" width="18.7109375" bestFit="1" customWidth="1"/>
    <col min="7" max="7" width="21" bestFit="1" customWidth="1"/>
    <col min="8" max="8" width="16.28515625" bestFit="1" customWidth="1"/>
    <col min="9" max="9" width="15.28515625" bestFit="1" customWidth="1"/>
    <col min="10" max="10" width="25.7109375" bestFit="1" customWidth="1"/>
    <col min="11" max="11" width="23.28515625" bestFit="1" customWidth="1"/>
  </cols>
  <sheetData>
    <row r="1" spans="1:12">
      <c r="A1" s="39" t="s">
        <v>2989</v>
      </c>
    </row>
    <row r="3" spans="1:12">
      <c r="A3" t="s">
        <v>2617</v>
      </c>
      <c r="B3" t="s">
        <v>2618</v>
      </c>
      <c r="C3" t="s">
        <v>2619</v>
      </c>
      <c r="D3" t="s">
        <v>2620</v>
      </c>
      <c r="E3" t="s">
        <v>2621</v>
      </c>
      <c r="F3" t="s">
        <v>2622</v>
      </c>
      <c r="G3" t="s">
        <v>2623</v>
      </c>
      <c r="H3" t="s">
        <v>2624</v>
      </c>
      <c r="I3" t="s">
        <v>2625</v>
      </c>
      <c r="J3" t="s">
        <v>2626</v>
      </c>
      <c r="K3" t="s">
        <v>2627</v>
      </c>
      <c r="L3" t="s">
        <v>25</v>
      </c>
    </row>
    <row r="4" spans="1:12">
      <c r="A4">
        <v>41000142</v>
      </c>
      <c r="B4" s="38">
        <v>45716</v>
      </c>
      <c r="C4" t="s">
        <v>777</v>
      </c>
      <c r="D4" t="s">
        <v>253</v>
      </c>
      <c r="E4" t="s">
        <v>2798</v>
      </c>
      <c r="F4">
        <v>1</v>
      </c>
      <c r="G4">
        <v>1</v>
      </c>
      <c r="H4" t="s">
        <v>2603</v>
      </c>
      <c r="I4" s="38">
        <v>45623</v>
      </c>
      <c r="J4" t="s">
        <v>2604</v>
      </c>
      <c r="K4" t="s">
        <v>2615</v>
      </c>
      <c r="L4">
        <v>2</v>
      </c>
    </row>
    <row r="5" spans="1:12">
      <c r="A5" t="s">
        <v>2791</v>
      </c>
      <c r="B5" s="38">
        <v>45716</v>
      </c>
      <c r="C5" t="s">
        <v>2792</v>
      </c>
      <c r="D5" t="s">
        <v>2796</v>
      </c>
      <c r="E5" t="s">
        <v>2797</v>
      </c>
      <c r="F5">
        <v>1</v>
      </c>
      <c r="G5">
        <v>0</v>
      </c>
      <c r="H5" t="s">
        <v>2608</v>
      </c>
      <c r="J5" t="s">
        <v>2604</v>
      </c>
      <c r="K5" t="s">
        <v>2615</v>
      </c>
      <c r="L5">
        <v>2</v>
      </c>
    </row>
    <row r="6" spans="1:12">
      <c r="A6" t="s">
        <v>2791</v>
      </c>
      <c r="B6" s="38">
        <v>45716</v>
      </c>
      <c r="C6" t="s">
        <v>2792</v>
      </c>
      <c r="D6" t="s">
        <v>2559</v>
      </c>
      <c r="E6" t="s">
        <v>2795</v>
      </c>
      <c r="F6">
        <v>1</v>
      </c>
      <c r="G6">
        <v>0</v>
      </c>
      <c r="H6" t="s">
        <v>2608</v>
      </c>
      <c r="J6" t="s">
        <v>2604</v>
      </c>
      <c r="K6" t="s">
        <v>2615</v>
      </c>
      <c r="L6">
        <v>2</v>
      </c>
    </row>
    <row r="7" spans="1:12">
      <c r="A7" t="s">
        <v>2791</v>
      </c>
      <c r="B7" s="38">
        <v>45716</v>
      </c>
      <c r="C7" t="s">
        <v>2792</v>
      </c>
      <c r="D7" t="s">
        <v>803</v>
      </c>
      <c r="E7" t="s">
        <v>2794</v>
      </c>
      <c r="F7">
        <v>1</v>
      </c>
      <c r="G7">
        <v>1</v>
      </c>
      <c r="H7" t="s">
        <v>2603</v>
      </c>
      <c r="I7" s="38">
        <v>45713</v>
      </c>
      <c r="J7" t="s">
        <v>2604</v>
      </c>
      <c r="K7" t="s">
        <v>2615</v>
      </c>
      <c r="L7">
        <v>2</v>
      </c>
    </row>
    <row r="8" spans="1:12">
      <c r="A8" t="s">
        <v>2791</v>
      </c>
      <c r="B8" s="38">
        <v>45716</v>
      </c>
      <c r="C8" t="s">
        <v>2792</v>
      </c>
      <c r="D8" t="s">
        <v>609</v>
      </c>
      <c r="E8" t="s">
        <v>2793</v>
      </c>
      <c r="F8">
        <v>1</v>
      </c>
      <c r="G8">
        <v>1</v>
      </c>
      <c r="H8" t="s">
        <v>2603</v>
      </c>
      <c r="I8" s="38">
        <v>45713</v>
      </c>
      <c r="J8" t="s">
        <v>2604</v>
      </c>
      <c r="K8" t="s">
        <v>2615</v>
      </c>
      <c r="L8">
        <v>2</v>
      </c>
    </row>
    <row r="9" spans="1:12">
      <c r="A9">
        <v>50000202</v>
      </c>
      <c r="B9" s="38">
        <v>45715</v>
      </c>
      <c r="C9" t="s">
        <v>1322</v>
      </c>
      <c r="D9" t="s">
        <v>2259</v>
      </c>
      <c r="E9" t="s">
        <v>2790</v>
      </c>
      <c r="F9">
        <v>2</v>
      </c>
      <c r="G9">
        <v>2</v>
      </c>
      <c r="H9" t="s">
        <v>2603</v>
      </c>
      <c r="I9" s="38">
        <v>45715</v>
      </c>
      <c r="J9" t="s">
        <v>2604</v>
      </c>
      <c r="K9" t="s">
        <v>2615</v>
      </c>
      <c r="L9">
        <v>2</v>
      </c>
    </row>
    <row r="10" spans="1:12">
      <c r="A10">
        <v>50000202</v>
      </c>
      <c r="B10" s="38">
        <v>45715</v>
      </c>
      <c r="C10" t="s">
        <v>1322</v>
      </c>
      <c r="D10" t="s">
        <v>335</v>
      </c>
      <c r="E10" t="s">
        <v>336</v>
      </c>
      <c r="F10">
        <v>2</v>
      </c>
      <c r="G10">
        <v>2</v>
      </c>
      <c r="H10" t="s">
        <v>2603</v>
      </c>
      <c r="I10" s="38">
        <v>45714</v>
      </c>
      <c r="J10" t="s">
        <v>2604</v>
      </c>
      <c r="K10" t="s">
        <v>2615</v>
      </c>
      <c r="L10">
        <v>2</v>
      </c>
    </row>
    <row r="11" spans="1:12">
      <c r="A11">
        <v>50000260</v>
      </c>
      <c r="B11" s="38">
        <v>45715</v>
      </c>
      <c r="C11" t="s">
        <v>327</v>
      </c>
      <c r="D11" t="s">
        <v>329</v>
      </c>
      <c r="E11" t="s">
        <v>1923</v>
      </c>
      <c r="F11">
        <v>1</v>
      </c>
      <c r="G11">
        <v>1</v>
      </c>
      <c r="H11" t="s">
        <v>2603</v>
      </c>
      <c r="I11" s="38">
        <v>45713</v>
      </c>
      <c r="J11" t="s">
        <v>2604</v>
      </c>
      <c r="K11" t="s">
        <v>2615</v>
      </c>
      <c r="L11">
        <v>2</v>
      </c>
    </row>
    <row r="12" spans="1:12">
      <c r="A12">
        <v>50000260</v>
      </c>
      <c r="B12" s="38">
        <v>45715</v>
      </c>
      <c r="C12" t="s">
        <v>327</v>
      </c>
      <c r="D12" t="s">
        <v>379</v>
      </c>
      <c r="E12" t="s">
        <v>2789</v>
      </c>
      <c r="F12">
        <v>1</v>
      </c>
      <c r="G12">
        <v>1</v>
      </c>
      <c r="H12" t="s">
        <v>2603</v>
      </c>
      <c r="I12" s="38">
        <v>45713</v>
      </c>
      <c r="J12" t="s">
        <v>2604</v>
      </c>
      <c r="K12" t="s">
        <v>2615</v>
      </c>
      <c r="L12">
        <v>2</v>
      </c>
    </row>
    <row r="13" spans="1:12">
      <c r="A13">
        <v>50300141</v>
      </c>
      <c r="B13" s="38">
        <v>45715</v>
      </c>
      <c r="C13" t="s">
        <v>434</v>
      </c>
      <c r="D13" t="s">
        <v>278</v>
      </c>
      <c r="E13" t="s">
        <v>2788</v>
      </c>
      <c r="F13">
        <v>1</v>
      </c>
      <c r="G13">
        <v>1</v>
      </c>
      <c r="H13" t="s">
        <v>2603</v>
      </c>
      <c r="I13" s="38">
        <v>45709</v>
      </c>
      <c r="J13" t="s">
        <v>2604</v>
      </c>
      <c r="K13" t="s">
        <v>2615</v>
      </c>
      <c r="L13">
        <v>2</v>
      </c>
    </row>
    <row r="14" spans="1:12">
      <c r="A14">
        <v>50000530</v>
      </c>
      <c r="B14" s="38">
        <v>45715</v>
      </c>
      <c r="C14" t="s">
        <v>365</v>
      </c>
      <c r="D14" t="s">
        <v>1326</v>
      </c>
      <c r="E14" t="s">
        <v>2787</v>
      </c>
      <c r="F14">
        <v>1</v>
      </c>
      <c r="G14">
        <v>1</v>
      </c>
      <c r="H14" t="s">
        <v>2603</v>
      </c>
      <c r="I14" s="38">
        <v>45713</v>
      </c>
      <c r="J14" t="s">
        <v>2604</v>
      </c>
      <c r="K14" t="s">
        <v>2615</v>
      </c>
      <c r="L14">
        <v>2</v>
      </c>
    </row>
    <row r="15" spans="1:12">
      <c r="A15" t="s">
        <v>2783</v>
      </c>
      <c r="B15" s="38">
        <v>45715</v>
      </c>
      <c r="C15" t="s">
        <v>2784</v>
      </c>
      <c r="D15" t="s">
        <v>2785</v>
      </c>
      <c r="E15" t="s">
        <v>2786</v>
      </c>
      <c r="F15">
        <v>1</v>
      </c>
      <c r="G15">
        <v>1</v>
      </c>
      <c r="H15" t="s">
        <v>2603</v>
      </c>
      <c r="I15" s="38">
        <v>45679</v>
      </c>
      <c r="J15" t="s">
        <v>2604</v>
      </c>
      <c r="K15" t="s">
        <v>2615</v>
      </c>
      <c r="L15">
        <v>2</v>
      </c>
    </row>
    <row r="16" spans="1:12">
      <c r="A16">
        <v>51000323</v>
      </c>
      <c r="B16" s="38">
        <v>45715</v>
      </c>
      <c r="C16" t="s">
        <v>101</v>
      </c>
      <c r="D16" t="s">
        <v>323</v>
      </c>
      <c r="E16" t="s">
        <v>2782</v>
      </c>
      <c r="F16">
        <v>1</v>
      </c>
      <c r="G16">
        <v>1</v>
      </c>
      <c r="H16" t="s">
        <v>2603</v>
      </c>
      <c r="J16" t="s">
        <v>2609</v>
      </c>
      <c r="K16" t="s">
        <v>2615</v>
      </c>
      <c r="L16">
        <v>2</v>
      </c>
    </row>
    <row r="17" spans="1:12">
      <c r="A17">
        <v>51000323</v>
      </c>
      <c r="B17" s="38">
        <v>45715</v>
      </c>
      <c r="C17" t="s">
        <v>101</v>
      </c>
      <c r="D17" t="s">
        <v>2780</v>
      </c>
      <c r="E17" t="s">
        <v>2781</v>
      </c>
      <c r="F17">
        <v>1</v>
      </c>
      <c r="G17">
        <v>1</v>
      </c>
      <c r="H17" t="s">
        <v>2603</v>
      </c>
      <c r="I17" s="38">
        <v>45715</v>
      </c>
      <c r="J17" t="s">
        <v>2604</v>
      </c>
      <c r="K17" t="s">
        <v>2615</v>
      </c>
      <c r="L17">
        <v>2</v>
      </c>
    </row>
    <row r="18" spans="1:12">
      <c r="A18">
        <v>51000136</v>
      </c>
      <c r="B18" s="38">
        <v>45715</v>
      </c>
      <c r="C18" t="s">
        <v>101</v>
      </c>
      <c r="D18" t="s">
        <v>2778</v>
      </c>
      <c r="E18" t="s">
        <v>2779</v>
      </c>
      <c r="F18">
        <v>1</v>
      </c>
      <c r="G18">
        <v>0</v>
      </c>
      <c r="H18" t="s">
        <v>2603</v>
      </c>
      <c r="J18" t="s">
        <v>2604</v>
      </c>
      <c r="K18" t="s">
        <v>2615</v>
      </c>
      <c r="L18">
        <v>2</v>
      </c>
    </row>
    <row r="19" spans="1:12">
      <c r="A19">
        <v>51000136</v>
      </c>
      <c r="B19" s="38">
        <v>45715</v>
      </c>
      <c r="C19" t="s">
        <v>101</v>
      </c>
      <c r="D19" t="s">
        <v>2776</v>
      </c>
      <c r="E19" t="s">
        <v>2777</v>
      </c>
      <c r="F19">
        <v>1</v>
      </c>
      <c r="G19">
        <v>1</v>
      </c>
      <c r="H19" t="s">
        <v>2603</v>
      </c>
      <c r="I19" s="38">
        <v>45723</v>
      </c>
      <c r="J19" t="s">
        <v>2604</v>
      </c>
      <c r="K19" t="s">
        <v>2615</v>
      </c>
      <c r="L19">
        <v>2</v>
      </c>
    </row>
    <row r="20" spans="1:12">
      <c r="A20">
        <v>51000136</v>
      </c>
      <c r="B20" s="38">
        <v>45715</v>
      </c>
      <c r="C20" t="s">
        <v>101</v>
      </c>
      <c r="D20" t="s">
        <v>2774</v>
      </c>
      <c r="E20" t="s">
        <v>2775</v>
      </c>
      <c r="F20">
        <v>1</v>
      </c>
      <c r="G20">
        <v>1</v>
      </c>
      <c r="H20" t="s">
        <v>2603</v>
      </c>
      <c r="I20" s="38">
        <v>45723</v>
      </c>
      <c r="J20" t="s">
        <v>2604</v>
      </c>
      <c r="K20" t="s">
        <v>2615</v>
      </c>
      <c r="L20">
        <v>2</v>
      </c>
    </row>
    <row r="21" spans="1:12">
      <c r="A21">
        <v>51000136</v>
      </c>
      <c r="B21" s="38">
        <v>45715</v>
      </c>
      <c r="C21" t="s">
        <v>101</v>
      </c>
      <c r="D21" t="s">
        <v>2772</v>
      </c>
      <c r="E21" t="s">
        <v>2773</v>
      </c>
      <c r="F21">
        <v>1</v>
      </c>
      <c r="G21">
        <v>1</v>
      </c>
      <c r="H21" t="s">
        <v>2603</v>
      </c>
      <c r="J21" t="s">
        <v>2609</v>
      </c>
      <c r="K21" t="s">
        <v>2615</v>
      </c>
      <c r="L21">
        <v>2</v>
      </c>
    </row>
    <row r="22" spans="1:12">
      <c r="A22">
        <v>51000136</v>
      </c>
      <c r="B22" s="38">
        <v>45715</v>
      </c>
      <c r="C22" t="s">
        <v>101</v>
      </c>
      <c r="D22" t="s">
        <v>2770</v>
      </c>
      <c r="E22" t="s">
        <v>2771</v>
      </c>
      <c r="F22">
        <v>1</v>
      </c>
      <c r="G22">
        <v>1</v>
      </c>
      <c r="H22" t="s">
        <v>2603</v>
      </c>
      <c r="I22" s="38">
        <v>45715</v>
      </c>
      <c r="J22" t="s">
        <v>2604</v>
      </c>
      <c r="K22" t="s">
        <v>2615</v>
      </c>
      <c r="L22">
        <v>2</v>
      </c>
    </row>
    <row r="23" spans="1:12">
      <c r="A23">
        <v>51000136</v>
      </c>
      <c r="B23" s="38">
        <v>45715</v>
      </c>
      <c r="C23" t="s">
        <v>101</v>
      </c>
      <c r="D23" t="s">
        <v>885</v>
      </c>
      <c r="E23" t="s">
        <v>2769</v>
      </c>
      <c r="F23">
        <v>1</v>
      </c>
      <c r="G23">
        <v>1</v>
      </c>
      <c r="H23" t="s">
        <v>2603</v>
      </c>
      <c r="J23" t="s">
        <v>2609</v>
      </c>
      <c r="K23" t="s">
        <v>2615</v>
      </c>
      <c r="L23">
        <v>2</v>
      </c>
    </row>
    <row r="24" spans="1:12">
      <c r="A24">
        <v>50110193</v>
      </c>
      <c r="B24" s="38">
        <v>45715</v>
      </c>
      <c r="C24" t="s">
        <v>125</v>
      </c>
      <c r="D24" t="s">
        <v>2767</v>
      </c>
      <c r="E24" t="s">
        <v>2768</v>
      </c>
      <c r="F24">
        <v>1</v>
      </c>
      <c r="G24">
        <v>1</v>
      </c>
      <c r="H24" t="s">
        <v>2603</v>
      </c>
      <c r="I24" s="38">
        <v>45663</v>
      </c>
      <c r="J24" t="s">
        <v>2604</v>
      </c>
      <c r="K24" t="s">
        <v>2615</v>
      </c>
      <c r="L24">
        <v>2</v>
      </c>
    </row>
    <row r="25" spans="1:12">
      <c r="A25">
        <v>60002095</v>
      </c>
      <c r="B25" s="38">
        <v>45714</v>
      </c>
      <c r="C25" t="s">
        <v>33</v>
      </c>
      <c r="D25" t="s">
        <v>281</v>
      </c>
      <c r="E25" t="s">
        <v>282</v>
      </c>
      <c r="F25">
        <v>1</v>
      </c>
      <c r="G25">
        <v>0</v>
      </c>
      <c r="H25" t="s">
        <v>2603</v>
      </c>
      <c r="J25" t="s">
        <v>2604</v>
      </c>
      <c r="K25" t="s">
        <v>2615</v>
      </c>
      <c r="L25">
        <v>2</v>
      </c>
    </row>
    <row r="26" spans="1:12">
      <c r="A26">
        <v>44000058</v>
      </c>
      <c r="B26" s="38">
        <v>45714</v>
      </c>
      <c r="C26" t="s">
        <v>2764</v>
      </c>
      <c r="D26" t="s">
        <v>2017</v>
      </c>
      <c r="E26" t="s">
        <v>2766</v>
      </c>
      <c r="F26">
        <v>1</v>
      </c>
      <c r="G26">
        <v>1</v>
      </c>
      <c r="H26" t="s">
        <v>2603</v>
      </c>
      <c r="I26" s="38">
        <v>45714</v>
      </c>
      <c r="J26" t="s">
        <v>2604</v>
      </c>
      <c r="K26" t="s">
        <v>2615</v>
      </c>
      <c r="L26">
        <v>2</v>
      </c>
    </row>
    <row r="27" spans="1:12">
      <c r="A27">
        <v>44000058</v>
      </c>
      <c r="B27" s="38">
        <v>45714</v>
      </c>
      <c r="C27" t="s">
        <v>2764</v>
      </c>
      <c r="D27" t="s">
        <v>2011</v>
      </c>
      <c r="E27" t="s">
        <v>2765</v>
      </c>
      <c r="F27">
        <v>1</v>
      </c>
      <c r="G27">
        <v>1</v>
      </c>
      <c r="H27" t="s">
        <v>2603</v>
      </c>
      <c r="I27" s="38">
        <v>45714</v>
      </c>
      <c r="J27" t="s">
        <v>2604</v>
      </c>
      <c r="K27" t="s">
        <v>2615</v>
      </c>
      <c r="L27">
        <v>2</v>
      </c>
    </row>
    <row r="28" spans="1:12">
      <c r="A28">
        <v>60002072</v>
      </c>
      <c r="B28" s="38">
        <v>45714</v>
      </c>
      <c r="C28" t="s">
        <v>94</v>
      </c>
      <c r="D28" t="s">
        <v>2708</v>
      </c>
      <c r="E28" t="s">
        <v>742</v>
      </c>
      <c r="F28">
        <v>1</v>
      </c>
      <c r="G28">
        <v>1</v>
      </c>
      <c r="H28" t="s">
        <v>2608</v>
      </c>
      <c r="I28" s="38">
        <v>45713</v>
      </c>
      <c r="J28" t="s">
        <v>2604</v>
      </c>
      <c r="K28" t="s">
        <v>2615</v>
      </c>
      <c r="L28">
        <v>2</v>
      </c>
    </row>
    <row r="29" spans="1:12">
      <c r="A29">
        <v>50110372</v>
      </c>
      <c r="B29" s="38">
        <v>45714</v>
      </c>
      <c r="C29" t="s">
        <v>33</v>
      </c>
      <c r="D29" t="s">
        <v>472</v>
      </c>
      <c r="E29" t="s">
        <v>2763</v>
      </c>
      <c r="F29">
        <v>1</v>
      </c>
      <c r="G29">
        <v>1</v>
      </c>
      <c r="H29" t="s">
        <v>2603</v>
      </c>
      <c r="J29" t="s">
        <v>2609</v>
      </c>
      <c r="K29" t="s">
        <v>2615</v>
      </c>
      <c r="L29">
        <v>2</v>
      </c>
    </row>
    <row r="30" spans="1:12">
      <c r="A30">
        <v>50110229</v>
      </c>
      <c r="B30" s="38">
        <v>45714</v>
      </c>
      <c r="C30" t="s">
        <v>345</v>
      </c>
      <c r="D30" t="s">
        <v>472</v>
      </c>
      <c r="E30" t="s">
        <v>2763</v>
      </c>
      <c r="F30">
        <v>1</v>
      </c>
      <c r="G30">
        <v>1</v>
      </c>
      <c r="H30" t="s">
        <v>2603</v>
      </c>
      <c r="J30" t="s">
        <v>2609</v>
      </c>
      <c r="K30" t="s">
        <v>2615</v>
      </c>
      <c r="L30">
        <v>2</v>
      </c>
    </row>
    <row r="31" spans="1:12">
      <c r="A31">
        <v>50110193</v>
      </c>
      <c r="B31" s="38">
        <v>45714</v>
      </c>
      <c r="C31" t="s">
        <v>125</v>
      </c>
      <c r="D31" t="s">
        <v>472</v>
      </c>
      <c r="E31" t="s">
        <v>2763</v>
      </c>
      <c r="F31">
        <v>1</v>
      </c>
      <c r="G31">
        <v>1</v>
      </c>
      <c r="H31" t="s">
        <v>2603</v>
      </c>
      <c r="J31" t="s">
        <v>2609</v>
      </c>
      <c r="K31" t="s">
        <v>2615</v>
      </c>
      <c r="L31">
        <v>2</v>
      </c>
    </row>
    <row r="32" spans="1:12">
      <c r="A32">
        <v>50000530</v>
      </c>
      <c r="B32" s="38">
        <v>45714</v>
      </c>
      <c r="C32" t="s">
        <v>365</v>
      </c>
      <c r="D32" t="s">
        <v>2762</v>
      </c>
      <c r="E32" t="s">
        <v>217</v>
      </c>
      <c r="F32">
        <v>1</v>
      </c>
      <c r="G32">
        <v>1</v>
      </c>
      <c r="H32" t="s">
        <v>2603</v>
      </c>
      <c r="I32" s="38">
        <v>45712</v>
      </c>
      <c r="J32" t="s">
        <v>2604</v>
      </c>
      <c r="K32" t="s">
        <v>2615</v>
      </c>
      <c r="L32">
        <v>2</v>
      </c>
    </row>
    <row r="33" spans="1:12">
      <c r="A33">
        <v>48300301</v>
      </c>
      <c r="B33" s="38">
        <v>45712</v>
      </c>
      <c r="C33" t="s">
        <v>134</v>
      </c>
      <c r="D33" t="s">
        <v>2760</v>
      </c>
      <c r="E33" t="s">
        <v>2761</v>
      </c>
      <c r="F33">
        <v>1</v>
      </c>
      <c r="G33">
        <v>1</v>
      </c>
      <c r="H33" t="s">
        <v>2603</v>
      </c>
      <c r="I33" s="38">
        <v>45680</v>
      </c>
      <c r="J33" t="s">
        <v>2604</v>
      </c>
      <c r="K33" t="s">
        <v>2615</v>
      </c>
      <c r="L33">
        <v>2</v>
      </c>
    </row>
    <row r="34" spans="1:12">
      <c r="A34">
        <v>50110372</v>
      </c>
      <c r="B34" s="38">
        <v>45712</v>
      </c>
      <c r="C34" t="s">
        <v>33</v>
      </c>
      <c r="D34" t="s">
        <v>2758</v>
      </c>
      <c r="E34" t="s">
        <v>2759</v>
      </c>
      <c r="F34">
        <v>1</v>
      </c>
      <c r="G34">
        <v>0</v>
      </c>
      <c r="H34" t="s">
        <v>2608</v>
      </c>
      <c r="J34" t="s">
        <v>2604</v>
      </c>
      <c r="K34" t="s">
        <v>2615</v>
      </c>
      <c r="L34">
        <v>2</v>
      </c>
    </row>
    <row r="35" spans="1:12">
      <c r="A35">
        <v>51000174</v>
      </c>
      <c r="B35" s="38">
        <v>45709</v>
      </c>
      <c r="C35" t="s">
        <v>154</v>
      </c>
      <c r="D35" t="s">
        <v>2653</v>
      </c>
      <c r="E35" t="s">
        <v>1000</v>
      </c>
      <c r="F35">
        <v>1</v>
      </c>
      <c r="G35">
        <v>1</v>
      </c>
      <c r="H35" t="s">
        <v>2603</v>
      </c>
      <c r="I35" s="38">
        <v>45705</v>
      </c>
      <c r="J35" t="s">
        <v>2604</v>
      </c>
      <c r="K35" t="s">
        <v>2615</v>
      </c>
      <c r="L35">
        <v>2</v>
      </c>
    </row>
    <row r="36" spans="1:12">
      <c r="A36">
        <v>50000260</v>
      </c>
      <c r="B36" s="38">
        <v>45709</v>
      </c>
      <c r="C36" t="s">
        <v>327</v>
      </c>
      <c r="D36" t="s">
        <v>2756</v>
      </c>
      <c r="E36" t="s">
        <v>2757</v>
      </c>
      <c r="F36">
        <v>1</v>
      </c>
      <c r="G36">
        <v>0</v>
      </c>
      <c r="H36" t="s">
        <v>2608</v>
      </c>
      <c r="J36" t="s">
        <v>2604</v>
      </c>
      <c r="K36" t="s">
        <v>2615</v>
      </c>
      <c r="L36">
        <v>2</v>
      </c>
    </row>
    <row r="37" spans="1:12">
      <c r="A37">
        <v>50000260</v>
      </c>
      <c r="B37" s="38">
        <v>45709</v>
      </c>
      <c r="C37" t="s">
        <v>327</v>
      </c>
      <c r="D37" t="s">
        <v>222</v>
      </c>
      <c r="E37" t="s">
        <v>2755</v>
      </c>
      <c r="F37">
        <v>3</v>
      </c>
      <c r="G37">
        <v>3</v>
      </c>
      <c r="H37" t="s">
        <v>2603</v>
      </c>
      <c r="I37" s="38">
        <v>45707</v>
      </c>
      <c r="J37" t="s">
        <v>2604</v>
      </c>
      <c r="K37" t="s">
        <v>2615</v>
      </c>
      <c r="L37">
        <v>2</v>
      </c>
    </row>
    <row r="38" spans="1:12">
      <c r="A38">
        <v>50000260</v>
      </c>
      <c r="B38" s="38">
        <v>45709</v>
      </c>
      <c r="C38" t="s">
        <v>327</v>
      </c>
      <c r="D38" t="s">
        <v>1872</v>
      </c>
      <c r="E38" t="s">
        <v>1873</v>
      </c>
      <c r="F38">
        <v>1</v>
      </c>
      <c r="G38">
        <v>1</v>
      </c>
      <c r="H38" t="s">
        <v>2603</v>
      </c>
      <c r="I38" s="38">
        <v>45707</v>
      </c>
      <c r="J38" t="s">
        <v>2604</v>
      </c>
      <c r="K38" t="s">
        <v>2615</v>
      </c>
      <c r="L38">
        <v>2</v>
      </c>
    </row>
    <row r="39" spans="1:12">
      <c r="A39">
        <v>50000260</v>
      </c>
      <c r="B39" s="38">
        <v>45709</v>
      </c>
      <c r="C39" t="s">
        <v>327</v>
      </c>
      <c r="D39" t="s">
        <v>2753</v>
      </c>
      <c r="E39" t="s">
        <v>2754</v>
      </c>
      <c r="F39">
        <v>1</v>
      </c>
      <c r="G39">
        <v>1</v>
      </c>
      <c r="H39" t="s">
        <v>2603</v>
      </c>
      <c r="I39" s="38">
        <v>45707</v>
      </c>
      <c r="J39" t="s">
        <v>2604</v>
      </c>
      <c r="K39" t="s">
        <v>2615</v>
      </c>
      <c r="L39">
        <v>2</v>
      </c>
    </row>
    <row r="40" spans="1:12">
      <c r="A40">
        <v>50000260</v>
      </c>
      <c r="B40" s="38">
        <v>45709</v>
      </c>
      <c r="C40" t="s">
        <v>327</v>
      </c>
      <c r="D40" t="s">
        <v>1876</v>
      </c>
      <c r="E40" t="s">
        <v>2752</v>
      </c>
      <c r="F40">
        <v>3</v>
      </c>
      <c r="G40">
        <v>0</v>
      </c>
      <c r="H40" t="s">
        <v>2608</v>
      </c>
      <c r="J40" t="s">
        <v>2604</v>
      </c>
      <c r="K40" t="s">
        <v>2615</v>
      </c>
      <c r="L40">
        <v>2</v>
      </c>
    </row>
    <row r="41" spans="1:12">
      <c r="A41">
        <v>50000202</v>
      </c>
      <c r="B41" s="38">
        <v>45708</v>
      </c>
      <c r="C41" t="s">
        <v>1322</v>
      </c>
      <c r="D41" t="s">
        <v>201</v>
      </c>
      <c r="E41" t="s">
        <v>2751</v>
      </c>
      <c r="F41">
        <v>1</v>
      </c>
      <c r="G41">
        <v>1</v>
      </c>
      <c r="H41" t="s">
        <v>2603</v>
      </c>
      <c r="I41" s="38">
        <v>45699</v>
      </c>
      <c r="J41" t="s">
        <v>2604</v>
      </c>
      <c r="K41" t="s">
        <v>2615</v>
      </c>
      <c r="L41">
        <v>2</v>
      </c>
    </row>
    <row r="42" spans="1:12">
      <c r="A42">
        <v>50110193</v>
      </c>
      <c r="B42" s="38">
        <v>45708</v>
      </c>
      <c r="C42" t="s">
        <v>125</v>
      </c>
      <c r="D42" t="s">
        <v>2749</v>
      </c>
      <c r="E42" t="s">
        <v>2750</v>
      </c>
      <c r="F42">
        <v>1</v>
      </c>
      <c r="G42">
        <v>1</v>
      </c>
      <c r="H42" t="s">
        <v>2603</v>
      </c>
      <c r="I42" s="38">
        <v>45708</v>
      </c>
      <c r="J42" t="s">
        <v>2604</v>
      </c>
      <c r="K42" t="s">
        <v>2615</v>
      </c>
      <c r="L42">
        <v>2</v>
      </c>
    </row>
    <row r="43" spans="1:12">
      <c r="A43">
        <v>50110193</v>
      </c>
      <c r="B43" s="38">
        <v>45708</v>
      </c>
      <c r="C43" t="s">
        <v>125</v>
      </c>
      <c r="D43" t="s">
        <v>1051</v>
      </c>
      <c r="E43" t="s">
        <v>1052</v>
      </c>
      <c r="F43">
        <v>1</v>
      </c>
      <c r="G43">
        <v>1</v>
      </c>
      <c r="H43" t="s">
        <v>2603</v>
      </c>
      <c r="I43" s="38">
        <v>45708</v>
      </c>
      <c r="J43" t="s">
        <v>2604</v>
      </c>
      <c r="K43" t="s">
        <v>2615</v>
      </c>
      <c r="L43">
        <v>2</v>
      </c>
    </row>
    <row r="44" spans="1:12">
      <c r="A44">
        <v>50110193</v>
      </c>
      <c r="B44" s="38">
        <v>45708</v>
      </c>
      <c r="C44" t="s">
        <v>125</v>
      </c>
      <c r="D44" t="s">
        <v>2747</v>
      </c>
      <c r="E44" t="s">
        <v>2748</v>
      </c>
      <c r="F44">
        <v>1</v>
      </c>
      <c r="G44">
        <v>1</v>
      </c>
      <c r="H44" t="s">
        <v>2603</v>
      </c>
      <c r="I44" s="38">
        <v>45708</v>
      </c>
      <c r="J44" t="s">
        <v>2604</v>
      </c>
      <c r="K44" t="s">
        <v>2615</v>
      </c>
      <c r="L44">
        <v>2</v>
      </c>
    </row>
    <row r="45" spans="1:12">
      <c r="A45">
        <v>51000323</v>
      </c>
      <c r="B45" s="38">
        <v>45708</v>
      </c>
      <c r="C45" t="s">
        <v>101</v>
      </c>
      <c r="D45" t="s">
        <v>335</v>
      </c>
      <c r="E45" t="s">
        <v>2746</v>
      </c>
      <c r="F45">
        <v>2</v>
      </c>
      <c r="G45">
        <v>2</v>
      </c>
      <c r="H45" t="s">
        <v>2603</v>
      </c>
      <c r="I45" s="38">
        <v>45707</v>
      </c>
      <c r="J45" t="s">
        <v>2604</v>
      </c>
      <c r="K45" t="s">
        <v>2615</v>
      </c>
      <c r="L45">
        <v>2</v>
      </c>
    </row>
    <row r="46" spans="1:12">
      <c r="A46">
        <v>51000323</v>
      </c>
      <c r="B46" s="38">
        <v>45708</v>
      </c>
      <c r="C46" t="s">
        <v>101</v>
      </c>
      <c r="D46" t="s">
        <v>2259</v>
      </c>
      <c r="E46" t="s">
        <v>2745</v>
      </c>
      <c r="F46">
        <v>1</v>
      </c>
      <c r="G46">
        <v>1</v>
      </c>
      <c r="H46" t="s">
        <v>2603</v>
      </c>
      <c r="I46" s="38">
        <v>45708</v>
      </c>
      <c r="J46" t="s">
        <v>2604</v>
      </c>
      <c r="K46" t="s">
        <v>2615</v>
      </c>
      <c r="L46">
        <v>2</v>
      </c>
    </row>
    <row r="47" spans="1:12">
      <c r="A47">
        <v>43000422</v>
      </c>
      <c r="B47" s="38">
        <v>45708</v>
      </c>
      <c r="C47" t="s">
        <v>298</v>
      </c>
      <c r="D47" t="s">
        <v>2744</v>
      </c>
      <c r="E47" t="s">
        <v>1850</v>
      </c>
      <c r="F47">
        <v>1</v>
      </c>
      <c r="G47">
        <v>1</v>
      </c>
      <c r="H47" t="s">
        <v>2603</v>
      </c>
      <c r="I47" s="38">
        <v>45693</v>
      </c>
      <c r="J47" t="s">
        <v>2604</v>
      </c>
      <c r="K47" t="s">
        <v>2615</v>
      </c>
      <c r="L47">
        <v>2</v>
      </c>
    </row>
    <row r="48" spans="1:12">
      <c r="A48">
        <v>48000432</v>
      </c>
      <c r="B48" s="38">
        <v>45707</v>
      </c>
      <c r="C48" t="s">
        <v>134</v>
      </c>
      <c r="D48" t="s">
        <v>513</v>
      </c>
      <c r="E48" t="s">
        <v>2293</v>
      </c>
      <c r="F48">
        <v>1</v>
      </c>
      <c r="G48">
        <v>1</v>
      </c>
      <c r="H48" t="s">
        <v>2603</v>
      </c>
      <c r="I48" s="38">
        <v>45700</v>
      </c>
      <c r="J48" t="s">
        <v>2604</v>
      </c>
      <c r="K48" t="s">
        <v>2615</v>
      </c>
      <c r="L48">
        <v>2</v>
      </c>
    </row>
    <row r="49" spans="1:12">
      <c r="A49">
        <v>50110193</v>
      </c>
      <c r="B49" s="38">
        <v>45707</v>
      </c>
      <c r="C49" t="s">
        <v>125</v>
      </c>
      <c r="D49" t="s">
        <v>430</v>
      </c>
      <c r="E49" t="s">
        <v>431</v>
      </c>
      <c r="F49">
        <v>1</v>
      </c>
      <c r="G49">
        <v>1</v>
      </c>
      <c r="H49" t="s">
        <v>2603</v>
      </c>
      <c r="I49" s="38">
        <v>45701</v>
      </c>
      <c r="J49" t="s">
        <v>2604</v>
      </c>
      <c r="K49" t="s">
        <v>2615</v>
      </c>
      <c r="L49">
        <v>2</v>
      </c>
    </row>
    <row r="50" spans="1:12">
      <c r="A50" t="s">
        <v>2658</v>
      </c>
      <c r="B50" s="38">
        <v>45707</v>
      </c>
      <c r="C50" t="s">
        <v>1945</v>
      </c>
      <c r="D50" t="s">
        <v>2742</v>
      </c>
      <c r="E50" t="s">
        <v>2743</v>
      </c>
      <c r="F50">
        <v>1</v>
      </c>
      <c r="G50">
        <v>1</v>
      </c>
      <c r="H50" t="s">
        <v>2603</v>
      </c>
      <c r="I50" s="38">
        <v>45692</v>
      </c>
      <c r="J50" t="s">
        <v>2604</v>
      </c>
      <c r="K50" t="s">
        <v>2615</v>
      </c>
      <c r="L50">
        <v>2</v>
      </c>
    </row>
    <row r="51" spans="1:12">
      <c r="A51">
        <v>48300375</v>
      </c>
      <c r="B51" s="38">
        <v>45707</v>
      </c>
      <c r="C51" t="s">
        <v>915</v>
      </c>
      <c r="D51" t="s">
        <v>446</v>
      </c>
      <c r="E51" t="s">
        <v>2741</v>
      </c>
      <c r="F51">
        <v>1</v>
      </c>
      <c r="G51">
        <v>1</v>
      </c>
      <c r="H51" t="s">
        <v>2603</v>
      </c>
      <c r="I51" s="38">
        <v>45636</v>
      </c>
      <c r="J51" t="s">
        <v>2604</v>
      </c>
      <c r="K51" t="s">
        <v>2615</v>
      </c>
      <c r="L51">
        <v>2</v>
      </c>
    </row>
    <row r="52" spans="1:12">
      <c r="A52">
        <v>50000202</v>
      </c>
      <c r="B52" s="38">
        <v>45707</v>
      </c>
      <c r="C52" t="s">
        <v>1322</v>
      </c>
      <c r="D52" t="s">
        <v>2739</v>
      </c>
      <c r="E52" t="s">
        <v>2740</v>
      </c>
      <c r="F52">
        <v>1</v>
      </c>
      <c r="G52">
        <v>1</v>
      </c>
      <c r="H52" t="s">
        <v>2603</v>
      </c>
      <c r="I52" s="38">
        <v>45705</v>
      </c>
      <c r="J52" t="s">
        <v>2604</v>
      </c>
      <c r="K52" t="s">
        <v>2615</v>
      </c>
      <c r="L52">
        <v>2</v>
      </c>
    </row>
    <row r="53" spans="1:12">
      <c r="A53">
        <v>60002072</v>
      </c>
      <c r="B53" s="38">
        <v>45707</v>
      </c>
      <c r="C53" t="s">
        <v>94</v>
      </c>
      <c r="D53" t="s">
        <v>1154</v>
      </c>
      <c r="E53" t="s">
        <v>2738</v>
      </c>
      <c r="F53">
        <v>1</v>
      </c>
      <c r="G53">
        <v>1</v>
      </c>
      <c r="H53" t="s">
        <v>2603</v>
      </c>
      <c r="I53" s="38">
        <v>45693</v>
      </c>
      <c r="J53" t="s">
        <v>2604</v>
      </c>
      <c r="K53" t="s">
        <v>2615</v>
      </c>
      <c r="L53">
        <v>2</v>
      </c>
    </row>
    <row r="54" spans="1:12">
      <c r="A54">
        <v>60002072</v>
      </c>
      <c r="B54" s="38">
        <v>45707</v>
      </c>
      <c r="C54" t="s">
        <v>94</v>
      </c>
      <c r="D54" t="s">
        <v>517</v>
      </c>
      <c r="E54" t="s">
        <v>2737</v>
      </c>
      <c r="F54">
        <v>1</v>
      </c>
      <c r="G54">
        <v>1</v>
      </c>
      <c r="H54" t="s">
        <v>2603</v>
      </c>
      <c r="I54" s="38">
        <v>45693</v>
      </c>
      <c r="J54" t="s">
        <v>2604</v>
      </c>
      <c r="K54" t="s">
        <v>2615</v>
      </c>
      <c r="L54">
        <v>2</v>
      </c>
    </row>
    <row r="55" spans="1:12">
      <c r="A55">
        <v>47200115</v>
      </c>
      <c r="B55" s="38">
        <v>45706</v>
      </c>
      <c r="C55" t="s">
        <v>2735</v>
      </c>
      <c r="D55" t="s">
        <v>183</v>
      </c>
      <c r="E55" t="s">
        <v>2736</v>
      </c>
      <c r="F55">
        <v>1</v>
      </c>
      <c r="G55">
        <v>1</v>
      </c>
      <c r="H55" t="s">
        <v>2603</v>
      </c>
      <c r="I55" s="38">
        <v>45642</v>
      </c>
      <c r="J55" t="s">
        <v>2604</v>
      </c>
      <c r="K55" t="s">
        <v>2615</v>
      </c>
      <c r="L55">
        <v>2</v>
      </c>
    </row>
    <row r="56" spans="1:12">
      <c r="A56">
        <v>60002095</v>
      </c>
      <c r="B56" s="38">
        <v>45701</v>
      </c>
      <c r="C56" t="s">
        <v>33</v>
      </c>
      <c r="D56" t="s">
        <v>1172</v>
      </c>
      <c r="E56" t="s">
        <v>2734</v>
      </c>
      <c r="F56">
        <v>1</v>
      </c>
      <c r="G56">
        <v>1</v>
      </c>
      <c r="H56" t="s">
        <v>2603</v>
      </c>
      <c r="I56" s="38">
        <v>45701</v>
      </c>
      <c r="J56" t="s">
        <v>2604</v>
      </c>
      <c r="K56" t="s">
        <v>2615</v>
      </c>
      <c r="L56">
        <v>2</v>
      </c>
    </row>
    <row r="57" spans="1:12">
      <c r="A57">
        <v>50300097</v>
      </c>
      <c r="B57" s="38">
        <v>45699</v>
      </c>
      <c r="C57" t="s">
        <v>333</v>
      </c>
      <c r="D57" t="s">
        <v>1267</v>
      </c>
      <c r="E57" t="s">
        <v>2733</v>
      </c>
      <c r="F57">
        <v>1</v>
      </c>
      <c r="G57">
        <v>1</v>
      </c>
      <c r="H57" t="s">
        <v>2603</v>
      </c>
      <c r="I57" s="38">
        <v>45691</v>
      </c>
      <c r="J57" t="s">
        <v>2604</v>
      </c>
      <c r="K57" t="s">
        <v>2615</v>
      </c>
      <c r="L57">
        <v>2</v>
      </c>
    </row>
    <row r="58" spans="1:12">
      <c r="A58">
        <v>50110057</v>
      </c>
      <c r="B58" s="38">
        <v>45691</v>
      </c>
      <c r="C58" t="s">
        <v>88</v>
      </c>
      <c r="D58" t="s">
        <v>2693</v>
      </c>
      <c r="E58" t="s">
        <v>2694</v>
      </c>
      <c r="F58">
        <v>1</v>
      </c>
      <c r="G58">
        <v>0</v>
      </c>
      <c r="H58" t="s">
        <v>2603</v>
      </c>
      <c r="I58" s="38">
        <v>45706</v>
      </c>
      <c r="J58" t="s">
        <v>2604</v>
      </c>
      <c r="K58" t="s">
        <v>2615</v>
      </c>
      <c r="L58">
        <v>2</v>
      </c>
    </row>
    <row r="59" spans="1:12">
      <c r="A59">
        <v>50110057</v>
      </c>
      <c r="B59" s="38">
        <v>45691</v>
      </c>
      <c r="C59" t="s">
        <v>88</v>
      </c>
      <c r="D59" t="s">
        <v>2695</v>
      </c>
      <c r="E59" t="s">
        <v>2696</v>
      </c>
      <c r="F59">
        <v>1</v>
      </c>
      <c r="G59">
        <v>1</v>
      </c>
      <c r="H59" t="s">
        <v>2603</v>
      </c>
      <c r="I59" s="38">
        <v>45706</v>
      </c>
      <c r="J59" t="s">
        <v>2604</v>
      </c>
      <c r="K59" t="s">
        <v>2615</v>
      </c>
      <c r="L59">
        <v>2</v>
      </c>
    </row>
    <row r="60" spans="1:12">
      <c r="A60">
        <v>50110057</v>
      </c>
      <c r="B60" s="38">
        <v>45691</v>
      </c>
      <c r="C60" t="s">
        <v>88</v>
      </c>
      <c r="D60" t="s">
        <v>2697</v>
      </c>
      <c r="E60" t="s">
        <v>2698</v>
      </c>
      <c r="F60">
        <v>1</v>
      </c>
      <c r="G60">
        <v>1</v>
      </c>
      <c r="H60" t="s">
        <v>2603</v>
      </c>
      <c r="I60" s="38">
        <v>45706</v>
      </c>
      <c r="J60" t="s">
        <v>2604</v>
      </c>
      <c r="K60" t="s">
        <v>2615</v>
      </c>
      <c r="L60">
        <v>2</v>
      </c>
    </row>
    <row r="61" spans="1:12">
      <c r="A61">
        <v>50110372</v>
      </c>
      <c r="B61" s="38">
        <v>45691</v>
      </c>
      <c r="C61" t="s">
        <v>33</v>
      </c>
      <c r="D61" t="s">
        <v>2699</v>
      </c>
      <c r="E61" t="s">
        <v>2700</v>
      </c>
      <c r="F61">
        <v>1</v>
      </c>
      <c r="G61">
        <v>1</v>
      </c>
      <c r="H61" t="s">
        <v>2608</v>
      </c>
      <c r="I61" s="38">
        <v>45705</v>
      </c>
      <c r="J61" t="s">
        <v>2604</v>
      </c>
      <c r="K61" t="s">
        <v>2615</v>
      </c>
      <c r="L61">
        <v>2</v>
      </c>
    </row>
    <row r="62" spans="1:12">
      <c r="A62">
        <v>50110057</v>
      </c>
      <c r="B62" s="38">
        <v>45691</v>
      </c>
      <c r="C62" t="s">
        <v>88</v>
      </c>
      <c r="D62" t="s">
        <v>2701</v>
      </c>
      <c r="E62" t="s">
        <v>2702</v>
      </c>
      <c r="F62">
        <v>1</v>
      </c>
      <c r="G62">
        <v>1</v>
      </c>
      <c r="H62" t="s">
        <v>2603</v>
      </c>
      <c r="J62" t="s">
        <v>2609</v>
      </c>
      <c r="K62" t="s">
        <v>2615</v>
      </c>
      <c r="L62">
        <v>2</v>
      </c>
    </row>
    <row r="63" spans="1:12">
      <c r="A63">
        <v>43000422</v>
      </c>
      <c r="B63" s="38">
        <v>45691</v>
      </c>
      <c r="C63" t="s">
        <v>298</v>
      </c>
      <c r="D63" t="s">
        <v>2529</v>
      </c>
      <c r="E63" t="s">
        <v>2703</v>
      </c>
      <c r="F63">
        <v>1</v>
      </c>
      <c r="G63">
        <v>1</v>
      </c>
      <c r="H63" t="s">
        <v>2603</v>
      </c>
      <c r="I63" s="38">
        <v>45681</v>
      </c>
      <c r="J63" t="s">
        <v>2604</v>
      </c>
      <c r="K63" t="s">
        <v>2615</v>
      </c>
      <c r="L63">
        <v>2</v>
      </c>
    </row>
    <row r="64" spans="1:12">
      <c r="A64">
        <v>48000482</v>
      </c>
      <c r="B64" s="38">
        <v>45691</v>
      </c>
      <c r="C64" t="s">
        <v>704</v>
      </c>
      <c r="D64" t="s">
        <v>1650</v>
      </c>
      <c r="E64" t="s">
        <v>2704</v>
      </c>
      <c r="F64">
        <v>1</v>
      </c>
      <c r="G64">
        <v>1</v>
      </c>
      <c r="H64" t="s">
        <v>2603</v>
      </c>
      <c r="I64" s="38">
        <v>45691</v>
      </c>
      <c r="J64" t="s">
        <v>2604</v>
      </c>
      <c r="K64" t="s">
        <v>2615</v>
      </c>
      <c r="L64">
        <v>2</v>
      </c>
    </row>
    <row r="65" spans="1:12">
      <c r="A65">
        <v>48000482</v>
      </c>
      <c r="B65" s="38">
        <v>45691</v>
      </c>
      <c r="C65" t="s">
        <v>704</v>
      </c>
      <c r="D65" t="s">
        <v>446</v>
      </c>
      <c r="E65" t="s">
        <v>509</v>
      </c>
      <c r="F65">
        <v>1</v>
      </c>
      <c r="G65">
        <v>1</v>
      </c>
      <c r="H65" t="s">
        <v>2603</v>
      </c>
      <c r="I65" s="38">
        <v>45672</v>
      </c>
      <c r="J65" t="s">
        <v>2604</v>
      </c>
      <c r="K65" t="s">
        <v>2615</v>
      </c>
      <c r="L65">
        <v>2</v>
      </c>
    </row>
    <row r="66" spans="1:12">
      <c r="A66">
        <v>50000530</v>
      </c>
      <c r="B66" s="38">
        <v>45691</v>
      </c>
      <c r="C66" t="s">
        <v>365</v>
      </c>
      <c r="D66" t="s">
        <v>1064</v>
      </c>
      <c r="E66" t="s">
        <v>2705</v>
      </c>
      <c r="F66">
        <v>1</v>
      </c>
      <c r="G66">
        <v>1</v>
      </c>
      <c r="H66" t="s">
        <v>2608</v>
      </c>
      <c r="I66" s="38">
        <v>45688</v>
      </c>
      <c r="J66" t="s">
        <v>2604</v>
      </c>
      <c r="K66" t="s">
        <v>2615</v>
      </c>
      <c r="L66">
        <v>2</v>
      </c>
    </row>
    <row r="67" spans="1:12">
      <c r="A67">
        <v>50000530</v>
      </c>
      <c r="B67" s="38">
        <v>45691</v>
      </c>
      <c r="C67" t="s">
        <v>365</v>
      </c>
      <c r="D67" t="s">
        <v>70</v>
      </c>
      <c r="E67" t="s">
        <v>352</v>
      </c>
      <c r="F67">
        <v>1</v>
      </c>
      <c r="G67">
        <v>1</v>
      </c>
      <c r="H67" t="s">
        <v>2603</v>
      </c>
      <c r="I67" s="38">
        <v>45688</v>
      </c>
      <c r="J67" t="s">
        <v>2604</v>
      </c>
      <c r="K67" t="s">
        <v>2615</v>
      </c>
      <c r="L67">
        <v>2</v>
      </c>
    </row>
    <row r="68" spans="1:12">
      <c r="A68">
        <v>44000010</v>
      </c>
      <c r="B68" s="38">
        <v>45691</v>
      </c>
      <c r="C68" t="s">
        <v>1030</v>
      </c>
      <c r="D68" t="s">
        <v>587</v>
      </c>
      <c r="E68" t="s">
        <v>2706</v>
      </c>
      <c r="F68">
        <v>1</v>
      </c>
      <c r="G68">
        <v>1</v>
      </c>
      <c r="H68" t="s">
        <v>2603</v>
      </c>
      <c r="I68" s="38">
        <v>45705</v>
      </c>
      <c r="J68" t="s">
        <v>2604</v>
      </c>
      <c r="K68" t="s">
        <v>2615</v>
      </c>
      <c r="L68">
        <v>2</v>
      </c>
    </row>
    <row r="69" spans="1:12">
      <c r="A69">
        <v>50110193</v>
      </c>
      <c r="B69" s="38">
        <v>45691</v>
      </c>
      <c r="C69" t="s">
        <v>125</v>
      </c>
      <c r="D69" t="s">
        <v>813</v>
      </c>
      <c r="E69" t="s">
        <v>2707</v>
      </c>
      <c r="F69">
        <v>1</v>
      </c>
      <c r="G69">
        <v>1</v>
      </c>
      <c r="H69" t="s">
        <v>2603</v>
      </c>
      <c r="I69" s="38">
        <v>45693</v>
      </c>
      <c r="J69" t="s">
        <v>2609</v>
      </c>
      <c r="K69" t="s">
        <v>2615</v>
      </c>
      <c r="L69">
        <v>2</v>
      </c>
    </row>
    <row r="70" spans="1:12">
      <c r="A70">
        <v>48300301</v>
      </c>
      <c r="B70" s="38">
        <v>45692</v>
      </c>
      <c r="C70" t="s">
        <v>134</v>
      </c>
      <c r="D70" t="s">
        <v>803</v>
      </c>
      <c r="E70" t="s">
        <v>804</v>
      </c>
      <c r="F70">
        <v>1</v>
      </c>
      <c r="G70">
        <v>1</v>
      </c>
      <c r="H70" t="s">
        <v>2603</v>
      </c>
      <c r="I70" s="38">
        <v>45679</v>
      </c>
      <c r="J70" t="s">
        <v>2604</v>
      </c>
      <c r="K70" t="s">
        <v>2615</v>
      </c>
      <c r="L70">
        <v>2</v>
      </c>
    </row>
    <row r="71" spans="1:12">
      <c r="A71">
        <v>60002072</v>
      </c>
      <c r="B71" s="38">
        <v>45692</v>
      </c>
      <c r="C71" t="s">
        <v>94</v>
      </c>
      <c r="D71" t="s">
        <v>2708</v>
      </c>
      <c r="E71" t="s">
        <v>742</v>
      </c>
      <c r="F71">
        <v>1</v>
      </c>
      <c r="G71">
        <v>1</v>
      </c>
      <c r="H71" t="s">
        <v>2603</v>
      </c>
      <c r="I71" s="38">
        <v>45692</v>
      </c>
      <c r="J71" t="s">
        <v>2604</v>
      </c>
      <c r="K71" t="s">
        <v>2615</v>
      </c>
      <c r="L71">
        <v>2</v>
      </c>
    </row>
    <row r="72" spans="1:12">
      <c r="A72">
        <v>50000343</v>
      </c>
      <c r="B72" s="38">
        <v>45692</v>
      </c>
      <c r="C72" t="s">
        <v>33</v>
      </c>
      <c r="D72" t="s">
        <v>220</v>
      </c>
      <c r="E72" t="s">
        <v>2709</v>
      </c>
      <c r="F72">
        <v>1</v>
      </c>
      <c r="G72">
        <v>1</v>
      </c>
      <c r="H72" t="s">
        <v>2603</v>
      </c>
      <c r="I72" s="38">
        <v>45693</v>
      </c>
      <c r="J72" t="s">
        <v>2609</v>
      </c>
      <c r="K72" t="s">
        <v>2615</v>
      </c>
      <c r="L72">
        <v>2</v>
      </c>
    </row>
    <row r="73" spans="1:12">
      <c r="A73">
        <v>50000202</v>
      </c>
      <c r="B73" s="38">
        <v>45692</v>
      </c>
      <c r="C73" t="s">
        <v>1322</v>
      </c>
      <c r="D73" t="s">
        <v>1074</v>
      </c>
      <c r="E73" t="s">
        <v>2710</v>
      </c>
      <c r="F73">
        <v>1</v>
      </c>
      <c r="G73">
        <v>1</v>
      </c>
      <c r="H73" t="s">
        <v>2603</v>
      </c>
      <c r="I73" s="38">
        <v>45663</v>
      </c>
      <c r="J73" t="s">
        <v>2604</v>
      </c>
      <c r="K73" t="s">
        <v>2615</v>
      </c>
      <c r="L73">
        <v>2</v>
      </c>
    </row>
    <row r="74" spans="1:12">
      <c r="A74">
        <v>48000482</v>
      </c>
      <c r="B74" s="38">
        <v>45692</v>
      </c>
      <c r="C74" t="s">
        <v>704</v>
      </c>
      <c r="D74" t="s">
        <v>587</v>
      </c>
      <c r="E74" t="s">
        <v>588</v>
      </c>
      <c r="F74">
        <v>1</v>
      </c>
      <c r="G74">
        <v>1</v>
      </c>
      <c r="H74" t="s">
        <v>2603</v>
      </c>
      <c r="I74" s="38">
        <v>45705</v>
      </c>
      <c r="J74" t="s">
        <v>2604</v>
      </c>
      <c r="K74" t="s">
        <v>2615</v>
      </c>
      <c r="L74">
        <v>2</v>
      </c>
    </row>
    <row r="75" spans="1:12">
      <c r="A75">
        <v>44000059</v>
      </c>
      <c r="B75" s="38">
        <v>45692</v>
      </c>
      <c r="C75" t="s">
        <v>134</v>
      </c>
      <c r="D75" t="s">
        <v>846</v>
      </c>
      <c r="E75" t="s">
        <v>847</v>
      </c>
      <c r="F75">
        <v>1</v>
      </c>
      <c r="G75">
        <v>1</v>
      </c>
      <c r="H75" t="s">
        <v>2603</v>
      </c>
      <c r="I75" s="38">
        <v>45681</v>
      </c>
      <c r="J75" t="s">
        <v>2604</v>
      </c>
      <c r="K75" t="s">
        <v>2615</v>
      </c>
      <c r="L75">
        <v>2</v>
      </c>
    </row>
    <row r="76" spans="1:12">
      <c r="A76">
        <v>44000059</v>
      </c>
      <c r="B76" s="38">
        <v>45692</v>
      </c>
      <c r="C76" t="s">
        <v>134</v>
      </c>
      <c r="D76" t="s">
        <v>2711</v>
      </c>
      <c r="E76" t="s">
        <v>2712</v>
      </c>
      <c r="F76">
        <v>1</v>
      </c>
      <c r="G76">
        <v>1</v>
      </c>
      <c r="H76" t="s">
        <v>2603</v>
      </c>
      <c r="I76" s="38">
        <v>45692</v>
      </c>
      <c r="J76" t="s">
        <v>2604</v>
      </c>
      <c r="K76" t="s">
        <v>2615</v>
      </c>
      <c r="L76">
        <v>2</v>
      </c>
    </row>
    <row r="77" spans="1:12">
      <c r="A77">
        <v>50110372</v>
      </c>
      <c r="B77" s="38">
        <v>45692</v>
      </c>
      <c r="C77" t="s">
        <v>33</v>
      </c>
      <c r="D77" t="s">
        <v>2713</v>
      </c>
      <c r="E77" t="s">
        <v>2714</v>
      </c>
      <c r="F77">
        <v>1</v>
      </c>
      <c r="G77">
        <v>0</v>
      </c>
      <c r="H77" t="s">
        <v>2608</v>
      </c>
      <c r="J77" t="s">
        <v>2604</v>
      </c>
      <c r="K77" t="s">
        <v>2615</v>
      </c>
      <c r="L77">
        <v>2</v>
      </c>
    </row>
    <row r="78" spans="1:12">
      <c r="A78">
        <v>50110372</v>
      </c>
      <c r="B78" s="38">
        <v>45692</v>
      </c>
      <c r="C78" t="s">
        <v>33</v>
      </c>
      <c r="D78" t="s">
        <v>2715</v>
      </c>
      <c r="E78" t="s">
        <v>2716</v>
      </c>
      <c r="F78">
        <v>1</v>
      </c>
      <c r="G78">
        <v>1</v>
      </c>
      <c r="H78" t="s">
        <v>2608</v>
      </c>
      <c r="I78" s="38">
        <v>45692</v>
      </c>
      <c r="J78" t="s">
        <v>2604</v>
      </c>
      <c r="K78" t="s">
        <v>2615</v>
      </c>
      <c r="L78">
        <v>2</v>
      </c>
    </row>
    <row r="79" spans="1:12">
      <c r="A79">
        <v>51000136</v>
      </c>
      <c r="B79" s="38">
        <v>45693</v>
      </c>
      <c r="C79" t="s">
        <v>101</v>
      </c>
      <c r="D79" t="s">
        <v>2717</v>
      </c>
      <c r="E79" t="s">
        <v>2718</v>
      </c>
      <c r="F79">
        <v>1</v>
      </c>
      <c r="G79">
        <v>0</v>
      </c>
      <c r="H79" t="s">
        <v>2603</v>
      </c>
      <c r="J79" t="s">
        <v>2604</v>
      </c>
      <c r="K79" t="s">
        <v>2615</v>
      </c>
      <c r="L79">
        <v>2</v>
      </c>
    </row>
    <row r="80" spans="1:12">
      <c r="A80">
        <v>50000343</v>
      </c>
      <c r="B80" s="38">
        <v>45694</v>
      </c>
      <c r="C80" t="s">
        <v>33</v>
      </c>
      <c r="D80" t="s">
        <v>2380</v>
      </c>
      <c r="E80" t="s">
        <v>2719</v>
      </c>
      <c r="F80">
        <v>1</v>
      </c>
      <c r="G80">
        <v>1</v>
      </c>
      <c r="H80" t="s">
        <v>2603</v>
      </c>
      <c r="I80" s="38">
        <v>45692</v>
      </c>
      <c r="J80" t="s">
        <v>2604</v>
      </c>
      <c r="K80" t="s">
        <v>2615</v>
      </c>
      <c r="L80">
        <v>2</v>
      </c>
    </row>
    <row r="81" spans="1:12">
      <c r="A81" t="s">
        <v>2720</v>
      </c>
      <c r="B81" s="38">
        <v>45694</v>
      </c>
      <c r="C81" t="s">
        <v>434</v>
      </c>
      <c r="D81" t="s">
        <v>1494</v>
      </c>
      <c r="E81" t="s">
        <v>2721</v>
      </c>
      <c r="F81">
        <v>1</v>
      </c>
      <c r="G81">
        <v>1</v>
      </c>
      <c r="H81" t="s">
        <v>2603</v>
      </c>
      <c r="I81" s="38">
        <v>45693</v>
      </c>
      <c r="J81" t="s">
        <v>2604</v>
      </c>
      <c r="K81" t="s">
        <v>2615</v>
      </c>
      <c r="L81">
        <v>2</v>
      </c>
    </row>
    <row r="82" spans="1:12">
      <c r="A82">
        <v>60002095</v>
      </c>
      <c r="B82" s="38">
        <v>45695</v>
      </c>
      <c r="C82" t="s">
        <v>33</v>
      </c>
      <c r="D82" t="s">
        <v>750</v>
      </c>
      <c r="E82" t="s">
        <v>2722</v>
      </c>
      <c r="F82">
        <v>1</v>
      </c>
      <c r="G82">
        <v>0</v>
      </c>
      <c r="H82" t="s">
        <v>2608</v>
      </c>
      <c r="J82" t="s">
        <v>2604</v>
      </c>
      <c r="K82" t="s">
        <v>2615</v>
      </c>
      <c r="L82">
        <v>2</v>
      </c>
    </row>
    <row r="83" spans="1:12">
      <c r="A83" t="s">
        <v>2723</v>
      </c>
      <c r="B83" s="38">
        <v>45695</v>
      </c>
      <c r="C83" t="s">
        <v>1030</v>
      </c>
      <c r="D83" t="s">
        <v>2724</v>
      </c>
      <c r="E83" t="s">
        <v>2725</v>
      </c>
      <c r="F83">
        <v>1</v>
      </c>
      <c r="G83">
        <v>1</v>
      </c>
      <c r="H83" t="s">
        <v>2603</v>
      </c>
      <c r="I83" s="38">
        <v>45677</v>
      </c>
      <c r="J83" t="s">
        <v>2604</v>
      </c>
      <c r="K83" t="s">
        <v>2615</v>
      </c>
      <c r="L83">
        <v>2</v>
      </c>
    </row>
    <row r="84" spans="1:12">
      <c r="A84">
        <v>44000321</v>
      </c>
      <c r="B84" s="38">
        <v>45695</v>
      </c>
      <c r="C84" t="s">
        <v>2726</v>
      </c>
      <c r="D84" t="s">
        <v>2727</v>
      </c>
      <c r="E84" t="s">
        <v>2728</v>
      </c>
      <c r="F84">
        <v>1</v>
      </c>
      <c r="G84">
        <v>1</v>
      </c>
      <c r="H84" t="s">
        <v>2603</v>
      </c>
      <c r="I84" s="38">
        <v>45672</v>
      </c>
      <c r="J84" t="s">
        <v>2604</v>
      </c>
      <c r="K84" t="s">
        <v>2615</v>
      </c>
      <c r="L84">
        <v>2</v>
      </c>
    </row>
    <row r="85" spans="1:12">
      <c r="A85">
        <v>44000321</v>
      </c>
      <c r="B85" s="38">
        <v>45695</v>
      </c>
      <c r="C85" t="s">
        <v>2726</v>
      </c>
      <c r="D85" t="s">
        <v>1037</v>
      </c>
      <c r="E85" t="s">
        <v>2729</v>
      </c>
      <c r="F85">
        <v>1</v>
      </c>
      <c r="G85">
        <v>1</v>
      </c>
      <c r="H85" t="s">
        <v>2603</v>
      </c>
      <c r="I85" s="38">
        <v>45672</v>
      </c>
      <c r="J85" t="s">
        <v>2604</v>
      </c>
      <c r="K85" t="s">
        <v>2615</v>
      </c>
      <c r="L85">
        <v>2</v>
      </c>
    </row>
    <row r="86" spans="1:12">
      <c r="A86">
        <v>50000343</v>
      </c>
      <c r="B86" s="38">
        <v>45698</v>
      </c>
      <c r="C86" t="s">
        <v>33</v>
      </c>
      <c r="D86" t="s">
        <v>70</v>
      </c>
      <c r="E86" t="s">
        <v>352</v>
      </c>
      <c r="F86">
        <v>1</v>
      </c>
      <c r="G86">
        <v>1</v>
      </c>
      <c r="H86" t="s">
        <v>2603</v>
      </c>
      <c r="I86" s="38">
        <v>45698</v>
      </c>
      <c r="J86" t="s">
        <v>2609</v>
      </c>
      <c r="K86" t="s">
        <v>2615</v>
      </c>
      <c r="L86">
        <v>2</v>
      </c>
    </row>
    <row r="87" spans="1:12">
      <c r="A87">
        <v>48300375</v>
      </c>
      <c r="B87" s="38">
        <v>45698</v>
      </c>
      <c r="C87" t="s">
        <v>915</v>
      </c>
      <c r="D87" t="s">
        <v>2730</v>
      </c>
      <c r="E87" t="s">
        <v>2731</v>
      </c>
      <c r="F87">
        <v>1</v>
      </c>
      <c r="G87">
        <v>1</v>
      </c>
      <c r="H87" t="s">
        <v>2603</v>
      </c>
      <c r="J87" t="s">
        <v>2604</v>
      </c>
      <c r="K87" t="s">
        <v>2615</v>
      </c>
      <c r="L87">
        <v>2</v>
      </c>
    </row>
    <row r="88" spans="1:12">
      <c r="A88">
        <v>50110372</v>
      </c>
      <c r="B88" s="38">
        <v>45698</v>
      </c>
      <c r="C88" t="s">
        <v>33</v>
      </c>
      <c r="D88" t="s">
        <v>329</v>
      </c>
      <c r="E88" t="s">
        <v>346</v>
      </c>
      <c r="F88">
        <v>1</v>
      </c>
      <c r="G88">
        <v>1</v>
      </c>
      <c r="H88" t="s">
        <v>2603</v>
      </c>
      <c r="I88" s="38">
        <v>45695</v>
      </c>
      <c r="J88" t="s">
        <v>2604</v>
      </c>
      <c r="K88" t="s">
        <v>2615</v>
      </c>
      <c r="L88">
        <v>2</v>
      </c>
    </row>
    <row r="89" spans="1:12">
      <c r="A89">
        <v>50110229</v>
      </c>
      <c r="B89" s="38">
        <v>45698</v>
      </c>
      <c r="C89" t="s">
        <v>345</v>
      </c>
      <c r="D89" t="s">
        <v>866</v>
      </c>
      <c r="E89" t="s">
        <v>2732</v>
      </c>
      <c r="F89">
        <v>1</v>
      </c>
      <c r="G89">
        <v>1</v>
      </c>
      <c r="H89" t="s">
        <v>2608</v>
      </c>
      <c r="I89" s="38">
        <v>45698</v>
      </c>
      <c r="J89" t="s">
        <v>2604</v>
      </c>
      <c r="K89" t="s">
        <v>2615</v>
      </c>
      <c r="L89">
        <v>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B775-FCCD-45B5-9FF6-1A88E42135F8}">
  <dimension ref="A1:Y88"/>
  <sheetViews>
    <sheetView topLeftCell="T11" workbookViewId="0">
      <selection activeCell="T11" sqref="T11"/>
    </sheetView>
  </sheetViews>
  <sheetFormatPr defaultRowHeight="14.45"/>
  <cols>
    <col min="1" max="1" width="10.42578125" bestFit="1" customWidth="1"/>
    <col min="2" max="2" width="18.5703125" bestFit="1" customWidth="1"/>
    <col min="3" max="3" width="18.7109375" bestFit="1" customWidth="1"/>
    <col min="4" max="4" width="12.28515625" bestFit="1" customWidth="1"/>
    <col min="5" max="5" width="14.7109375" bestFit="1" customWidth="1"/>
    <col min="6" max="6" width="17" bestFit="1" customWidth="1"/>
    <col min="7" max="7" width="13.28515625" bestFit="1" customWidth="1"/>
    <col min="8" max="8" width="13.7109375" bestFit="1" customWidth="1"/>
    <col min="9" max="9" width="57.28515625" bestFit="1" customWidth="1"/>
    <col min="10" max="10" width="15.28515625" bestFit="1" customWidth="1"/>
    <col min="11" max="11" width="11.7109375" bestFit="1" customWidth="1"/>
    <col min="12" max="12" width="21.28515625" bestFit="1" customWidth="1"/>
    <col min="13" max="13" width="21.7109375" bestFit="1" customWidth="1"/>
    <col min="14" max="14" width="13.7109375" bestFit="1" customWidth="1"/>
    <col min="15" max="15" width="19" bestFit="1" customWidth="1"/>
    <col min="16" max="16" width="20.42578125" bestFit="1" customWidth="1"/>
    <col min="17" max="17" width="49.42578125" bestFit="1" customWidth="1"/>
    <col min="18" max="18" width="31.28515625" bestFit="1" customWidth="1"/>
    <col min="19" max="19" width="20.28515625" bestFit="1" customWidth="1"/>
    <col min="20" max="20" width="27.7109375" bestFit="1" customWidth="1"/>
    <col min="21" max="21" width="17.28515625" bestFit="1" customWidth="1"/>
    <col min="22" max="22" width="20" bestFit="1" customWidth="1"/>
    <col min="23" max="23" width="18.7109375" bestFit="1" customWidth="1"/>
    <col min="24" max="24" width="15.5703125" bestFit="1" customWidth="1"/>
    <col min="25" max="25" width="15.7109375" bestFit="1" customWidth="1"/>
  </cols>
  <sheetData>
    <row r="1" spans="1:25">
      <c r="A1" s="39" t="s">
        <v>2801</v>
      </c>
    </row>
    <row r="3" spans="1:25">
      <c r="A3" t="s">
        <v>0</v>
      </c>
      <c r="B3" t="s">
        <v>1</v>
      </c>
      <c r="C3" t="s">
        <v>2</v>
      </c>
      <c r="D3" t="s">
        <v>3</v>
      </c>
      <c r="E3" t="s">
        <v>2802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14</v>
      </c>
      <c r="O3" t="s">
        <v>15</v>
      </c>
      <c r="P3" t="s">
        <v>17</v>
      </c>
      <c r="Q3" t="s">
        <v>2599</v>
      </c>
      <c r="R3" t="s">
        <v>18</v>
      </c>
      <c r="S3" t="s">
        <v>19</v>
      </c>
      <c r="T3" t="s">
        <v>20</v>
      </c>
      <c r="U3" t="s">
        <v>21</v>
      </c>
      <c r="V3" t="s">
        <v>2803</v>
      </c>
      <c r="W3" t="s">
        <v>22</v>
      </c>
      <c r="X3" t="s">
        <v>23</v>
      </c>
      <c r="Y3" t="s">
        <v>24</v>
      </c>
    </row>
    <row r="4" spans="1:25">
      <c r="A4" t="s">
        <v>2804</v>
      </c>
      <c r="B4" s="38">
        <v>45715</v>
      </c>
      <c r="C4" s="38">
        <v>45715</v>
      </c>
      <c r="D4" t="s">
        <v>2805</v>
      </c>
      <c r="E4" t="s">
        <v>327</v>
      </c>
      <c r="F4" t="s">
        <v>328</v>
      </c>
      <c r="G4">
        <v>50000260</v>
      </c>
      <c r="H4" t="s">
        <v>379</v>
      </c>
      <c r="I4" t="s">
        <v>2789</v>
      </c>
      <c r="J4">
        <v>1</v>
      </c>
      <c r="K4" t="s">
        <v>37</v>
      </c>
      <c r="L4" t="s">
        <v>38</v>
      </c>
      <c r="N4" t="s">
        <v>73</v>
      </c>
      <c r="O4">
        <v>1</v>
      </c>
      <c r="Q4" t="s">
        <v>37</v>
      </c>
      <c r="R4" s="38">
        <v>45713</v>
      </c>
      <c r="V4" t="s">
        <v>42</v>
      </c>
      <c r="W4">
        <v>631.67999999999995</v>
      </c>
      <c r="X4">
        <v>631.67999999999995</v>
      </c>
    </row>
    <row r="5" spans="1:25">
      <c r="A5" t="s">
        <v>2806</v>
      </c>
      <c r="B5" s="38">
        <v>45715</v>
      </c>
      <c r="C5" s="38">
        <v>45715</v>
      </c>
      <c r="D5" t="s">
        <v>2807</v>
      </c>
      <c r="E5" t="s">
        <v>434</v>
      </c>
      <c r="F5" t="s">
        <v>334</v>
      </c>
      <c r="G5">
        <v>50300141</v>
      </c>
      <c r="H5" t="s">
        <v>278</v>
      </c>
      <c r="I5" t="s">
        <v>2788</v>
      </c>
      <c r="J5">
        <v>1</v>
      </c>
      <c r="K5" t="s">
        <v>37</v>
      </c>
      <c r="L5" t="s">
        <v>38</v>
      </c>
      <c r="N5" t="s">
        <v>73</v>
      </c>
      <c r="O5">
        <v>1</v>
      </c>
      <c r="P5" t="s">
        <v>276</v>
      </c>
      <c r="Q5" t="s">
        <v>2808</v>
      </c>
      <c r="R5" s="38">
        <v>45709</v>
      </c>
      <c r="V5" t="s">
        <v>2809</v>
      </c>
      <c r="W5">
        <v>339.68</v>
      </c>
      <c r="X5">
        <v>339.68</v>
      </c>
    </row>
    <row r="6" spans="1:25">
      <c r="A6" t="s">
        <v>2810</v>
      </c>
      <c r="B6" s="38">
        <v>45715</v>
      </c>
      <c r="C6" s="38">
        <v>45715</v>
      </c>
      <c r="D6" t="s">
        <v>2811</v>
      </c>
      <c r="E6" t="s">
        <v>365</v>
      </c>
      <c r="F6" t="s">
        <v>328</v>
      </c>
      <c r="G6">
        <v>50000530</v>
      </c>
      <c r="H6" t="s">
        <v>1326</v>
      </c>
      <c r="I6" t="s">
        <v>2787</v>
      </c>
      <c r="J6">
        <v>1</v>
      </c>
      <c r="K6" t="s">
        <v>37</v>
      </c>
      <c r="L6" t="s">
        <v>38</v>
      </c>
      <c r="N6" t="s">
        <v>73</v>
      </c>
      <c r="O6">
        <v>1</v>
      </c>
      <c r="Q6" t="s">
        <v>2812</v>
      </c>
      <c r="R6" s="38">
        <v>45713</v>
      </c>
      <c r="W6">
        <v>91.76</v>
      </c>
      <c r="X6">
        <v>91.76</v>
      </c>
    </row>
    <row r="7" spans="1:25">
      <c r="A7" t="s">
        <v>2813</v>
      </c>
      <c r="B7" s="38">
        <v>45715</v>
      </c>
      <c r="C7" s="38">
        <v>45715</v>
      </c>
      <c r="D7" t="s">
        <v>2814</v>
      </c>
      <c r="E7" t="s">
        <v>2784</v>
      </c>
      <c r="F7" t="s">
        <v>328</v>
      </c>
      <c r="G7" t="s">
        <v>2783</v>
      </c>
      <c r="H7" t="s">
        <v>2785</v>
      </c>
      <c r="I7" t="s">
        <v>2786</v>
      </c>
      <c r="J7">
        <v>1</v>
      </c>
      <c r="K7" t="s">
        <v>37</v>
      </c>
      <c r="L7" t="s">
        <v>251</v>
      </c>
      <c r="N7" t="s">
        <v>73</v>
      </c>
      <c r="O7">
        <v>1</v>
      </c>
      <c r="Q7" t="s">
        <v>37</v>
      </c>
      <c r="R7" s="38">
        <v>45679</v>
      </c>
      <c r="V7" t="s">
        <v>42</v>
      </c>
      <c r="W7">
        <v>140.44999999999999</v>
      </c>
      <c r="X7">
        <v>140.44999999999999</v>
      </c>
    </row>
    <row r="8" spans="1:25">
      <c r="A8" t="s">
        <v>2815</v>
      </c>
      <c r="B8" s="38">
        <v>45715</v>
      </c>
      <c r="C8" s="38">
        <v>45714</v>
      </c>
      <c r="D8" t="s">
        <v>2816</v>
      </c>
      <c r="E8" t="s">
        <v>101</v>
      </c>
      <c r="F8" t="s">
        <v>102</v>
      </c>
      <c r="G8">
        <v>51000323</v>
      </c>
      <c r="H8" t="s">
        <v>323</v>
      </c>
      <c r="I8" t="s">
        <v>2782</v>
      </c>
      <c r="J8">
        <v>1</v>
      </c>
      <c r="K8" t="s">
        <v>37</v>
      </c>
      <c r="L8" t="s">
        <v>38</v>
      </c>
      <c r="N8" t="s">
        <v>81</v>
      </c>
      <c r="O8">
        <v>1</v>
      </c>
      <c r="Q8" t="s">
        <v>2817</v>
      </c>
      <c r="V8" t="s">
        <v>42</v>
      </c>
      <c r="W8">
        <v>96.35</v>
      </c>
      <c r="X8">
        <v>96.35</v>
      </c>
    </row>
    <row r="9" spans="1:25">
      <c r="A9" t="s">
        <v>2815</v>
      </c>
      <c r="B9" s="38">
        <v>45715</v>
      </c>
      <c r="C9" s="38">
        <v>45714</v>
      </c>
      <c r="D9" t="s">
        <v>2816</v>
      </c>
      <c r="E9" t="s">
        <v>101</v>
      </c>
      <c r="F9" t="s">
        <v>102</v>
      </c>
      <c r="G9">
        <v>51000323</v>
      </c>
      <c r="H9" t="s">
        <v>2780</v>
      </c>
      <c r="I9" t="s">
        <v>2781</v>
      </c>
      <c r="J9">
        <v>1</v>
      </c>
      <c r="K9" t="s">
        <v>37</v>
      </c>
      <c r="L9" t="s">
        <v>38</v>
      </c>
      <c r="N9" t="s">
        <v>2607</v>
      </c>
      <c r="O9">
        <v>0</v>
      </c>
      <c r="Q9" t="s">
        <v>2817</v>
      </c>
      <c r="V9" t="s">
        <v>42</v>
      </c>
      <c r="W9">
        <v>874.36</v>
      </c>
      <c r="X9">
        <v>874.36</v>
      </c>
    </row>
    <row r="10" spans="1:25">
      <c r="A10" t="s">
        <v>2818</v>
      </c>
      <c r="B10" s="38">
        <v>45715</v>
      </c>
      <c r="C10" s="38">
        <v>45714</v>
      </c>
      <c r="D10" t="s">
        <v>2819</v>
      </c>
      <c r="E10" t="s">
        <v>101</v>
      </c>
      <c r="F10" t="s">
        <v>102</v>
      </c>
      <c r="G10">
        <v>51000136</v>
      </c>
      <c r="H10" t="s">
        <v>2778</v>
      </c>
      <c r="I10" t="s">
        <v>2779</v>
      </c>
      <c r="J10">
        <v>1</v>
      </c>
      <c r="K10" t="s">
        <v>37</v>
      </c>
      <c r="L10" t="s">
        <v>38</v>
      </c>
      <c r="N10" t="s">
        <v>2607</v>
      </c>
      <c r="O10">
        <v>0</v>
      </c>
      <c r="Q10" t="s">
        <v>37</v>
      </c>
      <c r="V10" t="s">
        <v>42</v>
      </c>
      <c r="W10">
        <v>66.959999999999994</v>
      </c>
      <c r="X10">
        <v>66.959999999999994</v>
      </c>
    </row>
    <row r="11" spans="1:25">
      <c r="A11" t="s">
        <v>2818</v>
      </c>
      <c r="B11" s="38">
        <v>45715</v>
      </c>
      <c r="C11" s="38">
        <v>45714</v>
      </c>
      <c r="D11" t="s">
        <v>2819</v>
      </c>
      <c r="E11" t="s">
        <v>101</v>
      </c>
      <c r="F11" t="s">
        <v>102</v>
      </c>
      <c r="G11">
        <v>51000136</v>
      </c>
      <c r="H11" t="s">
        <v>2776</v>
      </c>
      <c r="I11" t="s">
        <v>2777</v>
      </c>
      <c r="J11">
        <v>1</v>
      </c>
      <c r="K11" t="s">
        <v>37</v>
      </c>
      <c r="L11" t="s">
        <v>38</v>
      </c>
      <c r="N11" t="s">
        <v>73</v>
      </c>
      <c r="O11">
        <v>1</v>
      </c>
      <c r="Q11" t="s">
        <v>2820</v>
      </c>
      <c r="R11" s="38">
        <v>45723</v>
      </c>
      <c r="V11" t="s">
        <v>42</v>
      </c>
      <c r="W11">
        <v>720.36</v>
      </c>
      <c r="X11">
        <v>720.36</v>
      </c>
    </row>
    <row r="12" spans="1:25">
      <c r="A12" t="s">
        <v>2818</v>
      </c>
      <c r="B12" s="38">
        <v>45715</v>
      </c>
      <c r="C12" s="38">
        <v>45714</v>
      </c>
      <c r="D12" t="s">
        <v>2819</v>
      </c>
      <c r="E12" t="s">
        <v>101</v>
      </c>
      <c r="F12" t="s">
        <v>102</v>
      </c>
      <c r="G12">
        <v>51000136</v>
      </c>
      <c r="H12" t="s">
        <v>2774</v>
      </c>
      <c r="I12" t="s">
        <v>2775</v>
      </c>
      <c r="J12">
        <v>1</v>
      </c>
      <c r="K12" t="s">
        <v>37</v>
      </c>
      <c r="L12" t="s">
        <v>38</v>
      </c>
      <c r="N12" t="s">
        <v>73</v>
      </c>
      <c r="O12">
        <v>1</v>
      </c>
      <c r="Q12" t="s">
        <v>2820</v>
      </c>
      <c r="R12" s="38">
        <v>45723</v>
      </c>
      <c r="V12" t="s">
        <v>42</v>
      </c>
      <c r="W12">
        <v>260.14999999999998</v>
      </c>
      <c r="X12">
        <v>260.14999999999998</v>
      </c>
    </row>
    <row r="13" spans="1:25">
      <c r="A13" t="s">
        <v>2818</v>
      </c>
      <c r="B13" s="38">
        <v>45715</v>
      </c>
      <c r="C13" s="38">
        <v>45714</v>
      </c>
      <c r="D13" t="s">
        <v>2819</v>
      </c>
      <c r="E13" t="s">
        <v>101</v>
      </c>
      <c r="F13" t="s">
        <v>102</v>
      </c>
      <c r="G13">
        <v>51000136</v>
      </c>
      <c r="H13" t="s">
        <v>2772</v>
      </c>
      <c r="I13" t="s">
        <v>2773</v>
      </c>
      <c r="J13">
        <v>1</v>
      </c>
      <c r="K13" t="s">
        <v>37</v>
      </c>
      <c r="L13" t="s">
        <v>38</v>
      </c>
      <c r="N13" t="s">
        <v>81</v>
      </c>
      <c r="O13">
        <v>1</v>
      </c>
      <c r="Q13" t="s">
        <v>2817</v>
      </c>
      <c r="V13" t="s">
        <v>42</v>
      </c>
      <c r="W13">
        <v>475.51</v>
      </c>
      <c r="X13">
        <v>475.51</v>
      </c>
    </row>
    <row r="14" spans="1:25">
      <c r="A14" t="s">
        <v>2818</v>
      </c>
      <c r="B14" s="38">
        <v>45715</v>
      </c>
      <c r="C14" s="38">
        <v>45714</v>
      </c>
      <c r="D14" t="s">
        <v>2819</v>
      </c>
      <c r="E14" t="s">
        <v>101</v>
      </c>
      <c r="F14" t="s">
        <v>102</v>
      </c>
      <c r="G14">
        <v>51000136</v>
      </c>
      <c r="H14" t="s">
        <v>2770</v>
      </c>
      <c r="I14" t="s">
        <v>2771</v>
      </c>
      <c r="J14">
        <v>1</v>
      </c>
      <c r="K14" t="s">
        <v>37</v>
      </c>
      <c r="L14" t="s">
        <v>38</v>
      </c>
      <c r="N14" t="s">
        <v>2607</v>
      </c>
      <c r="O14">
        <v>0</v>
      </c>
      <c r="P14" t="s">
        <v>243</v>
      </c>
      <c r="Q14" t="s">
        <v>2817</v>
      </c>
      <c r="V14" t="s">
        <v>42</v>
      </c>
      <c r="W14">
        <v>354.38</v>
      </c>
      <c r="X14">
        <v>354.38</v>
      </c>
    </row>
    <row r="15" spans="1:25">
      <c r="A15" t="s">
        <v>2818</v>
      </c>
      <c r="B15" s="38">
        <v>45715</v>
      </c>
      <c r="C15" s="38">
        <v>45714</v>
      </c>
      <c r="D15" t="s">
        <v>2819</v>
      </c>
      <c r="E15" t="s">
        <v>101</v>
      </c>
      <c r="F15" t="s">
        <v>102</v>
      </c>
      <c r="G15">
        <v>51000136</v>
      </c>
      <c r="H15" t="s">
        <v>885</v>
      </c>
      <c r="I15" t="s">
        <v>2769</v>
      </c>
      <c r="J15">
        <v>1</v>
      </c>
      <c r="K15" t="s">
        <v>37</v>
      </c>
      <c r="L15" t="s">
        <v>38</v>
      </c>
      <c r="N15" t="s">
        <v>81</v>
      </c>
      <c r="O15">
        <v>1</v>
      </c>
      <c r="Q15" t="s">
        <v>2817</v>
      </c>
      <c r="V15" t="s">
        <v>42</v>
      </c>
      <c r="W15">
        <v>1207.54</v>
      </c>
      <c r="X15">
        <v>1207.54</v>
      </c>
    </row>
    <row r="16" spans="1:25">
      <c r="A16" t="s">
        <v>2821</v>
      </c>
      <c r="B16" s="38">
        <v>45715</v>
      </c>
      <c r="C16" s="38">
        <v>45715</v>
      </c>
      <c r="D16" t="s">
        <v>2822</v>
      </c>
      <c r="E16" t="s">
        <v>125</v>
      </c>
      <c r="F16" t="s">
        <v>34</v>
      </c>
      <c r="G16">
        <v>50110193</v>
      </c>
      <c r="H16" t="s">
        <v>2767</v>
      </c>
      <c r="I16" t="s">
        <v>2768</v>
      </c>
      <c r="J16">
        <v>1</v>
      </c>
      <c r="K16" t="s">
        <v>37</v>
      </c>
      <c r="L16" t="s">
        <v>251</v>
      </c>
      <c r="M16" t="s">
        <v>81</v>
      </c>
      <c r="N16" t="s">
        <v>73</v>
      </c>
      <c r="O16">
        <v>1</v>
      </c>
      <c r="Q16" t="s">
        <v>2606</v>
      </c>
      <c r="R16" s="38">
        <v>45663</v>
      </c>
      <c r="V16" t="s">
        <v>42</v>
      </c>
      <c r="W16">
        <v>790.42</v>
      </c>
      <c r="X16">
        <v>790.42</v>
      </c>
    </row>
    <row r="17" spans="1:24">
      <c r="A17" t="s">
        <v>2823</v>
      </c>
      <c r="B17" s="38">
        <v>45714</v>
      </c>
      <c r="C17" s="38">
        <v>45714</v>
      </c>
      <c r="D17" t="s">
        <v>2824</v>
      </c>
      <c r="E17" t="s">
        <v>33</v>
      </c>
      <c r="F17" t="s">
        <v>95</v>
      </c>
      <c r="G17">
        <v>60002095</v>
      </c>
      <c r="H17" t="s">
        <v>281</v>
      </c>
      <c r="I17" t="s">
        <v>282</v>
      </c>
      <c r="J17">
        <v>1</v>
      </c>
      <c r="K17" t="s">
        <v>37</v>
      </c>
      <c r="L17" t="s">
        <v>98</v>
      </c>
      <c r="N17" t="s">
        <v>2607</v>
      </c>
      <c r="O17">
        <v>0</v>
      </c>
      <c r="P17" t="s">
        <v>283</v>
      </c>
      <c r="Q17" t="s">
        <v>37</v>
      </c>
      <c r="V17" t="s">
        <v>42</v>
      </c>
      <c r="W17">
        <v>4432.21</v>
      </c>
      <c r="X17">
        <v>4432.21</v>
      </c>
    </row>
    <row r="18" spans="1:24">
      <c r="A18" t="s">
        <v>2825</v>
      </c>
      <c r="B18" s="38">
        <v>45714</v>
      </c>
      <c r="C18" s="38">
        <v>45714</v>
      </c>
      <c r="D18" t="s">
        <v>2826</v>
      </c>
      <c r="E18" t="s">
        <v>2764</v>
      </c>
      <c r="F18" t="s">
        <v>186</v>
      </c>
      <c r="G18">
        <v>44000058</v>
      </c>
      <c r="H18" t="s">
        <v>2017</v>
      </c>
      <c r="I18" t="s">
        <v>2766</v>
      </c>
      <c r="J18">
        <v>1</v>
      </c>
      <c r="K18" t="s">
        <v>37</v>
      </c>
      <c r="L18" t="s">
        <v>38</v>
      </c>
      <c r="N18" t="s">
        <v>73</v>
      </c>
      <c r="O18">
        <v>1</v>
      </c>
      <c r="Q18" t="s">
        <v>2812</v>
      </c>
      <c r="R18" s="38">
        <v>45714</v>
      </c>
      <c r="V18" t="s">
        <v>2827</v>
      </c>
      <c r="W18">
        <v>1323.87</v>
      </c>
      <c r="X18">
        <v>1323.87</v>
      </c>
    </row>
    <row r="19" spans="1:24">
      <c r="A19" t="s">
        <v>2825</v>
      </c>
      <c r="B19" s="38">
        <v>45714</v>
      </c>
      <c r="C19" s="38">
        <v>45714</v>
      </c>
      <c r="D19" t="s">
        <v>2826</v>
      </c>
      <c r="E19" t="s">
        <v>2764</v>
      </c>
      <c r="F19" t="s">
        <v>186</v>
      </c>
      <c r="G19">
        <v>44000058</v>
      </c>
      <c r="H19" t="s">
        <v>2011</v>
      </c>
      <c r="I19" t="s">
        <v>2765</v>
      </c>
      <c r="J19">
        <v>1</v>
      </c>
      <c r="K19" t="s">
        <v>37</v>
      </c>
      <c r="L19" t="s">
        <v>38</v>
      </c>
      <c r="N19" t="s">
        <v>73</v>
      </c>
      <c r="O19">
        <v>1</v>
      </c>
      <c r="P19" t="s">
        <v>2010</v>
      </c>
      <c r="Q19" t="s">
        <v>2812</v>
      </c>
      <c r="R19" s="38">
        <v>45714</v>
      </c>
      <c r="V19" t="s">
        <v>2827</v>
      </c>
      <c r="W19">
        <v>966.08</v>
      </c>
      <c r="X19">
        <v>966.08</v>
      </c>
    </row>
    <row r="20" spans="1:24">
      <c r="A20" t="s">
        <v>2828</v>
      </c>
      <c r="B20" s="38">
        <v>45714</v>
      </c>
      <c r="C20" s="38">
        <v>45713</v>
      </c>
      <c r="D20" t="s">
        <v>2829</v>
      </c>
      <c r="E20" t="s">
        <v>94</v>
      </c>
      <c r="F20" t="s">
        <v>95</v>
      </c>
      <c r="G20">
        <v>60002072</v>
      </c>
      <c r="H20" t="s">
        <v>2708</v>
      </c>
      <c r="I20" t="s">
        <v>742</v>
      </c>
      <c r="J20">
        <v>1</v>
      </c>
      <c r="K20" t="s">
        <v>269</v>
      </c>
      <c r="L20" t="s">
        <v>441</v>
      </c>
      <c r="M20" t="s">
        <v>73</v>
      </c>
      <c r="N20" t="s">
        <v>73</v>
      </c>
      <c r="O20">
        <v>1</v>
      </c>
      <c r="Q20" t="s">
        <v>2830</v>
      </c>
      <c r="R20" s="38">
        <v>45713</v>
      </c>
      <c r="W20">
        <v>886.36</v>
      </c>
      <c r="X20">
        <v>886.36</v>
      </c>
    </row>
    <row r="21" spans="1:24">
      <c r="A21" t="s">
        <v>2831</v>
      </c>
      <c r="B21" s="38">
        <v>45714</v>
      </c>
      <c r="C21" s="38">
        <v>45714</v>
      </c>
      <c r="D21" t="s">
        <v>2832</v>
      </c>
      <c r="E21" t="s">
        <v>33</v>
      </c>
      <c r="F21" t="s">
        <v>34</v>
      </c>
      <c r="G21">
        <v>50110372</v>
      </c>
      <c r="H21" t="s">
        <v>472</v>
      </c>
      <c r="I21" t="s">
        <v>2763</v>
      </c>
      <c r="J21">
        <v>1</v>
      </c>
      <c r="K21" t="s">
        <v>37</v>
      </c>
      <c r="L21" t="s">
        <v>38</v>
      </c>
      <c r="M21" t="s">
        <v>81</v>
      </c>
      <c r="N21" t="s">
        <v>81</v>
      </c>
      <c r="O21">
        <v>1</v>
      </c>
      <c r="P21" t="s">
        <v>474</v>
      </c>
      <c r="Q21" t="s">
        <v>37</v>
      </c>
      <c r="V21" t="s">
        <v>42</v>
      </c>
      <c r="W21">
        <v>22.54</v>
      </c>
      <c r="X21">
        <v>22.54</v>
      </c>
    </row>
    <row r="22" spans="1:24">
      <c r="A22" t="s">
        <v>2833</v>
      </c>
      <c r="B22" s="38">
        <v>45714</v>
      </c>
      <c r="C22" s="38">
        <v>45713</v>
      </c>
      <c r="D22" t="s">
        <v>2834</v>
      </c>
      <c r="E22" t="s">
        <v>33</v>
      </c>
      <c r="F22" t="s">
        <v>95</v>
      </c>
      <c r="G22" t="s">
        <v>2835</v>
      </c>
      <c r="H22" t="s">
        <v>1510</v>
      </c>
      <c r="I22" t="s">
        <v>2836</v>
      </c>
      <c r="J22">
        <v>1</v>
      </c>
      <c r="K22" t="s">
        <v>269</v>
      </c>
      <c r="L22" t="s">
        <v>441</v>
      </c>
      <c r="M22" t="s">
        <v>39</v>
      </c>
      <c r="N22" t="s">
        <v>2607</v>
      </c>
      <c r="O22">
        <v>0</v>
      </c>
      <c r="Q22" t="s">
        <v>2837</v>
      </c>
      <c r="V22" t="s">
        <v>42</v>
      </c>
      <c r="W22">
        <v>2531.29</v>
      </c>
      <c r="X22">
        <v>2531.29</v>
      </c>
    </row>
    <row r="23" spans="1:24">
      <c r="A23" t="s">
        <v>2838</v>
      </c>
      <c r="B23" s="38">
        <v>45714</v>
      </c>
      <c r="C23" s="38">
        <v>45713</v>
      </c>
      <c r="D23" t="s">
        <v>2839</v>
      </c>
      <c r="E23" t="s">
        <v>345</v>
      </c>
      <c r="F23" t="s">
        <v>34</v>
      </c>
      <c r="G23">
        <v>50110229</v>
      </c>
      <c r="H23" t="s">
        <v>472</v>
      </c>
      <c r="I23" t="s">
        <v>2763</v>
      </c>
      <c r="J23">
        <v>1</v>
      </c>
      <c r="K23" t="s">
        <v>37</v>
      </c>
      <c r="L23" t="s">
        <v>38</v>
      </c>
      <c r="M23" t="s">
        <v>81</v>
      </c>
      <c r="N23" t="s">
        <v>81</v>
      </c>
      <c r="O23">
        <v>1</v>
      </c>
      <c r="P23" t="s">
        <v>474</v>
      </c>
      <c r="Q23" t="s">
        <v>37</v>
      </c>
      <c r="V23" t="s">
        <v>42</v>
      </c>
      <c r="W23">
        <v>22.54</v>
      </c>
      <c r="X23">
        <v>22.54</v>
      </c>
    </row>
    <row r="24" spans="1:24">
      <c r="A24" t="s">
        <v>2840</v>
      </c>
      <c r="B24" s="38">
        <v>45714</v>
      </c>
      <c r="C24" s="38">
        <v>45713</v>
      </c>
      <c r="D24" t="s">
        <v>2841</v>
      </c>
      <c r="E24" t="s">
        <v>125</v>
      </c>
      <c r="F24" t="s">
        <v>34</v>
      </c>
      <c r="G24">
        <v>50110193</v>
      </c>
      <c r="H24" t="s">
        <v>472</v>
      </c>
      <c r="I24" t="s">
        <v>2763</v>
      </c>
      <c r="J24">
        <v>1</v>
      </c>
      <c r="K24" t="s">
        <v>37</v>
      </c>
      <c r="L24" t="s">
        <v>38</v>
      </c>
      <c r="M24" t="s">
        <v>81</v>
      </c>
      <c r="N24" t="s">
        <v>81</v>
      </c>
      <c r="O24">
        <v>1</v>
      </c>
      <c r="P24" t="s">
        <v>474</v>
      </c>
      <c r="Q24" t="s">
        <v>37</v>
      </c>
      <c r="V24" t="s">
        <v>42</v>
      </c>
      <c r="W24">
        <v>22.54</v>
      </c>
      <c r="X24">
        <v>22.54</v>
      </c>
    </row>
    <row r="25" spans="1:24">
      <c r="A25" t="s">
        <v>2842</v>
      </c>
      <c r="B25" s="38">
        <v>45714</v>
      </c>
      <c r="C25" s="38">
        <v>45713</v>
      </c>
      <c r="D25" t="s">
        <v>2843</v>
      </c>
      <c r="E25" t="s">
        <v>365</v>
      </c>
      <c r="F25" t="s">
        <v>328</v>
      </c>
      <c r="G25">
        <v>50000530</v>
      </c>
      <c r="H25" t="s">
        <v>2762</v>
      </c>
      <c r="I25" t="s">
        <v>217</v>
      </c>
      <c r="J25">
        <v>1</v>
      </c>
      <c r="K25" t="s">
        <v>37</v>
      </c>
      <c r="L25" t="s">
        <v>38</v>
      </c>
      <c r="M25" t="s">
        <v>73</v>
      </c>
      <c r="N25" t="s">
        <v>73</v>
      </c>
      <c r="O25">
        <v>1</v>
      </c>
      <c r="Q25" t="s">
        <v>2606</v>
      </c>
      <c r="R25" s="38">
        <v>45712</v>
      </c>
      <c r="V25" t="s">
        <v>2844</v>
      </c>
      <c r="W25">
        <v>1187.4100000000001</v>
      </c>
      <c r="X25">
        <v>1187.4100000000001</v>
      </c>
    </row>
    <row r="26" spans="1:24">
      <c r="A26" t="s">
        <v>2845</v>
      </c>
      <c r="B26" s="38">
        <v>45713</v>
      </c>
      <c r="C26" s="38">
        <v>45713</v>
      </c>
      <c r="E26" t="s">
        <v>292</v>
      </c>
      <c r="H26" t="s">
        <v>2846</v>
      </c>
      <c r="I26" t="s">
        <v>2847</v>
      </c>
      <c r="J26">
        <v>2</v>
      </c>
      <c r="N26" t="s">
        <v>2607</v>
      </c>
      <c r="O26">
        <v>0</v>
      </c>
      <c r="Q26" t="s">
        <v>37</v>
      </c>
      <c r="W26">
        <v>60.71</v>
      </c>
      <c r="X26">
        <v>121.42</v>
      </c>
    </row>
    <row r="27" spans="1:24">
      <c r="A27" t="s">
        <v>2848</v>
      </c>
      <c r="B27" s="38">
        <v>45713</v>
      </c>
      <c r="C27" s="38">
        <v>45713</v>
      </c>
      <c r="E27" t="s">
        <v>777</v>
      </c>
      <c r="F27" t="s">
        <v>2849</v>
      </c>
      <c r="G27">
        <v>51000129</v>
      </c>
      <c r="H27" t="s">
        <v>2850</v>
      </c>
      <c r="I27" t="s">
        <v>2851</v>
      </c>
      <c r="J27">
        <v>1</v>
      </c>
      <c r="N27" t="s">
        <v>2607</v>
      </c>
      <c r="O27">
        <v>0</v>
      </c>
      <c r="Q27" t="s">
        <v>37</v>
      </c>
      <c r="W27">
        <v>60.88</v>
      </c>
      <c r="X27">
        <v>60.88</v>
      </c>
    </row>
    <row r="28" spans="1:24">
      <c r="A28" t="s">
        <v>2852</v>
      </c>
      <c r="B28" s="38">
        <v>45712</v>
      </c>
      <c r="C28" s="38">
        <v>45709</v>
      </c>
      <c r="D28" t="s">
        <v>2853</v>
      </c>
      <c r="E28" t="s">
        <v>134</v>
      </c>
      <c r="F28" t="s">
        <v>140</v>
      </c>
      <c r="G28">
        <v>48300301</v>
      </c>
      <c r="H28" t="s">
        <v>2760</v>
      </c>
      <c r="I28" t="s">
        <v>2761</v>
      </c>
      <c r="J28">
        <v>1</v>
      </c>
      <c r="K28" t="s">
        <v>37</v>
      </c>
      <c r="L28" t="s">
        <v>72</v>
      </c>
      <c r="M28" t="s">
        <v>73</v>
      </c>
      <c r="N28" t="s">
        <v>73</v>
      </c>
      <c r="O28">
        <v>1</v>
      </c>
      <c r="P28" t="s">
        <v>2854</v>
      </c>
      <c r="Q28" t="s">
        <v>2606</v>
      </c>
      <c r="R28" s="38">
        <v>45680</v>
      </c>
      <c r="V28" t="s">
        <v>2855</v>
      </c>
      <c r="W28">
        <v>1240.6400000000001</v>
      </c>
      <c r="X28">
        <v>1240.6400000000001</v>
      </c>
    </row>
    <row r="29" spans="1:24">
      <c r="A29" t="s">
        <v>2856</v>
      </c>
      <c r="B29" s="38">
        <v>45712</v>
      </c>
      <c r="C29" s="38">
        <v>45709</v>
      </c>
      <c r="D29" t="s">
        <v>2857</v>
      </c>
      <c r="E29" t="s">
        <v>33</v>
      </c>
      <c r="F29" t="s">
        <v>34</v>
      </c>
      <c r="G29">
        <v>50110372</v>
      </c>
      <c r="H29" t="s">
        <v>2758</v>
      </c>
      <c r="I29" t="s">
        <v>2759</v>
      </c>
      <c r="J29">
        <v>1</v>
      </c>
      <c r="K29" t="s">
        <v>269</v>
      </c>
      <c r="L29" t="s">
        <v>98</v>
      </c>
      <c r="M29" t="s">
        <v>39</v>
      </c>
      <c r="N29" t="s">
        <v>2607</v>
      </c>
      <c r="O29">
        <v>0</v>
      </c>
      <c r="Q29" t="s">
        <v>2837</v>
      </c>
      <c r="V29" t="s">
        <v>42</v>
      </c>
      <c r="W29">
        <v>96.11</v>
      </c>
      <c r="X29">
        <v>96.11</v>
      </c>
    </row>
    <row r="30" spans="1:24">
      <c r="A30" t="s">
        <v>2858</v>
      </c>
      <c r="B30" s="38">
        <v>45709</v>
      </c>
      <c r="C30" s="38">
        <v>45709</v>
      </c>
      <c r="D30" t="s">
        <v>2859</v>
      </c>
      <c r="E30" t="s">
        <v>154</v>
      </c>
      <c r="F30" t="s">
        <v>102</v>
      </c>
      <c r="G30">
        <v>51000174</v>
      </c>
      <c r="H30" t="s">
        <v>2653</v>
      </c>
      <c r="I30" t="s">
        <v>1000</v>
      </c>
      <c r="J30">
        <v>1</v>
      </c>
      <c r="K30" t="s">
        <v>37</v>
      </c>
      <c r="L30" t="s">
        <v>72</v>
      </c>
      <c r="M30" t="s">
        <v>73</v>
      </c>
      <c r="N30" t="s">
        <v>73</v>
      </c>
      <c r="O30">
        <v>1</v>
      </c>
      <c r="Q30" t="s">
        <v>2808</v>
      </c>
      <c r="R30" s="38">
        <v>45705</v>
      </c>
      <c r="V30" t="s">
        <v>2860</v>
      </c>
      <c r="W30">
        <v>475.51</v>
      </c>
      <c r="X30">
        <v>475.51</v>
      </c>
    </row>
    <row r="31" spans="1:24">
      <c r="A31" t="s">
        <v>2861</v>
      </c>
      <c r="B31" s="38">
        <v>45709</v>
      </c>
      <c r="C31" s="38">
        <v>45708</v>
      </c>
      <c r="D31" t="s">
        <v>2862</v>
      </c>
      <c r="E31" t="s">
        <v>327</v>
      </c>
      <c r="F31" t="s">
        <v>328</v>
      </c>
      <c r="G31">
        <v>50000260</v>
      </c>
      <c r="H31" t="s">
        <v>2756</v>
      </c>
      <c r="I31" t="s">
        <v>2757</v>
      </c>
      <c r="J31">
        <v>1</v>
      </c>
      <c r="K31" t="s">
        <v>269</v>
      </c>
      <c r="L31" t="s">
        <v>98</v>
      </c>
      <c r="M31" t="s">
        <v>39</v>
      </c>
      <c r="N31" t="s">
        <v>2607</v>
      </c>
      <c r="O31">
        <v>0</v>
      </c>
      <c r="Q31" t="s">
        <v>37</v>
      </c>
      <c r="V31" t="s">
        <v>42</v>
      </c>
      <c r="W31">
        <v>24.61</v>
      </c>
      <c r="X31">
        <v>24.61</v>
      </c>
    </row>
    <row r="32" spans="1:24">
      <c r="A32" t="s">
        <v>2861</v>
      </c>
      <c r="B32" s="38">
        <v>45709</v>
      </c>
      <c r="C32" s="38">
        <v>45708</v>
      </c>
      <c r="D32" t="s">
        <v>2862</v>
      </c>
      <c r="E32" t="s">
        <v>327</v>
      </c>
      <c r="F32" t="s">
        <v>328</v>
      </c>
      <c r="G32">
        <v>50000260</v>
      </c>
      <c r="H32" t="s">
        <v>222</v>
      </c>
      <c r="I32" t="s">
        <v>2755</v>
      </c>
      <c r="J32">
        <v>3</v>
      </c>
      <c r="K32" t="s">
        <v>37</v>
      </c>
      <c r="L32" t="s">
        <v>98</v>
      </c>
      <c r="M32" t="s">
        <v>73</v>
      </c>
      <c r="N32" t="s">
        <v>73</v>
      </c>
      <c r="O32">
        <v>3</v>
      </c>
      <c r="Q32" t="s">
        <v>2863</v>
      </c>
      <c r="R32" s="38">
        <v>45707</v>
      </c>
      <c r="V32" t="s">
        <v>42</v>
      </c>
      <c r="W32">
        <v>177.88</v>
      </c>
      <c r="X32">
        <v>533.64</v>
      </c>
    </row>
    <row r="33" spans="1:24">
      <c r="A33" t="s">
        <v>2861</v>
      </c>
      <c r="B33" s="38">
        <v>45709</v>
      </c>
      <c r="C33" s="38">
        <v>45708</v>
      </c>
      <c r="D33" t="s">
        <v>2862</v>
      </c>
      <c r="E33" t="s">
        <v>327</v>
      </c>
      <c r="F33" t="s">
        <v>328</v>
      </c>
      <c r="G33">
        <v>50000260</v>
      </c>
      <c r="H33" t="s">
        <v>1872</v>
      </c>
      <c r="I33" t="s">
        <v>1873</v>
      </c>
      <c r="J33">
        <v>1</v>
      </c>
      <c r="K33" t="s">
        <v>37</v>
      </c>
      <c r="L33" t="s">
        <v>98</v>
      </c>
      <c r="M33" t="s">
        <v>73</v>
      </c>
      <c r="N33" t="s">
        <v>73</v>
      </c>
      <c r="O33">
        <v>1</v>
      </c>
      <c r="Q33" t="s">
        <v>37</v>
      </c>
      <c r="R33" s="38">
        <v>45707</v>
      </c>
      <c r="V33" t="s">
        <v>42</v>
      </c>
      <c r="W33">
        <v>11.43</v>
      </c>
      <c r="X33">
        <v>11.43</v>
      </c>
    </row>
    <row r="34" spans="1:24">
      <c r="A34" t="s">
        <v>2861</v>
      </c>
      <c r="B34" s="38">
        <v>45709</v>
      </c>
      <c r="C34" s="38">
        <v>45708</v>
      </c>
      <c r="D34" t="s">
        <v>2862</v>
      </c>
      <c r="E34" t="s">
        <v>327</v>
      </c>
      <c r="F34" t="s">
        <v>328</v>
      </c>
      <c r="G34">
        <v>50000260</v>
      </c>
      <c r="H34" t="s">
        <v>2753</v>
      </c>
      <c r="I34" t="s">
        <v>2754</v>
      </c>
      <c r="J34">
        <v>1</v>
      </c>
      <c r="K34" t="s">
        <v>37</v>
      </c>
      <c r="L34" t="s">
        <v>98</v>
      </c>
      <c r="M34" t="s">
        <v>73</v>
      </c>
      <c r="N34" t="s">
        <v>73</v>
      </c>
      <c r="O34">
        <v>1</v>
      </c>
      <c r="Q34" t="s">
        <v>2863</v>
      </c>
      <c r="R34" s="38">
        <v>45707</v>
      </c>
      <c r="V34" t="s">
        <v>42</v>
      </c>
      <c r="W34">
        <v>273.58</v>
      </c>
      <c r="X34">
        <v>273.58</v>
      </c>
    </row>
    <row r="35" spans="1:24">
      <c r="A35" t="s">
        <v>2861</v>
      </c>
      <c r="B35" s="38">
        <v>45709</v>
      </c>
      <c r="C35" s="38">
        <v>45708</v>
      </c>
      <c r="D35" t="s">
        <v>2862</v>
      </c>
      <c r="E35" t="s">
        <v>327</v>
      </c>
      <c r="F35" t="s">
        <v>328</v>
      </c>
      <c r="G35">
        <v>50000260</v>
      </c>
      <c r="H35" t="s">
        <v>1876</v>
      </c>
      <c r="I35" t="s">
        <v>2752</v>
      </c>
      <c r="J35">
        <v>3</v>
      </c>
      <c r="K35" t="s">
        <v>269</v>
      </c>
      <c r="L35" t="s">
        <v>98</v>
      </c>
      <c r="M35" t="s">
        <v>39</v>
      </c>
      <c r="N35" t="s">
        <v>2607</v>
      </c>
      <c r="O35">
        <v>0</v>
      </c>
      <c r="P35" t="s">
        <v>481</v>
      </c>
      <c r="Q35" t="s">
        <v>37</v>
      </c>
      <c r="V35" t="s">
        <v>42</v>
      </c>
      <c r="W35">
        <v>80.180000000000007</v>
      </c>
      <c r="X35">
        <v>240.54000000000002</v>
      </c>
    </row>
    <row r="36" spans="1:24">
      <c r="A36" t="s">
        <v>2864</v>
      </c>
      <c r="B36" s="38">
        <v>45709</v>
      </c>
      <c r="C36" s="38">
        <v>45708</v>
      </c>
      <c r="D36" t="s">
        <v>2865</v>
      </c>
      <c r="E36" t="s">
        <v>94</v>
      </c>
      <c r="F36" t="s">
        <v>95</v>
      </c>
      <c r="G36">
        <v>60002072</v>
      </c>
      <c r="H36" t="s">
        <v>1510</v>
      </c>
      <c r="I36" t="s">
        <v>2836</v>
      </c>
      <c r="J36">
        <v>1</v>
      </c>
      <c r="K36" t="s">
        <v>269</v>
      </c>
      <c r="L36" t="s">
        <v>441</v>
      </c>
      <c r="M36" t="s">
        <v>39</v>
      </c>
      <c r="N36" t="s">
        <v>2607</v>
      </c>
      <c r="O36">
        <v>0</v>
      </c>
      <c r="Q36" t="s">
        <v>2837</v>
      </c>
      <c r="W36">
        <v>2531.29</v>
      </c>
      <c r="X36">
        <v>2531.29</v>
      </c>
    </row>
    <row r="37" spans="1:24">
      <c r="A37" t="s">
        <v>2866</v>
      </c>
      <c r="B37" s="38">
        <v>45708</v>
      </c>
      <c r="C37" s="38">
        <v>45708</v>
      </c>
      <c r="D37" t="s">
        <v>2867</v>
      </c>
      <c r="E37" t="s">
        <v>541</v>
      </c>
      <c r="F37" t="s">
        <v>542</v>
      </c>
      <c r="G37">
        <v>61000037</v>
      </c>
      <c r="H37" t="s">
        <v>2799</v>
      </c>
      <c r="I37" t="s">
        <v>2868</v>
      </c>
      <c r="J37">
        <v>1</v>
      </c>
      <c r="K37" t="s">
        <v>269</v>
      </c>
      <c r="L37" t="s">
        <v>72</v>
      </c>
      <c r="M37" t="s">
        <v>39</v>
      </c>
      <c r="N37" t="s">
        <v>2607</v>
      </c>
      <c r="O37">
        <v>0</v>
      </c>
      <c r="Q37" t="s">
        <v>2869</v>
      </c>
      <c r="W37">
        <v>60590.21</v>
      </c>
      <c r="X37">
        <v>60590.21</v>
      </c>
    </row>
    <row r="38" spans="1:24">
      <c r="A38" t="s">
        <v>2870</v>
      </c>
      <c r="B38" s="38">
        <v>45708</v>
      </c>
      <c r="C38" s="38">
        <v>45707</v>
      </c>
      <c r="D38" t="s">
        <v>2871</v>
      </c>
      <c r="E38" t="s">
        <v>1322</v>
      </c>
      <c r="F38" t="s">
        <v>328</v>
      </c>
      <c r="G38">
        <v>50000202</v>
      </c>
      <c r="H38" t="s">
        <v>201</v>
      </c>
      <c r="I38" t="s">
        <v>2751</v>
      </c>
      <c r="J38">
        <v>1</v>
      </c>
      <c r="K38" t="s">
        <v>37</v>
      </c>
      <c r="L38" t="s">
        <v>72</v>
      </c>
      <c r="M38" t="s">
        <v>73</v>
      </c>
      <c r="N38" t="s">
        <v>73</v>
      </c>
      <c r="O38">
        <v>1</v>
      </c>
      <c r="Q38" t="s">
        <v>2606</v>
      </c>
      <c r="R38" s="38">
        <v>45699</v>
      </c>
      <c r="V38" t="s">
        <v>2872</v>
      </c>
      <c r="W38">
        <v>1721.28</v>
      </c>
      <c r="X38">
        <v>1721.28</v>
      </c>
    </row>
    <row r="39" spans="1:24">
      <c r="A39" t="s">
        <v>2873</v>
      </c>
      <c r="B39" s="38">
        <v>45708</v>
      </c>
      <c r="C39" s="38">
        <v>45707</v>
      </c>
      <c r="D39" t="s">
        <v>2874</v>
      </c>
      <c r="E39" t="s">
        <v>125</v>
      </c>
      <c r="F39" t="s">
        <v>34</v>
      </c>
      <c r="G39">
        <v>50110193</v>
      </c>
      <c r="H39" t="s">
        <v>2749</v>
      </c>
      <c r="I39" t="s">
        <v>2750</v>
      </c>
      <c r="J39">
        <v>1</v>
      </c>
      <c r="K39" t="s">
        <v>37</v>
      </c>
      <c r="L39" t="s">
        <v>72</v>
      </c>
      <c r="M39" t="s">
        <v>73</v>
      </c>
      <c r="N39" t="s">
        <v>73</v>
      </c>
      <c r="O39">
        <v>1</v>
      </c>
      <c r="Q39" t="s">
        <v>37</v>
      </c>
      <c r="R39" s="38">
        <v>45708</v>
      </c>
      <c r="V39" t="s">
        <v>42</v>
      </c>
      <c r="W39">
        <v>85.17</v>
      </c>
      <c r="X39">
        <v>85.17</v>
      </c>
    </row>
    <row r="40" spans="1:24">
      <c r="A40" t="s">
        <v>2873</v>
      </c>
      <c r="B40" s="38">
        <v>45708</v>
      </c>
      <c r="C40" s="38">
        <v>45707</v>
      </c>
      <c r="D40" t="s">
        <v>2874</v>
      </c>
      <c r="E40" t="s">
        <v>125</v>
      </c>
      <c r="F40" t="s">
        <v>34</v>
      </c>
      <c r="G40">
        <v>50110193</v>
      </c>
      <c r="H40" t="s">
        <v>1051</v>
      </c>
      <c r="I40" t="s">
        <v>1052</v>
      </c>
      <c r="J40">
        <v>1</v>
      </c>
      <c r="K40" t="s">
        <v>37</v>
      </c>
      <c r="L40" t="s">
        <v>72</v>
      </c>
      <c r="M40" t="s">
        <v>39</v>
      </c>
      <c r="N40" t="s">
        <v>2607</v>
      </c>
      <c r="O40">
        <v>0</v>
      </c>
      <c r="Q40" t="s">
        <v>37</v>
      </c>
      <c r="V40" t="s">
        <v>42</v>
      </c>
      <c r="W40">
        <v>511.16</v>
      </c>
      <c r="X40">
        <v>511.16</v>
      </c>
    </row>
    <row r="41" spans="1:24">
      <c r="A41" t="s">
        <v>2875</v>
      </c>
      <c r="B41" s="38">
        <v>45708</v>
      </c>
      <c r="C41" s="38">
        <v>45707</v>
      </c>
      <c r="D41" t="s">
        <v>2876</v>
      </c>
      <c r="E41" t="s">
        <v>125</v>
      </c>
      <c r="F41" t="s">
        <v>34</v>
      </c>
      <c r="G41">
        <v>50110193</v>
      </c>
      <c r="H41" t="s">
        <v>2747</v>
      </c>
      <c r="I41" t="s">
        <v>2748</v>
      </c>
      <c r="J41">
        <v>1</v>
      </c>
      <c r="K41" t="s">
        <v>37</v>
      </c>
      <c r="L41" t="s">
        <v>72</v>
      </c>
      <c r="M41" t="s">
        <v>81</v>
      </c>
      <c r="N41" t="s">
        <v>73</v>
      </c>
      <c r="O41">
        <v>1</v>
      </c>
      <c r="Q41" t="s">
        <v>37</v>
      </c>
      <c r="R41" s="38">
        <v>45708</v>
      </c>
      <c r="V41" t="s">
        <v>42</v>
      </c>
      <c r="W41">
        <v>10.19</v>
      </c>
      <c r="X41">
        <v>10.19</v>
      </c>
    </row>
    <row r="42" spans="1:24">
      <c r="A42" t="s">
        <v>2877</v>
      </c>
      <c r="B42" s="38">
        <v>45708</v>
      </c>
      <c r="C42" s="38">
        <v>45707</v>
      </c>
      <c r="D42" t="s">
        <v>2878</v>
      </c>
      <c r="E42" t="s">
        <v>101</v>
      </c>
      <c r="F42" t="s">
        <v>102</v>
      </c>
      <c r="G42">
        <v>51000323</v>
      </c>
      <c r="H42" t="s">
        <v>335</v>
      </c>
      <c r="I42" t="s">
        <v>2746</v>
      </c>
      <c r="J42">
        <v>2</v>
      </c>
      <c r="K42" t="s">
        <v>37</v>
      </c>
      <c r="L42" t="s">
        <v>72</v>
      </c>
      <c r="M42" t="s">
        <v>81</v>
      </c>
      <c r="N42" t="s">
        <v>73</v>
      </c>
      <c r="O42">
        <v>2</v>
      </c>
      <c r="Q42" t="s">
        <v>37</v>
      </c>
      <c r="R42" s="38">
        <v>45707</v>
      </c>
      <c r="V42" t="s">
        <v>42</v>
      </c>
      <c r="W42">
        <v>17.28</v>
      </c>
      <c r="X42">
        <v>34.56</v>
      </c>
    </row>
    <row r="43" spans="1:24">
      <c r="A43" t="s">
        <v>2877</v>
      </c>
      <c r="B43" s="38">
        <v>45708</v>
      </c>
      <c r="C43" s="38">
        <v>45707</v>
      </c>
      <c r="D43" t="s">
        <v>2878</v>
      </c>
      <c r="E43" t="s">
        <v>101</v>
      </c>
      <c r="F43" t="s">
        <v>102</v>
      </c>
      <c r="G43">
        <v>51000323</v>
      </c>
      <c r="H43" t="s">
        <v>2259</v>
      </c>
      <c r="I43" t="s">
        <v>2745</v>
      </c>
      <c r="J43">
        <v>1</v>
      </c>
      <c r="K43" t="s">
        <v>37</v>
      </c>
      <c r="L43" t="s">
        <v>72</v>
      </c>
      <c r="M43" t="s">
        <v>39</v>
      </c>
      <c r="N43" t="s">
        <v>2607</v>
      </c>
      <c r="O43">
        <v>0</v>
      </c>
      <c r="Q43" t="s">
        <v>37</v>
      </c>
      <c r="V43" t="s">
        <v>42</v>
      </c>
      <c r="W43">
        <v>7.35</v>
      </c>
      <c r="X43">
        <v>7.35</v>
      </c>
    </row>
    <row r="44" spans="1:24">
      <c r="A44" t="s">
        <v>2879</v>
      </c>
      <c r="B44" s="38">
        <v>45708</v>
      </c>
      <c r="C44" s="38">
        <v>45708</v>
      </c>
      <c r="D44" t="s">
        <v>2880</v>
      </c>
      <c r="E44" t="s">
        <v>298</v>
      </c>
      <c r="F44" t="s">
        <v>2881</v>
      </c>
      <c r="G44">
        <v>43000422</v>
      </c>
      <c r="H44" t="s">
        <v>2744</v>
      </c>
      <c r="I44" t="s">
        <v>1850</v>
      </c>
      <c r="J44">
        <v>1</v>
      </c>
      <c r="K44" t="s">
        <v>37</v>
      </c>
      <c r="L44" t="s">
        <v>72</v>
      </c>
      <c r="M44" t="s">
        <v>73</v>
      </c>
      <c r="N44" t="s">
        <v>73</v>
      </c>
      <c r="O44">
        <v>1</v>
      </c>
      <c r="P44" t="s">
        <v>587</v>
      </c>
      <c r="Q44" t="s">
        <v>37</v>
      </c>
      <c r="R44" s="38">
        <v>45693</v>
      </c>
      <c r="V44" t="s">
        <v>2882</v>
      </c>
      <c r="W44">
        <v>79.989999999999995</v>
      </c>
      <c r="X44">
        <v>79.989999999999995</v>
      </c>
    </row>
    <row r="45" spans="1:24">
      <c r="A45" t="s">
        <v>2883</v>
      </c>
      <c r="B45" s="38">
        <v>45707</v>
      </c>
      <c r="E45" t="s">
        <v>125</v>
      </c>
      <c r="F45" t="s">
        <v>34</v>
      </c>
      <c r="G45">
        <v>50110193</v>
      </c>
      <c r="H45" t="s">
        <v>2884</v>
      </c>
      <c r="I45" t="s">
        <v>2885</v>
      </c>
      <c r="J45">
        <v>1</v>
      </c>
      <c r="M45" t="s">
        <v>289</v>
      </c>
      <c r="N45" t="s">
        <v>289</v>
      </c>
      <c r="O45">
        <v>0</v>
      </c>
      <c r="Q45" t="s">
        <v>37</v>
      </c>
      <c r="W45">
        <v>1099.46</v>
      </c>
      <c r="X45">
        <v>1099.46</v>
      </c>
    </row>
    <row r="46" spans="1:24">
      <c r="A46" t="s">
        <v>2886</v>
      </c>
      <c r="B46" s="38">
        <v>45707</v>
      </c>
      <c r="C46" s="38">
        <v>45707</v>
      </c>
      <c r="D46" t="s">
        <v>2887</v>
      </c>
      <c r="E46" t="s">
        <v>134</v>
      </c>
      <c r="F46" t="s">
        <v>145</v>
      </c>
      <c r="G46">
        <v>48000432</v>
      </c>
      <c r="H46" t="s">
        <v>513</v>
      </c>
      <c r="I46" t="s">
        <v>2293</v>
      </c>
      <c r="J46">
        <v>1</v>
      </c>
      <c r="K46" t="s">
        <v>37</v>
      </c>
      <c r="L46" t="s">
        <v>72</v>
      </c>
      <c r="M46" t="s">
        <v>73</v>
      </c>
      <c r="N46" t="s">
        <v>73</v>
      </c>
      <c r="O46">
        <v>1</v>
      </c>
      <c r="Q46" t="s">
        <v>2606</v>
      </c>
      <c r="R46" s="38">
        <v>45700</v>
      </c>
      <c r="V46" t="s">
        <v>2888</v>
      </c>
      <c r="W46">
        <v>453.02</v>
      </c>
      <c r="X46">
        <v>453.02</v>
      </c>
    </row>
    <row r="47" spans="1:24">
      <c r="A47" t="s">
        <v>2889</v>
      </c>
      <c r="B47" s="38">
        <v>45707</v>
      </c>
      <c r="C47" s="38">
        <v>45707</v>
      </c>
      <c r="D47" t="s">
        <v>2890</v>
      </c>
      <c r="E47" t="s">
        <v>125</v>
      </c>
      <c r="F47" t="s">
        <v>34</v>
      </c>
      <c r="G47">
        <v>50110193</v>
      </c>
      <c r="H47" t="s">
        <v>430</v>
      </c>
      <c r="I47" t="s">
        <v>431</v>
      </c>
      <c r="J47">
        <v>1</v>
      </c>
      <c r="K47" t="s">
        <v>37</v>
      </c>
      <c r="L47" t="s">
        <v>72</v>
      </c>
      <c r="M47" t="s">
        <v>73</v>
      </c>
      <c r="N47" t="s">
        <v>73</v>
      </c>
      <c r="O47">
        <v>1</v>
      </c>
      <c r="Q47" t="s">
        <v>37</v>
      </c>
      <c r="R47" s="38">
        <v>45701</v>
      </c>
      <c r="V47" t="s">
        <v>42</v>
      </c>
      <c r="W47">
        <v>125.99</v>
      </c>
      <c r="X47">
        <v>125.99</v>
      </c>
    </row>
    <row r="48" spans="1:24">
      <c r="A48" t="s">
        <v>2891</v>
      </c>
      <c r="B48" s="38">
        <v>45707</v>
      </c>
      <c r="C48" s="38">
        <v>45339</v>
      </c>
      <c r="D48" t="s">
        <v>2892</v>
      </c>
      <c r="E48" t="s">
        <v>1945</v>
      </c>
      <c r="F48" t="s">
        <v>34</v>
      </c>
      <c r="G48" t="s">
        <v>2658</v>
      </c>
      <c r="H48" t="s">
        <v>2742</v>
      </c>
      <c r="I48" t="s">
        <v>2743</v>
      </c>
      <c r="J48">
        <v>1</v>
      </c>
      <c r="K48" t="s">
        <v>37</v>
      </c>
      <c r="L48" t="s">
        <v>251</v>
      </c>
      <c r="M48" t="s">
        <v>73</v>
      </c>
      <c r="N48" t="s">
        <v>73</v>
      </c>
      <c r="O48">
        <v>1</v>
      </c>
      <c r="P48" t="s">
        <v>2893</v>
      </c>
      <c r="Q48" t="s">
        <v>2606</v>
      </c>
      <c r="R48" s="38">
        <v>45692</v>
      </c>
      <c r="V48" t="s">
        <v>42</v>
      </c>
      <c r="W48">
        <v>6075.1</v>
      </c>
      <c r="X48">
        <v>6075.1</v>
      </c>
    </row>
    <row r="49" spans="1:24">
      <c r="A49" t="s">
        <v>2894</v>
      </c>
      <c r="B49" s="38">
        <v>45707</v>
      </c>
      <c r="C49" s="38">
        <v>45705</v>
      </c>
      <c r="D49" t="s">
        <v>2895</v>
      </c>
      <c r="E49" t="s">
        <v>915</v>
      </c>
      <c r="F49" t="s">
        <v>140</v>
      </c>
      <c r="G49">
        <v>48300375</v>
      </c>
      <c r="H49" t="s">
        <v>446</v>
      </c>
      <c r="I49" t="s">
        <v>2741</v>
      </c>
      <c r="J49">
        <v>1</v>
      </c>
      <c r="K49" t="s">
        <v>37</v>
      </c>
      <c r="L49" t="s">
        <v>38</v>
      </c>
      <c r="M49" t="s">
        <v>73</v>
      </c>
      <c r="N49" t="s">
        <v>73</v>
      </c>
      <c r="O49">
        <v>1</v>
      </c>
      <c r="Q49" t="s">
        <v>2606</v>
      </c>
      <c r="R49" s="38">
        <v>45636</v>
      </c>
      <c r="V49" t="s">
        <v>2896</v>
      </c>
      <c r="W49">
        <v>431.82</v>
      </c>
      <c r="X49">
        <v>431.82</v>
      </c>
    </row>
    <row r="50" spans="1:24">
      <c r="A50" t="s">
        <v>2897</v>
      </c>
      <c r="B50" s="38">
        <v>45707</v>
      </c>
      <c r="C50" s="38">
        <v>45705</v>
      </c>
      <c r="D50" t="s">
        <v>2898</v>
      </c>
      <c r="E50" t="s">
        <v>1322</v>
      </c>
      <c r="F50" t="s">
        <v>328</v>
      </c>
      <c r="G50">
        <v>50000202</v>
      </c>
      <c r="H50" t="s">
        <v>2739</v>
      </c>
      <c r="I50" t="s">
        <v>2740</v>
      </c>
      <c r="J50">
        <v>1</v>
      </c>
      <c r="K50" t="s">
        <v>37</v>
      </c>
      <c r="L50" t="s">
        <v>122</v>
      </c>
      <c r="M50" t="s">
        <v>73</v>
      </c>
      <c r="N50" t="s">
        <v>73</v>
      </c>
      <c r="O50">
        <v>1</v>
      </c>
      <c r="P50" t="s">
        <v>2899</v>
      </c>
      <c r="Q50" t="s">
        <v>2606</v>
      </c>
      <c r="R50" s="38">
        <v>45705</v>
      </c>
      <c r="V50" t="s">
        <v>2872</v>
      </c>
      <c r="W50">
        <v>826.34</v>
      </c>
      <c r="X50">
        <v>826.34</v>
      </c>
    </row>
    <row r="51" spans="1:24">
      <c r="A51" t="s">
        <v>2900</v>
      </c>
      <c r="B51" s="38">
        <v>45707</v>
      </c>
      <c r="C51" s="38">
        <v>45705</v>
      </c>
      <c r="D51" t="s">
        <v>2901</v>
      </c>
      <c r="E51" t="s">
        <v>94</v>
      </c>
      <c r="F51" t="s">
        <v>95</v>
      </c>
      <c r="G51">
        <v>60002072</v>
      </c>
      <c r="H51" t="s">
        <v>1154</v>
      </c>
      <c r="I51" t="s">
        <v>2738</v>
      </c>
      <c r="J51">
        <v>1</v>
      </c>
      <c r="K51" t="s">
        <v>37</v>
      </c>
      <c r="L51" t="s">
        <v>441</v>
      </c>
      <c r="M51" t="s">
        <v>73</v>
      </c>
      <c r="N51" t="s">
        <v>73</v>
      </c>
      <c r="O51">
        <v>1</v>
      </c>
      <c r="Q51" t="s">
        <v>2808</v>
      </c>
      <c r="R51" s="38">
        <v>45693</v>
      </c>
      <c r="W51">
        <v>359.28</v>
      </c>
      <c r="X51">
        <v>359.28</v>
      </c>
    </row>
    <row r="52" spans="1:24">
      <c r="A52" t="s">
        <v>2900</v>
      </c>
      <c r="B52" s="38">
        <v>45707</v>
      </c>
      <c r="C52" s="38">
        <v>45705</v>
      </c>
      <c r="D52" t="s">
        <v>2901</v>
      </c>
      <c r="E52" t="s">
        <v>94</v>
      </c>
      <c r="F52" t="s">
        <v>95</v>
      </c>
      <c r="G52">
        <v>60002072</v>
      </c>
      <c r="H52" t="s">
        <v>517</v>
      </c>
      <c r="I52" t="s">
        <v>2737</v>
      </c>
      <c r="J52">
        <v>1</v>
      </c>
      <c r="K52" t="s">
        <v>37</v>
      </c>
      <c r="L52" t="s">
        <v>441</v>
      </c>
      <c r="M52" t="s">
        <v>73</v>
      </c>
      <c r="N52" t="s">
        <v>73</v>
      </c>
      <c r="O52">
        <v>1</v>
      </c>
      <c r="Q52" t="s">
        <v>37</v>
      </c>
      <c r="R52" s="38">
        <v>45693</v>
      </c>
      <c r="W52">
        <v>77.98</v>
      </c>
      <c r="X52">
        <v>77.98</v>
      </c>
    </row>
    <row r="53" spans="1:24">
      <c r="A53" t="s">
        <v>2902</v>
      </c>
      <c r="B53" s="38">
        <v>45706</v>
      </c>
      <c r="E53" t="s">
        <v>777</v>
      </c>
      <c r="F53" t="s">
        <v>2849</v>
      </c>
      <c r="G53">
        <v>51000129</v>
      </c>
      <c r="H53" t="s">
        <v>2903</v>
      </c>
      <c r="I53" t="s">
        <v>2904</v>
      </c>
      <c r="J53">
        <v>1</v>
      </c>
      <c r="M53" t="s">
        <v>289</v>
      </c>
      <c r="N53" t="s">
        <v>289</v>
      </c>
      <c r="O53">
        <v>0</v>
      </c>
      <c r="Q53" t="s">
        <v>37</v>
      </c>
      <c r="W53">
        <v>5.52</v>
      </c>
      <c r="X53">
        <v>5.52</v>
      </c>
    </row>
    <row r="54" spans="1:24">
      <c r="A54" t="s">
        <v>2905</v>
      </c>
      <c r="B54" s="38">
        <v>45706</v>
      </c>
      <c r="C54" s="38">
        <v>45698</v>
      </c>
      <c r="D54" t="s">
        <v>2906</v>
      </c>
      <c r="E54" t="s">
        <v>2735</v>
      </c>
      <c r="F54" t="s">
        <v>304</v>
      </c>
      <c r="G54">
        <v>47200115</v>
      </c>
      <c r="H54" t="s">
        <v>183</v>
      </c>
      <c r="I54" t="s">
        <v>2736</v>
      </c>
      <c r="J54">
        <v>1</v>
      </c>
      <c r="K54" t="s">
        <v>37</v>
      </c>
      <c r="L54" t="s">
        <v>1477</v>
      </c>
      <c r="M54" t="s">
        <v>73</v>
      </c>
      <c r="N54" t="s">
        <v>73</v>
      </c>
      <c r="O54">
        <v>1</v>
      </c>
      <c r="Q54" t="s">
        <v>2808</v>
      </c>
      <c r="R54" s="38">
        <v>45642</v>
      </c>
      <c r="V54" t="s">
        <v>2907</v>
      </c>
      <c r="W54">
        <v>1317.91</v>
      </c>
      <c r="X54">
        <v>1317.91</v>
      </c>
    </row>
    <row r="55" spans="1:24">
      <c r="A55" t="s">
        <v>2908</v>
      </c>
      <c r="B55" s="38">
        <v>45701</v>
      </c>
      <c r="C55" s="38">
        <v>45700</v>
      </c>
      <c r="D55" t="s">
        <v>2909</v>
      </c>
      <c r="E55" t="s">
        <v>33</v>
      </c>
      <c r="F55" t="s">
        <v>95</v>
      </c>
      <c r="G55">
        <v>60002095</v>
      </c>
      <c r="H55" t="s">
        <v>1172</v>
      </c>
      <c r="I55" t="s">
        <v>2734</v>
      </c>
      <c r="J55">
        <v>1</v>
      </c>
      <c r="K55" t="s">
        <v>37</v>
      </c>
      <c r="L55" t="s">
        <v>122</v>
      </c>
      <c r="M55" t="s">
        <v>73</v>
      </c>
      <c r="N55" t="s">
        <v>73</v>
      </c>
      <c r="O55">
        <v>1</v>
      </c>
      <c r="Q55" t="s">
        <v>2606</v>
      </c>
      <c r="R55" s="38">
        <v>45701</v>
      </c>
      <c r="V55" t="s">
        <v>42</v>
      </c>
      <c r="W55">
        <v>1172.56</v>
      </c>
      <c r="X55">
        <v>1172.56</v>
      </c>
    </row>
    <row r="56" spans="1:24">
      <c r="A56" t="s">
        <v>2910</v>
      </c>
      <c r="B56" s="38">
        <v>45699</v>
      </c>
      <c r="C56" s="38">
        <v>45691</v>
      </c>
      <c r="D56" t="s">
        <v>2911</v>
      </c>
      <c r="E56" t="s">
        <v>333</v>
      </c>
      <c r="F56" t="s">
        <v>334</v>
      </c>
      <c r="G56">
        <v>50300097</v>
      </c>
      <c r="H56" t="s">
        <v>1267</v>
      </c>
      <c r="I56" t="s">
        <v>2733</v>
      </c>
      <c r="J56">
        <v>1</v>
      </c>
      <c r="K56" t="s">
        <v>37</v>
      </c>
      <c r="L56" t="s">
        <v>1372</v>
      </c>
      <c r="M56" t="s">
        <v>39</v>
      </c>
      <c r="N56" t="s">
        <v>73</v>
      </c>
      <c r="O56">
        <v>1</v>
      </c>
      <c r="Q56" t="s">
        <v>37</v>
      </c>
      <c r="R56" s="38">
        <v>45691</v>
      </c>
      <c r="V56" t="s">
        <v>2912</v>
      </c>
      <c r="W56">
        <v>83.29</v>
      </c>
      <c r="X56">
        <v>83.29</v>
      </c>
    </row>
    <row r="57" spans="1:24">
      <c r="A57" t="s">
        <v>2913</v>
      </c>
      <c r="B57" s="38">
        <v>45698</v>
      </c>
      <c r="C57" s="38">
        <v>45698</v>
      </c>
      <c r="D57" t="s">
        <v>2914</v>
      </c>
      <c r="E57" t="s">
        <v>345</v>
      </c>
      <c r="F57" t="s">
        <v>34</v>
      </c>
      <c r="G57">
        <v>50110229</v>
      </c>
      <c r="H57" t="s">
        <v>866</v>
      </c>
      <c r="I57" t="s">
        <v>2732</v>
      </c>
      <c r="J57">
        <v>1</v>
      </c>
      <c r="K57" t="s">
        <v>269</v>
      </c>
      <c r="L57" t="s">
        <v>72</v>
      </c>
      <c r="M57" t="s">
        <v>39</v>
      </c>
      <c r="N57" t="s">
        <v>2607</v>
      </c>
      <c r="O57">
        <v>0</v>
      </c>
      <c r="Q57" t="s">
        <v>37</v>
      </c>
      <c r="V57" t="s">
        <v>42</v>
      </c>
      <c r="W57">
        <v>248.73</v>
      </c>
      <c r="X57">
        <v>248.73</v>
      </c>
    </row>
    <row r="58" spans="1:24">
      <c r="A58" t="s">
        <v>2915</v>
      </c>
      <c r="B58" s="38">
        <v>45698</v>
      </c>
      <c r="C58" s="38">
        <v>45698</v>
      </c>
      <c r="D58" t="s">
        <v>2916</v>
      </c>
      <c r="E58" t="s">
        <v>33</v>
      </c>
      <c r="F58" t="s">
        <v>34</v>
      </c>
      <c r="G58">
        <v>50110372</v>
      </c>
      <c r="H58" t="s">
        <v>329</v>
      </c>
      <c r="I58" t="s">
        <v>346</v>
      </c>
      <c r="J58">
        <v>1</v>
      </c>
      <c r="K58" t="s">
        <v>37</v>
      </c>
      <c r="L58" t="s">
        <v>72</v>
      </c>
      <c r="M58" t="s">
        <v>73</v>
      </c>
      <c r="N58" t="s">
        <v>73</v>
      </c>
      <c r="O58">
        <v>1</v>
      </c>
      <c r="Q58" t="s">
        <v>37</v>
      </c>
      <c r="R58" s="38">
        <v>45695</v>
      </c>
      <c r="V58" t="s">
        <v>42</v>
      </c>
      <c r="W58">
        <v>49.81</v>
      </c>
      <c r="X58">
        <v>49.81</v>
      </c>
    </row>
    <row r="59" spans="1:24">
      <c r="A59" t="s">
        <v>2917</v>
      </c>
      <c r="B59" s="38">
        <v>45698</v>
      </c>
      <c r="C59" s="38">
        <v>45698</v>
      </c>
      <c r="D59" t="s">
        <v>2918</v>
      </c>
      <c r="E59" t="s">
        <v>915</v>
      </c>
      <c r="F59" t="s">
        <v>140</v>
      </c>
      <c r="G59">
        <v>48300375</v>
      </c>
      <c r="H59" t="s">
        <v>2730</v>
      </c>
      <c r="I59" t="s">
        <v>2731</v>
      </c>
      <c r="J59">
        <v>1</v>
      </c>
      <c r="K59" t="s">
        <v>37</v>
      </c>
      <c r="L59" t="s">
        <v>72</v>
      </c>
      <c r="M59" t="s">
        <v>39</v>
      </c>
      <c r="N59" t="s">
        <v>2607</v>
      </c>
      <c r="O59">
        <v>0</v>
      </c>
      <c r="Q59" t="s">
        <v>37</v>
      </c>
      <c r="W59">
        <v>16.329999999999998</v>
      </c>
      <c r="X59">
        <v>16.329999999999998</v>
      </c>
    </row>
    <row r="60" spans="1:24">
      <c r="A60" t="s">
        <v>2919</v>
      </c>
      <c r="B60" s="38">
        <v>45698</v>
      </c>
      <c r="C60" s="38">
        <v>45692</v>
      </c>
      <c r="D60" t="s">
        <v>2920</v>
      </c>
      <c r="E60" t="s">
        <v>33</v>
      </c>
      <c r="F60" t="s">
        <v>328</v>
      </c>
      <c r="G60">
        <v>50000343</v>
      </c>
      <c r="H60" t="s">
        <v>70</v>
      </c>
      <c r="I60" t="s">
        <v>352</v>
      </c>
      <c r="J60">
        <v>1</v>
      </c>
      <c r="K60" t="s">
        <v>37</v>
      </c>
      <c r="L60" t="s">
        <v>72</v>
      </c>
      <c r="M60" t="s">
        <v>81</v>
      </c>
      <c r="N60" t="s">
        <v>81</v>
      </c>
      <c r="O60">
        <v>1</v>
      </c>
      <c r="Q60" t="s">
        <v>37</v>
      </c>
      <c r="R60" s="38">
        <v>45698</v>
      </c>
      <c r="V60" t="s">
        <v>42</v>
      </c>
      <c r="W60">
        <v>35.19</v>
      </c>
      <c r="X60">
        <v>35.19</v>
      </c>
    </row>
    <row r="61" spans="1:24">
      <c r="A61" t="s">
        <v>2921</v>
      </c>
      <c r="B61" s="38">
        <v>45695</v>
      </c>
      <c r="C61" s="38">
        <v>45694</v>
      </c>
      <c r="D61" t="s">
        <v>2922</v>
      </c>
      <c r="E61" t="s">
        <v>2726</v>
      </c>
      <c r="F61" t="s">
        <v>186</v>
      </c>
      <c r="G61">
        <v>44000321</v>
      </c>
      <c r="H61" t="s">
        <v>1037</v>
      </c>
      <c r="I61" t="s">
        <v>2729</v>
      </c>
      <c r="J61">
        <v>1</v>
      </c>
      <c r="K61" t="s">
        <v>37</v>
      </c>
      <c r="L61" t="s">
        <v>1108</v>
      </c>
      <c r="M61" t="s">
        <v>73</v>
      </c>
      <c r="N61" t="s">
        <v>73</v>
      </c>
      <c r="O61">
        <v>1</v>
      </c>
      <c r="Q61" t="s">
        <v>37</v>
      </c>
      <c r="R61" s="38">
        <v>45672</v>
      </c>
      <c r="V61" t="s">
        <v>2923</v>
      </c>
      <c r="W61">
        <v>769.19</v>
      </c>
      <c r="X61">
        <v>769.19</v>
      </c>
    </row>
    <row r="62" spans="1:24">
      <c r="A62" t="s">
        <v>2924</v>
      </c>
      <c r="B62" s="38">
        <v>45691</v>
      </c>
      <c r="C62" s="38">
        <v>45688</v>
      </c>
      <c r="D62" t="s">
        <v>2925</v>
      </c>
      <c r="E62" t="s">
        <v>88</v>
      </c>
      <c r="F62" t="s">
        <v>34</v>
      </c>
      <c r="G62">
        <v>50110057</v>
      </c>
      <c r="H62" t="s">
        <v>2701</v>
      </c>
      <c r="I62" t="s">
        <v>2702</v>
      </c>
      <c r="J62">
        <v>1</v>
      </c>
      <c r="K62" t="s">
        <v>37</v>
      </c>
      <c r="L62" t="s">
        <v>122</v>
      </c>
      <c r="M62" t="s">
        <v>81</v>
      </c>
      <c r="N62" t="s">
        <v>81</v>
      </c>
      <c r="O62">
        <v>1</v>
      </c>
      <c r="Q62" t="s">
        <v>2817</v>
      </c>
      <c r="V62" t="s">
        <v>42</v>
      </c>
      <c r="W62">
        <v>15.33</v>
      </c>
      <c r="X62">
        <v>15.33</v>
      </c>
    </row>
    <row r="63" spans="1:24">
      <c r="A63" t="s">
        <v>2926</v>
      </c>
      <c r="B63" s="38">
        <v>45691</v>
      </c>
      <c r="C63" s="38">
        <v>45688</v>
      </c>
      <c r="D63" t="s">
        <v>2927</v>
      </c>
      <c r="E63" t="s">
        <v>298</v>
      </c>
      <c r="F63" t="s">
        <v>2881</v>
      </c>
      <c r="G63">
        <v>43000422</v>
      </c>
      <c r="H63" t="s">
        <v>2529</v>
      </c>
      <c r="I63" t="s">
        <v>2703</v>
      </c>
      <c r="J63">
        <v>1</v>
      </c>
      <c r="K63" t="s">
        <v>37</v>
      </c>
      <c r="L63" t="s">
        <v>72</v>
      </c>
      <c r="M63" t="s">
        <v>73</v>
      </c>
      <c r="N63" t="s">
        <v>73</v>
      </c>
      <c r="O63">
        <v>1</v>
      </c>
      <c r="P63" t="s">
        <v>2034</v>
      </c>
      <c r="Q63" t="s">
        <v>2928</v>
      </c>
      <c r="R63" s="38">
        <v>45681</v>
      </c>
      <c r="V63" t="s">
        <v>2929</v>
      </c>
      <c r="W63">
        <v>654.77</v>
      </c>
      <c r="X63">
        <v>654.77</v>
      </c>
    </row>
    <row r="64" spans="1:24">
      <c r="A64" t="s">
        <v>2930</v>
      </c>
      <c r="B64" s="38">
        <v>45691</v>
      </c>
      <c r="C64" s="38">
        <v>45691</v>
      </c>
      <c r="D64" t="s">
        <v>2931</v>
      </c>
      <c r="E64" t="s">
        <v>704</v>
      </c>
      <c r="F64" t="s">
        <v>145</v>
      </c>
      <c r="G64">
        <v>48000482</v>
      </c>
      <c r="H64" t="s">
        <v>1650</v>
      </c>
      <c r="I64" t="s">
        <v>2704</v>
      </c>
      <c r="J64">
        <v>1</v>
      </c>
      <c r="K64" t="s">
        <v>37</v>
      </c>
      <c r="L64" t="s">
        <v>72</v>
      </c>
      <c r="M64" t="s">
        <v>73</v>
      </c>
      <c r="N64" t="s">
        <v>73</v>
      </c>
      <c r="O64">
        <v>1</v>
      </c>
      <c r="P64" t="s">
        <v>1652</v>
      </c>
      <c r="Q64" t="s">
        <v>37</v>
      </c>
      <c r="R64" s="38">
        <v>45691</v>
      </c>
      <c r="V64" t="s">
        <v>2932</v>
      </c>
      <c r="W64">
        <v>159.5</v>
      </c>
      <c r="X64">
        <v>159.5</v>
      </c>
    </row>
    <row r="65" spans="1:24">
      <c r="A65" t="s">
        <v>2933</v>
      </c>
      <c r="B65" s="38">
        <v>45691</v>
      </c>
      <c r="C65" s="38">
        <v>45691</v>
      </c>
      <c r="D65" t="s">
        <v>2934</v>
      </c>
      <c r="E65" t="s">
        <v>704</v>
      </c>
      <c r="F65" t="s">
        <v>145</v>
      </c>
      <c r="G65">
        <v>48000482</v>
      </c>
      <c r="H65" t="s">
        <v>446</v>
      </c>
      <c r="I65" t="s">
        <v>509</v>
      </c>
      <c r="J65">
        <v>1</v>
      </c>
      <c r="K65" t="s">
        <v>37</v>
      </c>
      <c r="L65" t="s">
        <v>72</v>
      </c>
      <c r="M65" t="s">
        <v>73</v>
      </c>
      <c r="N65" t="s">
        <v>73</v>
      </c>
      <c r="O65">
        <v>1</v>
      </c>
      <c r="Q65" t="s">
        <v>2606</v>
      </c>
      <c r="R65" s="38">
        <v>45672</v>
      </c>
      <c r="V65" t="s">
        <v>2935</v>
      </c>
      <c r="W65">
        <v>431.82</v>
      </c>
      <c r="X65">
        <v>431.82</v>
      </c>
    </row>
    <row r="66" spans="1:24">
      <c r="A66" t="s">
        <v>2936</v>
      </c>
      <c r="B66" s="38">
        <v>45691</v>
      </c>
      <c r="C66" s="38">
        <v>45691</v>
      </c>
      <c r="D66" t="s">
        <v>2937</v>
      </c>
      <c r="E66" t="s">
        <v>365</v>
      </c>
      <c r="F66" t="s">
        <v>328</v>
      </c>
      <c r="G66">
        <v>50000530</v>
      </c>
      <c r="H66" t="s">
        <v>1064</v>
      </c>
      <c r="I66" t="s">
        <v>2705</v>
      </c>
      <c r="J66">
        <v>1</v>
      </c>
      <c r="K66" t="s">
        <v>269</v>
      </c>
      <c r="L66" t="s">
        <v>1372</v>
      </c>
      <c r="M66" t="s">
        <v>73</v>
      </c>
      <c r="N66" t="s">
        <v>73</v>
      </c>
      <c r="O66">
        <v>1</v>
      </c>
      <c r="Q66" t="s">
        <v>2938</v>
      </c>
      <c r="R66" s="38">
        <v>45688</v>
      </c>
      <c r="V66" t="s">
        <v>2939</v>
      </c>
      <c r="W66">
        <v>396.84</v>
      </c>
      <c r="X66">
        <v>396.84</v>
      </c>
    </row>
    <row r="67" spans="1:24">
      <c r="A67" t="s">
        <v>2940</v>
      </c>
      <c r="B67" s="38">
        <v>45691</v>
      </c>
      <c r="C67" s="38">
        <v>45691</v>
      </c>
      <c r="D67" t="s">
        <v>2941</v>
      </c>
      <c r="E67" t="s">
        <v>365</v>
      </c>
      <c r="F67" t="s">
        <v>328</v>
      </c>
      <c r="G67">
        <v>50000530</v>
      </c>
      <c r="H67" t="s">
        <v>70</v>
      </c>
      <c r="I67" t="s">
        <v>352</v>
      </c>
      <c r="J67">
        <v>1</v>
      </c>
      <c r="K67" t="s">
        <v>37</v>
      </c>
      <c r="L67" t="s">
        <v>72</v>
      </c>
      <c r="M67" t="s">
        <v>73</v>
      </c>
      <c r="N67" t="s">
        <v>73</v>
      </c>
      <c r="O67">
        <v>1</v>
      </c>
      <c r="Q67" t="s">
        <v>37</v>
      </c>
      <c r="R67" s="38">
        <v>45688</v>
      </c>
      <c r="V67" t="s">
        <v>2939</v>
      </c>
      <c r="W67">
        <v>35.19</v>
      </c>
      <c r="X67">
        <v>35.19</v>
      </c>
    </row>
    <row r="68" spans="1:24">
      <c r="A68" t="s">
        <v>2942</v>
      </c>
      <c r="B68" s="38">
        <v>45691</v>
      </c>
      <c r="C68" s="38">
        <v>45691</v>
      </c>
      <c r="D68" t="s">
        <v>2943</v>
      </c>
      <c r="E68" t="s">
        <v>1030</v>
      </c>
      <c r="F68" t="s">
        <v>186</v>
      </c>
      <c r="G68">
        <v>44000010</v>
      </c>
      <c r="H68" t="s">
        <v>587</v>
      </c>
      <c r="I68" t="s">
        <v>2706</v>
      </c>
      <c r="J68">
        <v>1</v>
      </c>
      <c r="K68" t="s">
        <v>37</v>
      </c>
      <c r="L68" t="s">
        <v>72</v>
      </c>
      <c r="M68" t="s">
        <v>73</v>
      </c>
      <c r="N68" t="s">
        <v>73</v>
      </c>
      <c r="O68">
        <v>1</v>
      </c>
      <c r="Q68" t="s">
        <v>37</v>
      </c>
      <c r="R68" s="38">
        <v>45705</v>
      </c>
      <c r="V68" t="s">
        <v>2944</v>
      </c>
      <c r="W68">
        <v>79.989999999999995</v>
      </c>
      <c r="X68">
        <v>79.989999999999995</v>
      </c>
    </row>
    <row r="69" spans="1:24">
      <c r="A69" t="s">
        <v>2945</v>
      </c>
      <c r="B69" s="38">
        <v>45691</v>
      </c>
      <c r="C69" s="38">
        <v>45691</v>
      </c>
      <c r="D69" t="s">
        <v>2946</v>
      </c>
      <c r="E69" t="s">
        <v>125</v>
      </c>
      <c r="F69" t="s">
        <v>34</v>
      </c>
      <c r="G69">
        <v>50110193</v>
      </c>
      <c r="H69" t="s">
        <v>813</v>
      </c>
      <c r="I69" t="s">
        <v>2707</v>
      </c>
      <c r="J69">
        <v>1</v>
      </c>
      <c r="K69" t="s">
        <v>37</v>
      </c>
      <c r="L69" t="s">
        <v>72</v>
      </c>
      <c r="M69" t="s">
        <v>81</v>
      </c>
      <c r="N69" t="s">
        <v>81</v>
      </c>
      <c r="O69">
        <v>1</v>
      </c>
      <c r="Q69" t="s">
        <v>37</v>
      </c>
      <c r="R69" s="38">
        <v>45693</v>
      </c>
      <c r="V69" t="s">
        <v>42</v>
      </c>
      <c r="W69">
        <v>37.229999999999997</v>
      </c>
      <c r="X69">
        <v>37.229999999999997</v>
      </c>
    </row>
    <row r="70" spans="1:24">
      <c r="A70" t="s">
        <v>2947</v>
      </c>
      <c r="B70" s="38">
        <v>45692</v>
      </c>
      <c r="C70" s="38">
        <v>45691</v>
      </c>
      <c r="D70" t="s">
        <v>2948</v>
      </c>
      <c r="E70" t="s">
        <v>134</v>
      </c>
      <c r="F70" t="s">
        <v>140</v>
      </c>
      <c r="G70">
        <v>48300301</v>
      </c>
      <c r="H70" t="s">
        <v>803</v>
      </c>
      <c r="I70" t="s">
        <v>804</v>
      </c>
      <c r="J70">
        <v>1</v>
      </c>
      <c r="K70" t="s">
        <v>37</v>
      </c>
      <c r="L70" t="s">
        <v>72</v>
      </c>
      <c r="M70" t="s">
        <v>73</v>
      </c>
      <c r="N70" t="s">
        <v>73</v>
      </c>
      <c r="O70">
        <v>1</v>
      </c>
      <c r="Q70" t="s">
        <v>2606</v>
      </c>
      <c r="R70" s="38">
        <v>45679</v>
      </c>
      <c r="V70" t="s">
        <v>2855</v>
      </c>
      <c r="W70">
        <v>882.69</v>
      </c>
      <c r="X70">
        <v>882.69</v>
      </c>
    </row>
    <row r="71" spans="1:24">
      <c r="A71" t="s">
        <v>2949</v>
      </c>
      <c r="B71" s="38">
        <v>45692</v>
      </c>
      <c r="C71" s="38">
        <v>45691</v>
      </c>
      <c r="D71" t="s">
        <v>2950</v>
      </c>
      <c r="E71" t="s">
        <v>94</v>
      </c>
      <c r="F71" t="s">
        <v>95</v>
      </c>
      <c r="G71">
        <v>60002072</v>
      </c>
      <c r="H71" t="s">
        <v>2708</v>
      </c>
      <c r="I71" t="s">
        <v>742</v>
      </c>
      <c r="J71">
        <v>1</v>
      </c>
      <c r="K71" t="s">
        <v>37</v>
      </c>
      <c r="L71" t="s">
        <v>441</v>
      </c>
      <c r="M71" t="s">
        <v>73</v>
      </c>
      <c r="N71" t="s">
        <v>73</v>
      </c>
      <c r="O71">
        <v>1</v>
      </c>
      <c r="Q71" t="s">
        <v>2606</v>
      </c>
      <c r="R71" s="38">
        <v>45692</v>
      </c>
      <c r="W71">
        <v>886.36</v>
      </c>
      <c r="X71">
        <v>886.36</v>
      </c>
    </row>
    <row r="72" spans="1:24">
      <c r="A72" t="s">
        <v>2951</v>
      </c>
      <c r="B72" s="38">
        <v>45692</v>
      </c>
      <c r="C72" s="38">
        <v>45688</v>
      </c>
      <c r="D72" t="s">
        <v>2952</v>
      </c>
      <c r="E72" t="s">
        <v>33</v>
      </c>
      <c r="F72" t="s">
        <v>328</v>
      </c>
      <c r="G72">
        <v>50000343</v>
      </c>
      <c r="H72" t="s">
        <v>220</v>
      </c>
      <c r="I72" t="s">
        <v>2709</v>
      </c>
      <c r="J72">
        <v>1</v>
      </c>
      <c r="K72" t="s">
        <v>37</v>
      </c>
      <c r="L72" t="s">
        <v>72</v>
      </c>
      <c r="M72" t="s">
        <v>81</v>
      </c>
      <c r="N72" t="s">
        <v>81</v>
      </c>
      <c r="O72">
        <v>1</v>
      </c>
      <c r="Q72" t="s">
        <v>37</v>
      </c>
      <c r="R72" s="38">
        <v>45693</v>
      </c>
      <c r="V72" t="s">
        <v>42</v>
      </c>
      <c r="W72">
        <v>274.36</v>
      </c>
      <c r="X72">
        <v>274.36</v>
      </c>
    </row>
    <row r="73" spans="1:24">
      <c r="A73" t="s">
        <v>2953</v>
      </c>
      <c r="B73" s="38">
        <v>45692</v>
      </c>
      <c r="C73" s="38">
        <v>45691</v>
      </c>
      <c r="D73" t="s">
        <v>2954</v>
      </c>
      <c r="E73" t="s">
        <v>1322</v>
      </c>
      <c r="F73" t="s">
        <v>328</v>
      </c>
      <c r="G73">
        <v>50000202</v>
      </c>
      <c r="H73" t="s">
        <v>1074</v>
      </c>
      <c r="I73" t="s">
        <v>2710</v>
      </c>
      <c r="J73">
        <v>1</v>
      </c>
      <c r="K73" t="s">
        <v>37</v>
      </c>
      <c r="L73" t="s">
        <v>106</v>
      </c>
      <c r="M73" t="s">
        <v>73</v>
      </c>
      <c r="N73" t="s">
        <v>73</v>
      </c>
      <c r="O73">
        <v>1</v>
      </c>
      <c r="Q73" t="s">
        <v>2606</v>
      </c>
      <c r="R73" s="38">
        <v>45663</v>
      </c>
      <c r="V73" t="s">
        <v>2955</v>
      </c>
      <c r="W73">
        <v>1427.32</v>
      </c>
      <c r="X73">
        <v>1427.32</v>
      </c>
    </row>
    <row r="74" spans="1:24">
      <c r="A74" t="s">
        <v>2956</v>
      </c>
      <c r="B74" s="38">
        <v>45692</v>
      </c>
      <c r="C74" s="38">
        <v>45692</v>
      </c>
      <c r="D74" t="s">
        <v>2957</v>
      </c>
      <c r="E74" t="s">
        <v>704</v>
      </c>
      <c r="F74" t="s">
        <v>145</v>
      </c>
      <c r="G74">
        <v>48000482</v>
      </c>
      <c r="H74" t="s">
        <v>587</v>
      </c>
      <c r="I74" t="s">
        <v>588</v>
      </c>
      <c r="J74">
        <v>1</v>
      </c>
      <c r="K74" t="s">
        <v>37</v>
      </c>
      <c r="L74" t="s">
        <v>72</v>
      </c>
      <c r="M74" t="s">
        <v>39</v>
      </c>
      <c r="N74" t="s">
        <v>73</v>
      </c>
      <c r="O74">
        <v>1</v>
      </c>
      <c r="Q74" t="s">
        <v>37</v>
      </c>
      <c r="R74" s="38">
        <v>45705</v>
      </c>
      <c r="V74" t="s">
        <v>2932</v>
      </c>
      <c r="W74">
        <v>79.989999999999995</v>
      </c>
      <c r="X74">
        <v>79.989999999999995</v>
      </c>
    </row>
    <row r="75" spans="1:24">
      <c r="A75" t="s">
        <v>2958</v>
      </c>
      <c r="B75" s="38">
        <v>45692</v>
      </c>
      <c r="C75" s="38">
        <v>45692</v>
      </c>
      <c r="D75" t="s">
        <v>2959</v>
      </c>
      <c r="E75" t="s">
        <v>134</v>
      </c>
      <c r="F75" t="s">
        <v>186</v>
      </c>
      <c r="G75">
        <v>44000059</v>
      </c>
      <c r="H75" t="s">
        <v>846</v>
      </c>
      <c r="I75" t="s">
        <v>847</v>
      </c>
      <c r="J75">
        <v>1</v>
      </c>
      <c r="K75" t="s">
        <v>37</v>
      </c>
      <c r="L75" t="s">
        <v>72</v>
      </c>
      <c r="M75" t="s">
        <v>73</v>
      </c>
      <c r="N75" t="s">
        <v>73</v>
      </c>
      <c r="O75">
        <v>1</v>
      </c>
      <c r="Q75" t="s">
        <v>2606</v>
      </c>
      <c r="R75" s="38">
        <v>45681</v>
      </c>
      <c r="V75" t="s">
        <v>2855</v>
      </c>
      <c r="W75">
        <v>98.36</v>
      </c>
      <c r="X75">
        <v>98.36</v>
      </c>
    </row>
    <row r="76" spans="1:24">
      <c r="A76" t="s">
        <v>2958</v>
      </c>
      <c r="B76" s="38">
        <v>45692</v>
      </c>
      <c r="C76" s="38">
        <v>45692</v>
      </c>
      <c r="D76" t="s">
        <v>2959</v>
      </c>
      <c r="E76" t="s">
        <v>134</v>
      </c>
      <c r="F76" t="s">
        <v>186</v>
      </c>
      <c r="G76">
        <v>44000059</v>
      </c>
      <c r="H76" t="s">
        <v>2711</v>
      </c>
      <c r="I76" t="s">
        <v>2712</v>
      </c>
      <c r="J76">
        <v>1</v>
      </c>
      <c r="K76" t="s">
        <v>37</v>
      </c>
      <c r="L76" t="s">
        <v>72</v>
      </c>
      <c r="M76" t="s">
        <v>39</v>
      </c>
      <c r="N76" t="s">
        <v>2607</v>
      </c>
      <c r="O76">
        <v>0</v>
      </c>
      <c r="Q76" t="s">
        <v>2817</v>
      </c>
      <c r="W76">
        <v>11.91</v>
      </c>
      <c r="X76">
        <v>11.91</v>
      </c>
    </row>
    <row r="77" spans="1:24">
      <c r="A77" t="s">
        <v>2960</v>
      </c>
      <c r="B77" s="38">
        <v>45692</v>
      </c>
      <c r="C77" s="38">
        <v>45692</v>
      </c>
      <c r="D77" t="s">
        <v>2961</v>
      </c>
      <c r="E77" t="s">
        <v>33</v>
      </c>
      <c r="F77" t="s">
        <v>34</v>
      </c>
      <c r="G77">
        <v>50110372</v>
      </c>
      <c r="H77" t="s">
        <v>2713</v>
      </c>
      <c r="I77" t="s">
        <v>2714</v>
      </c>
      <c r="J77">
        <v>1</v>
      </c>
      <c r="K77" t="s">
        <v>269</v>
      </c>
      <c r="L77" t="s">
        <v>38</v>
      </c>
      <c r="M77" t="s">
        <v>39</v>
      </c>
      <c r="N77" t="s">
        <v>2607</v>
      </c>
      <c r="O77">
        <v>0</v>
      </c>
      <c r="Q77" t="s">
        <v>2817</v>
      </c>
      <c r="V77" t="s">
        <v>42</v>
      </c>
      <c r="W77">
        <v>4764.91</v>
      </c>
      <c r="X77">
        <v>4764.91</v>
      </c>
    </row>
    <row r="78" spans="1:24">
      <c r="A78" t="s">
        <v>2960</v>
      </c>
      <c r="B78" s="38">
        <v>45692</v>
      </c>
      <c r="C78" s="38">
        <v>45326</v>
      </c>
      <c r="D78" t="s">
        <v>2961</v>
      </c>
      <c r="E78" t="s">
        <v>33</v>
      </c>
      <c r="F78" t="s">
        <v>34</v>
      </c>
      <c r="G78">
        <v>50110372</v>
      </c>
      <c r="H78" t="s">
        <v>2715</v>
      </c>
      <c r="I78" t="s">
        <v>2716</v>
      </c>
      <c r="J78">
        <v>1</v>
      </c>
      <c r="K78" t="s">
        <v>269</v>
      </c>
      <c r="L78" t="s">
        <v>38</v>
      </c>
      <c r="M78" t="s">
        <v>73</v>
      </c>
      <c r="N78" t="s">
        <v>73</v>
      </c>
      <c r="O78">
        <v>1</v>
      </c>
      <c r="Q78" t="s">
        <v>37</v>
      </c>
      <c r="R78" s="38">
        <v>45692</v>
      </c>
      <c r="V78" t="s">
        <v>42</v>
      </c>
      <c r="W78">
        <v>254.87</v>
      </c>
      <c r="X78">
        <v>254.87</v>
      </c>
    </row>
    <row r="79" spans="1:24">
      <c r="A79" t="s">
        <v>2962</v>
      </c>
      <c r="B79" s="38">
        <v>45693</v>
      </c>
      <c r="C79" s="38">
        <v>45691</v>
      </c>
      <c r="D79" t="s">
        <v>2963</v>
      </c>
      <c r="E79" t="s">
        <v>101</v>
      </c>
      <c r="F79" t="s">
        <v>102</v>
      </c>
      <c r="G79">
        <v>51000136</v>
      </c>
      <c r="H79" t="s">
        <v>2717</v>
      </c>
      <c r="I79" t="s">
        <v>2718</v>
      </c>
      <c r="J79">
        <v>1</v>
      </c>
      <c r="K79" t="s">
        <v>37</v>
      </c>
      <c r="L79" t="s">
        <v>72</v>
      </c>
      <c r="M79" t="s">
        <v>39</v>
      </c>
      <c r="N79" t="s">
        <v>2607</v>
      </c>
      <c r="O79">
        <v>0</v>
      </c>
      <c r="Q79" t="s">
        <v>37</v>
      </c>
      <c r="V79" t="s">
        <v>42</v>
      </c>
      <c r="W79">
        <v>20.87</v>
      </c>
      <c r="X79">
        <v>20.87</v>
      </c>
    </row>
    <row r="80" spans="1:24">
      <c r="A80" t="s">
        <v>2964</v>
      </c>
      <c r="B80" s="38">
        <v>45693</v>
      </c>
      <c r="C80" s="38">
        <v>45326</v>
      </c>
      <c r="E80" t="s">
        <v>292</v>
      </c>
      <c r="H80" t="s">
        <v>2965</v>
      </c>
      <c r="I80" t="s">
        <v>2966</v>
      </c>
      <c r="J80">
        <v>17</v>
      </c>
      <c r="M80" t="s">
        <v>289</v>
      </c>
      <c r="N80" t="s">
        <v>289</v>
      </c>
      <c r="O80">
        <v>0</v>
      </c>
      <c r="Q80" t="s">
        <v>37</v>
      </c>
      <c r="W80">
        <v>4.9000000000000004</v>
      </c>
      <c r="X80">
        <v>83.300000000000011</v>
      </c>
    </row>
    <row r="81" spans="1:24">
      <c r="A81" t="s">
        <v>2967</v>
      </c>
      <c r="B81" s="38">
        <v>45693</v>
      </c>
      <c r="C81" s="38">
        <v>45327</v>
      </c>
      <c r="E81" t="s">
        <v>292</v>
      </c>
      <c r="H81" t="s">
        <v>2968</v>
      </c>
      <c r="I81" t="s">
        <v>2969</v>
      </c>
      <c r="J81">
        <v>5</v>
      </c>
      <c r="M81" t="s">
        <v>289</v>
      </c>
      <c r="N81" t="s">
        <v>289</v>
      </c>
      <c r="O81">
        <v>0</v>
      </c>
      <c r="Q81" t="s">
        <v>37</v>
      </c>
      <c r="W81">
        <v>132.28</v>
      </c>
      <c r="X81">
        <v>661.4</v>
      </c>
    </row>
    <row r="82" spans="1:24">
      <c r="A82" t="s">
        <v>2970</v>
      </c>
      <c r="B82" s="38">
        <v>45693</v>
      </c>
      <c r="C82" s="38">
        <v>45327</v>
      </c>
      <c r="E82" t="s">
        <v>292</v>
      </c>
      <c r="H82" t="s">
        <v>2971</v>
      </c>
      <c r="I82" t="s">
        <v>2972</v>
      </c>
      <c r="J82">
        <v>3</v>
      </c>
      <c r="M82" t="s">
        <v>289</v>
      </c>
      <c r="N82" t="s">
        <v>289</v>
      </c>
      <c r="O82">
        <v>0</v>
      </c>
      <c r="Q82" t="s">
        <v>37</v>
      </c>
      <c r="W82">
        <v>145.35</v>
      </c>
      <c r="X82">
        <v>436.04999999999995</v>
      </c>
    </row>
    <row r="83" spans="1:24">
      <c r="A83" t="s">
        <v>2973</v>
      </c>
      <c r="B83" s="38">
        <v>45694</v>
      </c>
      <c r="C83" s="38">
        <v>45687</v>
      </c>
      <c r="D83" t="s">
        <v>2974</v>
      </c>
      <c r="E83" t="s">
        <v>33</v>
      </c>
      <c r="F83" t="s">
        <v>95</v>
      </c>
      <c r="G83">
        <v>60002095</v>
      </c>
      <c r="H83" t="s">
        <v>2975</v>
      </c>
      <c r="I83" t="s">
        <v>2976</v>
      </c>
      <c r="J83">
        <v>1</v>
      </c>
      <c r="K83" t="s">
        <v>37</v>
      </c>
      <c r="L83" t="s">
        <v>441</v>
      </c>
      <c r="M83" t="s">
        <v>39</v>
      </c>
      <c r="N83" t="s">
        <v>2607</v>
      </c>
      <c r="O83">
        <v>0</v>
      </c>
      <c r="P83" t="s">
        <v>2977</v>
      </c>
      <c r="Q83" t="s">
        <v>2837</v>
      </c>
      <c r="V83" t="s">
        <v>42</v>
      </c>
      <c r="W83">
        <v>986.75</v>
      </c>
      <c r="X83">
        <v>986.75</v>
      </c>
    </row>
    <row r="84" spans="1:24">
      <c r="A84" t="s">
        <v>2978</v>
      </c>
      <c r="B84" s="38">
        <v>45694</v>
      </c>
      <c r="C84" s="38">
        <v>45692</v>
      </c>
      <c r="D84" t="s">
        <v>2979</v>
      </c>
      <c r="E84" t="s">
        <v>33</v>
      </c>
      <c r="F84" t="s">
        <v>328</v>
      </c>
      <c r="G84">
        <v>50000343</v>
      </c>
      <c r="H84" t="s">
        <v>2380</v>
      </c>
      <c r="I84" t="s">
        <v>2719</v>
      </c>
      <c r="J84">
        <v>1</v>
      </c>
      <c r="K84" t="s">
        <v>37</v>
      </c>
      <c r="L84" t="s">
        <v>122</v>
      </c>
      <c r="M84" t="s">
        <v>73</v>
      </c>
      <c r="N84" t="s">
        <v>73</v>
      </c>
      <c r="O84">
        <v>1</v>
      </c>
      <c r="Q84" t="s">
        <v>2606</v>
      </c>
      <c r="R84" s="38">
        <v>45692</v>
      </c>
      <c r="V84" t="s">
        <v>2980</v>
      </c>
      <c r="W84">
        <v>601.41999999999996</v>
      </c>
      <c r="X84">
        <v>601.41999999999996</v>
      </c>
    </row>
    <row r="85" spans="1:24">
      <c r="A85" t="s">
        <v>2981</v>
      </c>
      <c r="B85" s="38">
        <v>45694</v>
      </c>
      <c r="C85" s="38">
        <v>45693</v>
      </c>
      <c r="D85" t="s">
        <v>2982</v>
      </c>
      <c r="E85" t="s">
        <v>434</v>
      </c>
      <c r="F85" t="s">
        <v>334</v>
      </c>
      <c r="G85" t="s">
        <v>2720</v>
      </c>
      <c r="H85" t="s">
        <v>1494</v>
      </c>
      <c r="I85" t="s">
        <v>2721</v>
      </c>
      <c r="J85">
        <v>1</v>
      </c>
      <c r="K85" t="s">
        <v>37</v>
      </c>
      <c r="L85" t="s">
        <v>106</v>
      </c>
      <c r="M85" t="s">
        <v>73</v>
      </c>
      <c r="N85" t="s">
        <v>73</v>
      </c>
      <c r="O85">
        <v>1</v>
      </c>
      <c r="Q85" t="s">
        <v>37</v>
      </c>
      <c r="R85" s="38">
        <v>45693</v>
      </c>
      <c r="V85" t="s">
        <v>2809</v>
      </c>
      <c r="W85">
        <v>20</v>
      </c>
      <c r="X85">
        <v>20</v>
      </c>
    </row>
    <row r="86" spans="1:24">
      <c r="A86" t="s">
        <v>2983</v>
      </c>
      <c r="B86" s="38">
        <v>45695</v>
      </c>
      <c r="C86" s="38">
        <v>45695</v>
      </c>
      <c r="D86" t="s">
        <v>2984</v>
      </c>
      <c r="E86" t="s">
        <v>33</v>
      </c>
      <c r="F86" t="s">
        <v>95</v>
      </c>
      <c r="G86">
        <v>60002095</v>
      </c>
      <c r="H86" t="s">
        <v>750</v>
      </c>
      <c r="I86" t="s">
        <v>2722</v>
      </c>
      <c r="J86">
        <v>1</v>
      </c>
      <c r="K86" t="s">
        <v>269</v>
      </c>
      <c r="L86" t="s">
        <v>122</v>
      </c>
      <c r="M86" t="s">
        <v>39</v>
      </c>
      <c r="N86" t="s">
        <v>2607</v>
      </c>
      <c r="O86">
        <v>0</v>
      </c>
      <c r="Q86" t="s">
        <v>37</v>
      </c>
      <c r="V86" t="s">
        <v>42</v>
      </c>
      <c r="W86">
        <v>1407.73</v>
      </c>
      <c r="X86">
        <v>1407.73</v>
      </c>
    </row>
    <row r="87" spans="1:24">
      <c r="A87" t="s">
        <v>2985</v>
      </c>
      <c r="B87" s="38">
        <v>45695</v>
      </c>
      <c r="C87" s="38">
        <v>45694</v>
      </c>
      <c r="D87" t="s">
        <v>2986</v>
      </c>
      <c r="E87" t="s">
        <v>1030</v>
      </c>
      <c r="F87" t="s">
        <v>186</v>
      </c>
      <c r="G87" t="s">
        <v>2723</v>
      </c>
      <c r="H87" t="s">
        <v>2724</v>
      </c>
      <c r="I87" t="s">
        <v>2725</v>
      </c>
      <c r="J87">
        <v>1</v>
      </c>
      <c r="K87" t="s">
        <v>37</v>
      </c>
      <c r="L87" t="s">
        <v>1108</v>
      </c>
      <c r="M87" t="s">
        <v>73</v>
      </c>
      <c r="N87" t="s">
        <v>73</v>
      </c>
      <c r="O87">
        <v>1</v>
      </c>
      <c r="P87" t="s">
        <v>2987</v>
      </c>
      <c r="Q87" t="s">
        <v>2606</v>
      </c>
      <c r="R87" s="38">
        <v>45677</v>
      </c>
      <c r="V87" t="s">
        <v>2988</v>
      </c>
      <c r="W87">
        <v>2377.7800000000002</v>
      </c>
      <c r="X87">
        <v>2377.7800000000002</v>
      </c>
    </row>
    <row r="88" spans="1:24">
      <c r="A88" t="s">
        <v>2921</v>
      </c>
      <c r="B88" s="38">
        <v>45695</v>
      </c>
      <c r="C88" s="38">
        <v>45694</v>
      </c>
      <c r="D88" t="s">
        <v>2922</v>
      </c>
      <c r="E88" t="s">
        <v>2726</v>
      </c>
      <c r="F88" t="s">
        <v>186</v>
      </c>
      <c r="G88">
        <v>44000321</v>
      </c>
      <c r="H88" t="s">
        <v>2727</v>
      </c>
      <c r="I88" t="s">
        <v>2728</v>
      </c>
      <c r="J88">
        <v>1</v>
      </c>
      <c r="K88" t="s">
        <v>37</v>
      </c>
      <c r="L88" t="s">
        <v>1108</v>
      </c>
      <c r="M88" t="s">
        <v>73</v>
      </c>
      <c r="N88" t="s">
        <v>73</v>
      </c>
      <c r="O88">
        <v>1</v>
      </c>
      <c r="Q88" t="s">
        <v>37</v>
      </c>
      <c r="R88" s="38">
        <v>45672</v>
      </c>
      <c r="V88" t="s">
        <v>2923</v>
      </c>
      <c r="W88">
        <v>449.1</v>
      </c>
      <c r="X88">
        <v>449.1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d574e-a599-47ef-926c-b9a54423d79a" xsi:nil="true"/>
    <Tamanho xmlns="d4806585-20ee-4b20-ad33-e76db373baca" xsi:nil="true"/>
    <lcf76f155ced4ddcb4097134ff3c332f xmlns="d4806585-20ee-4b20-ad33-e76db373baca">
      <Terms xmlns="http://schemas.microsoft.com/office/infopath/2007/PartnerControls"/>
    </lcf76f155ced4ddcb4097134ff3c332f>
    <Caminho xmlns="d4806585-20ee-4b20-ad33-e76db373baca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7E2BB17FF29546BA2F12860C5E009B" ma:contentTypeVersion="16" ma:contentTypeDescription="Crie um novo documento." ma:contentTypeScope="" ma:versionID="cb08da2bdd98842a505fb43d52114025">
  <xsd:schema xmlns:xsd="http://www.w3.org/2001/XMLSchema" xmlns:xs="http://www.w3.org/2001/XMLSchema" xmlns:p="http://schemas.microsoft.com/office/2006/metadata/properties" xmlns:ns2="d4806585-20ee-4b20-ad33-e76db373baca" xmlns:ns3="bf4d574e-a599-47ef-926c-b9a54423d79a" targetNamespace="http://schemas.microsoft.com/office/2006/metadata/properties" ma:root="true" ma:fieldsID="542c90cdb8059e9188141f1e530f10c0" ns2:_="" ns3:_="">
    <xsd:import namespace="d4806585-20ee-4b20-ad33-e76db373baca"/>
    <xsd:import namespace="bf4d574e-a599-47ef-926c-b9a54423d7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Tamanho" minOccurs="0"/>
                <xsd:element ref="ns2:MediaServiceBillingMetadata" minOccurs="0"/>
                <xsd:element ref="ns2:Caminh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06585-20ee-4b20-ad33-e76db373bac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706e60d-27ae-4bf4-ab86-c00775360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Tamanho" ma:index="21" nillable="true" ma:displayName="Tamanho" ma:format="Dropdown" ma:internalName="Tamanho" ma:percentage="FALSE">
      <xsd:simpleType>
        <xsd:restriction base="dms:Number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Caminho" ma:index="23" nillable="true" ma:displayName="Caminho" ma:format="Dropdown" ma:internalName="Caminh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d574e-a599-47ef-926c-b9a54423d7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52d9d79-4bad-4fb0-a1ac-25d9dbf0e414}" ma:internalName="TaxCatchAll" ma:showField="CatchAllData" ma:web="bf4d574e-a599-47ef-926c-b9a54423d7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9CAF5-417E-4237-ADD1-F0725F039843}"/>
</file>

<file path=customXml/itemProps2.xml><?xml version="1.0" encoding="utf-8"?>
<ds:datastoreItem xmlns:ds="http://schemas.openxmlformats.org/officeDocument/2006/customXml" ds:itemID="{CD337D2D-94EF-4E16-A1D3-51AC7AE7B0F1}"/>
</file>

<file path=customXml/itemProps3.xml><?xml version="1.0" encoding="utf-8"?>
<ds:datastoreItem xmlns:ds="http://schemas.openxmlformats.org/officeDocument/2006/customXml" ds:itemID="{919614E2-80E7-42D1-A0B1-A8A6CDAFD19C}"/>
</file>

<file path=customXml/itemProps4.xml><?xml version="1.0" encoding="utf-8"?>
<ds:datastoreItem xmlns:ds="http://schemas.openxmlformats.org/officeDocument/2006/customXml" ds:itemID="{0AD1A626-EC09-427E-AC96-B53D6D64B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Romao</dc:creator>
  <cp:keywords/>
  <dc:description/>
  <cp:lastModifiedBy>Ricardo Almeida</cp:lastModifiedBy>
  <cp:revision/>
  <dcterms:created xsi:type="dcterms:W3CDTF">2024-12-09T17:55:35Z</dcterms:created>
  <dcterms:modified xsi:type="dcterms:W3CDTF">2026-08-01T21:59:57Z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0x010100C47E2BB17FF29546BA2F12860C5E009B</vt:lpwstr>
  </property>
  <property fmtid="{D5CDD505-2E9C-101B-9397-08002B2CF9AE}" pid="3" name="MediaServiceImageTags">
    <vt:lpwstr/>
  </property>
</Properties>
</file>
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aquinascomprint.sharepoint.com/sites/Comprint/Documentos Compartilhados/ADM-FINANCEIRO/IMPORT/Serviços/RELATÓRIO DE IMPORTAÇÕES/"/>
    </mc:Choice>
  </mc:AlternateContent>
  <xr:revisionPtr revIDLastSave="24389" documentId="11_9BFB5C88B2B4FD6619B24E3CB6A4A186BEE81B12" xr6:coauthVersionLast="47" xr6:coauthVersionMax="47" xr10:uidLastSave="{2FE23F38-F3C1-4CCC-811F-5474612D09B5}"/>
  <bookViews>
    <workbookView xWindow="-108" yWindow="-108" windowWidth="23256" windowHeight="12456" xr2:uid="{00000000-000D-0000-FFFF-FFFF00000000}"/>
  </bookViews>
  <sheets>
    <sheet name="CONTRATO" sheetId="1" r:id="rId1"/>
    <sheet name="ANTERIORES" sheetId="3" state="hidden" r:id="rId2"/>
    <sheet name="COMPRAS" sheetId="5" r:id="rId3"/>
    <sheet name="DB" sheetId="4" r:id="rId4"/>
    <sheet name="LOF" sheetId="2" r:id="rId5"/>
    <sheet name="Detalhes1" sheetId="7" state="hidden" r:id="rId6"/>
    <sheet name="Detalhes2" sheetId="8" state="hidden" r:id="rId7"/>
    <sheet name="Detalhes3" sheetId="9" state="hidden" r:id="rId8"/>
    <sheet name="Detalhes4" sheetId="10" state="hidden" r:id="rId9"/>
    <sheet name="Detalhes5" sheetId="11" state="hidden" r:id="rId10"/>
    <sheet name="Detalhes6" sheetId="12" state="hidden" r:id="rId11"/>
    <sheet name="LOF - STATUS" sheetId="6" r:id="rId12"/>
  </sheets>
  <definedNames>
    <definedName name="_xlnm._FilterDatabase" localSheetId="0" hidden="1">CONTRATO!$L$880:$L$880</definedName>
    <definedName name="NativeTimeline_DATA_PEDIDO_HP">#N/A</definedName>
    <definedName name="NativeTimeline_Order_Date">#N/A</definedName>
  </definedNames>
  <calcPr calcId="191028"/>
  <pivotCaches>
    <pivotCache cacheId="984" r:id="rId13"/>
    <pivotCache cacheId="985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5"/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D2" i="1" s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D69" i="1" s="1"/>
  <c r="AC70" i="1"/>
  <c r="AD70" i="1" s="1"/>
  <c r="AC71" i="1"/>
  <c r="AD71" i="1" s="1"/>
  <c r="AC72" i="1"/>
  <c r="AD72" i="1" s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C105" i="1"/>
  <c r="AD105" i="1" s="1"/>
  <c r="AC106" i="1"/>
  <c r="AD106" i="1" s="1"/>
  <c r="AC107" i="1"/>
  <c r="AD107" i="1" s="1"/>
  <c r="AC108" i="1"/>
  <c r="AD108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C144" i="1"/>
  <c r="AD144" i="1" s="1"/>
  <c r="AC145" i="1"/>
  <c r="AD145" i="1" s="1"/>
  <c r="AC146" i="1"/>
  <c r="AD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C152" i="1"/>
  <c r="AD152" i="1" s="1"/>
  <c r="AC153" i="1"/>
  <c r="AD153" i="1" s="1"/>
  <c r="AC154" i="1"/>
  <c r="AD154" i="1" s="1"/>
  <c r="AC155" i="1"/>
  <c r="AD155" i="1" s="1"/>
  <c r="AC156" i="1"/>
  <c r="AD156" i="1" s="1"/>
  <c r="AC157" i="1"/>
  <c r="AD157" i="1" s="1"/>
  <c r="AC158" i="1"/>
  <c r="AC159" i="1"/>
  <c r="AD159" i="1" s="1"/>
  <c r="AC160" i="1"/>
  <c r="AD160" i="1" s="1"/>
  <c r="AC161" i="1"/>
  <c r="AD161" i="1" s="1"/>
  <c r="AC162" i="1"/>
  <c r="AD162" i="1" s="1"/>
  <c r="AC163" i="1"/>
  <c r="AD163" i="1" s="1"/>
  <c r="AC164" i="1"/>
  <c r="AD164" i="1" s="1"/>
  <c r="AC165" i="1"/>
  <c r="AD165" i="1" s="1"/>
  <c r="AC166" i="1"/>
  <c r="AD166" i="1" s="1"/>
  <c r="AC167" i="1"/>
  <c r="AD167" i="1" s="1"/>
  <c r="AC168" i="1"/>
  <c r="AD168" i="1" s="1"/>
  <c r="AC169" i="1"/>
  <c r="AD169" i="1" s="1"/>
  <c r="AC170" i="1"/>
  <c r="AD170" i="1" s="1"/>
  <c r="AC171" i="1"/>
  <c r="AD171" i="1" s="1"/>
  <c r="AC172" i="1"/>
  <c r="AD172" i="1" s="1"/>
  <c r="AC173" i="1"/>
  <c r="AD173" i="1" s="1"/>
  <c r="AC174" i="1"/>
  <c r="AD174" i="1" s="1"/>
  <c r="AC175" i="1"/>
  <c r="AD175" i="1" s="1"/>
  <c r="AC176" i="1"/>
  <c r="AD176" i="1" s="1"/>
  <c r="AC177" i="1"/>
  <c r="AD177" i="1" s="1"/>
  <c r="AC178" i="1"/>
  <c r="AD178" i="1" s="1"/>
  <c r="AC179" i="1"/>
  <c r="AD179" i="1" s="1"/>
  <c r="AC180" i="1"/>
  <c r="AD180" i="1" s="1"/>
  <c r="AC181" i="1"/>
  <c r="AD181" i="1" s="1"/>
  <c r="AC182" i="1"/>
  <c r="AD182" i="1" s="1"/>
  <c r="AC183" i="1"/>
  <c r="AD183" i="1" s="1"/>
  <c r="AC184" i="1"/>
  <c r="AD184" i="1" s="1"/>
  <c r="AC185" i="1"/>
  <c r="AD185" i="1" s="1"/>
  <c r="AC186" i="1"/>
  <c r="AD186" i="1" s="1"/>
  <c r="AC187" i="1"/>
  <c r="AD187" i="1" s="1"/>
  <c r="AC188" i="1"/>
  <c r="AD188" i="1" s="1"/>
  <c r="AC189" i="1"/>
  <c r="AD189" i="1" s="1"/>
  <c r="AC190" i="1"/>
  <c r="AD190" i="1" s="1"/>
  <c r="AC191" i="1"/>
  <c r="AD191" i="1" s="1"/>
  <c r="AC192" i="1"/>
  <c r="AD192" i="1" s="1"/>
  <c r="AC193" i="1"/>
  <c r="AD193" i="1" s="1"/>
  <c r="AC194" i="1"/>
  <c r="AD194" i="1" s="1"/>
  <c r="AC195" i="1"/>
  <c r="AD195" i="1" s="1"/>
  <c r="AC196" i="1"/>
  <c r="AD196" i="1" s="1"/>
  <c r="AC197" i="1"/>
  <c r="AD197" i="1" s="1"/>
  <c r="AC198" i="1"/>
  <c r="AD198" i="1" s="1"/>
  <c r="AC199" i="1"/>
  <c r="AD199" i="1" s="1"/>
  <c r="AC200" i="1"/>
  <c r="AD200" i="1" s="1"/>
  <c r="AC201" i="1"/>
  <c r="AD201" i="1" s="1"/>
  <c r="AC202" i="1"/>
  <c r="AD202" i="1" s="1"/>
  <c r="AC203" i="1"/>
  <c r="AD203" i="1" s="1"/>
  <c r="AC204" i="1"/>
  <c r="AD204" i="1" s="1"/>
  <c r="AC205" i="1"/>
  <c r="AD205" i="1" s="1"/>
  <c r="AC206" i="1"/>
  <c r="AD206" i="1" s="1"/>
  <c r="AC207" i="1"/>
  <c r="AD207" i="1" s="1"/>
  <c r="AC208" i="1"/>
  <c r="AD208" i="1" s="1"/>
  <c r="AC209" i="1"/>
  <c r="AD209" i="1" s="1"/>
  <c r="AC210" i="1"/>
  <c r="AD210" i="1" s="1"/>
  <c r="AC211" i="1"/>
  <c r="AD211" i="1" s="1"/>
  <c r="AC212" i="1"/>
  <c r="AD212" i="1" s="1"/>
  <c r="AC213" i="1"/>
  <c r="AD213" i="1" s="1"/>
  <c r="AC214" i="1"/>
  <c r="AD214" i="1" s="1"/>
  <c r="AC215" i="1"/>
  <c r="AD215" i="1" s="1"/>
  <c r="AC216" i="1"/>
  <c r="AD216" i="1" s="1"/>
  <c r="AC217" i="1"/>
  <c r="AD217" i="1" s="1"/>
  <c r="AC218" i="1"/>
  <c r="AD218" i="1" s="1"/>
  <c r="AC219" i="1"/>
  <c r="AD219" i="1" s="1"/>
  <c r="AC220" i="1"/>
  <c r="AD220" i="1" s="1"/>
  <c r="AC221" i="1"/>
  <c r="AD221" i="1" s="1"/>
  <c r="AC222" i="1"/>
  <c r="AD222" i="1" s="1"/>
  <c r="AC223" i="1"/>
  <c r="AD223" i="1" s="1"/>
  <c r="AC224" i="1"/>
  <c r="AD224" i="1" s="1"/>
  <c r="AC225" i="1"/>
  <c r="AD225" i="1" s="1"/>
  <c r="AC226" i="1"/>
  <c r="AD226" i="1" s="1"/>
  <c r="AC227" i="1"/>
  <c r="AD227" i="1" s="1"/>
  <c r="AC228" i="1"/>
  <c r="AD228" i="1" s="1"/>
  <c r="AC229" i="1"/>
  <c r="AD229" i="1" s="1"/>
  <c r="AC230" i="1"/>
  <c r="AD230" i="1" s="1"/>
  <c r="AC231" i="1"/>
  <c r="AD231" i="1" s="1"/>
  <c r="AC232" i="1"/>
  <c r="AD232" i="1" s="1"/>
  <c r="AC233" i="1"/>
  <c r="AD233" i="1" s="1"/>
  <c r="AC234" i="1"/>
  <c r="AD234" i="1" s="1"/>
  <c r="AC235" i="1"/>
  <c r="AD235" i="1" s="1"/>
  <c r="AC236" i="1"/>
  <c r="AD236" i="1" s="1"/>
  <c r="AC237" i="1"/>
  <c r="AD237" i="1" s="1"/>
  <c r="AC238" i="1"/>
  <c r="AD238" i="1" s="1"/>
  <c r="AC239" i="1"/>
  <c r="AD239" i="1" s="1"/>
  <c r="AC240" i="1"/>
  <c r="AD240" i="1" s="1"/>
  <c r="AC241" i="1"/>
  <c r="AD241" i="1" s="1"/>
  <c r="AC242" i="1"/>
  <c r="AD242" i="1" s="1"/>
  <c r="AC243" i="1"/>
  <c r="AD243" i="1" s="1"/>
  <c r="AC244" i="1"/>
  <c r="AD244" i="1" s="1"/>
  <c r="AC245" i="1"/>
  <c r="AD245" i="1" s="1"/>
  <c r="AC246" i="1"/>
  <c r="AD246" i="1" s="1"/>
  <c r="AC247" i="1"/>
  <c r="AD247" i="1" s="1"/>
  <c r="AC248" i="1"/>
  <c r="AD248" i="1" s="1"/>
  <c r="AC249" i="1"/>
  <c r="AD249" i="1" s="1"/>
  <c r="AC250" i="1"/>
  <c r="AD250" i="1" s="1"/>
  <c r="AC251" i="1"/>
  <c r="AD251" i="1" s="1"/>
  <c r="AC252" i="1"/>
  <c r="AD252" i="1" s="1"/>
  <c r="AC253" i="1"/>
  <c r="AD253" i="1" s="1"/>
  <c r="AC254" i="1"/>
  <c r="AC255" i="1"/>
  <c r="AD255" i="1" s="1"/>
  <c r="AC256" i="1"/>
  <c r="AD256" i="1" s="1"/>
  <c r="AC257" i="1"/>
  <c r="AD257" i="1" s="1"/>
  <c r="AC258" i="1"/>
  <c r="AD258" i="1" s="1"/>
  <c r="AC259" i="1"/>
  <c r="AD259" i="1" s="1"/>
  <c r="AC260" i="1"/>
  <c r="AD260" i="1" s="1"/>
  <c r="AC261" i="1"/>
  <c r="AD261" i="1" s="1"/>
  <c r="AC262" i="1"/>
  <c r="AD262" i="1" s="1"/>
  <c r="AC263" i="1"/>
  <c r="AD263" i="1" s="1"/>
  <c r="AC264" i="1"/>
  <c r="AD264" i="1" s="1"/>
  <c r="AC265" i="1"/>
  <c r="AD265" i="1" s="1"/>
  <c r="AC266" i="1"/>
  <c r="AD266" i="1" s="1"/>
  <c r="AC267" i="1"/>
  <c r="AC268" i="1"/>
  <c r="AD268" i="1" s="1"/>
  <c r="AC269" i="1"/>
  <c r="AD269" i="1" s="1"/>
  <c r="AC270" i="1"/>
  <c r="AD270" i="1" s="1"/>
  <c r="AC271" i="1"/>
  <c r="AD271" i="1" s="1"/>
  <c r="AC272" i="1"/>
  <c r="AD272" i="1" s="1"/>
  <c r="AC273" i="1"/>
  <c r="AD273" i="1" s="1"/>
  <c r="AC274" i="1"/>
  <c r="AD274" i="1" s="1"/>
  <c r="AC275" i="1"/>
  <c r="AD275" i="1" s="1"/>
  <c r="AC276" i="1"/>
  <c r="AD276" i="1" s="1"/>
  <c r="AC277" i="1"/>
  <c r="AD277" i="1" s="1"/>
  <c r="AC278" i="1"/>
  <c r="AD278" i="1" s="1"/>
  <c r="AC279" i="1"/>
  <c r="AD279" i="1" s="1"/>
  <c r="AC280" i="1"/>
  <c r="AD280" i="1" s="1"/>
  <c r="AC281" i="1"/>
  <c r="AD281" i="1" s="1"/>
  <c r="AC282" i="1"/>
  <c r="AD282" i="1" s="1"/>
  <c r="AC283" i="1"/>
  <c r="AD283" i="1" s="1"/>
  <c r="AC284" i="1"/>
  <c r="AD284" i="1" s="1"/>
  <c r="AC285" i="1"/>
  <c r="AD285" i="1" s="1"/>
  <c r="AC286" i="1"/>
  <c r="AD286" i="1" s="1"/>
  <c r="AC287" i="1"/>
  <c r="AD287" i="1" s="1"/>
  <c r="AC288" i="1"/>
  <c r="AD288" i="1" s="1"/>
  <c r="AC289" i="1"/>
  <c r="AD289" i="1" s="1"/>
  <c r="AC290" i="1"/>
  <c r="AD290" i="1" s="1"/>
  <c r="AC291" i="1"/>
  <c r="AD291" i="1" s="1"/>
  <c r="AC292" i="1"/>
  <c r="AD292" i="1" s="1"/>
  <c r="AC293" i="1"/>
  <c r="AD293" i="1" s="1"/>
  <c r="AC294" i="1"/>
  <c r="AD294" i="1" s="1"/>
  <c r="AC295" i="1"/>
  <c r="AD295" i="1" s="1"/>
  <c r="AC296" i="1"/>
  <c r="AD296" i="1" s="1"/>
  <c r="AC297" i="1"/>
  <c r="AD297" i="1" s="1"/>
  <c r="AC298" i="1"/>
  <c r="AD298" i="1" s="1"/>
  <c r="AC299" i="1"/>
  <c r="AD299" i="1" s="1"/>
  <c r="AC300" i="1"/>
  <c r="AD300" i="1" s="1"/>
  <c r="AC301" i="1"/>
  <c r="AD301" i="1" s="1"/>
  <c r="AC302" i="1"/>
  <c r="AD302" i="1" s="1"/>
  <c r="AC303" i="1"/>
  <c r="AD303" i="1" s="1"/>
  <c r="AC304" i="1"/>
  <c r="AD304" i="1" s="1"/>
  <c r="AC305" i="1"/>
  <c r="AD305" i="1" s="1"/>
  <c r="AC306" i="1"/>
  <c r="AD306" i="1" s="1"/>
  <c r="AC307" i="1"/>
  <c r="AD307" i="1" s="1"/>
  <c r="AC308" i="1"/>
  <c r="AD308" i="1" s="1"/>
  <c r="AC309" i="1"/>
  <c r="AD309" i="1" s="1"/>
  <c r="AC310" i="1"/>
  <c r="AD310" i="1" s="1"/>
  <c r="AC311" i="1"/>
  <c r="AD311" i="1" s="1"/>
  <c r="AC312" i="1"/>
  <c r="AD312" i="1" s="1"/>
  <c r="AC313" i="1"/>
  <c r="AD313" i="1" s="1"/>
  <c r="AC314" i="1"/>
  <c r="AD314" i="1" s="1"/>
  <c r="AC315" i="1"/>
  <c r="AD315" i="1" s="1"/>
  <c r="AC316" i="1"/>
  <c r="AD316" i="1" s="1"/>
  <c r="AC317" i="1"/>
  <c r="AD317" i="1" s="1"/>
  <c r="AC318" i="1"/>
  <c r="AD318" i="1" s="1"/>
  <c r="AC319" i="1"/>
  <c r="AD319" i="1" s="1"/>
  <c r="AC320" i="1"/>
  <c r="AD320" i="1" s="1"/>
  <c r="AC321" i="1"/>
  <c r="AD321" i="1" s="1"/>
  <c r="AC322" i="1"/>
  <c r="AD322" i="1" s="1"/>
  <c r="AC323" i="1"/>
  <c r="AD323" i="1" s="1"/>
  <c r="AC324" i="1"/>
  <c r="AD324" i="1" s="1"/>
  <c r="AC325" i="1"/>
  <c r="AD325" i="1" s="1"/>
  <c r="AC326" i="1"/>
  <c r="AD326" i="1" s="1"/>
  <c r="AC327" i="1"/>
  <c r="AD327" i="1" s="1"/>
  <c r="AC328" i="1"/>
  <c r="AD328" i="1" s="1"/>
  <c r="AC329" i="1"/>
  <c r="AD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335" i="1"/>
  <c r="AD335" i="1" s="1"/>
  <c r="AC336" i="1"/>
  <c r="AD336" i="1" s="1"/>
  <c r="AC337" i="1"/>
  <c r="AD337" i="1" s="1"/>
  <c r="AC338" i="1"/>
  <c r="AD338" i="1" s="1"/>
  <c r="AC339" i="1"/>
  <c r="AD339" i="1" s="1"/>
  <c r="AC340" i="1"/>
  <c r="AD340" i="1" s="1"/>
  <c r="AC341" i="1"/>
  <c r="AD341" i="1" s="1"/>
  <c r="AC342" i="1"/>
  <c r="AD342" i="1" s="1"/>
  <c r="AC343" i="1"/>
  <c r="AD343" i="1" s="1"/>
  <c r="AC344" i="1"/>
  <c r="AD344" i="1" s="1"/>
  <c r="AC345" i="1"/>
  <c r="AD345" i="1" s="1"/>
  <c r="AC346" i="1"/>
  <c r="AD346" i="1" s="1"/>
  <c r="AC347" i="1"/>
  <c r="AD347" i="1" s="1"/>
  <c r="AC348" i="1"/>
  <c r="AD348" i="1" s="1"/>
  <c r="AC349" i="1"/>
  <c r="AD349" i="1" s="1"/>
  <c r="AC350" i="1"/>
  <c r="AD350" i="1" s="1"/>
  <c r="AC351" i="1"/>
  <c r="AD351" i="1" s="1"/>
  <c r="AC352" i="1"/>
  <c r="AD352" i="1" s="1"/>
  <c r="AC353" i="1"/>
  <c r="AD353" i="1" s="1"/>
  <c r="AC354" i="1"/>
  <c r="AD354" i="1" s="1"/>
  <c r="AC355" i="1"/>
  <c r="AD355" i="1" s="1"/>
  <c r="AC356" i="1"/>
  <c r="AD356" i="1" s="1"/>
  <c r="AC357" i="1"/>
  <c r="AD357" i="1" s="1"/>
  <c r="AC358" i="1"/>
  <c r="AD358" i="1" s="1"/>
  <c r="AC359" i="1"/>
  <c r="AD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D365" i="1" s="1"/>
  <c r="AC366" i="1"/>
  <c r="AD366" i="1" s="1"/>
  <c r="AC367" i="1"/>
  <c r="AD367" i="1" s="1"/>
  <c r="AC368" i="1"/>
  <c r="AD368" i="1" s="1"/>
  <c r="AC369" i="1"/>
  <c r="AD369" i="1" s="1"/>
  <c r="AC370" i="1"/>
  <c r="AD370" i="1" s="1"/>
  <c r="AC371" i="1"/>
  <c r="AD371" i="1" s="1"/>
  <c r="AC372" i="1"/>
  <c r="AD372" i="1" s="1"/>
  <c r="AC373" i="1"/>
  <c r="AD373" i="1" s="1"/>
  <c r="AC374" i="1"/>
  <c r="AD374" i="1" s="1"/>
  <c r="AC375" i="1"/>
  <c r="AD375" i="1" s="1"/>
  <c r="AC376" i="1"/>
  <c r="AD376" i="1" s="1"/>
  <c r="AC377" i="1"/>
  <c r="AD377" i="1" s="1"/>
  <c r="AC378" i="1"/>
  <c r="AD378" i="1" s="1"/>
  <c r="AC379" i="1"/>
  <c r="AD379" i="1" s="1"/>
  <c r="AC380" i="1"/>
  <c r="AD380" i="1" s="1"/>
  <c r="AC381" i="1"/>
  <c r="AD381" i="1" s="1"/>
  <c r="AC382" i="1"/>
  <c r="AD382" i="1" s="1"/>
  <c r="AC383" i="1"/>
  <c r="AD383" i="1" s="1"/>
  <c r="AC384" i="1"/>
  <c r="AD384" i="1" s="1"/>
  <c r="AC385" i="1"/>
  <c r="AD385" i="1" s="1"/>
  <c r="AC386" i="1"/>
  <c r="AD386" i="1" s="1"/>
  <c r="AC387" i="1"/>
  <c r="AD387" i="1" s="1"/>
  <c r="AC388" i="1"/>
  <c r="AD388" i="1" s="1"/>
  <c r="AC389" i="1"/>
  <c r="AD389" i="1" s="1"/>
  <c r="AC390" i="1"/>
  <c r="AD390" i="1" s="1"/>
  <c r="AC391" i="1"/>
  <c r="AD391" i="1" s="1"/>
  <c r="AC392" i="1"/>
  <c r="AD392" i="1" s="1"/>
  <c r="AC393" i="1"/>
  <c r="AD393" i="1" s="1"/>
  <c r="AC394" i="1"/>
  <c r="AD394" i="1" s="1"/>
  <c r="AC395" i="1"/>
  <c r="AD395" i="1" s="1"/>
  <c r="AC396" i="1"/>
  <c r="AD396" i="1" s="1"/>
  <c r="AC397" i="1"/>
  <c r="AD397" i="1" s="1"/>
  <c r="AC398" i="1"/>
  <c r="AD398" i="1" s="1"/>
  <c r="AC399" i="1"/>
  <c r="AD399" i="1" s="1"/>
  <c r="AC400" i="1"/>
  <c r="AD400" i="1" s="1"/>
  <c r="AC401" i="1"/>
  <c r="AD401" i="1" s="1"/>
  <c r="AC402" i="1"/>
  <c r="AD402" i="1" s="1"/>
  <c r="AC403" i="1"/>
  <c r="AD403" i="1" s="1"/>
  <c r="AC404" i="1"/>
  <c r="AD404" i="1" s="1"/>
  <c r="AC405" i="1"/>
  <c r="AD405" i="1" s="1"/>
  <c r="AC406" i="1"/>
  <c r="AD406" i="1" s="1"/>
  <c r="AC407" i="1"/>
  <c r="AD407" i="1" s="1"/>
  <c r="AC408" i="1"/>
  <c r="AD408" i="1" s="1"/>
  <c r="AC409" i="1"/>
  <c r="AD409" i="1" s="1"/>
  <c r="AC410" i="1"/>
  <c r="AD410" i="1" s="1"/>
  <c r="AC411" i="1"/>
  <c r="AD411" i="1" s="1"/>
  <c r="AC412" i="1"/>
  <c r="AD412" i="1" s="1"/>
  <c r="AC413" i="1"/>
  <c r="AD413" i="1" s="1"/>
  <c r="AC414" i="1"/>
  <c r="AD414" i="1" s="1"/>
  <c r="AC415" i="1"/>
  <c r="AD415" i="1" s="1"/>
  <c r="AC416" i="1"/>
  <c r="AD416" i="1" s="1"/>
  <c r="AC417" i="1"/>
  <c r="AD417" i="1" s="1"/>
  <c r="AC418" i="1"/>
  <c r="AD418" i="1" s="1"/>
  <c r="AC419" i="1"/>
  <c r="AD419" i="1" s="1"/>
  <c r="AC420" i="1"/>
  <c r="AD420" i="1" s="1"/>
  <c r="AC421" i="1"/>
  <c r="AD421" i="1" s="1"/>
  <c r="AC422" i="1"/>
  <c r="AD422" i="1" s="1"/>
  <c r="AC423" i="1"/>
  <c r="AD423" i="1" s="1"/>
  <c r="AC424" i="1"/>
  <c r="AD424" i="1" s="1"/>
  <c r="AC425" i="1"/>
  <c r="AD425" i="1" s="1"/>
  <c r="AC426" i="1"/>
  <c r="AD426" i="1" s="1"/>
  <c r="AC427" i="1"/>
  <c r="AD427" i="1" s="1"/>
  <c r="AC428" i="1"/>
  <c r="AD428" i="1" s="1"/>
  <c r="AC429" i="1"/>
  <c r="AD429" i="1" s="1"/>
  <c r="AC430" i="1"/>
  <c r="AD430" i="1" s="1"/>
  <c r="AC431" i="1"/>
  <c r="AD431" i="1" s="1"/>
  <c r="AC432" i="1"/>
  <c r="AD432" i="1" s="1"/>
  <c r="AC433" i="1"/>
  <c r="AD433" i="1" s="1"/>
  <c r="AC434" i="1"/>
  <c r="AD434" i="1" s="1"/>
  <c r="AC435" i="1"/>
  <c r="AD435" i="1" s="1"/>
  <c r="AC436" i="1"/>
  <c r="AD436" i="1" s="1"/>
  <c r="AC437" i="1"/>
  <c r="AD437" i="1" s="1"/>
  <c r="AC438" i="1"/>
  <c r="AD438" i="1" s="1"/>
  <c r="AC439" i="1"/>
  <c r="AD439" i="1" s="1"/>
  <c r="AC440" i="1"/>
  <c r="AD440" i="1" s="1"/>
  <c r="AC441" i="1"/>
  <c r="AD441" i="1" s="1"/>
  <c r="AC442" i="1"/>
  <c r="AD442" i="1" s="1"/>
  <c r="AC443" i="1"/>
  <c r="AD443" i="1" s="1"/>
  <c r="AC444" i="1"/>
  <c r="AD444" i="1" s="1"/>
  <c r="AC445" i="1"/>
  <c r="AD445" i="1" s="1"/>
  <c r="AC446" i="1"/>
  <c r="AD446" i="1" s="1"/>
  <c r="AC447" i="1"/>
  <c r="AD447" i="1" s="1"/>
  <c r="AC448" i="1"/>
  <c r="AD448" i="1" s="1"/>
  <c r="AC449" i="1"/>
  <c r="AD449" i="1" s="1"/>
  <c r="AC450" i="1"/>
  <c r="AD450" i="1" s="1"/>
  <c r="AC451" i="1"/>
  <c r="AD451" i="1" s="1"/>
  <c r="AC452" i="1"/>
  <c r="AD452" i="1" s="1"/>
  <c r="AC453" i="1"/>
  <c r="AD453" i="1" s="1"/>
  <c r="AC454" i="1"/>
  <c r="AD454" i="1" s="1"/>
  <c r="AC455" i="1"/>
  <c r="AD455" i="1" s="1"/>
  <c r="AC456" i="1"/>
  <c r="AD456" i="1" s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463" i="1"/>
  <c r="AD463" i="1" s="1"/>
  <c r="AC464" i="1"/>
  <c r="AD464" i="1" s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C472" i="1"/>
  <c r="AD472" i="1" s="1"/>
  <c r="AC473" i="1"/>
  <c r="AD473" i="1" s="1"/>
  <c r="AC474" i="1"/>
  <c r="AD474" i="1" s="1"/>
  <c r="AC475" i="1"/>
  <c r="AD475" i="1" s="1"/>
  <c r="AC476" i="1"/>
  <c r="AD476" i="1" s="1"/>
  <c r="AC477" i="1"/>
  <c r="AD477" i="1" s="1"/>
  <c r="AC478" i="1"/>
  <c r="AD478" i="1" s="1"/>
  <c r="AC479" i="1"/>
  <c r="AD479" i="1" s="1"/>
  <c r="AC480" i="1"/>
  <c r="AD480" i="1" s="1"/>
  <c r="AC481" i="1"/>
  <c r="AD481" i="1" s="1"/>
  <c r="AC482" i="1"/>
  <c r="AD482" i="1" s="1"/>
  <c r="AC483" i="1"/>
  <c r="AD483" i="1" s="1"/>
  <c r="AC484" i="1"/>
  <c r="AD484" i="1" s="1"/>
  <c r="AC485" i="1"/>
  <c r="AD485" i="1" s="1"/>
  <c r="AC486" i="1"/>
  <c r="AD486" i="1" s="1"/>
  <c r="AC487" i="1"/>
  <c r="AD487" i="1" s="1"/>
  <c r="AC488" i="1"/>
  <c r="AD488" i="1" s="1"/>
  <c r="AC489" i="1"/>
  <c r="AD489" i="1" s="1"/>
  <c r="AC490" i="1"/>
  <c r="AD490" i="1" s="1"/>
  <c r="AC491" i="1"/>
  <c r="AD491" i="1" s="1"/>
  <c r="AC492" i="1"/>
  <c r="AD492" i="1" s="1"/>
  <c r="AC493" i="1"/>
  <c r="AD493" i="1" s="1"/>
  <c r="AC494" i="1"/>
  <c r="AD494" i="1" s="1"/>
  <c r="AC495" i="1"/>
  <c r="AD495" i="1" s="1"/>
  <c r="AC496" i="1"/>
  <c r="AD496" i="1" s="1"/>
  <c r="AC497" i="1"/>
  <c r="AD497" i="1" s="1"/>
  <c r="AC498" i="1"/>
  <c r="AD498" i="1" s="1"/>
  <c r="AC499" i="1"/>
  <c r="AD499" i="1" s="1"/>
  <c r="AC500" i="1"/>
  <c r="AD500" i="1" s="1"/>
  <c r="AC501" i="1"/>
  <c r="AD501" i="1" s="1"/>
  <c r="AC502" i="1"/>
  <c r="AD502" i="1" s="1"/>
  <c r="AC503" i="1"/>
  <c r="AD503" i="1" s="1"/>
  <c r="AC504" i="1"/>
  <c r="AD504" i="1" s="1"/>
  <c r="AC505" i="1"/>
  <c r="AD505" i="1" s="1"/>
  <c r="AC506" i="1"/>
  <c r="AD506" i="1" s="1"/>
  <c r="AC507" i="1"/>
  <c r="AD507" i="1" s="1"/>
  <c r="AC508" i="1"/>
  <c r="AD508" i="1" s="1"/>
  <c r="AC509" i="1"/>
  <c r="AD509" i="1" s="1"/>
  <c r="AC510" i="1"/>
  <c r="AD510" i="1" s="1"/>
  <c r="AC511" i="1"/>
  <c r="AD511" i="1" s="1"/>
  <c r="AC512" i="1"/>
  <c r="AD512" i="1" s="1"/>
  <c r="AC513" i="1"/>
  <c r="AD513" i="1" s="1"/>
  <c r="AC514" i="1"/>
  <c r="AD514" i="1" s="1"/>
  <c r="AC515" i="1"/>
  <c r="AD515" i="1" s="1"/>
  <c r="AC516" i="1"/>
  <c r="AD516" i="1" s="1"/>
  <c r="AC517" i="1"/>
  <c r="AD517" i="1" s="1"/>
  <c r="AC518" i="1"/>
  <c r="AD518" i="1" s="1"/>
  <c r="AC519" i="1"/>
  <c r="AD519" i="1" s="1"/>
  <c r="AC520" i="1"/>
  <c r="AD520" i="1" s="1"/>
  <c r="AC521" i="1"/>
  <c r="AD521" i="1" s="1"/>
  <c r="AC522" i="1"/>
  <c r="AD522" i="1" s="1"/>
  <c r="AC523" i="1"/>
  <c r="AD523" i="1" s="1"/>
  <c r="AC524" i="1"/>
  <c r="AD524" i="1" s="1"/>
  <c r="AC525" i="1"/>
  <c r="AD525" i="1" s="1"/>
  <c r="AC526" i="1"/>
  <c r="AD526" i="1" s="1"/>
  <c r="AC527" i="1"/>
  <c r="AD527" i="1" s="1"/>
  <c r="AC528" i="1"/>
  <c r="AD528" i="1" s="1"/>
  <c r="AC529" i="1"/>
  <c r="AD529" i="1" s="1"/>
  <c r="AC530" i="1"/>
  <c r="AD530" i="1" s="1"/>
  <c r="AC531" i="1"/>
  <c r="AD531" i="1" s="1"/>
  <c r="AC532" i="1"/>
  <c r="AD532" i="1" s="1"/>
  <c r="AC533" i="1"/>
  <c r="AD533" i="1" s="1"/>
  <c r="AC534" i="1"/>
  <c r="AD534" i="1" s="1"/>
  <c r="AC535" i="1"/>
  <c r="AD535" i="1" s="1"/>
  <c r="AC536" i="1"/>
  <c r="AD536" i="1" s="1"/>
  <c r="AC537" i="1"/>
  <c r="AD537" i="1" s="1"/>
  <c r="AC538" i="1"/>
  <c r="AD538" i="1" s="1"/>
  <c r="AC539" i="1"/>
  <c r="AD539" i="1" s="1"/>
  <c r="AC540" i="1"/>
  <c r="AD540" i="1" s="1"/>
  <c r="AC541" i="1"/>
  <c r="AD541" i="1" s="1"/>
  <c r="AC542" i="1"/>
  <c r="AD542" i="1" s="1"/>
  <c r="AC543" i="1"/>
  <c r="AD543" i="1" s="1"/>
  <c r="AC544" i="1"/>
  <c r="AD544" i="1" s="1"/>
  <c r="AC545" i="1"/>
  <c r="AD545" i="1" s="1"/>
  <c r="AC546" i="1"/>
  <c r="AD546" i="1" s="1"/>
  <c r="AC547" i="1"/>
  <c r="AD547" i="1" s="1"/>
  <c r="AC548" i="1"/>
  <c r="AD548" i="1" s="1"/>
  <c r="AC549" i="1"/>
  <c r="AD549" i="1" s="1"/>
  <c r="AC550" i="1"/>
  <c r="AD550" i="1" s="1"/>
  <c r="AC551" i="1"/>
  <c r="AD551" i="1" s="1"/>
  <c r="AC552" i="1"/>
  <c r="AD552" i="1" s="1"/>
  <c r="AC553" i="1"/>
  <c r="AD553" i="1" s="1"/>
  <c r="AC554" i="1"/>
  <c r="AD554" i="1" s="1"/>
  <c r="AC555" i="1"/>
  <c r="AD555" i="1" s="1"/>
  <c r="AC556" i="1"/>
  <c r="AD556" i="1" s="1"/>
  <c r="AC557" i="1"/>
  <c r="AD557" i="1" s="1"/>
  <c r="AC558" i="1"/>
  <c r="AD558" i="1" s="1"/>
  <c r="AC559" i="1"/>
  <c r="AD559" i="1" s="1"/>
  <c r="AC560" i="1"/>
  <c r="AD560" i="1" s="1"/>
  <c r="AC561" i="1"/>
  <c r="AD561" i="1" s="1"/>
  <c r="AC562" i="1"/>
  <c r="AD562" i="1" s="1"/>
  <c r="AC563" i="1"/>
  <c r="AD563" i="1" s="1"/>
  <c r="AC564" i="1"/>
  <c r="AD564" i="1" s="1"/>
  <c r="AC565" i="1"/>
  <c r="AD565" i="1" s="1"/>
  <c r="AC566" i="1"/>
  <c r="AD566" i="1" s="1"/>
  <c r="AC567" i="1"/>
  <c r="AD567" i="1" s="1"/>
  <c r="AC568" i="1"/>
  <c r="AD568" i="1" s="1"/>
  <c r="AC569" i="1"/>
  <c r="AD569" i="1" s="1"/>
  <c r="AC570" i="1"/>
  <c r="AD570" i="1" s="1"/>
  <c r="AC571" i="1"/>
  <c r="AD571" i="1" s="1"/>
  <c r="AC572" i="1"/>
  <c r="AD572" i="1" s="1"/>
  <c r="AC573" i="1"/>
  <c r="AD573" i="1" s="1"/>
  <c r="AC574" i="1"/>
  <c r="AD574" i="1" s="1"/>
  <c r="AC575" i="1"/>
  <c r="AD575" i="1" s="1"/>
  <c r="AC576" i="1"/>
  <c r="AD576" i="1" s="1"/>
  <c r="AC577" i="1"/>
  <c r="AD577" i="1" s="1"/>
  <c r="AC578" i="1"/>
  <c r="AD578" i="1" s="1"/>
  <c r="AC579" i="1"/>
  <c r="AD579" i="1" s="1"/>
  <c r="AC580" i="1"/>
  <c r="AD580" i="1" s="1"/>
  <c r="AC581" i="1"/>
  <c r="AD581" i="1" s="1"/>
  <c r="AC582" i="1"/>
  <c r="AD582" i="1" s="1"/>
  <c r="AC583" i="1"/>
  <c r="AD583" i="1" s="1"/>
  <c r="AC584" i="1"/>
  <c r="AD584" i="1" s="1"/>
  <c r="AC585" i="1"/>
  <c r="AD585" i="1" s="1"/>
  <c r="AC586" i="1"/>
  <c r="AD586" i="1" s="1"/>
  <c r="AC587" i="1"/>
  <c r="AD587" i="1" s="1"/>
  <c r="AC588" i="1"/>
  <c r="AD588" i="1" s="1"/>
  <c r="AC589" i="1"/>
  <c r="AD589" i="1" s="1"/>
  <c r="AC590" i="1"/>
  <c r="AD590" i="1" s="1"/>
  <c r="AC591" i="1"/>
  <c r="AD591" i="1" s="1"/>
  <c r="AC592" i="1"/>
  <c r="AD592" i="1" s="1"/>
  <c r="AC593" i="1"/>
  <c r="AD593" i="1" s="1"/>
  <c r="AC594" i="1"/>
  <c r="AD594" i="1" s="1"/>
  <c r="AC595" i="1"/>
  <c r="AD595" i="1" s="1"/>
  <c r="AC596" i="1"/>
  <c r="AD596" i="1" s="1"/>
  <c r="AC597" i="1"/>
  <c r="AD597" i="1" s="1"/>
  <c r="AC598" i="1"/>
  <c r="AD598" i="1" s="1"/>
  <c r="AC599" i="1"/>
  <c r="AD599" i="1" s="1"/>
  <c r="AC600" i="1"/>
  <c r="AD600" i="1" s="1"/>
  <c r="AC601" i="1"/>
  <c r="AD601" i="1" s="1"/>
  <c r="AC602" i="1"/>
  <c r="AD602" i="1" s="1"/>
  <c r="AC603" i="1"/>
  <c r="AD603" i="1" s="1"/>
  <c r="AC604" i="1"/>
  <c r="AD604" i="1" s="1"/>
  <c r="AC605" i="1"/>
  <c r="AD605" i="1" s="1"/>
  <c r="AC606" i="1"/>
  <c r="AD606" i="1" s="1"/>
  <c r="AC607" i="1"/>
  <c r="AD607" i="1" s="1"/>
  <c r="AC608" i="1"/>
  <c r="AD608" i="1" s="1"/>
  <c r="AC609" i="1"/>
  <c r="AD609" i="1" s="1"/>
  <c r="AC610" i="1"/>
  <c r="AD610" i="1" s="1"/>
  <c r="AC611" i="1"/>
  <c r="AD611" i="1" s="1"/>
  <c r="AC612" i="1"/>
  <c r="AD612" i="1" s="1"/>
  <c r="AC613" i="1"/>
  <c r="AD613" i="1" s="1"/>
  <c r="AC614" i="1"/>
  <c r="AD614" i="1" s="1"/>
  <c r="AC615" i="1"/>
  <c r="AD615" i="1" s="1"/>
  <c r="AC616" i="1"/>
  <c r="AD616" i="1" s="1"/>
  <c r="AC617" i="1"/>
  <c r="AD617" i="1" s="1"/>
  <c r="AC618" i="1"/>
  <c r="AD618" i="1" s="1"/>
  <c r="AC619" i="1"/>
  <c r="AD619" i="1" s="1"/>
  <c r="AC620" i="1"/>
  <c r="AD620" i="1" s="1"/>
  <c r="AC621" i="1"/>
  <c r="AD621" i="1" s="1"/>
  <c r="AC622" i="1"/>
  <c r="AD622" i="1" s="1"/>
  <c r="AC623" i="1"/>
  <c r="AD623" i="1" s="1"/>
  <c r="AC624" i="1"/>
  <c r="AD624" i="1" s="1"/>
  <c r="AC625" i="1"/>
  <c r="AD625" i="1" s="1"/>
  <c r="AC626" i="1"/>
  <c r="AD626" i="1" s="1"/>
  <c r="AC627" i="1"/>
  <c r="AD627" i="1" s="1"/>
  <c r="AC628" i="1"/>
  <c r="AD628" i="1" s="1"/>
  <c r="AC629" i="1"/>
  <c r="AD629" i="1" s="1"/>
  <c r="AC630" i="1"/>
  <c r="AD630" i="1" s="1"/>
  <c r="AC631" i="1"/>
  <c r="AD631" i="1" s="1"/>
  <c r="AC632" i="1"/>
  <c r="AD632" i="1" s="1"/>
  <c r="AC633" i="1"/>
  <c r="AD633" i="1" s="1"/>
  <c r="AC634" i="1"/>
  <c r="AD634" i="1" s="1"/>
  <c r="AC635" i="1"/>
  <c r="AD635" i="1" s="1"/>
  <c r="AC636" i="1"/>
  <c r="AD636" i="1" s="1"/>
  <c r="AC637" i="1"/>
  <c r="AD637" i="1" s="1"/>
  <c r="AC638" i="1"/>
  <c r="AD638" i="1" s="1"/>
  <c r="AC639" i="1"/>
  <c r="AD639" i="1" s="1"/>
  <c r="AC640" i="1"/>
  <c r="AD640" i="1" s="1"/>
  <c r="AC641" i="1"/>
  <c r="AD641" i="1" s="1"/>
  <c r="AC642" i="1"/>
  <c r="AD642" i="1" s="1"/>
  <c r="AC643" i="1"/>
  <c r="AD643" i="1" s="1"/>
  <c r="AC644" i="1"/>
  <c r="AD644" i="1" s="1"/>
  <c r="AC645" i="1"/>
  <c r="AD645" i="1" s="1"/>
  <c r="AC646" i="1"/>
  <c r="AD646" i="1" s="1"/>
  <c r="AC647" i="1"/>
  <c r="AD647" i="1" s="1"/>
  <c r="AC648" i="1"/>
  <c r="AD648" i="1" s="1"/>
  <c r="AC649" i="1"/>
  <c r="AD649" i="1" s="1"/>
  <c r="AC650" i="1"/>
  <c r="AD650" i="1" s="1"/>
  <c r="AC651" i="1"/>
  <c r="AD651" i="1" s="1"/>
  <c r="AC652" i="1"/>
  <c r="AD652" i="1" s="1"/>
  <c r="AC653" i="1"/>
  <c r="AD653" i="1" s="1"/>
  <c r="AC654" i="1"/>
  <c r="AD654" i="1" s="1"/>
  <c r="AC655" i="1"/>
  <c r="AD655" i="1" s="1"/>
  <c r="AC656" i="1"/>
  <c r="AD656" i="1" s="1"/>
  <c r="AC657" i="1"/>
  <c r="AD657" i="1" s="1"/>
  <c r="AC658" i="1"/>
  <c r="AD658" i="1" s="1"/>
  <c r="AC659" i="1"/>
  <c r="AD659" i="1" s="1"/>
  <c r="AC660" i="1"/>
  <c r="AD660" i="1" s="1"/>
  <c r="AC661" i="1"/>
  <c r="AD661" i="1" s="1"/>
  <c r="AC662" i="1"/>
  <c r="AD662" i="1" s="1"/>
  <c r="AC663" i="1"/>
  <c r="AD663" i="1" s="1"/>
  <c r="AC664" i="1"/>
  <c r="AD664" i="1" s="1"/>
  <c r="AC665" i="1"/>
  <c r="AD665" i="1" s="1"/>
  <c r="AE665" i="1" s="1"/>
  <c r="AC666" i="1"/>
  <c r="AD666" i="1" s="1"/>
  <c r="AC667" i="1"/>
  <c r="AD667" i="1" s="1"/>
  <c r="AC668" i="1"/>
  <c r="AD668" i="1" s="1"/>
  <c r="AC669" i="1"/>
  <c r="AD669" i="1" s="1"/>
  <c r="AC670" i="1"/>
  <c r="AD670" i="1" s="1"/>
  <c r="AC671" i="1"/>
  <c r="AD671" i="1" s="1"/>
  <c r="AC672" i="1"/>
  <c r="AD672" i="1" s="1"/>
  <c r="AC673" i="1"/>
  <c r="AD673" i="1" s="1"/>
  <c r="AC674" i="1"/>
  <c r="AD674" i="1" s="1"/>
  <c r="AC675" i="1"/>
  <c r="AD675" i="1" s="1"/>
  <c r="AC676" i="1"/>
  <c r="AD676" i="1" s="1"/>
  <c r="AC677" i="1"/>
  <c r="AD677" i="1" s="1"/>
  <c r="AC678" i="1"/>
  <c r="AD678" i="1" s="1"/>
  <c r="AC679" i="1"/>
  <c r="AD679" i="1" s="1"/>
  <c r="AC680" i="1"/>
  <c r="AD680" i="1" s="1"/>
  <c r="AC681" i="1"/>
  <c r="AD681" i="1" s="1"/>
  <c r="AC682" i="1"/>
  <c r="AD682" i="1" s="1"/>
  <c r="AC683" i="1"/>
  <c r="AD683" i="1" s="1"/>
  <c r="AC684" i="1"/>
  <c r="AD684" i="1" s="1"/>
  <c r="AC685" i="1"/>
  <c r="AD685" i="1" s="1"/>
  <c r="AC686" i="1"/>
  <c r="AD686" i="1" s="1"/>
  <c r="AC687" i="1"/>
  <c r="AD687" i="1" s="1"/>
  <c r="AC688" i="1"/>
  <c r="AD688" i="1" s="1"/>
  <c r="AC689" i="1"/>
  <c r="AD689" i="1" s="1"/>
  <c r="AC690" i="1"/>
  <c r="AD690" i="1" s="1"/>
  <c r="AC691" i="1"/>
  <c r="AD691" i="1" s="1"/>
  <c r="AC692" i="1"/>
  <c r="AD692" i="1" s="1"/>
  <c r="AC693" i="1"/>
  <c r="AD693" i="1" s="1"/>
  <c r="AC694" i="1"/>
  <c r="AD694" i="1" s="1"/>
  <c r="AC695" i="1"/>
  <c r="AD695" i="1" s="1"/>
  <c r="AC696" i="1"/>
  <c r="AD696" i="1" s="1"/>
  <c r="AC697" i="1"/>
  <c r="AD697" i="1" s="1"/>
  <c r="AC698" i="1"/>
  <c r="AD698" i="1" s="1"/>
  <c r="AC699" i="1"/>
  <c r="AD699" i="1" s="1"/>
  <c r="AC700" i="1"/>
  <c r="AD700" i="1" s="1"/>
  <c r="AC701" i="1"/>
  <c r="AD701" i="1" s="1"/>
  <c r="AC702" i="1"/>
  <c r="AD702" i="1" s="1"/>
  <c r="AC703" i="1"/>
  <c r="AD703" i="1" s="1"/>
  <c r="AC704" i="1"/>
  <c r="AD704" i="1" s="1"/>
  <c r="AC705" i="1"/>
  <c r="AD705" i="1" s="1"/>
  <c r="AC706" i="1"/>
  <c r="AD706" i="1" s="1"/>
  <c r="AC707" i="1"/>
  <c r="AD707" i="1" s="1"/>
  <c r="AC708" i="1"/>
  <c r="AD708" i="1" s="1"/>
  <c r="AC709" i="1"/>
  <c r="AD709" i="1" s="1"/>
  <c r="AC710" i="1"/>
  <c r="AD710" i="1" s="1"/>
  <c r="AC711" i="1"/>
  <c r="AD711" i="1" s="1"/>
  <c r="AC712" i="1"/>
  <c r="AD712" i="1" s="1"/>
  <c r="AC713" i="1"/>
  <c r="AD713" i="1" s="1"/>
  <c r="AC714" i="1"/>
  <c r="AD714" i="1" s="1"/>
  <c r="AC715" i="1"/>
  <c r="AD715" i="1" s="1"/>
  <c r="AC716" i="1"/>
  <c r="AD716" i="1" s="1"/>
  <c r="AC717" i="1"/>
  <c r="AD717" i="1" s="1"/>
  <c r="AC718" i="1"/>
  <c r="AD718" i="1" s="1"/>
  <c r="AC719" i="1"/>
  <c r="AD719" i="1" s="1"/>
  <c r="AC720" i="1"/>
  <c r="AD720" i="1" s="1"/>
  <c r="AC721" i="1"/>
  <c r="AD721" i="1" s="1"/>
  <c r="AC722" i="1"/>
  <c r="AD722" i="1" s="1"/>
  <c r="AC723" i="1"/>
  <c r="AD723" i="1" s="1"/>
  <c r="AC724" i="1"/>
  <c r="AD724" i="1" s="1"/>
  <c r="AC725" i="1"/>
  <c r="AD725" i="1" s="1"/>
  <c r="AC726" i="1"/>
  <c r="AD726" i="1" s="1"/>
  <c r="AC727" i="1"/>
  <c r="AD727" i="1" s="1"/>
  <c r="AC728" i="1"/>
  <c r="AD728" i="1" s="1"/>
  <c r="AC729" i="1"/>
  <c r="AD729" i="1" s="1"/>
  <c r="AC730" i="1"/>
  <c r="AD730" i="1" s="1"/>
  <c r="AC731" i="1"/>
  <c r="AD731" i="1" s="1"/>
  <c r="AC732" i="1"/>
  <c r="AD732" i="1" s="1"/>
  <c r="AC733" i="1"/>
  <c r="AD733" i="1" s="1"/>
  <c r="AC734" i="1"/>
  <c r="AD734" i="1" s="1"/>
  <c r="AE734" i="1" s="1"/>
  <c r="AC735" i="1"/>
  <c r="AD735" i="1" s="1"/>
  <c r="AC736" i="1"/>
  <c r="AD736" i="1" s="1"/>
  <c r="AC737" i="1"/>
  <c r="AD737" i="1" s="1"/>
  <c r="AC738" i="1"/>
  <c r="AD738" i="1" s="1"/>
  <c r="AC739" i="1"/>
  <c r="AD739" i="1" s="1"/>
  <c r="AC740" i="1"/>
  <c r="AC741" i="1"/>
  <c r="AD741" i="1" s="1"/>
  <c r="AC742" i="1"/>
  <c r="AD742" i="1" s="1"/>
  <c r="AC743" i="1"/>
  <c r="AD743" i="1" s="1"/>
  <c r="AC744" i="1"/>
  <c r="AD744" i="1" s="1"/>
  <c r="AC745" i="1"/>
  <c r="AD745" i="1" s="1"/>
  <c r="AC746" i="1"/>
  <c r="AD746" i="1" s="1"/>
  <c r="AC747" i="1"/>
  <c r="AD747" i="1" s="1"/>
  <c r="AE747" i="1" s="1"/>
  <c r="AC748" i="1"/>
  <c r="AD748" i="1" s="1"/>
  <c r="AC749" i="1"/>
  <c r="AD749" i="1" s="1"/>
  <c r="AC750" i="1"/>
  <c r="AD750" i="1" s="1"/>
  <c r="AC751" i="1"/>
  <c r="AD751" i="1" s="1"/>
  <c r="AC752" i="1"/>
  <c r="AD752" i="1" s="1"/>
  <c r="AC753" i="1"/>
  <c r="AD753" i="1" s="1"/>
  <c r="AC754" i="1"/>
  <c r="AD754" i="1" s="1"/>
  <c r="AC755" i="1"/>
  <c r="AD755" i="1" s="1"/>
  <c r="AC756" i="1"/>
  <c r="AD756" i="1" s="1"/>
  <c r="AC757" i="1"/>
  <c r="AD757" i="1" s="1"/>
  <c r="AC758" i="1"/>
  <c r="AD758" i="1" s="1"/>
  <c r="AC759" i="1"/>
  <c r="AD759" i="1" s="1"/>
  <c r="AC760" i="1"/>
  <c r="AD760" i="1" s="1"/>
  <c r="AC761" i="1"/>
  <c r="AD761" i="1" s="1"/>
  <c r="AC762" i="1"/>
  <c r="AD762" i="1" s="1"/>
  <c r="AC763" i="1"/>
  <c r="AD763" i="1" s="1"/>
  <c r="AC764" i="1"/>
  <c r="AD764" i="1" s="1"/>
  <c r="AC765" i="1"/>
  <c r="AD765" i="1" s="1"/>
  <c r="AC766" i="1"/>
  <c r="AC767" i="1"/>
  <c r="AC768" i="1"/>
  <c r="AD768" i="1" s="1"/>
  <c r="AE768" i="1" s="1"/>
  <c r="AC769" i="1"/>
  <c r="AD769" i="1" s="1"/>
  <c r="AC770" i="1"/>
  <c r="AD770" i="1" s="1"/>
  <c r="AE770" i="1" s="1"/>
  <c r="AC771" i="1"/>
  <c r="AC772" i="1"/>
  <c r="AC773" i="1"/>
  <c r="AD773" i="1" s="1"/>
  <c r="AE773" i="1" s="1"/>
  <c r="AC775" i="1"/>
  <c r="AD775" i="1" s="1"/>
  <c r="AC774" i="1"/>
  <c r="AD774" i="1" s="1"/>
  <c r="AC776" i="1"/>
  <c r="AD776" i="1" s="1"/>
  <c r="AC777" i="1"/>
  <c r="AD777" i="1" s="1"/>
  <c r="AC778" i="1"/>
  <c r="AD778" i="1" s="1"/>
  <c r="AC779" i="1"/>
  <c r="AD779" i="1" s="1"/>
  <c r="AC780" i="1"/>
  <c r="AD780" i="1" s="1"/>
  <c r="AC781" i="1"/>
  <c r="AD781" i="1" s="1"/>
  <c r="AE781" i="1" s="1"/>
  <c r="AC782" i="1"/>
  <c r="AD782" i="1" s="1"/>
  <c r="AE782" i="1" s="1"/>
  <c r="AC783" i="1"/>
  <c r="AD783" i="1" s="1"/>
  <c r="AE783" i="1" s="1"/>
  <c r="AC784" i="1"/>
  <c r="AD784" i="1" s="1"/>
  <c r="AC785" i="1"/>
  <c r="AD785" i="1" s="1"/>
  <c r="AC786" i="1"/>
  <c r="AD786" i="1" s="1"/>
  <c r="AC787" i="1"/>
  <c r="AD787" i="1" s="1"/>
  <c r="AC788" i="1"/>
  <c r="AD788" i="1" s="1"/>
  <c r="AE788" i="1" s="1"/>
  <c r="AC789" i="1"/>
  <c r="AC790" i="1"/>
  <c r="AD790" i="1" s="1"/>
  <c r="AC791" i="1"/>
  <c r="AD791" i="1" s="1"/>
  <c r="AE791" i="1" s="1"/>
  <c r="AC792" i="1"/>
  <c r="AD792" i="1" s="1"/>
  <c r="AC793" i="1"/>
  <c r="AD793" i="1" s="1"/>
  <c r="AE793" i="1" s="1"/>
  <c r="AC794" i="1"/>
  <c r="AD794" i="1" s="1"/>
  <c r="AC795" i="1"/>
  <c r="AC796" i="1"/>
  <c r="AD796" i="1" s="1"/>
  <c r="AC797" i="1"/>
  <c r="AD797" i="1" s="1"/>
  <c r="AC798" i="1"/>
  <c r="AD798" i="1" s="1"/>
  <c r="AC799" i="1"/>
  <c r="AD799" i="1" s="1"/>
  <c r="AC800" i="1"/>
  <c r="AD800" i="1" s="1"/>
  <c r="AC801" i="1"/>
  <c r="AD801" i="1" s="1"/>
  <c r="AC802" i="1"/>
  <c r="AD802" i="1" s="1"/>
  <c r="AE802" i="1" s="1"/>
  <c r="AC803" i="1"/>
  <c r="AD803" i="1" s="1"/>
  <c r="AC804" i="1"/>
  <c r="AD804" i="1" s="1"/>
  <c r="AC805" i="1"/>
  <c r="AD805" i="1" s="1"/>
  <c r="AE805" i="1" s="1"/>
  <c r="AC806" i="1"/>
  <c r="AD806" i="1" s="1"/>
  <c r="AC807" i="1"/>
  <c r="AD807" i="1" s="1"/>
  <c r="AC808" i="1"/>
  <c r="AD808" i="1" s="1"/>
  <c r="AE808" i="1" s="1"/>
  <c r="AC809" i="1"/>
  <c r="AD809" i="1" s="1"/>
  <c r="AE809" i="1" s="1"/>
  <c r="AC810" i="1"/>
  <c r="AD810" i="1" s="1"/>
  <c r="AC811" i="1"/>
  <c r="AD811" i="1" s="1"/>
  <c r="AC812" i="1"/>
  <c r="AD812" i="1" s="1"/>
  <c r="AE812" i="1" s="1"/>
  <c r="AC813" i="1"/>
  <c r="AD813" i="1" s="1"/>
  <c r="AE813" i="1" s="1"/>
  <c r="AC814" i="1"/>
  <c r="AD814" i="1" s="1"/>
  <c r="AE814" i="1" s="1"/>
  <c r="AC815" i="1"/>
  <c r="AD815" i="1" s="1"/>
  <c r="AE815" i="1" s="1"/>
  <c r="AC816" i="1"/>
  <c r="AD816" i="1" s="1"/>
  <c r="AE816" i="1" s="1"/>
  <c r="AC817" i="1"/>
  <c r="AD817" i="1" s="1"/>
  <c r="AC818" i="1"/>
  <c r="AD818" i="1" s="1"/>
  <c r="AE818" i="1" s="1"/>
  <c r="AC819" i="1"/>
  <c r="AD819" i="1" s="1"/>
  <c r="AC820" i="1"/>
  <c r="AD820" i="1" s="1"/>
  <c r="AC821" i="1"/>
  <c r="AD821" i="1" s="1"/>
  <c r="AE821" i="1" s="1"/>
  <c r="AC822" i="1"/>
  <c r="AD822" i="1" s="1"/>
  <c r="AE822" i="1" s="1"/>
  <c r="AC823" i="1"/>
  <c r="AD823" i="1" s="1"/>
  <c r="AC824" i="1"/>
  <c r="AD824" i="1" s="1"/>
  <c r="AE824" i="1" s="1"/>
  <c r="AC825" i="1"/>
  <c r="AD825" i="1" s="1"/>
  <c r="AC826" i="1"/>
  <c r="AD826" i="1" s="1"/>
  <c r="AC827" i="1"/>
  <c r="AD827" i="1" s="1"/>
  <c r="AC828" i="1"/>
  <c r="AD828" i="1" s="1"/>
  <c r="AC829" i="1"/>
  <c r="AD829" i="1" s="1"/>
  <c r="AE829" i="1" s="1"/>
  <c r="AC830" i="1"/>
  <c r="AD830" i="1" s="1"/>
  <c r="AC831" i="1"/>
  <c r="AD831" i="1" s="1"/>
  <c r="AC832" i="1"/>
  <c r="AD832" i="1" s="1"/>
  <c r="AC833" i="1"/>
  <c r="AC834" i="1"/>
  <c r="AD834" i="1" s="1"/>
  <c r="AC835" i="1"/>
  <c r="AD835" i="1" s="1"/>
  <c r="AE835" i="1" s="1"/>
  <c r="AC836" i="1"/>
  <c r="AD836" i="1" s="1"/>
  <c r="AE836" i="1" s="1"/>
  <c r="AC837" i="1"/>
  <c r="AD837" i="1" s="1"/>
  <c r="AE837" i="1" s="1"/>
  <c r="AC838" i="1"/>
  <c r="AC839" i="1"/>
  <c r="AD839" i="1" s="1"/>
  <c r="AC840" i="1"/>
  <c r="AD840" i="1" s="1"/>
  <c r="AC841" i="1"/>
  <c r="AD841" i="1" s="1"/>
  <c r="AC842" i="1"/>
  <c r="AD842" i="1" s="1"/>
  <c r="AC843" i="1"/>
  <c r="AD843" i="1" s="1"/>
  <c r="AC844" i="1"/>
  <c r="AD844" i="1" s="1"/>
  <c r="AC845" i="1"/>
  <c r="AD845" i="1" s="1"/>
  <c r="AE845" i="1" s="1"/>
  <c r="AC846" i="1"/>
  <c r="AD846" i="1" s="1"/>
  <c r="AE846" i="1" s="1"/>
  <c r="AC847" i="1"/>
  <c r="AD847" i="1" s="1"/>
  <c r="AC848" i="1"/>
  <c r="AD848" i="1" s="1"/>
  <c r="AC849" i="1"/>
  <c r="AD849" i="1" s="1"/>
  <c r="AC850" i="1"/>
  <c r="AD850" i="1" s="1"/>
  <c r="AC851" i="1"/>
  <c r="AD851" i="1" s="1"/>
  <c r="AC852" i="1"/>
  <c r="AC853" i="1"/>
  <c r="AD853" i="1" s="1"/>
  <c r="AC854" i="1"/>
  <c r="AD854" i="1" s="1"/>
  <c r="AC855" i="1"/>
  <c r="AD855" i="1" s="1"/>
  <c r="AC856" i="1"/>
  <c r="AD856" i="1" s="1"/>
  <c r="AC857" i="1"/>
  <c r="AD857" i="1" s="1"/>
  <c r="AC858" i="1"/>
  <c r="AD858" i="1" s="1"/>
  <c r="AC859" i="1"/>
  <c r="AD859" i="1" s="1"/>
  <c r="AC860" i="1"/>
  <c r="AD860" i="1" s="1"/>
  <c r="AC861" i="1"/>
  <c r="AD861" i="1" s="1"/>
  <c r="AC862" i="1"/>
  <c r="AD862" i="1" s="1"/>
  <c r="AC863" i="1"/>
  <c r="AD863" i="1" s="1"/>
  <c r="AC864" i="1"/>
  <c r="AD864" i="1" s="1"/>
  <c r="AE864" i="1" s="1"/>
  <c r="AC865" i="1"/>
  <c r="AD865" i="1" s="1"/>
  <c r="AC866" i="1"/>
  <c r="AD866" i="1" s="1"/>
  <c r="AC867" i="1"/>
  <c r="AD867" i="1" s="1"/>
  <c r="AC868" i="1"/>
  <c r="AD868" i="1" s="1"/>
  <c r="AC869" i="1"/>
  <c r="AD869" i="1" s="1"/>
  <c r="AE869" i="1" s="1"/>
  <c r="AC870" i="1"/>
  <c r="AD870" i="1" s="1"/>
  <c r="AC871" i="1"/>
  <c r="AD871" i="1" s="1"/>
  <c r="AE871" i="1" s="1"/>
  <c r="AC872" i="1"/>
  <c r="AD872" i="1" s="1"/>
  <c r="AE872" i="1" s="1"/>
  <c r="AC873" i="1"/>
  <c r="AD873" i="1" s="1"/>
  <c r="AC874" i="1"/>
  <c r="AD874" i="1" s="1"/>
  <c r="AC875" i="1"/>
  <c r="AD875" i="1" s="1"/>
  <c r="AC876" i="1"/>
  <c r="AD876" i="1" s="1"/>
  <c r="AC877" i="1"/>
  <c r="AC878" i="1"/>
  <c r="AC879" i="1"/>
  <c r="AC880" i="1"/>
  <c r="AC881" i="1"/>
  <c r="AD881" i="1" s="1"/>
  <c r="AE881" i="1" s="1"/>
  <c r="AC882" i="1"/>
  <c r="AD882" i="1" s="1"/>
  <c r="AC883" i="1"/>
  <c r="AC884" i="1"/>
  <c r="AC885" i="1"/>
  <c r="AC886" i="1"/>
  <c r="AD886" i="1" s="1"/>
  <c r="AC887" i="1"/>
  <c r="AD887" i="1" s="1"/>
  <c r="AE887" i="1" s="1"/>
  <c r="AC888" i="1"/>
  <c r="AD888" i="1" s="1"/>
  <c r="AE888" i="1" s="1"/>
  <c r="AC889" i="1"/>
  <c r="AD889" i="1" s="1"/>
  <c r="AE889" i="1" s="1"/>
  <c r="AC890" i="1"/>
  <c r="AD890" i="1" s="1"/>
  <c r="AE890" i="1" s="1"/>
  <c r="AC891" i="1"/>
  <c r="AD891" i="1" s="1"/>
  <c r="AE891" i="1" s="1"/>
  <c r="AC892" i="1"/>
  <c r="AD892" i="1" s="1"/>
  <c r="AC893" i="1"/>
  <c r="AD893" i="1" s="1"/>
  <c r="AE893" i="1" s="1"/>
  <c r="AC894" i="1"/>
  <c r="AD894" i="1" s="1"/>
  <c r="AE894" i="1" s="1"/>
  <c r="AC895" i="1"/>
  <c r="AD895" i="1" s="1"/>
  <c r="AC896" i="1"/>
  <c r="AD896" i="1" s="1"/>
  <c r="AE896" i="1" s="1"/>
  <c r="AC897" i="1"/>
  <c r="AD897" i="1" s="1"/>
  <c r="AE897" i="1" s="1"/>
  <c r="AC898" i="1"/>
  <c r="AD898" i="1" s="1"/>
  <c r="AE898" i="1" s="1"/>
  <c r="AC899" i="1"/>
  <c r="AD899" i="1" s="1"/>
  <c r="AC900" i="1"/>
  <c r="AD900" i="1" s="1"/>
  <c r="AC901" i="1"/>
  <c r="AD901" i="1" s="1"/>
  <c r="AE901" i="1" s="1"/>
  <c r="AC902" i="1"/>
  <c r="AC903" i="1"/>
  <c r="AD903" i="1" s="1"/>
  <c r="AC904" i="1"/>
  <c r="AD904" i="1" s="1"/>
  <c r="AE904" i="1" s="1"/>
  <c r="AC905" i="1"/>
  <c r="AD905" i="1" s="1"/>
  <c r="AE905" i="1" s="1"/>
  <c r="AC906" i="1"/>
  <c r="AD906" i="1" s="1"/>
  <c r="AE906" i="1" s="1"/>
  <c r="AC907" i="1"/>
  <c r="AD907" i="1" s="1"/>
  <c r="AE907" i="1" s="1"/>
  <c r="AC908" i="1"/>
  <c r="AD908" i="1" s="1"/>
  <c r="AE908" i="1" s="1"/>
  <c r="AC909" i="1"/>
  <c r="AD909" i="1" s="1"/>
  <c r="AE909" i="1" s="1"/>
  <c r="AC910" i="1"/>
  <c r="AD910" i="1" s="1"/>
  <c r="AE910" i="1" s="1"/>
  <c r="AC911" i="1"/>
  <c r="AD911" i="1" s="1"/>
  <c r="AE911" i="1" s="1"/>
  <c r="AC912" i="1"/>
  <c r="AD912" i="1" s="1"/>
  <c r="AE912" i="1" s="1"/>
  <c r="AC913" i="1"/>
  <c r="AD913" i="1" s="1"/>
  <c r="AE913" i="1" s="1"/>
  <c r="AC914" i="1"/>
  <c r="AD914" i="1" s="1"/>
  <c r="AE914" i="1" s="1"/>
  <c r="AC915" i="1"/>
  <c r="AD915" i="1" s="1"/>
  <c r="AE915" i="1" s="1"/>
  <c r="AC916" i="1"/>
  <c r="AD916" i="1" s="1"/>
  <c r="AC917" i="1"/>
  <c r="AD917" i="1" s="1"/>
  <c r="AC918" i="1"/>
  <c r="AD918" i="1" s="1"/>
  <c r="AE918" i="1" s="1"/>
  <c r="AC919" i="1"/>
  <c r="AD919" i="1" s="1"/>
  <c r="AC920" i="1"/>
  <c r="AD920" i="1" s="1"/>
  <c r="AC921" i="1"/>
  <c r="AD921" i="1" s="1"/>
  <c r="AC922" i="1"/>
  <c r="AD922" i="1" s="1"/>
  <c r="AE922" i="1" s="1"/>
  <c r="AC923" i="1"/>
  <c r="AD923" i="1" s="1"/>
  <c r="AE923" i="1" s="1"/>
  <c r="AC924" i="1"/>
  <c r="AD924" i="1" s="1"/>
  <c r="AE924" i="1" s="1"/>
  <c r="AC925" i="1"/>
  <c r="AD925" i="1" s="1"/>
  <c r="AC926" i="1"/>
  <c r="AD926" i="1" s="1"/>
  <c r="AC927" i="1"/>
  <c r="AD927" i="1" s="1"/>
  <c r="AC928" i="1"/>
  <c r="AD928" i="1" s="1"/>
  <c r="AC929" i="1"/>
  <c r="AD929" i="1" s="1"/>
  <c r="AC930" i="1"/>
  <c r="AD930" i="1" s="1"/>
  <c r="AE930" i="1" s="1"/>
  <c r="AC931" i="1"/>
  <c r="AD931" i="1" s="1"/>
  <c r="AC932" i="1"/>
  <c r="AD932" i="1" s="1"/>
  <c r="AE932" i="1" s="1"/>
  <c r="AC933" i="1"/>
  <c r="AD933" i="1" s="1"/>
  <c r="AE933" i="1" s="1"/>
  <c r="AC934" i="1"/>
  <c r="AD934" i="1" s="1"/>
  <c r="AC935" i="1"/>
  <c r="AD935" i="1" s="1"/>
  <c r="AE935" i="1" s="1"/>
  <c r="AC936" i="1"/>
  <c r="AD936" i="1" s="1"/>
  <c r="AE936" i="1" s="1"/>
  <c r="AC937" i="1"/>
  <c r="AD937" i="1" s="1"/>
  <c r="AC938" i="1"/>
  <c r="AD938" i="1" s="1"/>
  <c r="AE938" i="1" s="1"/>
  <c r="AC939" i="1"/>
  <c r="AD939" i="1" s="1"/>
  <c r="AE939" i="1" s="1"/>
  <c r="AC940" i="1"/>
  <c r="AD940" i="1" s="1"/>
  <c r="AE940" i="1" s="1"/>
  <c r="AC941" i="1"/>
  <c r="AD941" i="1" s="1"/>
  <c r="AE941" i="1" s="1"/>
  <c r="AC942" i="1"/>
  <c r="AD942" i="1" s="1"/>
  <c r="AC943" i="1"/>
  <c r="AD943" i="1" s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I443" i="5"/>
  <c r="I444" i="5"/>
  <c r="Y842" i="1"/>
  <c r="AA842" i="1"/>
  <c r="Y795" i="1"/>
  <c r="AA795" i="1"/>
  <c r="AA941" i="1"/>
  <c r="AA942" i="1"/>
  <c r="AA943" i="1"/>
  <c r="Y942" i="1"/>
  <c r="Y943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Y935" i="1"/>
  <c r="Y936" i="1"/>
  <c r="Y937" i="1"/>
  <c r="Y938" i="1"/>
  <c r="Y939" i="1"/>
  <c r="Y940" i="1"/>
  <c r="Y941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15" i="1"/>
  <c r="Y916" i="1"/>
  <c r="Y917" i="1"/>
  <c r="Y918" i="1"/>
  <c r="Y919" i="1"/>
  <c r="Y904" i="1"/>
  <c r="AA904" i="1"/>
  <c r="Y893" i="1"/>
  <c r="AA893" i="1"/>
  <c r="Y892" i="1"/>
  <c r="AA892" i="1"/>
  <c r="Y894" i="1"/>
  <c r="AA894" i="1"/>
  <c r="Y844" i="1"/>
  <c r="AA844" i="1"/>
  <c r="AA914" i="1"/>
  <c r="Y914" i="1"/>
  <c r="AA913" i="1"/>
  <c r="AA912" i="1"/>
  <c r="AA911" i="1"/>
  <c r="Y913" i="1"/>
  <c r="Y912" i="1"/>
  <c r="Y911" i="1"/>
  <c r="AA910" i="1"/>
  <c r="Y910" i="1"/>
  <c r="AA909" i="1"/>
  <c r="Y909" i="1"/>
  <c r="AA908" i="1"/>
  <c r="Y908" i="1"/>
  <c r="AA907" i="1"/>
  <c r="Y907" i="1"/>
  <c r="AA906" i="1"/>
  <c r="Y906" i="1"/>
  <c r="AA905" i="1"/>
  <c r="Y905" i="1"/>
  <c r="AA903" i="1"/>
  <c r="Y903" i="1"/>
  <c r="AA902" i="1"/>
  <c r="Y902" i="1"/>
  <c r="AA901" i="1"/>
  <c r="Y901" i="1"/>
  <c r="AA900" i="1"/>
  <c r="Y900" i="1"/>
  <c r="AA899" i="1"/>
  <c r="Y899" i="1"/>
  <c r="AA898" i="1"/>
  <c r="Y89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08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9" i="1"/>
  <c r="AA390" i="1"/>
  <c r="AA391" i="1"/>
  <c r="AA392" i="1"/>
  <c r="AA393" i="1"/>
  <c r="AA394" i="1"/>
  <c r="AA395" i="1"/>
  <c r="AA396" i="1"/>
  <c r="AA388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5" i="1"/>
  <c r="AA774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3" i="1"/>
  <c r="AA845" i="1"/>
  <c r="AA846" i="1"/>
  <c r="AA847" i="1"/>
  <c r="AA848" i="1"/>
  <c r="AA849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3" i="1"/>
  <c r="AA870" i="1"/>
  <c r="AA871" i="1"/>
  <c r="AA872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50" i="1"/>
  <c r="AA895" i="1"/>
  <c r="AA896" i="1"/>
  <c r="AA897" i="1"/>
  <c r="Y897" i="1"/>
  <c r="Y896" i="1"/>
  <c r="Y895" i="1"/>
  <c r="Y850" i="1"/>
  <c r="Y891" i="1"/>
  <c r="Y890" i="1"/>
  <c r="Y889" i="1"/>
  <c r="Y888" i="1"/>
  <c r="Y887" i="1"/>
  <c r="Y886" i="1"/>
  <c r="Y885" i="1"/>
  <c r="Y883" i="1"/>
  <c r="Y884" i="1"/>
  <c r="Y882" i="1"/>
  <c r="Y881" i="1"/>
  <c r="Y880" i="1"/>
  <c r="Y879" i="1"/>
  <c r="Y878" i="1"/>
  <c r="Y877" i="1"/>
  <c r="Y876" i="1"/>
  <c r="Y2" i="1"/>
  <c r="Y853" i="1"/>
  <c r="Y854" i="1"/>
  <c r="Y855" i="1"/>
  <c r="Y856" i="1"/>
  <c r="Y857" i="1"/>
  <c r="Y858" i="1"/>
  <c r="Y859" i="1"/>
  <c r="Y860" i="1"/>
  <c r="Y861" i="1"/>
  <c r="Y794" i="1"/>
  <c r="Y793" i="1"/>
  <c r="Y792" i="1"/>
  <c r="Y791" i="1"/>
  <c r="Y789" i="1"/>
  <c r="Y787" i="1"/>
  <c r="Y788" i="1"/>
  <c r="Y863" i="1"/>
  <c r="Y864" i="1"/>
  <c r="Y865" i="1"/>
  <c r="Y866" i="1"/>
  <c r="Y867" i="1"/>
  <c r="Y868" i="1"/>
  <c r="Y869" i="1"/>
  <c r="Y873" i="1"/>
  <c r="Y870" i="1"/>
  <c r="Y871" i="1"/>
  <c r="Y872" i="1"/>
  <c r="Y874" i="1"/>
  <c r="Y875" i="1"/>
  <c r="Y786" i="1"/>
  <c r="Y784" i="1"/>
  <c r="Y783" i="1"/>
  <c r="Y782" i="1"/>
  <c r="Y781" i="1"/>
  <c r="Y780" i="1"/>
  <c r="Y777" i="1"/>
  <c r="Y774" i="1"/>
  <c r="Y773" i="1"/>
  <c r="Y772" i="1"/>
  <c r="Y771" i="1"/>
  <c r="Y770" i="1"/>
  <c r="Y722" i="1"/>
  <c r="Y840" i="1"/>
  <c r="Y841" i="1"/>
  <c r="Y843" i="1"/>
  <c r="Y845" i="1"/>
  <c r="Y847" i="1"/>
  <c r="Y848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17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8" i="1"/>
  <c r="Y819" i="1"/>
  <c r="Y820" i="1"/>
  <c r="Y821" i="1"/>
  <c r="Y822" i="1"/>
  <c r="Y823" i="1"/>
  <c r="Y824" i="1"/>
  <c r="Y825" i="1"/>
  <c r="Y826" i="1"/>
  <c r="Y839" i="1"/>
  <c r="Y849" i="1"/>
  <c r="Y851" i="1"/>
  <c r="Y852" i="1"/>
  <c r="Y862" i="1"/>
  <c r="Y796" i="1"/>
  <c r="Y622" i="1"/>
  <c r="I360" i="5"/>
  <c r="I361" i="5"/>
  <c r="I362" i="5"/>
  <c r="I363" i="5"/>
  <c r="Y701" i="1"/>
  <c r="Y675" i="1"/>
  <c r="Y661" i="1"/>
  <c r="Y660" i="1"/>
  <c r="Y647" i="1"/>
  <c r="Y699" i="1"/>
  <c r="Y761" i="1"/>
  <c r="Y769" i="1"/>
  <c r="Y775" i="1"/>
  <c r="Y776" i="1"/>
  <c r="Y778" i="1"/>
  <c r="Y779" i="1"/>
  <c r="Y785" i="1"/>
  <c r="Y790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2" i="1"/>
  <c r="Y763" i="1"/>
  <c r="Y764" i="1"/>
  <c r="Y765" i="1"/>
  <c r="Y766" i="1"/>
  <c r="Y767" i="1"/>
  <c r="Y768" i="1"/>
  <c r="Y728" i="1"/>
  <c r="Y729" i="1"/>
  <c r="Y730" i="1"/>
  <c r="Y731" i="1"/>
  <c r="Y732" i="1"/>
  <c r="Y733" i="1"/>
  <c r="Y734" i="1"/>
  <c r="Y735" i="1"/>
  <c r="Y656" i="1"/>
  <c r="Y657" i="1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Y638" i="1"/>
  <c r="AE944" i="1"/>
  <c r="AD267" i="1"/>
  <c r="AD254" i="1"/>
  <c r="AD158" i="1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Y596" i="1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15" i="2"/>
  <c r="Y517" i="1"/>
  <c r="Y503" i="1"/>
  <c r="Y504" i="1"/>
  <c r="Y505" i="1"/>
  <c r="Y548" i="1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442" i="2"/>
  <c r="Y443" i="1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214" i="5"/>
  <c r="I215" i="5"/>
  <c r="I200" i="5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6" i="1"/>
  <c r="Y507" i="1"/>
  <c r="Y508" i="1"/>
  <c r="Y509" i="1"/>
  <c r="Y510" i="1"/>
  <c r="Y511" i="1"/>
  <c r="Y512" i="1"/>
  <c r="Y513" i="1"/>
  <c r="Y514" i="1"/>
  <c r="Y515" i="1"/>
  <c r="Y516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3" i="1"/>
  <c r="Y614" i="1"/>
  <c r="Y616" i="1"/>
  <c r="Y617" i="1"/>
  <c r="Y618" i="1"/>
  <c r="Y619" i="1"/>
  <c r="Y620" i="1"/>
  <c r="Y621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9" i="1"/>
  <c r="Y640" i="1"/>
  <c r="Y641" i="1"/>
  <c r="Y642" i="1"/>
  <c r="Y643" i="1"/>
  <c r="Y644" i="1"/>
  <c r="Y645" i="1"/>
  <c r="Y646" i="1"/>
  <c r="Y648" i="1"/>
  <c r="Y649" i="1"/>
  <c r="Y650" i="1"/>
  <c r="Y651" i="1"/>
  <c r="Y652" i="1"/>
  <c r="Y653" i="1"/>
  <c r="Y654" i="1"/>
  <c r="Y655" i="1"/>
  <c r="Y658" i="1"/>
  <c r="Y659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700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3" i="1"/>
  <c r="Y724" i="1"/>
  <c r="Y725" i="1"/>
  <c r="Y726" i="1"/>
  <c r="Y727" i="1"/>
  <c r="Y460" i="1"/>
  <c r="Y449" i="1"/>
  <c r="I185" i="5"/>
  <c r="Y438" i="1"/>
  <c r="Y433" i="1"/>
  <c r="Y434" i="1"/>
  <c r="Y435" i="1"/>
  <c r="Y436" i="1"/>
  <c r="Y437" i="1"/>
  <c r="Y439" i="1"/>
  <c r="Y440" i="1"/>
  <c r="Y441" i="1"/>
  <c r="Y442" i="1"/>
  <c r="Y444" i="1"/>
  <c r="Y445" i="1"/>
  <c r="Y446" i="1"/>
  <c r="Y447" i="1"/>
  <c r="Y448" i="1"/>
  <c r="Y450" i="1"/>
  <c r="Y451" i="1"/>
  <c r="Y452" i="1"/>
  <c r="Y453" i="1"/>
  <c r="Y454" i="1"/>
  <c r="Y455" i="1"/>
  <c r="Y456" i="1"/>
  <c r="Y457" i="1"/>
  <c r="Y458" i="1"/>
  <c r="Y459" i="1"/>
  <c r="Y461" i="1"/>
  <c r="Y462" i="1"/>
  <c r="Y463" i="1"/>
  <c r="Y464" i="1"/>
  <c r="Y465" i="1"/>
  <c r="Y466" i="1"/>
  <c r="Y467" i="1"/>
  <c r="Y468" i="1"/>
  <c r="Y469" i="1"/>
  <c r="Y471" i="1"/>
  <c r="Y472" i="1"/>
  <c r="Y473" i="1"/>
  <c r="Y474" i="1"/>
  <c r="Y475" i="1"/>
  <c r="Y476" i="1"/>
  <c r="Y477" i="1"/>
  <c r="Y478" i="1"/>
  <c r="Y479" i="1"/>
  <c r="Y480" i="1"/>
  <c r="Y481" i="1"/>
  <c r="Y316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378" i="1"/>
  <c r="I160" i="5"/>
  <c r="I161" i="5"/>
  <c r="Y359" i="1"/>
  <c r="Y375" i="1"/>
  <c r="Y349" i="1"/>
  <c r="Y350" i="1"/>
  <c r="Y351" i="1"/>
  <c r="L99" i="10"/>
  <c r="L98" i="10"/>
  <c r="L97" i="10"/>
  <c r="L96" i="10"/>
  <c r="L95" i="10"/>
  <c r="L94" i="10"/>
  <c r="L93" i="10"/>
  <c r="L92" i="10"/>
  <c r="L91" i="10"/>
  <c r="L90" i="10"/>
  <c r="O89" i="8"/>
  <c r="J89" i="8"/>
  <c r="Y369" i="1"/>
  <c r="Y370" i="1"/>
  <c r="Y371" i="1"/>
  <c r="Y372" i="1"/>
  <c r="Y373" i="1"/>
  <c r="Y376" i="1"/>
  <c r="Y377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52" i="1"/>
  <c r="Y353" i="1"/>
  <c r="Y354" i="1"/>
  <c r="Y355" i="1"/>
  <c r="Y356" i="1"/>
  <c r="Y357" i="1"/>
  <c r="Y358" i="1"/>
  <c r="Y360" i="1"/>
  <c r="Y361" i="1"/>
  <c r="Y362" i="1"/>
  <c r="Y363" i="1"/>
  <c r="Y364" i="1"/>
  <c r="Y365" i="1"/>
  <c r="Y366" i="1"/>
  <c r="Y367" i="1"/>
  <c r="Y368" i="1"/>
  <c r="Y300" i="1"/>
  <c r="Y301" i="1"/>
  <c r="Y299" i="1"/>
  <c r="Y198" i="1"/>
  <c r="Y199" i="1"/>
  <c r="Y200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9" i="1"/>
  <c r="Y290" i="1"/>
  <c r="Y291" i="1"/>
  <c r="Y292" i="1"/>
  <c r="Y293" i="1"/>
  <c r="Y294" i="1"/>
  <c r="Y295" i="1"/>
  <c r="Y296" i="1"/>
  <c r="Y297" i="1"/>
  <c r="Y298" i="1"/>
  <c r="Y302" i="1"/>
  <c r="Y303" i="1"/>
  <c r="Y304" i="1"/>
  <c r="Y305" i="1"/>
  <c r="Y272" i="1"/>
  <c r="Y306" i="1"/>
  <c r="Y307" i="1"/>
  <c r="Y308" i="1"/>
  <c r="Y309" i="1"/>
  <c r="Y310" i="1"/>
  <c r="Y311" i="1"/>
  <c r="Y312" i="1"/>
  <c r="Y313" i="1"/>
  <c r="Y314" i="1"/>
  <c r="Y315" i="1"/>
  <c r="Y317" i="1"/>
  <c r="Y318" i="1"/>
  <c r="Y319" i="1"/>
  <c r="Y320" i="1"/>
  <c r="Y321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119" i="5"/>
  <c r="I114" i="5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336" i="1"/>
  <c r="L151" i="2"/>
  <c r="L150" i="2"/>
  <c r="L149" i="2"/>
  <c r="A135" i="2"/>
  <c r="L148" i="2"/>
  <c r="L147" i="2"/>
  <c r="L146" i="2"/>
  <c r="L145" i="2"/>
  <c r="L144" i="2"/>
  <c r="L143" i="2"/>
  <c r="L142" i="2"/>
  <c r="Y193" i="1"/>
  <c r="Y186" i="1"/>
  <c r="Y180" i="1"/>
  <c r="Y158" i="1"/>
  <c r="Y159" i="1"/>
  <c r="Y206" i="1"/>
  <c r="Y207" i="1"/>
  <c r="Y157" i="1"/>
  <c r="Y160" i="1"/>
  <c r="Y156" i="1"/>
  <c r="Y133" i="1"/>
  <c r="Y134" i="1"/>
  <c r="Y161" i="1"/>
  <c r="I256" i="5"/>
  <c r="Y171" i="1"/>
  <c r="Y172" i="1"/>
  <c r="Y173" i="1"/>
  <c r="Y176" i="1"/>
  <c r="Y177" i="1"/>
  <c r="Y178" i="1"/>
  <c r="Y179" i="1"/>
  <c r="Y181" i="1"/>
  <c r="Y182" i="1"/>
  <c r="Y183" i="1"/>
  <c r="Y184" i="1"/>
  <c r="Y185" i="1"/>
  <c r="Y187" i="1"/>
  <c r="Y188" i="1"/>
  <c r="Y189" i="1"/>
  <c r="Y190" i="1"/>
  <c r="Y191" i="1"/>
  <c r="Y192" i="1"/>
  <c r="Y194" i="1"/>
  <c r="Y195" i="1"/>
  <c r="Y196" i="1"/>
  <c r="Y197" i="1"/>
  <c r="Y201" i="1"/>
  <c r="Y202" i="1"/>
  <c r="Y203" i="1"/>
  <c r="Y205" i="1"/>
  <c r="Y204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144" i="1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92" i="2"/>
  <c r="L93" i="2"/>
  <c r="L94" i="2"/>
  <c r="L95" i="2"/>
  <c r="L96" i="2"/>
  <c r="L97" i="2"/>
  <c r="I115" i="5"/>
  <c r="I116" i="5"/>
  <c r="I117" i="5"/>
  <c r="I118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213" i="5"/>
  <c r="I216" i="5"/>
  <c r="I217" i="5"/>
  <c r="I105" i="5"/>
  <c r="I106" i="5"/>
  <c r="I107" i="5"/>
  <c r="I108" i="5"/>
  <c r="I109" i="5"/>
  <c r="I110" i="5"/>
  <c r="I111" i="5"/>
  <c r="I112" i="5"/>
  <c r="I113" i="5"/>
  <c r="I104" i="5"/>
  <c r="I100" i="5"/>
  <c r="I101" i="5"/>
  <c r="I102" i="5"/>
  <c r="I103" i="5"/>
  <c r="I99" i="5"/>
  <c r="I98" i="5"/>
  <c r="I93" i="5"/>
  <c r="I94" i="5"/>
  <c r="I95" i="5"/>
  <c r="I96" i="5"/>
  <c r="I97" i="5"/>
  <c r="I92" i="5"/>
  <c r="Y151" i="1"/>
  <c r="Y152" i="1"/>
  <c r="Y153" i="1"/>
  <c r="Y154" i="1"/>
  <c r="Y155" i="1"/>
  <c r="Y162" i="1"/>
  <c r="Y163" i="1"/>
  <c r="Y164" i="1"/>
  <c r="Y165" i="1"/>
  <c r="Y166" i="1"/>
  <c r="Y167" i="1"/>
  <c r="Y168" i="1"/>
  <c r="Y169" i="1"/>
  <c r="Y139" i="1"/>
  <c r="Y140" i="1"/>
  <c r="Y141" i="1"/>
  <c r="Y142" i="1"/>
  <c r="Y143" i="1"/>
  <c r="Y145" i="1"/>
  <c r="Y146" i="1"/>
  <c r="Y147" i="1"/>
  <c r="Y148" i="1"/>
  <c r="Y149" i="1"/>
  <c r="Y150" i="1"/>
  <c r="Y120" i="1"/>
  <c r="Y119" i="1"/>
  <c r="Y113" i="1"/>
  <c r="Y112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Y109" i="1"/>
  <c r="Y111" i="1"/>
  <c r="Y117" i="1"/>
  <c r="Y115" i="1"/>
  <c r="Y116" i="1"/>
  <c r="Y114" i="1"/>
  <c r="Y118" i="1"/>
  <c r="Y121" i="1"/>
  <c r="Y124" i="1"/>
  <c r="Y125" i="1"/>
  <c r="Y126" i="1"/>
  <c r="Y127" i="1"/>
  <c r="Y128" i="1"/>
  <c r="Y129" i="1"/>
  <c r="Y130" i="1"/>
  <c r="Y131" i="1"/>
  <c r="Y132" i="1"/>
  <c r="Y135" i="1"/>
  <c r="Y136" i="1"/>
  <c r="Y137" i="1"/>
  <c r="Y138" i="1"/>
  <c r="Y93" i="1"/>
  <c r="Y71" i="1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Y62" i="1"/>
  <c r="Y63" i="1"/>
  <c r="Y64" i="1"/>
  <c r="Y65" i="1"/>
  <c r="Y66" i="1"/>
  <c r="Y67" i="1"/>
  <c r="Y68" i="1"/>
  <c r="Y69" i="1"/>
  <c r="Y70" i="1"/>
  <c r="Y72" i="1"/>
  <c r="Y73" i="1"/>
  <c r="Y74" i="1"/>
  <c r="Y75" i="1"/>
  <c r="Y76" i="1"/>
  <c r="Y78" i="1"/>
  <c r="Y77" i="1"/>
  <c r="Y80" i="1"/>
  <c r="Y79" i="1"/>
  <c r="Y84" i="1"/>
  <c r="Y85" i="1"/>
  <c r="Y86" i="1"/>
  <c r="Y87" i="1"/>
  <c r="Y88" i="1"/>
  <c r="Y89" i="1"/>
  <c r="Y90" i="1"/>
  <c r="Y91" i="1"/>
  <c r="Y92" i="1"/>
  <c r="Y94" i="1"/>
  <c r="Y95" i="1"/>
  <c r="Y96" i="1"/>
  <c r="Y97" i="1"/>
  <c r="Y98" i="1"/>
  <c r="Y100" i="1"/>
  <c r="Y101" i="1"/>
  <c r="Y102" i="1"/>
  <c r="Y103" i="1"/>
  <c r="Y104" i="1"/>
  <c r="Y107" i="1"/>
  <c r="Y106" i="1"/>
  <c r="Y108" i="1"/>
  <c r="Y110" i="1"/>
  <c r="I53" i="5"/>
  <c r="I54" i="5"/>
  <c r="I55" i="5"/>
  <c r="I56" i="5"/>
  <c r="I57" i="5"/>
  <c r="I58" i="5"/>
  <c r="Y35" i="1"/>
  <c r="I25" i="5"/>
  <c r="I24" i="5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29" i="1"/>
  <c r="Y25" i="1"/>
  <c r="Y7" i="1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31" i="5"/>
  <c r="Y12" i="1"/>
  <c r="Y15" i="1"/>
  <c r="Y6" i="1"/>
  <c r="Y23" i="1"/>
  <c r="Y24" i="1"/>
  <c r="Y26" i="1"/>
  <c r="Y27" i="1"/>
  <c r="Y28" i="1"/>
  <c r="Y30" i="1"/>
  <c r="Y31" i="1"/>
  <c r="Y33" i="1"/>
  <c r="Y34" i="1"/>
  <c r="Y32" i="1"/>
  <c r="Y36" i="1"/>
  <c r="Y37" i="1"/>
  <c r="Y38" i="1"/>
  <c r="Y39" i="1"/>
  <c r="Y40" i="1"/>
  <c r="I18" i="5"/>
  <c r="I19" i="5"/>
  <c r="I20" i="5"/>
  <c r="I21" i="5"/>
  <c r="I22" i="5"/>
  <c r="I23" i="5"/>
  <c r="I26" i="5"/>
  <c r="I27" i="5"/>
  <c r="I28" i="5"/>
  <c r="I29" i="5"/>
  <c r="I30" i="5"/>
  <c r="I32" i="5"/>
  <c r="I33" i="5"/>
  <c r="I34" i="5"/>
  <c r="I35" i="5"/>
  <c r="I36" i="5"/>
  <c r="I37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Y3" i="1"/>
  <c r="Y4" i="1"/>
  <c r="Y5" i="1"/>
  <c r="Y8" i="1"/>
  <c r="Y9" i="1"/>
  <c r="Y10" i="1"/>
  <c r="Y11" i="1"/>
  <c r="Y13" i="1"/>
  <c r="Y14" i="1"/>
  <c r="Y16" i="1"/>
  <c r="Y17" i="1"/>
  <c r="Y18" i="1"/>
  <c r="Y19" i="1"/>
  <c r="Y21" i="1"/>
  <c r="Y22" i="1"/>
  <c r="H5" i="6"/>
  <c r="C4" i="6"/>
  <c r="AH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tc={B972D5D7-B6A4-47DD-9904-A5614193FE57}</author>
  </authors>
  <commentList>
    <comment ref="C213" authorId="0" shapeId="0" xr:uid="{B972D5D7-B6A4-47DD-9904-A5614193FE57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Enviar 1 para Printi</t>
      </text>
    </comment>
  </commentList>
</comments>
</file>

<file path=xl/sharedStrings.xml><?xml version="1.0" encoding="utf-8"?>
<sst xmlns="http://schemas.openxmlformats.org/spreadsheetml/2006/main" count="25829" uniqueCount="4171">
  <si>
    <t>ORDEM</t>
  </si>
  <si>
    <t>DATA PEDIDO HP</t>
  </si>
  <si>
    <t>DATA DO PEDIDO</t>
  </si>
  <si>
    <t>CASO HP</t>
  </si>
  <si>
    <t>CUSTOMER</t>
  </si>
  <si>
    <t>EQUIPAMENTO</t>
  </si>
  <si>
    <t>NUM SÉRIE</t>
  </si>
  <si>
    <t xml:space="preserve">CÓDIGO </t>
  </si>
  <si>
    <t>DESCRIÇÃO</t>
  </si>
  <si>
    <t>QUANTIDADE</t>
  </si>
  <si>
    <t>URGENTE</t>
  </si>
  <si>
    <t>TÉCNICO</t>
  </si>
  <si>
    <t>MOTIVO REPOSIÇÃO</t>
  </si>
  <si>
    <t>ORIGEM</t>
  </si>
  <si>
    <t>QTD ESTOQUE CP</t>
  </si>
  <si>
    <t>LOF</t>
  </si>
  <si>
    <t>RAT</t>
  </si>
  <si>
    <t>COD ALTERNATIVO</t>
  </si>
  <si>
    <t>DATA DE ENTREGA AO CLIENTE</t>
  </si>
  <si>
    <t>DATA DE ENVIO HP</t>
  </si>
  <si>
    <t>DATA DE RECEBIMENTO CP</t>
  </si>
  <si>
    <t>CONSOLIDADO</t>
  </si>
  <si>
    <t>NOTA FISCAL</t>
  </si>
  <si>
    <t>PREÇO UNITARIO</t>
  </si>
  <si>
    <t>PREÇO TOTAL</t>
  </si>
  <si>
    <t>OBSERVAÇÃO</t>
  </si>
  <si>
    <t>MES</t>
  </si>
  <si>
    <t>TIPO</t>
  </si>
  <si>
    <t>HOJE</t>
  </si>
  <si>
    <t>HOLD</t>
  </si>
  <si>
    <t>STATUS</t>
  </si>
  <si>
    <t>GHP25001</t>
  </si>
  <si>
    <t>CS20519234</t>
  </si>
  <si>
    <t>ATUALCARD</t>
  </si>
  <si>
    <t>HP INDIGO 12K</t>
  </si>
  <si>
    <t>CT445-82840</t>
  </si>
  <si>
    <t> INSULATED FLOW METER</t>
  </si>
  <si>
    <t>NÃO</t>
  </si>
  <si>
    <t>ISMAR MIRANDA</t>
  </si>
  <si>
    <t>UTK</t>
  </si>
  <si>
    <t>CON25011</t>
  </si>
  <si>
    <t>CIF</t>
  </si>
  <si>
    <t>C</t>
  </si>
  <si>
    <t>ENTREGUE</t>
  </si>
  <si>
    <t>GHP25002</t>
  </si>
  <si>
    <t>CS20350343</t>
  </si>
  <si>
    <t>CU150-01916 </t>
  </si>
  <si>
    <t>TIMING BELT 519MM</t>
  </si>
  <si>
    <t>MAURICIO MATEOS</t>
  </si>
  <si>
    <t xml:space="preserve">CON25005 </t>
  </si>
  <si>
    <t>CU498-02680 </t>
  </si>
  <si>
    <t>IDLER SUB ASSEMBLY</t>
  </si>
  <si>
    <t>GHP25003</t>
  </si>
  <si>
    <t>CS20351791</t>
  </si>
  <si>
    <t>OUTLABEL</t>
  </si>
  <si>
    <t>HP INDIGO 6600</t>
  </si>
  <si>
    <t>CT341-70810</t>
  </si>
  <si>
    <t>PRIMER PIPE NEOPRENE 24 THICK 60</t>
  </si>
  <si>
    <t>ESTOQUE</t>
  </si>
  <si>
    <t>NFS 812</t>
  </si>
  <si>
    <t>N</t>
  </si>
  <si>
    <t>GHP25004</t>
  </si>
  <si>
    <t>CS20367901</t>
  </si>
  <si>
    <t>INDEMETAL</t>
  </si>
  <si>
    <t>HP INDIGO 6800</t>
  </si>
  <si>
    <t>CU096-03202</t>
  </si>
  <si>
    <t>EMBEDDED USB SPECTROPHO</t>
  </si>
  <si>
    <t>SIM</t>
  </si>
  <si>
    <t>DOUGLAS LIMA</t>
  </si>
  <si>
    <t>FEDEX</t>
  </si>
  <si>
    <t>NFS 819</t>
  </si>
  <si>
    <t>GHP25005</t>
  </si>
  <si>
    <t>CS20351845</t>
  </si>
  <si>
    <t>PRINTI</t>
  </si>
  <si>
    <t>HP INDIGO 10K</t>
  </si>
  <si>
    <t>CT445-56291</t>
  </si>
  <si>
    <t>NAUTILAIR AND FILTER ASSEMBLY, EBV, EILAT</t>
  </si>
  <si>
    <t>GHP25006</t>
  </si>
  <si>
    <t>CS20351670</t>
  </si>
  <si>
    <t>HAWAII</t>
  </si>
  <si>
    <t>CU498-02992</t>
  </si>
  <si>
    <t>SHEET BELT PROTECTION</t>
  </si>
  <si>
    <t>NFS 801</t>
  </si>
  <si>
    <t>GHP25007</t>
  </si>
  <si>
    <t>CS20351992</t>
  </si>
  <si>
    <t>META BRASIL</t>
  </si>
  <si>
    <t>CT445-87450 </t>
  </si>
  <si>
    <t>FRONT SIDE FAN</t>
  </si>
  <si>
    <t>ATENDER</t>
  </si>
  <si>
    <t>SEM ESTOQUE</t>
  </si>
  <si>
    <t>CT454-06840</t>
  </si>
  <si>
    <t>GHP25008</t>
  </si>
  <si>
    <t>CS20356016</t>
  </si>
  <si>
    <t>IPSIS</t>
  </si>
  <si>
    <t>CU498-03211</t>
  </si>
  <si>
    <t xml:space="preserve">TORNADO ASSY  </t>
  </si>
  <si>
    <t>EMERSON ZANELLA</t>
  </si>
  <si>
    <t>NFS 803</t>
  </si>
  <si>
    <t>CU498-01673</t>
  </si>
  <si>
    <t>SIDE BLOWER KPL</t>
  </si>
  <si>
    <t>CU498-01672</t>
  </si>
  <si>
    <t>GHP25009</t>
  </si>
  <si>
    <t>CS20363988</t>
  </si>
  <si>
    <t>CAMARGO</t>
  </si>
  <si>
    <t>HP INDIGO 20K</t>
  </si>
  <si>
    <t>CT454-10681</t>
  </si>
  <si>
    <t>PUW CHUCK SENSOR EMA ASSY</t>
  </si>
  <si>
    <t>GHP25010</t>
  </si>
  <si>
    <t>CS20363952</t>
  </si>
  <si>
    <t>LOG &amp; PRINT</t>
  </si>
  <si>
    <t>CT454-02221</t>
  </si>
  <si>
    <t>THERMISTOR TO TEMP SENSOR</t>
  </si>
  <si>
    <t>GHP25011</t>
  </si>
  <si>
    <t>CS20364021</t>
  </si>
  <si>
    <t>CU498-06820</t>
  </si>
  <si>
    <t>KIT SIDEBLOWER FLAT CABLE</t>
  </si>
  <si>
    <t>GHP25012</t>
  </si>
  <si>
    <t>CS20364004</t>
  </si>
  <si>
    <t>ALPHA COLOR</t>
  </si>
  <si>
    <t>CA240 -89670</t>
  </si>
  <si>
    <t>DRIVER, PUMP</t>
  </si>
  <si>
    <t xml:space="preserve">Para instalar na peça CT345-48472 que está na edicula e após retornar ao estoque </t>
  </si>
  <si>
    <t>GHP25013</t>
  </si>
  <si>
    <t>CS20363907</t>
  </si>
  <si>
    <t>CT497-11320</t>
  </si>
  <si>
    <t>SET TIMING BELT</t>
  </si>
  <si>
    <t>CU498-02692</t>
  </si>
  <si>
    <t>SUCTION BELT (SET OF 5)</t>
  </si>
  <si>
    <t>GHP25014</t>
  </si>
  <si>
    <t>CS20363941</t>
  </si>
  <si>
    <t>CT344-01252</t>
  </si>
  <si>
    <t>CARBON BRUSH C.R ASSY</t>
  </si>
  <si>
    <t>GHP25015</t>
  </si>
  <si>
    <t>CS20363971</t>
  </si>
  <si>
    <t>CT490-24790</t>
  </si>
  <si>
    <t>S4 EVR SUCTION CUPS(SET OF 10)</t>
  </si>
  <si>
    <t>CT490-27100</t>
  </si>
  <si>
    <t>S4 DUPLEX SUCTION CUPS( 10 UNITS)</t>
  </si>
  <si>
    <t>GHP25016</t>
  </si>
  <si>
    <t>CS20336772</t>
  </si>
  <si>
    <t>CU096-02847</t>
  </si>
  <si>
    <t>X20DI9371 DIGITAL INPUT MODULES</t>
  </si>
  <si>
    <t>CU096-03046</t>
  </si>
  <si>
    <t>STANDARD AUXILIAR CONTACT</t>
  </si>
  <si>
    <t>GHP25017</t>
  </si>
  <si>
    <t>CS20371088</t>
  </si>
  <si>
    <t>CT454-12730</t>
  </si>
  <si>
    <t>SGA &amp; LOAD CELL 1.5KG</t>
  </si>
  <si>
    <t>CT490-20060</t>
  </si>
  <si>
    <t>HS IMPELLER ASSEMBLY</t>
  </si>
  <si>
    <t>GHP25018</t>
  </si>
  <si>
    <t>CS20383652</t>
  </si>
  <si>
    <t>SERITEC</t>
  </si>
  <si>
    <t>CT345-48472</t>
  </si>
  <si>
    <t>INK PUMP, NO TIC</t>
  </si>
  <si>
    <t>NFS 808</t>
  </si>
  <si>
    <t>GHP25019</t>
  </si>
  <si>
    <t>CS20383592</t>
  </si>
  <si>
    <t>CU316-04507</t>
  </si>
  <si>
    <t>BLOWER 5.7 240VAC 1200W BYPASS 1STG UHF</t>
  </si>
  <si>
    <t>GHP25020</t>
  </si>
  <si>
    <t>CS20383055</t>
  </si>
  <si>
    <t>TORNADO ASSY</t>
  </si>
  <si>
    <t>GHP25021</t>
  </si>
  <si>
    <t>CS20382938</t>
  </si>
  <si>
    <t>CT001-63790</t>
  </si>
  <si>
    <t>PROCON_PUMP_ASSY+FITTINGS</t>
  </si>
  <si>
    <t>GHP25022</t>
  </si>
  <si>
    <t>CS20383757</t>
  </si>
  <si>
    <t>CU209-00978</t>
  </si>
  <si>
    <t>LCD TOUCH SCREEN PANEL 5</t>
  </si>
  <si>
    <t>GHP25023</t>
  </si>
  <si>
    <t>CS20383452</t>
  </si>
  <si>
    <t>HP INDIGO 6900</t>
  </si>
  <si>
    <t>CA344-05930</t>
  </si>
  <si>
    <t>CL ST MOTOR ASSEMBLY</t>
  </si>
  <si>
    <t>GHP25024</t>
  </si>
  <si>
    <t>CS20382804</t>
  </si>
  <si>
    <t>CU498-01673 </t>
  </si>
  <si>
    <t>GHP25025</t>
  </si>
  <si>
    <t>CS20387734</t>
  </si>
  <si>
    <t>OTIMA</t>
  </si>
  <si>
    <t>50110057 </t>
  </si>
  <si>
    <t> CU498-07230 </t>
  </si>
  <si>
    <t>KIT, FLANGE BEARING FIXED</t>
  </si>
  <si>
    <t>CT540-31901</t>
  </si>
  <si>
    <t> CU498-01660 </t>
  </si>
  <si>
    <t>PHOTOINTERRUPTER</t>
  </si>
  <si>
    <t>  CT540-31871  </t>
  </si>
  <si>
    <t>UPPER BEARING HOUSING</t>
  </si>
  <si>
    <t>GHP25026</t>
  </si>
  <si>
    <t>CS20230345</t>
  </si>
  <si>
    <t>ALL4LABELS</t>
  </si>
  <si>
    <t>HP INDIGO 6000</t>
  </si>
  <si>
    <t>C.R. CARBON BRUSH SET</t>
  </si>
  <si>
    <t>NFS 877</t>
  </si>
  <si>
    <t>GHP25027</t>
  </si>
  <si>
    <t>CS20391926</t>
  </si>
  <si>
    <t>CU812-11315</t>
  </si>
  <si>
    <t>CABLE HIGH POWER</t>
  </si>
  <si>
    <t>GHP25028</t>
  </si>
  <si>
    <t>CS20391905</t>
  </si>
  <si>
    <t>FTD</t>
  </si>
  <si>
    <t>HP INDIGO 100K</t>
  </si>
  <si>
    <t>MAD-1702-02</t>
  </si>
  <si>
    <t>BEARING BALL 17X40X12 6203ZZ</t>
  </si>
  <si>
    <t>NFS 807</t>
  </si>
  <si>
    <t>CU141-02965</t>
  </si>
  <si>
    <t>BRG-RLR FOLLOWER 10MM-ID 30MM-OD 15MM-W</t>
  </si>
  <si>
    <t>GHP25029</t>
  </si>
  <si>
    <t>CS20393165</t>
  </si>
  <si>
    <t>CT446-40961</t>
  </si>
  <si>
    <t>PULLEY IDLER ASSY BRG</t>
  </si>
  <si>
    <t>GHP25030</t>
  </si>
  <si>
    <t>CS20396081</t>
  </si>
  <si>
    <t>CU498-01650</t>
  </si>
  <si>
    <t>BELT TIME</t>
  </si>
  <si>
    <t>ALEXANDRE ROMÃO</t>
  </si>
  <si>
    <t>CU150-01956</t>
  </si>
  <si>
    <t>GHP25031</t>
  </si>
  <si>
    <t>CS20395842</t>
  </si>
  <si>
    <t>BLOWER 5.7 240VAC</t>
  </si>
  <si>
    <t xml:space="preserve">CT990-04870 </t>
  </si>
  <si>
    <t>GHP25032</t>
  </si>
  <si>
    <t>CS20396328</t>
  </si>
  <si>
    <t>ZANGRAF</t>
  </si>
  <si>
    <t>HP INDIGO 7500</t>
  </si>
  <si>
    <t>CT361-03172</t>
  </si>
  <si>
    <t>CABLE ASSY W317-INK UNIT MIC-HEATER+PUMP</t>
  </si>
  <si>
    <t>Custos pagos pela CP</t>
  </si>
  <si>
    <t xml:space="preserve">Peça retornou para o estoque </t>
  </si>
  <si>
    <t>GHP25033</t>
  </si>
  <si>
    <t>CS20396297</t>
  </si>
  <si>
    <t>SOBRAL</t>
  </si>
  <si>
    <t>HP INDIGO 7900</t>
  </si>
  <si>
    <t>CT345-44700</t>
  </si>
  <si>
    <t>FRONT ARM AND LOCKER, EXIT ROLLER</t>
  </si>
  <si>
    <t>Pedido 071492</t>
  </si>
  <si>
    <t>CT345-37862</t>
  </si>
  <si>
    <t>EXIT ROLLER</t>
  </si>
  <si>
    <t>NFS 809</t>
  </si>
  <si>
    <t> CT345-52900</t>
  </si>
  <si>
    <t>FLOW METER</t>
  </si>
  <si>
    <t>GHP25034</t>
  </si>
  <si>
    <t>CS20395364</t>
  </si>
  <si>
    <t>CU498-04180</t>
  </si>
  <si>
    <t>COVER, SPINDLE</t>
  </si>
  <si>
    <t>CT540-31871</t>
  </si>
  <si>
    <t>GHP25035</t>
  </si>
  <si>
    <t>CS20397627</t>
  </si>
  <si>
    <t>S4 EVR SUCTION CUPS </t>
  </si>
  <si>
    <t>GHP25036</t>
  </si>
  <si>
    <t>CS20395785</t>
  </si>
  <si>
    <t>CT354-01403</t>
  </si>
  <si>
    <t>MCU MODULE ASSY</t>
  </si>
  <si>
    <t>Custos Comprint</t>
  </si>
  <si>
    <t>Reposição, pois a peça do estoque apresentou defeito</t>
  </si>
  <si>
    <t>GHP25037</t>
  </si>
  <si>
    <t>CS20397707</t>
  </si>
  <si>
    <t>CT497-00430 </t>
  </si>
  <si>
    <t>SET AXLE DRIVE</t>
  </si>
  <si>
    <t>CU498-04330</t>
  </si>
  <si>
    <t>KIT BELT S PAPER PATH</t>
  </si>
  <si>
    <t>CT497-00280</t>
  </si>
  <si>
    <t>Pedido 071493</t>
  </si>
  <si>
    <t>CT454-08031</t>
  </si>
  <si>
    <t>PANASONIC DARKON PNP SENSOR</t>
  </si>
  <si>
    <t>GHP25038</t>
  </si>
  <si>
    <t>CS20396242</t>
  </si>
  <si>
    <t>CU498-06820 </t>
  </si>
  <si>
    <t>KIT SIDEBLOWER FLAT CABLE (S)</t>
  </si>
  <si>
    <t>CU498-01930</t>
  </si>
  <si>
    <t> MOTOR, SYNCHRON-SERVO, 3000 </t>
  </si>
  <si>
    <t>CU314-01250</t>
  </si>
  <si>
    <t>GHP25039</t>
  </si>
  <si>
    <t>CS20396104</t>
  </si>
  <si>
    <t>INK PUMOP, NO TIC (S)</t>
  </si>
  <si>
    <t>NFS 806</t>
  </si>
  <si>
    <t>GHP25040</t>
  </si>
  <si>
    <t>CS20395535</t>
  </si>
  <si>
    <t>CT345-48431</t>
  </si>
  <si>
    <t>TIC BOARD ASSY</t>
  </si>
  <si>
    <t>GHP25041</t>
  </si>
  <si>
    <t>CS20075012</t>
  </si>
  <si>
    <t xml:space="preserve">CT445-43435 </t>
  </si>
  <si>
    <t>ITM DRUM (S)</t>
  </si>
  <si>
    <t xml:space="preserve">CT445-43445 </t>
  </si>
  <si>
    <t>BEARING FRONT  ITM DRUM (S)</t>
  </si>
  <si>
    <t xml:space="preserve">CT445-43455 </t>
  </si>
  <si>
    <t>BEARING REAR ITM DRUM (S)</t>
  </si>
  <si>
    <t>GHP25042</t>
  </si>
  <si>
    <t>CS20400367</t>
  </si>
  <si>
    <t>CU498-07040</t>
  </si>
  <si>
    <t>CABLE FMC TO EDGE COM FEED MODULE</t>
  </si>
  <si>
    <t>FELIPE ALBUQUERQUE</t>
  </si>
  <si>
    <t>GHP25043</t>
  </si>
  <si>
    <t>CS20421088</t>
  </si>
  <si>
    <t>CA442-13452</t>
  </si>
  <si>
    <t>INK FLOW CENTER MAIN BODY</t>
  </si>
  <si>
    <t>CT441-06540</t>
  </si>
  <si>
    <t>GHP25044</t>
  </si>
  <si>
    <t>CS20424754</t>
  </si>
  <si>
    <t>CT345-31922</t>
  </si>
  <si>
    <t>MIC BOARD</t>
  </si>
  <si>
    <t>CT397-00130</t>
  </si>
  <si>
    <t>NFS 836</t>
  </si>
  <si>
    <t>GHP25045</t>
  </si>
  <si>
    <t>CS20430257</t>
  </si>
  <si>
    <t>CU010-03285</t>
  </si>
  <si>
    <t>VALVE QUARTER TURN 16MM-DIA X 3/4-IN</t>
  </si>
  <si>
    <t>GHP25046</t>
  </si>
  <si>
    <t>CS20430150</t>
  </si>
  <si>
    <t>CT990-00460</t>
  </si>
  <si>
    <t>KIT MAINTENANCE-SER 3 ZUWA PUMP BLACK IMPELLER</t>
  </si>
  <si>
    <t>CT990-00461</t>
  </si>
  <si>
    <t>NFS 890</t>
  </si>
  <si>
    <t>GHP25047</t>
  </si>
  <si>
    <t>CS20430325</t>
  </si>
  <si>
    <t>TIC BOARD ASSEMBLY FOR S3</t>
  </si>
  <si>
    <t>GHP25049</t>
  </si>
  <si>
    <t>CS20431108</t>
  </si>
  <si>
    <t>CT445-45904</t>
  </si>
  <si>
    <t>JOS ASSEMBLY</t>
  </si>
  <si>
    <t>NFS 883</t>
  </si>
  <si>
    <t>GHP25050</t>
  </si>
  <si>
    <t>CS20430492</t>
  </si>
  <si>
    <t>CT344-34270</t>
  </si>
  <si>
    <t>CERAMIC CHARGE ROLLER ASSY</t>
  </si>
  <si>
    <t>GHP25051</t>
  </si>
  <si>
    <t>CS20430400</t>
  </si>
  <si>
    <t>CU150-01487</t>
  </si>
  <si>
    <t>BELT-TIMING 6MM-WD 2061MM-GRV LG</t>
  </si>
  <si>
    <t>GHP25052</t>
  </si>
  <si>
    <t>CS20430383</t>
  </si>
  <si>
    <t>NMC</t>
  </si>
  <si>
    <t>CT345-00746</t>
  </si>
  <si>
    <t>WETTING ROLLER</t>
  </si>
  <si>
    <t>NFS 887</t>
  </si>
  <si>
    <t>GHP25053</t>
  </si>
  <si>
    <t>CS20432524</t>
  </si>
  <si>
    <t>CU150-01921</t>
  </si>
  <si>
    <t>BELT SYNCHRONOUS</t>
  </si>
  <si>
    <t>GHP25054</t>
  </si>
  <si>
    <t>CS20424739</t>
  </si>
  <si>
    <t>CA545-10713</t>
  </si>
  <si>
    <t>IMO RESERVOIR OIL ASSY</t>
  </si>
  <si>
    <t>DANIEL ABREU</t>
  </si>
  <si>
    <t>CON26001</t>
  </si>
  <si>
    <t>GHP25055</t>
  </si>
  <si>
    <t>CS20432598</t>
  </si>
  <si>
    <t xml:space="preserve">CU314-01218 </t>
  </si>
  <si>
    <t>MOTOR SERVO 24VDC 2.5NM 4500RPM</t>
  </si>
  <si>
    <t>GHP25056</t>
  </si>
  <si>
    <t>CS20424173</t>
  </si>
  <si>
    <t>CT000-24961</t>
  </si>
  <si>
    <t>TRANS SHAFT WITH SELF ALIGNMENT</t>
  </si>
  <si>
    <t>GHP25057</t>
  </si>
  <si>
    <t>CS20447934</t>
  </si>
  <si>
    <t>CT497-06440</t>
  </si>
  <si>
    <t>VACUUM PUMP ASSEMBLY</t>
  </si>
  <si>
    <t>GHP25058</t>
  </si>
  <si>
    <t>CS20432996</t>
  </si>
  <si>
    <t>SPECTROPHOTOMETER</t>
  </si>
  <si>
    <t>EDSON DOMINGUES</t>
  </si>
  <si>
    <t>GHP25059</t>
  </si>
  <si>
    <t>CS20436128</t>
  </si>
  <si>
    <t>WETTING ROLLER - TOP ASEMBLY</t>
  </si>
  <si>
    <t>GHP25060</t>
  </si>
  <si>
    <t>CS20436017</t>
  </si>
  <si>
    <t>CT354-04953</t>
  </si>
  <si>
    <t>MOTOR ASSEMBLY BID SEMI ENGAGE 1-5</t>
  </si>
  <si>
    <t>CU010-02818</t>
  </si>
  <si>
    <t>SPEED CONTROLLER 10.5 MM</t>
  </si>
  <si>
    <t>GHP25061</t>
  </si>
  <si>
    <t>CS20435682</t>
  </si>
  <si>
    <t> CT445-72210</t>
  </si>
  <si>
    <t>EBM ASSY</t>
  </si>
  <si>
    <t>CON25006</t>
  </si>
  <si>
    <t> CT445-36261</t>
  </si>
  <si>
    <t>ADAPTOR EBM ACTUATION INTERFACE</t>
  </si>
  <si>
    <t>GHP25062</t>
  </si>
  <si>
    <t>COMPRINT</t>
  </si>
  <si>
    <t>CT990-03080</t>
  </si>
  <si>
    <t>S.NOTE ANTI-SOAP BRACKET LONGER SCREWS SER 4 &amp; 5</t>
  </si>
  <si>
    <t>S.NOTE</t>
  </si>
  <si>
    <t>83.30</t>
  </si>
  <si>
    <t xml:space="preserve">CT990-03080 - S.NOTE ANTI-SOAP BRACKET LONGER SCREWS SER 4 &amp; 5   $83,30 </t>
  </si>
  <si>
    <t>GHP25063</t>
  </si>
  <si>
    <t>CT990-04690</t>
  </si>
  <si>
    <t>S.NOTE RIO &amp; WASTE BRACKET REPLACEMENT</t>
  </si>
  <si>
    <t xml:space="preserve">CT990-04690 - S.NOTE RIO &amp; WASTE BRACKET REPLACEMENT   $661,40 </t>
  </si>
  <si>
    <t>GHP25064</t>
  </si>
  <si>
    <t>CA492-01520</t>
  </si>
  <si>
    <t>S.NOTE ENGINE DOORS SUPPORT BRACKETS</t>
  </si>
  <si>
    <t xml:space="preserve">CA492-01520 - S.NOTE Engine Door Support Brackets and PARS Robust Screws    $436,05 </t>
  </si>
  <si>
    <t>GHP25065</t>
  </si>
  <si>
    <t>CS20437198</t>
  </si>
  <si>
    <t>CU096-02839</t>
  </si>
  <si>
    <t>DRIVE SERVO 24-65 VDC</t>
  </si>
  <si>
    <t>NFS 879</t>
  </si>
  <si>
    <t>GHP25066</t>
  </si>
  <si>
    <t>CS20439529</t>
  </si>
  <si>
    <t>STGRAF</t>
  </si>
  <si>
    <t>HP INDIGO 15k</t>
  </si>
  <si>
    <t>50300141 </t>
  </si>
  <si>
    <t>CA245-08081</t>
  </si>
  <si>
    <t>IR REFLECTIVE SENSOR</t>
  </si>
  <si>
    <t>GHP25067</t>
  </si>
  <si>
    <t>CS20444758</t>
  </si>
  <si>
    <t>44000010 </t>
  </si>
  <si>
    <t>CT345-33380</t>
  </si>
  <si>
    <t> MOTOR AND PULLEY ASSY</t>
  </si>
  <si>
    <t>EDUARDO NOBRE</t>
  </si>
  <si>
    <t>CT345-61780</t>
  </si>
  <si>
    <t>NFS 802</t>
  </si>
  <si>
    <t>GHP25068</t>
  </si>
  <si>
    <t>CS20396185</t>
  </si>
  <si>
    <t>FLEXCORTE</t>
  </si>
  <si>
    <t>CA345-18840</t>
  </si>
  <si>
    <t>  ILD DEAD SHAFT ASSY</t>
  </si>
  <si>
    <t>CON25027</t>
  </si>
  <si>
    <t>NFS 815</t>
  </si>
  <si>
    <t>EOD-1202-02</t>
  </si>
  <si>
    <t> IN LINE DENS</t>
  </si>
  <si>
    <t>GHP25069</t>
  </si>
  <si>
    <t>CS20437091</t>
  </si>
  <si>
    <t>GHP25070</t>
  </si>
  <si>
    <t>CS20456079</t>
  </si>
  <si>
    <t>VR LABEL</t>
  </si>
  <si>
    <t>CT345-19110</t>
  </si>
  <si>
    <t>LARGE AUXILIARY CAN</t>
  </si>
  <si>
    <t>GHP25071</t>
  </si>
  <si>
    <t>CS20456113</t>
  </si>
  <si>
    <t>SHEET, BELT PROTECTION</t>
  </si>
  <si>
    <t>GHP25072</t>
  </si>
  <si>
    <t>CS20456169</t>
  </si>
  <si>
    <t>CT990-04680</t>
  </si>
  <si>
    <t>HP MONITOR E24T G5 FHD TOUCH EURO</t>
  </si>
  <si>
    <t>GHP25073</t>
  </si>
  <si>
    <t>CS20495390</t>
  </si>
  <si>
    <t>CA345-00745</t>
  </si>
  <si>
    <t>WETTING ROLLER - TOP ASSY</t>
  </si>
  <si>
    <t>NFS 897</t>
  </si>
  <si>
    <t>GHP25074</t>
  </si>
  <si>
    <t>CS20433379</t>
  </si>
  <si>
    <t>P+E</t>
  </si>
  <si>
    <t>CT497-00720</t>
  </si>
  <si>
    <t>SUCTION CUP TE HOLDER</t>
  </si>
  <si>
    <t>NFS 889</t>
  </si>
  <si>
    <t>GHP25075</t>
  </si>
  <si>
    <t>CS20464492</t>
  </si>
  <si>
    <t>CT454-09041</t>
  </si>
  <si>
    <t>Bid HV3 Module</t>
  </si>
  <si>
    <t>GHP25076</t>
  </si>
  <si>
    <t>CS20456400</t>
  </si>
  <si>
    <t>THALES GROUP</t>
  </si>
  <si>
    <t>HP INDIGO 7K</t>
  </si>
  <si>
    <t>CT345-14034</t>
  </si>
  <si>
    <t>PIP BEARING FRONT ASSEMBLY</t>
  </si>
  <si>
    <t>VAGNER GARCIA</t>
  </si>
  <si>
    <t>NFS 820</t>
  </si>
  <si>
    <t>GHP25077</t>
  </si>
  <si>
    <t>CS20480529</t>
  </si>
  <si>
    <t>SIDE BLOWER FLATCABLE</t>
  </si>
  <si>
    <t>CT545-11561</t>
  </si>
  <si>
    <t>SIDE BLOWER</t>
  </si>
  <si>
    <t>GHP25078</t>
  </si>
  <si>
    <t xml:space="preserve">CA492-01970 - S.Note Replacing Line Filter Cable Nuts    $5,52 </t>
  </si>
  <si>
    <t>GHP25079</t>
  </si>
  <si>
    <t>CS20480029</t>
  </si>
  <si>
    <t xml:space="preserve">CT454-04550 </t>
  </si>
  <si>
    <t>ASSEMBLY SEGREGATION LCS</t>
  </si>
  <si>
    <t>CT457-00050</t>
  </si>
  <si>
    <t>NFS 893</t>
  </si>
  <si>
    <t>GHP25080</t>
  </si>
  <si>
    <t>CS20480030</t>
  </si>
  <si>
    <t>NFS 748</t>
  </si>
  <si>
    <t>GHP25081</t>
  </si>
  <si>
    <t>CS20480431</t>
  </si>
  <si>
    <t>CT454-06131</t>
  </si>
  <si>
    <t>WHEL3 PLATE</t>
  </si>
  <si>
    <t>CT454-06132</t>
  </si>
  <si>
    <t>GHP25082</t>
  </si>
  <si>
    <t>CS20488905</t>
  </si>
  <si>
    <t>CU096-03302</t>
  </si>
  <si>
    <t>CARTRIDGE 400CCM FILLED WITH FAG OG3000</t>
  </si>
  <si>
    <t>GHP25083</t>
  </si>
  <si>
    <t>CS20489015</t>
  </si>
  <si>
    <t>CT397-31020</t>
  </si>
  <si>
    <t>SP,IMO SG PUMP FOR FULL I.O SYSTEM</t>
  </si>
  <si>
    <t>NFS 885</t>
  </si>
  <si>
    <t>GHP25084</t>
  </si>
  <si>
    <t xml:space="preserve">Pedido 071493 CA492-02060 - S.NOTE PREMIUM WHITE BACKWARDS 1X000, 30000    $1.099,46 </t>
  </si>
  <si>
    <t>GHP25085</t>
  </si>
  <si>
    <t>CS20490536</t>
  </si>
  <si>
    <t>CT341-14140</t>
  </si>
  <si>
    <t>CARBON BRUSH HOUSING</t>
  </si>
  <si>
    <t>CARBON BRUSH</t>
  </si>
  <si>
    <t>GHP25086</t>
  </si>
  <si>
    <t>CS20490576</t>
  </si>
  <si>
    <t>CU150-01576</t>
  </si>
  <si>
    <t>BELT TIMING 3MM</t>
  </si>
  <si>
    <t>GHP25087</t>
  </si>
  <si>
    <t>CS20489062</t>
  </si>
  <si>
    <t>CT445-58580</t>
  </si>
  <si>
    <t>DRIVE SHAFT DVC</t>
  </si>
  <si>
    <t>CON25018</t>
  </si>
  <si>
    <t>CT443-36000 </t>
  </si>
  <si>
    <t>DVC MOTOR PULLEY Z=21, 3M HTD</t>
  </si>
  <si>
    <t>GHP25088</t>
  </si>
  <si>
    <t>CS20489196</t>
  </si>
  <si>
    <t>CT446-27593</t>
  </si>
  <si>
    <t>EH LAMP</t>
  </si>
  <si>
    <t>GHP25089</t>
  </si>
  <si>
    <t>CS20494920</t>
  </si>
  <si>
    <t>VALGROUP</t>
  </si>
  <si>
    <t>HP INDIGO 200K</t>
  </si>
  <si>
    <t>CT590-03140</t>
  </si>
  <si>
    <t>812 DPI UNIFIED WRITING HEAD</t>
  </si>
  <si>
    <t>GHP25090</t>
  </si>
  <si>
    <t>CS20495426</t>
  </si>
  <si>
    <t>CT990-05470</t>
  </si>
  <si>
    <t xml:space="preserve">PGR CAM MOTOR FIRST REPLACEMENT KIT </t>
  </si>
  <si>
    <t>CON25012</t>
  </si>
  <si>
    <t>GHP25091</t>
  </si>
  <si>
    <t>CS20494091</t>
  </si>
  <si>
    <t xml:space="preserve">COVER, SPINDLE </t>
  </si>
  <si>
    <t>CT446-34610</t>
  </si>
  <si>
    <t>PAPER LEVER ASSEMBLY</t>
  </si>
  <si>
    <t>CU498-01660</t>
  </si>
  <si>
    <t>TORNADO, HEXAGON ASSEMBLY</t>
  </si>
  <si>
    <t>CU498-04200</t>
  </si>
  <si>
    <t>LOWER CRASH SWITCH</t>
  </si>
  <si>
    <t>CON25021</t>
  </si>
  <si>
    <t>GHP25092</t>
  </si>
  <si>
    <t>CS20484783</t>
  </si>
  <si>
    <t>CA461-26064</t>
  </si>
  <si>
    <t>CABLE ASSY W12606 EC B&amp;R BOX</t>
  </si>
  <si>
    <t>GHP25093</t>
  </si>
  <si>
    <t>CS20499531</t>
  </si>
  <si>
    <t>CT397-02900</t>
  </si>
  <si>
    <t>EBV SUCTION BLOWER FOR S-3</t>
  </si>
  <si>
    <t>CT397-02901</t>
  </si>
  <si>
    <t>GHP25094</t>
  </si>
  <si>
    <t>CS20499768</t>
  </si>
  <si>
    <t>CT990-04870</t>
  </si>
  <si>
    <t>NFS 881</t>
  </si>
  <si>
    <t>GHP25095</t>
  </si>
  <si>
    <t xml:space="preserve">CA492-02040 - S.Note PLC Authorization Dongle Installation.   $60,88 </t>
  </si>
  <si>
    <t>ATRASADO</t>
  </si>
  <si>
    <t>GHP25096</t>
  </si>
  <si>
    <t xml:space="preserve">CA492-01760 - S.NOTE BID CLEANING JIG   SER 4    $121,42 </t>
  </si>
  <si>
    <t>GHP25097</t>
  </si>
  <si>
    <t>CS20509358</t>
  </si>
  <si>
    <t>NFS 916</t>
  </si>
  <si>
    <t>GHP25098</t>
  </si>
  <si>
    <t>CS20509327</t>
  </si>
  <si>
    <t>BELT SYNCHRONOUS 65 MXL  025 NG</t>
  </si>
  <si>
    <t>GHP25099</t>
  </si>
  <si>
    <t>CS20509338</t>
  </si>
  <si>
    <t>GHP25100</t>
  </si>
  <si>
    <t>CS20511440</t>
  </si>
  <si>
    <t>60002095 </t>
  </si>
  <si>
    <t>GHP25101</t>
  </si>
  <si>
    <t>CS20513903</t>
  </si>
  <si>
    <t>GHP25102</t>
  </si>
  <si>
    <t>CS20511376</t>
  </si>
  <si>
    <t>GHP25103</t>
  </si>
  <si>
    <t>CS20514055</t>
  </si>
  <si>
    <t>MEGA LABEL</t>
  </si>
  <si>
    <t>CU096-04002</t>
  </si>
  <si>
    <t>DIGITAX FP 1405</t>
  </si>
  <si>
    <t>0960-2556</t>
  </si>
  <si>
    <t>NFS 924</t>
  </si>
  <si>
    <t>CU096-03991</t>
  </si>
  <si>
    <t>DIGITAX FEED 1402</t>
  </si>
  <si>
    <t>GHP25104</t>
  </si>
  <si>
    <t>CS20515241</t>
  </si>
  <si>
    <t>CT554-00312</t>
  </si>
  <si>
    <t>SLIP RING</t>
  </si>
  <si>
    <t>CT545-20614</t>
  </si>
  <si>
    <t>GHP25105</t>
  </si>
  <si>
    <t>CS20515480</t>
  </si>
  <si>
    <t>CT544-19122</t>
  </si>
  <si>
    <t>MARKA &amp; HELICOILS</t>
  </si>
  <si>
    <t>CT540-98681</t>
  </si>
  <si>
    <t>ANVIL, MIM TECHNOLOGY</t>
  </si>
  <si>
    <t>GHP25106</t>
  </si>
  <si>
    <t>CS20516110</t>
  </si>
  <si>
    <t>CT446-18711</t>
  </si>
  <si>
    <t> IMAGING OIL PUMP ASSEMBLY</t>
  </si>
  <si>
    <t>CT445-65410 </t>
  </si>
  <si>
    <t>SAS PUMP SET FOR MR</t>
  </si>
  <si>
    <t>CU316-04507 </t>
  </si>
  <si>
    <t>BLOWER 5.7 240V 1200 BYPASS</t>
  </si>
  <si>
    <t>CT446-00380 </t>
  </si>
  <si>
    <t>IDU MOTOR ASASY NORTH </t>
  </si>
  <si>
    <t>CT497-11260</t>
  </si>
  <si>
    <t>FUJI DRIVER</t>
  </si>
  <si>
    <t>CT468-92530</t>
  </si>
  <si>
    <t>IDU CAP 3TR (BELLOWS)</t>
  </si>
  <si>
    <t>GHP25107</t>
  </si>
  <si>
    <t>CS20516253</t>
  </si>
  <si>
    <t>CT455-00350 </t>
  </si>
  <si>
    <t>ITS3 &amp; ODS Board</t>
  </si>
  <si>
    <t>CT397-03010</t>
  </si>
  <si>
    <t> MAINTENANCE KIT FOR ZUWA PUMP</t>
  </si>
  <si>
    <t>GHP25108</t>
  </si>
  <si>
    <t>CS20519374</t>
  </si>
  <si>
    <t>50000260 </t>
  </si>
  <si>
    <t> CU498-01640</t>
  </si>
  <si>
    <t> PCA1 TORNADO</t>
  </si>
  <si>
    <t>GHP25109</t>
  </si>
  <si>
    <t>CS20519296</t>
  </si>
  <si>
    <t>CA490-21173</t>
  </si>
  <si>
    <t> SER4 POLYGON VACUUM SYSTEM SET</t>
  </si>
  <si>
    <t>CU010-05087</t>
  </si>
  <si>
    <t>GHP25110</t>
  </si>
  <si>
    <t>CS20521319</t>
  </si>
  <si>
    <t>CT454-02830</t>
  </si>
  <si>
    <t>PRESSURE SWITCH, WIRED, AIR KNIFE</t>
  </si>
  <si>
    <t>GHP25111</t>
  </si>
  <si>
    <t>CS20521200</t>
  </si>
  <si>
    <t>HP INDIGO 15K</t>
  </si>
  <si>
    <t>CT454-07861</t>
  </si>
  <si>
    <t> IMO-PUMP-SILICA GEL/CS PUMP</t>
  </si>
  <si>
    <t>CT454-07860</t>
  </si>
  <si>
    <t>GHP25112</t>
  </si>
  <si>
    <t>CS20521399</t>
  </si>
  <si>
    <t>CT490-17831</t>
  </si>
  <si>
    <t>VACUUM BELT</t>
  </si>
  <si>
    <t>GHP25113</t>
  </si>
  <si>
    <t>CS20521380</t>
  </si>
  <si>
    <t>CARBON BRUSH CR ASSEMBLY</t>
  </si>
  <si>
    <t>NFS 913</t>
  </si>
  <si>
    <t>CARBON BRUSH HOUSING - IXEF</t>
  </si>
  <si>
    <t>CON25011 &amp; CON25021</t>
  </si>
  <si>
    <t>GHP25114</t>
  </si>
  <si>
    <t>CS20521126</t>
  </si>
  <si>
    <t>FLEXUL</t>
  </si>
  <si>
    <t>HP INDIGO 6K</t>
  </si>
  <si>
    <t>48500665 </t>
  </si>
  <si>
    <t>CT345-50461</t>
  </si>
  <si>
    <t>MIXING PUMP</t>
  </si>
  <si>
    <t>CERAMIC CHARGE ROLLER</t>
  </si>
  <si>
    <t>CT397-05030</t>
  </si>
  <si>
    <t>ILS SCANNER BAR ASSY</t>
  </si>
  <si>
    <t>DOA</t>
  </si>
  <si>
    <t>CA354-06210</t>
  </si>
  <si>
    <t>WIRED PRESSURE GAUGE FOR S3</t>
  </si>
  <si>
    <t>CT354-06210</t>
  </si>
  <si>
    <t>GHP25115</t>
  </si>
  <si>
    <t>CS20521878</t>
  </si>
  <si>
    <t>HP INDIGO WS6000</t>
  </si>
  <si>
    <t>MBL-1015-02</t>
  </si>
  <si>
    <t>BELT TIMING HTD-3 9MM-312</t>
  </si>
  <si>
    <t>GHP25116</t>
  </si>
  <si>
    <t>CS20526503</t>
  </si>
  <si>
    <t xml:space="preserve">CT444-26340 </t>
  </si>
  <si>
    <t>CWS TEMP SENSOR</t>
  </si>
  <si>
    <t>PATRIK CARDOSO</t>
  </si>
  <si>
    <t>CT444-26341</t>
  </si>
  <si>
    <t>INSULATED FLOW METER</t>
  </si>
  <si>
    <t>CT454-05770</t>
  </si>
  <si>
    <t>ITC PUMP</t>
  </si>
  <si>
    <t>SUCTION CUPS</t>
  </si>
  <si>
    <t>GHP25117</t>
  </si>
  <si>
    <t>CS20526624</t>
  </si>
  <si>
    <t>CT354-03068</t>
  </si>
  <si>
    <t>SUBASSY, PCN AND DSC (ME RON)</t>
  </si>
  <si>
    <t>GHP25118</t>
  </si>
  <si>
    <t>CS20545183</t>
  </si>
  <si>
    <t>CU096-02455</t>
  </si>
  <si>
    <t>SWITCH-PROXIMITY-SENSOR</t>
  </si>
  <si>
    <t>GHP25119</t>
  </si>
  <si>
    <t>CS20545118</t>
  </si>
  <si>
    <t>CU010-02873</t>
  </si>
  <si>
    <t>RESERVOIR REBUILD VALVE</t>
  </si>
  <si>
    <t>GHP25120</t>
  </si>
  <si>
    <t>CS20545025</t>
  </si>
  <si>
    <t>CT445-82750</t>
  </si>
  <si>
    <t>PRESSURE-SENSORE-INSULATED-ASSEMBLY</t>
  </si>
  <si>
    <t>INSULATED-FLOW-METER</t>
  </si>
  <si>
    <t>CU010-03336</t>
  </si>
  <si>
    <t>VALVE SOL 1/4" 2WNC 24VDC VITON</t>
  </si>
  <si>
    <t>GHP25121</t>
  </si>
  <si>
    <t>CU315-00995</t>
  </si>
  <si>
    <t>FILTER MESH 60X250, 80MICRON</t>
  </si>
  <si>
    <t>GHP25122</t>
  </si>
  <si>
    <t>GHP25123</t>
  </si>
  <si>
    <t>CS20550896</t>
  </si>
  <si>
    <t>CU314-01492</t>
  </si>
  <si>
    <t>GEAR MOTOR KW=0,55 2P UL-CSA PTC Lub</t>
  </si>
  <si>
    <t>Pedido 070713</t>
  </si>
  <si>
    <t>GHP25124</t>
  </si>
  <si>
    <t>MIDIOGRAF</t>
  </si>
  <si>
    <t>CT990-02850 - S. NOTE STACKER BRIDGE R EINFORCEMENT SAFETY 1X00</t>
  </si>
  <si>
    <t>GHP25125</t>
  </si>
  <si>
    <t>CS20567587</t>
  </si>
  <si>
    <t>CU096-03220</t>
  </si>
  <si>
    <t>X20 4 CHANNEL MOTOR</t>
  </si>
  <si>
    <t>GHP25126</t>
  </si>
  <si>
    <t>CS20567704</t>
  </si>
  <si>
    <t>CA545-10704</t>
  </si>
  <si>
    <t>IMO RESERVOIR INFILTERED</t>
  </si>
  <si>
    <t>GHP25127</t>
  </si>
  <si>
    <t>CS20562679</t>
  </si>
  <si>
    <t>CT454-08544</t>
  </si>
  <si>
    <t>WHEL3 HDLA PLATE</t>
  </si>
  <si>
    <t>NS 1078</t>
  </si>
  <si>
    <t>GHP25128</t>
  </si>
  <si>
    <t xml:space="preserve">CT990-04690 - S.NOTE RIO &amp; WASTE BRACK ET REPLACEMENT    $11,43 </t>
  </si>
  <si>
    <t>GHP25129</t>
  </si>
  <si>
    <t xml:space="preserve">CA492-01020 - S.NOTE INK PISTONS LABEL S,NA,SER. 4   $47,76 </t>
  </si>
  <si>
    <t>GHP25130</t>
  </si>
  <si>
    <t>CS20572163</t>
  </si>
  <si>
    <t>CT444-93761</t>
  </si>
  <si>
    <t>MOTOR PAPER PATH PULLEY ASSEMBLY</t>
  </si>
  <si>
    <t>GHP25131</t>
  </si>
  <si>
    <t>CS20571973</t>
  </si>
  <si>
    <t>BRAZICOLOR</t>
  </si>
  <si>
    <t>CT345-61240</t>
  </si>
  <si>
    <t>SEGREGATION 3 WAY VALVE</t>
  </si>
  <si>
    <t>3150-0978</t>
  </si>
  <si>
    <t>OZONE FILTER LARGE</t>
  </si>
  <si>
    <t>GHP25132</t>
  </si>
  <si>
    <t>CS20573508</t>
  </si>
  <si>
    <t>CT454-03181</t>
  </si>
  <si>
    <t>DIRECT DC PUMP 3/4 WIRED</t>
  </si>
  <si>
    <t>GHP25133</t>
  </si>
  <si>
    <t>CS20567987</t>
  </si>
  <si>
    <t>GHP25134</t>
  </si>
  <si>
    <t>CS20568747</t>
  </si>
  <si>
    <t>SG PUMP</t>
  </si>
  <si>
    <t>GHP25135</t>
  </si>
  <si>
    <t>CS20567951</t>
  </si>
  <si>
    <t>CT345-32381</t>
  </si>
  <si>
    <t>PUMP ASSEMBLY - LIC (S)</t>
  </si>
  <si>
    <t>GHP25136</t>
  </si>
  <si>
    <t>CS20577802</t>
  </si>
  <si>
    <t>S4 EVR SUCTION CUPS (SET OF 10)</t>
  </si>
  <si>
    <t>GHP25137</t>
  </si>
  <si>
    <t>CS20568587</t>
  </si>
  <si>
    <t>CT455-00350</t>
  </si>
  <si>
    <t>ODS &amp; ITS  board</t>
  </si>
  <si>
    <t>GHP25138</t>
  </si>
  <si>
    <t>CS20567864</t>
  </si>
  <si>
    <t>GHP25139</t>
  </si>
  <si>
    <t>CS20578898</t>
  </si>
  <si>
    <t>60002072 </t>
  </si>
  <si>
    <t>CT455-00370</t>
  </si>
  <si>
    <t>ITS3&amp;ODS, 12 CLRS</t>
  </si>
  <si>
    <t>GHP25140</t>
  </si>
  <si>
    <t>CS20579037</t>
  </si>
  <si>
    <t>CU153-02523</t>
  </si>
  <si>
    <t>GAS SPRING</t>
  </si>
  <si>
    <t>GHP25141</t>
  </si>
  <si>
    <t>CS20578970</t>
  </si>
  <si>
    <t>CT461-25253 </t>
  </si>
  <si>
    <t>WIRE W12525</t>
  </si>
  <si>
    <t>GHP25142</t>
  </si>
  <si>
    <t>CS20578997</t>
  </si>
  <si>
    <t>CU498-05950</t>
  </si>
  <si>
    <t>TRESU LEVEL SENSOR CABLE</t>
  </si>
  <si>
    <t>GHP25143</t>
  </si>
  <si>
    <t>CS20582766</t>
  </si>
  <si>
    <t>CU498-02391</t>
  </si>
  <si>
    <t>CLUTCH OFFSETTER</t>
  </si>
  <si>
    <t>CT468-03550</t>
  </si>
  <si>
    <t>GHP25144</t>
  </si>
  <si>
    <t>CS20563460</t>
  </si>
  <si>
    <t>CA461-76562</t>
  </si>
  <si>
    <t>CABLE W17656</t>
  </si>
  <si>
    <t>CT461-76562</t>
  </si>
  <si>
    <t>GHP25145</t>
  </si>
  <si>
    <t>CS20588822</t>
  </si>
  <si>
    <t>CT345-10472</t>
  </si>
  <si>
    <t> ARM LOWER ASSEMBLY</t>
  </si>
  <si>
    <t>GHP25146</t>
  </si>
  <si>
    <t>CS20588930</t>
  </si>
  <si>
    <t>JB</t>
  </si>
  <si>
    <t> EH LAMP MAIN ASSY</t>
  </si>
  <si>
    <t>CT446-46632</t>
  </si>
  <si>
    <t>GHP25147</t>
  </si>
  <si>
    <t>CS20588790</t>
  </si>
  <si>
    <t>CU096-06003</t>
  </si>
  <si>
    <t>SENSOR ULTRSONIC 400MM RANG PNP 10-30VDC</t>
  </si>
  <si>
    <t>GHP25148</t>
  </si>
  <si>
    <t>CS20589007</t>
  </si>
  <si>
    <t>CT345-67290</t>
  </si>
  <si>
    <t> INK TANK SUB-ASSEMBLY</t>
  </si>
  <si>
    <t>CA245-26730</t>
  </si>
  <si>
    <t>GHP25149</t>
  </si>
  <si>
    <t>ETIQUEPRESS</t>
  </si>
  <si>
    <t>6K CPO</t>
  </si>
  <si>
    <t>CA245-02841</t>
  </si>
  <si>
    <t>WASTE BOTTLE #2</t>
  </si>
  <si>
    <t>CA245-02831</t>
  </si>
  <si>
    <t>WASTE BOTTLE #1</t>
  </si>
  <si>
    <t>CA345-13752</t>
  </si>
  <si>
    <t>PANEL, INPUT BACK, TOP</t>
  </si>
  <si>
    <t>GHP25150</t>
  </si>
  <si>
    <t>CS20598241</t>
  </si>
  <si>
    <t>CT468-62730</t>
  </si>
  <si>
    <t>SPRING NIP ROLLER (5 U NITS)</t>
  </si>
  <si>
    <t xml:space="preserve"> </t>
  </si>
  <si>
    <t>ENTREGUE PEÇA ALTERNATIVA. CU498-04410</t>
  </si>
  <si>
    <t>GHP25151</t>
  </si>
  <si>
    <t>CS20596958</t>
  </si>
  <si>
    <t>GHP25152</t>
  </si>
  <si>
    <t>CS20592983</t>
  </si>
  <si>
    <t>CU316-04350</t>
  </si>
  <si>
    <t>AIR_KNIFE_PRESSURE_SWITCH WIRED</t>
  </si>
  <si>
    <t>CT461-26250</t>
  </si>
  <si>
    <t>CABLE ASSY W12625 , EBV</t>
  </si>
  <si>
    <t>GHP25153</t>
  </si>
  <si>
    <t>CS20597771</t>
  </si>
  <si>
    <t>SIDE BLOWER FLAT CABLE</t>
  </si>
  <si>
    <t>GHP25154</t>
  </si>
  <si>
    <t>CS20609772</t>
  </si>
  <si>
    <t>CT544-31330</t>
  </si>
  <si>
    <t>RDU TUBE SEAL LONG NUT WELD ASM</t>
  </si>
  <si>
    <t>GHP25155</t>
  </si>
  <si>
    <t>CS20615391</t>
  </si>
  <si>
    <t>0100-5328</t>
  </si>
  <si>
    <t>VALVE BLOCKING - 1 WAY IN LINE G1/8</t>
  </si>
  <si>
    <t>CT545-14881</t>
  </si>
  <si>
    <t>GHP25156</t>
  </si>
  <si>
    <t>CS20615156</t>
  </si>
  <si>
    <t>CT445-33941</t>
  </si>
  <si>
    <t>ORS-IMO BUFFER WITH INSERTS</t>
  </si>
  <si>
    <t>GHP25157</t>
  </si>
  <si>
    <t>CS20609778</t>
  </si>
  <si>
    <t>MOTOR BRUSHLESS 5.8A</t>
  </si>
  <si>
    <t>GHP25158</t>
  </si>
  <si>
    <t>CS20630143</t>
  </si>
  <si>
    <t>CT397-04962</t>
  </si>
  <si>
    <t>SHAFT EC DRIVE</t>
  </si>
  <si>
    <t xml:space="preserve">CT344-32990 </t>
  </si>
  <si>
    <t xml:space="preserve"> HP 7800 SPM NIP SHAFT</t>
  </si>
  <si>
    <t>GHP25159</t>
  </si>
  <si>
    <t>CS20568926</t>
  </si>
  <si>
    <t>GHP25160</t>
  </si>
  <si>
    <t>CS20630511</t>
  </si>
  <si>
    <t>CU199-04533</t>
  </si>
  <si>
    <t>SOLID STATE RELAY 20A 4-32VDC</t>
  </si>
  <si>
    <t>IMO SG PUMP FOR FULL IO SYSTEM</t>
  </si>
  <si>
    <t>GHP25161</t>
  </si>
  <si>
    <t>CS20646316</t>
  </si>
  <si>
    <t xml:space="preserve">CT454-08031 </t>
  </si>
  <si>
    <t xml:space="preserve">CT000-24961 </t>
  </si>
  <si>
    <t xml:space="preserve">TRANSPORT SHAFT PP MR </t>
  </si>
  <si>
    <t>GHP25162</t>
  </si>
  <si>
    <t>CS20646276</t>
  </si>
  <si>
    <t>CT345-20650</t>
  </si>
  <si>
    <t>BID DRIVE ASSEMBLY (S)</t>
  </si>
  <si>
    <t>CT345-56544</t>
  </si>
  <si>
    <t>LIC PUMP ASSEMBLY PROCON (S)</t>
  </si>
  <si>
    <t>GHP25163</t>
  </si>
  <si>
    <t>CS20646295</t>
  </si>
  <si>
    <t>GHP25164</t>
  </si>
  <si>
    <t>CS20646603</t>
  </si>
  <si>
    <t>PGR CAM MOTOR FIRST REPLACEMENT KIT</t>
  </si>
  <si>
    <t>CON25015</t>
  </si>
  <si>
    <t>GHP25165</t>
  </si>
  <si>
    <t>CS20646528</t>
  </si>
  <si>
    <t>GHP25166</t>
  </si>
  <si>
    <t>CS20646781</t>
  </si>
  <si>
    <t>GEAR MOTOR KW=0.55 2P UL-CSA PTC LUB</t>
  </si>
  <si>
    <t>GHP25167</t>
  </si>
  <si>
    <t>CS20647130</t>
  </si>
  <si>
    <t>50300097 </t>
  </si>
  <si>
    <t>CON25018 &amp; CON25021</t>
  </si>
  <si>
    <t>GHP25168</t>
  </si>
  <si>
    <t>CS20647366</t>
  </si>
  <si>
    <t>CU498-02011</t>
  </si>
  <si>
    <t> SENSOR ASSY TACTILE</t>
  </si>
  <si>
    <t>CT446-19721</t>
  </si>
  <si>
    <t> TRANSPORT SHAFT PPMR</t>
  </si>
  <si>
    <t>CT445-66660</t>
  </si>
  <si>
    <t> NEW PATTERN NIP ROLLER </t>
  </si>
  <si>
    <t>CU498-01470 </t>
  </si>
  <si>
    <t>TIMING BLET GT3 325</t>
  </si>
  <si>
    <t>CT442-86620</t>
  </si>
  <si>
    <t> BELT VAC ST BRIDGE </t>
  </si>
  <si>
    <t>CU498-02710</t>
  </si>
  <si>
    <t> TRANSPORT SHAFT DESTINATION </t>
  </si>
  <si>
    <t>CU498-01341</t>
  </si>
  <si>
    <t>TRANSPORT SHAFT</t>
  </si>
  <si>
    <t>GHP25169</t>
  </si>
  <si>
    <t>CS20647672</t>
  </si>
  <si>
    <t>SWITCH-PROXIMITY-SENSOR 1A 30VAC ROHS</t>
  </si>
  <si>
    <t>GHP25170</t>
  </si>
  <si>
    <t>CS20648378</t>
  </si>
  <si>
    <t>CT461-45101</t>
  </si>
  <si>
    <t>W14510 WASTE TRESU SENSOR</t>
  </si>
  <si>
    <t>GHP25171</t>
  </si>
  <si>
    <t>CS20652270</t>
  </si>
  <si>
    <t>MR</t>
  </si>
  <si>
    <t>HP INDIGO 6k</t>
  </si>
  <si>
    <t>CT345-4156</t>
  </si>
  <si>
    <t>SENSORS RULERS PRIME (S)</t>
  </si>
  <si>
    <t>GHP25172</t>
  </si>
  <si>
    <t>CS20656668</t>
  </si>
  <si>
    <t>GHP25173</t>
  </si>
  <si>
    <t>CS20656299</t>
  </si>
  <si>
    <t xml:space="preserve">CU498-02992 </t>
  </si>
  <si>
    <t>SHEET BELT PROTECTION (SET OF 2)</t>
  </si>
  <si>
    <t xml:space="preserve">CT545-21040 </t>
  </si>
  <si>
    <t>KIT, PAPER LEVER DRAWER</t>
  </si>
  <si>
    <t>CT545-21041</t>
  </si>
  <si>
    <t>GHP25174</t>
  </si>
  <si>
    <t>CS20657122</t>
  </si>
  <si>
    <t>DIRECT CD PUMP</t>
  </si>
  <si>
    <t>GHP25175</t>
  </si>
  <si>
    <t>CS20663786</t>
  </si>
  <si>
    <t>TECNOBLU</t>
  </si>
  <si>
    <t>47200274 </t>
  </si>
  <si>
    <t>CT397-02860</t>
  </si>
  <si>
    <t>FEEDER POWER SUPPLY AND FI </t>
  </si>
  <si>
    <t>GHP25176</t>
  </si>
  <si>
    <t>CS20667397</t>
  </si>
  <si>
    <t>GHP25177</t>
  </si>
  <si>
    <t>CS20667173</t>
  </si>
  <si>
    <t>CT340-56650</t>
  </si>
  <si>
    <t>FUNNEL, ROUND, RECYCLING SYS</t>
  </si>
  <si>
    <t>GHP25178</t>
  </si>
  <si>
    <t>CS20521423</t>
  </si>
  <si>
    <t>CT456-01120</t>
  </si>
  <si>
    <t>DDB PCA Board</t>
  </si>
  <si>
    <t>GHP25179</t>
  </si>
  <si>
    <t>CS20667340</t>
  </si>
  <si>
    <t>CT454-04224</t>
  </si>
  <si>
    <t>INK PUMP MOTOR AND DRIVER</t>
  </si>
  <si>
    <t>GHP25180</t>
  </si>
  <si>
    <t>CS20671999</t>
  </si>
  <si>
    <t>BELT TIMMING 6MM-WD 2061MM-GRV LG</t>
  </si>
  <si>
    <t>GHP25181</t>
  </si>
  <si>
    <t>CS20672424</t>
  </si>
  <si>
    <t>CA240-89670</t>
  </si>
  <si>
    <t> DRIVER, PUMP</t>
  </si>
  <si>
    <t>GHP25182</t>
  </si>
  <si>
    <t>CS20671771</t>
  </si>
  <si>
    <t>MSL-1010-01</t>
  </si>
  <si>
    <t>COIL 24V VALVE</t>
  </si>
  <si>
    <t>GHP25183</t>
  </si>
  <si>
    <t>CS20671862</t>
  </si>
  <si>
    <t>WETTING ROLLER TOP ASSY</t>
  </si>
  <si>
    <t>GHP25184</t>
  </si>
  <si>
    <t>CS20672901</t>
  </si>
  <si>
    <t>GHP25185</t>
  </si>
  <si>
    <t>CS20682360</t>
  </si>
  <si>
    <t>CT445-27940</t>
  </si>
  <si>
    <t>MOTOR MODULE ASSY GDU</t>
  </si>
  <si>
    <t>GHP25186</t>
  </si>
  <si>
    <t>CS20678405</t>
  </si>
  <si>
    <t>BLOWER 5.7 240VAC 1200W BYPASS 1STG</t>
  </si>
  <si>
    <t>GHP25187</t>
  </si>
  <si>
    <t>CS20672923</t>
  </si>
  <si>
    <t>CT443-04350 </t>
  </si>
  <si>
    <t>VISUAL BELT 3MGT - 399</t>
  </si>
  <si>
    <t>GHP25188</t>
  </si>
  <si>
    <t>CS20676878</t>
  </si>
  <si>
    <t>CT445-57823</t>
  </si>
  <si>
    <t>20000 SPM WHITE ROLLER</t>
  </si>
  <si>
    <t>GHP25189</t>
  </si>
  <si>
    <t>CS20672909</t>
  </si>
  <si>
    <t>GHP25190</t>
  </si>
  <si>
    <t>CS20672922</t>
  </si>
  <si>
    <t>GHP25191</t>
  </si>
  <si>
    <t>CS20683486</t>
  </si>
  <si>
    <t> CT344-01252</t>
  </si>
  <si>
    <t>GHP25192</t>
  </si>
  <si>
    <t>CS20683951</t>
  </si>
  <si>
    <t>CT354-01470</t>
  </si>
  <si>
    <t>INTERLOCK ASSEMBLY WIRED</t>
  </si>
  <si>
    <t>GHP25193</t>
  </si>
  <si>
    <t>CS20683933</t>
  </si>
  <si>
    <t>CA490-27100</t>
  </si>
  <si>
    <t> DUPLEX SUCTION CUPS</t>
  </si>
  <si>
    <t>GHP25194</t>
  </si>
  <si>
    <t>CS20683574</t>
  </si>
  <si>
    <t>DIGIPIX</t>
  </si>
  <si>
    <t>HP INDIGO 7250</t>
  </si>
  <si>
    <t>CA355-00301</t>
  </si>
  <si>
    <t>MIC3 WITH COVER</t>
  </si>
  <si>
    <t>GHP25195</t>
  </si>
  <si>
    <t>CS20683772</t>
  </si>
  <si>
    <t>CA345-21462</t>
  </si>
  <si>
    <t>PNEUMATIC MANIFOLD</t>
  </si>
  <si>
    <t xml:space="preserve">CT361-20281 </t>
  </si>
  <si>
    <t>OPT SENSOR ASSY</t>
  </si>
  <si>
    <t>1401-0433</t>
  </si>
  <si>
    <t>PLUG-HOLE FLANGELESS</t>
  </si>
  <si>
    <t>GHP25196</t>
  </si>
  <si>
    <t>CS20683839</t>
  </si>
  <si>
    <t xml:space="preserve">CT345-32381 </t>
  </si>
  <si>
    <t>PUMP ASSY - LIC</t>
  </si>
  <si>
    <t>GHP25197</t>
  </si>
  <si>
    <t>CS20683927</t>
  </si>
  <si>
    <t>CA297-00150</t>
  </si>
  <si>
    <t>MOTOR-AC 230V</t>
  </si>
  <si>
    <t>GHP25198</t>
  </si>
  <si>
    <t>CS20683954</t>
  </si>
  <si>
    <t xml:space="preserve">CT345-13712 </t>
  </si>
  <si>
    <t>BDU module assembly (with BSM)</t>
  </si>
  <si>
    <t>CT345-13713</t>
  </si>
  <si>
    <t>GHP25199</t>
  </si>
  <si>
    <t>CS20683997</t>
  </si>
  <si>
    <t xml:space="preserve">CT345-20650 </t>
  </si>
  <si>
    <t>GHP25200</t>
  </si>
  <si>
    <t>CS20672183</t>
  </si>
  <si>
    <t>CT654-00091</t>
  </si>
  <si>
    <t>W40009, RVLVR_POS_IN_SNS</t>
  </si>
  <si>
    <t>GHP25201</t>
  </si>
  <si>
    <t>CS20688177</t>
  </si>
  <si>
    <t>CT545-28720</t>
  </si>
  <si>
    <t>CVC AIR FILTER W. HANDLE 250MIC</t>
  </si>
  <si>
    <t>GHP25202</t>
  </si>
  <si>
    <t>CS20671505</t>
  </si>
  <si>
    <t>CT454-05990</t>
  </si>
  <si>
    <t> IBS1&amp;2 FULL SENSOR</t>
  </si>
  <si>
    <t>GHP25203</t>
  </si>
  <si>
    <t>CS20688086</t>
  </si>
  <si>
    <t> CT443-04350</t>
  </si>
  <si>
    <t> BELT 3MGT-399-15 GATES</t>
  </si>
  <si>
    <t>GHP25204</t>
  </si>
  <si>
    <t>CS20688192</t>
  </si>
  <si>
    <t>CU096-03412</t>
  </si>
  <si>
    <t>PRESSURE SENSOR 0-10BAR 12-24V</t>
  </si>
  <si>
    <t>GHP25205</t>
  </si>
  <si>
    <t>CS20688871</t>
  </si>
  <si>
    <t>CT345-47283</t>
  </si>
  <si>
    <t>Solid add assembly LIC (S)</t>
  </si>
  <si>
    <t>GHP25206</t>
  </si>
  <si>
    <t>CS20651700</t>
  </si>
  <si>
    <t>CU095-72418</t>
  </si>
  <si>
    <t>PWR SPLY AC - DC 48V/1000W 12C</t>
  </si>
  <si>
    <t>GHP25207</t>
  </si>
  <si>
    <t>CS20672675</t>
  </si>
  <si>
    <t>GHP25208</t>
  </si>
  <si>
    <t>CS20688489</t>
  </si>
  <si>
    <t>DIGITAX 1405</t>
  </si>
  <si>
    <t>GHP25209</t>
  </si>
  <si>
    <t>CS20678653</t>
  </si>
  <si>
    <t>CT099-11900</t>
  </si>
  <si>
    <t>GHP25212</t>
  </si>
  <si>
    <t>CS20693724</t>
  </si>
  <si>
    <t>CU314-01303</t>
  </si>
  <si>
    <t>MOTOR SERVO 8POLE 80VDC 1.3NM 3000RPM</t>
  </si>
  <si>
    <t>GHP25213</t>
  </si>
  <si>
    <t>CS20693887</t>
  </si>
  <si>
    <t>CT445-69130</t>
  </si>
  <si>
    <t>HEATER</t>
  </si>
  <si>
    <t>GHP25214</t>
  </si>
  <si>
    <t>CS20695074</t>
  </si>
  <si>
    <t>CU096-03151</t>
  </si>
  <si>
    <t>ROTATING VANE FLOW METER 5-140LPM</t>
  </si>
  <si>
    <t>CU096-02895</t>
  </si>
  <si>
    <t>PRESSURE TRANSMITTER 0-10BAR</t>
  </si>
  <si>
    <t>GHP25215</t>
  </si>
  <si>
    <t>CS20695111</t>
  </si>
  <si>
    <t>GHP25216</t>
  </si>
  <si>
    <t>CS20695093</t>
  </si>
  <si>
    <t>GHP25217</t>
  </si>
  <si>
    <t>CS20698912</t>
  </si>
  <si>
    <t>CT446-34220</t>
  </si>
  <si>
    <t>PNEUMATIC SERVICE UNIT</t>
  </si>
  <si>
    <t>GHP25219</t>
  </si>
  <si>
    <t>CS20698989</t>
  </si>
  <si>
    <t>CT443-04350</t>
  </si>
  <si>
    <t>VISUAL - BELT 3MGT-399-15 GATES</t>
  </si>
  <si>
    <t>GHP25220</t>
  </si>
  <si>
    <t>CS20707329</t>
  </si>
  <si>
    <t xml:space="preserve">FORMA CERTA </t>
  </si>
  <si>
    <t xml:space="preserve">HP INDIGO 100K  </t>
  </si>
  <si>
    <t xml:space="preserve">CT990-05011 - S.NOTE ESCALATION PARTS  FOR 100K   $5.933,03 </t>
  </si>
  <si>
    <t>GHP25221</t>
  </si>
  <si>
    <t>CS20707298</t>
  </si>
  <si>
    <t>GHP25222</t>
  </si>
  <si>
    <t>CS20702928</t>
  </si>
  <si>
    <t>CT446-27592</t>
  </si>
  <si>
    <t>EH lamp</t>
  </si>
  <si>
    <t>GHP25223</t>
  </si>
  <si>
    <t>CS20703001</t>
  </si>
  <si>
    <t>CT490-14560 </t>
  </si>
  <si>
    <t>PUMP GEAR ASSEMBLY</t>
  </si>
  <si>
    <t>GHP25224</t>
  </si>
  <si>
    <t>CS20703102</t>
  </si>
  <si>
    <t>CT497-01600</t>
  </si>
  <si>
    <t>SCAN BAR OPTICS</t>
  </si>
  <si>
    <t>CC350-60001</t>
  </si>
  <si>
    <t>GHP25225</t>
  </si>
  <si>
    <t>CS20703127</t>
  </si>
  <si>
    <t>CT446-39010</t>
  </si>
  <si>
    <t>IDU tank</t>
  </si>
  <si>
    <t>GHP25226</t>
  </si>
  <si>
    <t>CS20703200</t>
  </si>
  <si>
    <t>CT000-83310 </t>
  </si>
  <si>
    <t>BRUSH SPREAD ASSY</t>
  </si>
  <si>
    <t>CT000-83310</t>
  </si>
  <si>
    <t>GHP25228</t>
  </si>
  <si>
    <t>CS20714439</t>
  </si>
  <si>
    <t>CT445-65410</t>
  </si>
  <si>
    <t>GHP25229</t>
  </si>
  <si>
    <t>CS20714620</t>
  </si>
  <si>
    <t>BRASILATA</t>
  </si>
  <si>
    <t>HP INDIGO 25K</t>
  </si>
  <si>
    <t>ESW-0212-07</t>
  </si>
  <si>
    <t>MICRO SWITCH HINGE LEVER 0.1A 8gr</t>
  </si>
  <si>
    <t>GHP25230</t>
  </si>
  <si>
    <t>CS20714626</t>
  </si>
  <si>
    <t>CT440-98130</t>
  </si>
  <si>
    <t>SOLID ADD CONECTOR ENGAGE SIDE</t>
  </si>
  <si>
    <t>GHP25231</t>
  </si>
  <si>
    <t>CS20722912</t>
  </si>
  <si>
    <t>GHP25232</t>
  </si>
  <si>
    <t>CS20723987</t>
  </si>
  <si>
    <t>tornado assy</t>
  </si>
  <si>
    <t>GHP25233</t>
  </si>
  <si>
    <t>CS20722400</t>
  </si>
  <si>
    <t>MHN-0009-01</t>
  </si>
  <si>
    <t>HANDLE DOOR</t>
  </si>
  <si>
    <t>ISMAR</t>
  </si>
  <si>
    <t xml:space="preserve">CT445-34312 </t>
  </si>
  <si>
    <t>HX CONDENSATION CATCH TRAY ASSEMBLY</t>
  </si>
  <si>
    <t>NEW PATTERN NIP ROLLER ASSEMBLY</t>
  </si>
  <si>
    <t>GHP25234</t>
  </si>
  <si>
    <t>CS20733924</t>
  </si>
  <si>
    <t>GHP25235</t>
  </si>
  <si>
    <t>CS20727758</t>
  </si>
  <si>
    <t> CT446-29240</t>
  </si>
  <si>
    <t>FITTING SOLENOID VALVE BASE MOUNT</t>
  </si>
  <si>
    <t>GHP25236</t>
  </si>
  <si>
    <t>CS20728163</t>
  </si>
  <si>
    <t xml:space="preserve">CT345-00746 </t>
  </si>
  <si>
    <t>Wetting roller - top assembly</t>
  </si>
  <si>
    <t>GHP25237</t>
  </si>
  <si>
    <t>CS20734867</t>
  </si>
  <si>
    <t>GHP25238</t>
  </si>
  <si>
    <t>CS20734938</t>
  </si>
  <si>
    <t>CU199-04927</t>
  </si>
  <si>
    <t>MINIATURE PHOTOELECTRIC SENSOR</t>
  </si>
  <si>
    <t>GHP25239</t>
  </si>
  <si>
    <t>CS20737454</t>
  </si>
  <si>
    <t>Pump assembly - LIC</t>
  </si>
  <si>
    <t>GHP25240</t>
  </si>
  <si>
    <t>CS20737557</t>
  </si>
  <si>
    <t>CU498-01902</t>
  </si>
  <si>
    <t>SHAFT, OFFSETTER, CPL</t>
  </si>
  <si>
    <t>CT497-00250</t>
  </si>
  <si>
    <t xml:space="preserve">CT444-63202 </t>
  </si>
  <si>
    <t> UPPER IFR GUIDE ASSEMBL</t>
  </si>
  <si>
    <t>CON25037</t>
  </si>
  <si>
    <t>GHP25241</t>
  </si>
  <si>
    <t>CS20727205</t>
  </si>
  <si>
    <t xml:space="preserve">CT554-01630 </t>
  </si>
  <si>
    <t xml:space="preserve">BARAK RFID MODULE </t>
  </si>
  <si>
    <t>CT554-01631</t>
  </si>
  <si>
    <t>CT446-28241</t>
  </si>
  <si>
    <t>CWS FLOW SENSOR ASSY</t>
  </si>
  <si>
    <t>GHP25242</t>
  </si>
  <si>
    <t>CS20752690</t>
  </si>
  <si>
    <t>BELT-TIMING 6MM-WD 2061M M-GRV LG</t>
  </si>
  <si>
    <t>GHP25243</t>
  </si>
  <si>
    <t>CS20752756</t>
  </si>
  <si>
    <t>NAUTILAIR AND FILTER ASS EMBLY, EBV, EILAT</t>
  </si>
  <si>
    <t>GHP25244</t>
  </si>
  <si>
    <t>CS20756516</t>
  </si>
  <si>
    <t>GRAFICA REUNA</t>
  </si>
  <si>
    <t>TIC Board Assembly</t>
  </si>
  <si>
    <t>VAGNER GARCIA</t>
  </si>
  <si>
    <t>GHP25245</t>
  </si>
  <si>
    <t>CS20743940</t>
  </si>
  <si>
    <t>CT445-25742</t>
  </si>
  <si>
    <t>ESC GTK SHAFT </t>
  </si>
  <si>
    <t>GHP25246</t>
  </si>
  <si>
    <t>CS20757342</t>
  </si>
  <si>
    <t>CT490-22920</t>
  </si>
  <si>
    <t>SOLID NIP ROLLER &amp; ALIGNER BRACKETS</t>
  </si>
  <si>
    <t>GHP25247</t>
  </si>
  <si>
    <t>CS20757359</t>
  </si>
  <si>
    <t>SUCTION CUPS TE HOLDER</t>
  </si>
  <si>
    <t>GHP25248</t>
  </si>
  <si>
    <t>CS20757445</t>
  </si>
  <si>
    <t>CT440-96191</t>
  </si>
  <si>
    <t>SEAL</t>
  </si>
  <si>
    <t>CT440-96201</t>
  </si>
  <si>
    <t>SEAL, IMPRESSION VENTILA TION, EBV, EILAT</t>
  </si>
  <si>
    <t>CT440-96231</t>
  </si>
  <si>
    <t>SEAL, UPPER SUCTION, EBV</t>
  </si>
  <si>
    <t>GHP25249</t>
  </si>
  <si>
    <t>CS20760117</t>
  </si>
  <si>
    <t> CU090-51735</t>
  </si>
  <si>
    <t> SEAL HYDRAULIC EPDM 50 SHORE 9.5MM TH</t>
  </si>
  <si>
    <t>GHP25250</t>
  </si>
  <si>
    <t xml:space="preserve">VR LABEL </t>
  </si>
  <si>
    <t xml:space="preserve">HP INDIGO 25K </t>
  </si>
  <si>
    <t xml:space="preserve">CT990-01400 - S.NOTE Dust covers for 25K   $277,63 </t>
  </si>
  <si>
    <t>GHP25251</t>
  </si>
  <si>
    <t>CS20759830</t>
  </si>
  <si>
    <t xml:space="preserve">CA297-00150 </t>
  </si>
  <si>
    <t>GHP25252</t>
  </si>
  <si>
    <t>CS20762568</t>
  </si>
  <si>
    <t>CU010-03569 </t>
  </si>
  <si>
    <t xml:space="preserve"> FITTING HOSE BARB PLUG 1/4" ID </t>
  </si>
  <si>
    <t>CU010-03573</t>
  </si>
  <si>
    <t xml:space="preserve">FITTING HOSE BARB SOCKET 1/4"- ID </t>
  </si>
  <si>
    <t>CU010-06684</t>
  </si>
  <si>
    <t>GHP25253</t>
  </si>
  <si>
    <t>CS20762431</t>
  </si>
  <si>
    <t>0403-1173</t>
  </si>
  <si>
    <t>bumper foot urethane</t>
  </si>
  <si>
    <t>GHP25254</t>
  </si>
  <si>
    <t>CS20762507</t>
  </si>
  <si>
    <t>HP MNTR E24T G5 FHD TOUC H EURO (6N6E6AA)</t>
  </si>
  <si>
    <t>GHP25255</t>
  </si>
  <si>
    <t>CS20760767</t>
  </si>
  <si>
    <t>PNEUMATIC SERVICE UNIT WITH TUBES</t>
  </si>
  <si>
    <t>GHP25256</t>
  </si>
  <si>
    <t>CS20769470</t>
  </si>
  <si>
    <t>CA345-52980</t>
  </si>
  <si>
    <t>ASSEMBLY - DANCER CYLINDER</t>
  </si>
  <si>
    <t>CT397-30670</t>
  </si>
  <si>
    <t>GHP25257</t>
  </si>
  <si>
    <t>CS20770658</t>
  </si>
  <si>
    <t>CU498-03110</t>
  </si>
  <si>
    <t>BELT, SYNCHRONOUS, 100 S2M 440 NG</t>
  </si>
  <si>
    <t>GHP25258</t>
  </si>
  <si>
    <t>CS20770675</t>
  </si>
  <si>
    <t>CT445-35051</t>
  </si>
  <si>
    <t>GLS GDU PUP GEAR PP ASSY</t>
  </si>
  <si>
    <t>GHP25259</t>
  </si>
  <si>
    <t>CS20775568</t>
  </si>
  <si>
    <t>EBV SUCTION BLOWER</t>
  </si>
  <si>
    <t>GHP25260</t>
  </si>
  <si>
    <t>CS20771170</t>
  </si>
  <si>
    <t>CU090-51709</t>
  </si>
  <si>
    <t>TUBE ENGAGE SEAL 43MM-OD 32MM-ID</t>
  </si>
  <si>
    <t>GHP25261</t>
  </si>
  <si>
    <t>CS20770684</t>
  </si>
  <si>
    <t>CT344-01252 </t>
  </si>
  <si>
    <t>GHP25262</t>
  </si>
  <si>
    <t>CS20770722</t>
  </si>
  <si>
    <t>GHP25263</t>
  </si>
  <si>
    <t>CS20775398</t>
  </si>
  <si>
    <t> CT345-49506</t>
  </si>
  <si>
    <t> Recycling System Main Assembly</t>
  </si>
  <si>
    <t>GHP25264</t>
  </si>
  <si>
    <t>CS20770674</t>
  </si>
  <si>
    <t> CU095-72419</t>
  </si>
  <si>
    <t>Power Supply 24V</t>
  </si>
  <si>
    <t>GHP25265</t>
  </si>
  <si>
    <t>CS20780041</t>
  </si>
  <si>
    <t>CT001-00620</t>
  </si>
  <si>
    <t>MARKA SP ASSEMBLY</t>
  </si>
  <si>
    <t>CT001-00621</t>
  </si>
  <si>
    <t>GHP25266</t>
  </si>
  <si>
    <t>CS20780257</t>
  </si>
  <si>
    <t>GHP25267</t>
  </si>
  <si>
    <t>CS20793672</t>
  </si>
  <si>
    <t xml:space="preserve">CT446-43761 </t>
  </si>
  <si>
    <t>INK TANK PUMP SOFT COUPLING</t>
  </si>
  <si>
    <t>GHP25268</t>
  </si>
  <si>
    <t>CS20793687</t>
  </si>
  <si>
    <t xml:space="preserve">CT490-24790 </t>
  </si>
  <si>
    <t>S4 EVR SUCTION CUPS (SET OF 10) &amp; FOR PERFECTOR</t>
  </si>
  <si>
    <t>GHP25269</t>
  </si>
  <si>
    <t>CS20794360</t>
  </si>
  <si>
    <t xml:space="preserve">CT341-14140 </t>
  </si>
  <si>
    <t xml:space="preserve">CARBON BRUSH HOUSING </t>
  </si>
  <si>
    <t>GHP25270</t>
  </si>
  <si>
    <t>CS20798526</t>
  </si>
  <si>
    <t>CU498-02000</t>
  </si>
  <si>
    <t>BELT SYNCHRONOUS 100 S2M 278 NG</t>
  </si>
  <si>
    <t>GHP25271</t>
  </si>
  <si>
    <t>CS20799886</t>
  </si>
  <si>
    <t>CU498-02391 </t>
  </si>
  <si>
    <t>Douglas trocou com cód. alternativo</t>
  </si>
  <si>
    <t>SHAFT OFFSETTER ASSEMBLY</t>
  </si>
  <si>
    <t>GHP25272</t>
  </si>
  <si>
    <t>CS20799960</t>
  </si>
  <si>
    <t>GHP25273</t>
  </si>
  <si>
    <t>CS20795149</t>
  </si>
  <si>
    <t>CT445-25382</t>
  </si>
  <si>
    <t xml:space="preserve">ESC IDLER PULLEY ASSEMBLY </t>
  </si>
  <si>
    <t>CT445-25232</t>
  </si>
  <si>
    <t xml:space="preserve">IPC BELT IDLER ASSEMBLY </t>
  </si>
  <si>
    <t>CA445-25733</t>
  </si>
  <si>
    <t>ESC TENSIONER TOP ASSEMBLY</t>
  </si>
  <si>
    <t>CON25040</t>
  </si>
  <si>
    <t>GHP25274</t>
  </si>
  <si>
    <t>CS20800070</t>
  </si>
  <si>
    <t>CU150-01375</t>
  </si>
  <si>
    <t>BELT TIMING 3P 630L 6W RBR</t>
  </si>
  <si>
    <t>GHP25275</t>
  </si>
  <si>
    <t>CS20800144</t>
  </si>
  <si>
    <t> IDU (FUJI) DRIVER</t>
  </si>
  <si>
    <t>CT446-00380</t>
  </si>
  <si>
    <t>IDU_MOTOR_ASSEMBLY_NORTHLAND</t>
  </si>
  <si>
    <t>GHP25276</t>
  </si>
  <si>
    <t>CS20808546</t>
  </si>
  <si>
    <t>CT497-11230</t>
  </si>
  <si>
    <t>250 MM HOSE- EH SUCTION BLOWER TO ENGINE</t>
  </si>
  <si>
    <t>GHP25277</t>
  </si>
  <si>
    <t>CS20808602</t>
  </si>
  <si>
    <t>CU199-04416</t>
  </si>
  <si>
    <t>PHOTOELECTRIC SLOT SENSOR</t>
  </si>
  <si>
    <t>GHP25278</t>
  </si>
  <si>
    <t>CS20809455</t>
  </si>
  <si>
    <t>Pump assembly - LIC (S)</t>
  </si>
  <si>
    <t>GHP25279</t>
  </si>
  <si>
    <t>CS20825370</t>
  </si>
  <si>
    <t>GHP25280</t>
  </si>
  <si>
    <t>CS20831407</t>
  </si>
  <si>
    <t>CT445-27164</t>
  </si>
  <si>
    <t>IMP MOTOR ROTOR SPACER</t>
  </si>
  <si>
    <t>Peça já entregue através estoque P+E. Quando chegar, repor nosso estoque</t>
  </si>
  <si>
    <t>GHP25281</t>
  </si>
  <si>
    <t>CS20831520</t>
  </si>
  <si>
    <t> NEW PATTERN NIP ROLLER ASSEMBLY</t>
  </si>
  <si>
    <t>CON25021 &amp; CON25027</t>
  </si>
  <si>
    <t>ESC GTK SHAFT</t>
  </si>
  <si>
    <t>GHP25282</t>
  </si>
  <si>
    <t>CS20830440</t>
  </si>
  <si>
    <t>CT345-50911</t>
  </si>
  <si>
    <t>Valve Assembly, pressure</t>
  </si>
  <si>
    <t>GHP25283</t>
  </si>
  <si>
    <t>CS20820049</t>
  </si>
  <si>
    <t>GHP25285</t>
  </si>
  <si>
    <t>CS20831668</t>
  </si>
  <si>
    <t>CU314-01218</t>
  </si>
  <si>
    <t>MOTOR SERVO 24VDC 2.5NW 4500 RPM</t>
  </si>
  <si>
    <t>GHP25286</t>
  </si>
  <si>
    <t>CS20831746</t>
  </si>
  <si>
    <t>GHP25287</t>
  </si>
  <si>
    <t>CS20831845</t>
  </si>
  <si>
    <t>GHP25288</t>
  </si>
  <si>
    <t>CS20834657</t>
  </si>
  <si>
    <t>AARON</t>
  </si>
  <si>
    <t>CA240-18300</t>
  </si>
  <si>
    <t>PIN CONTACT</t>
  </si>
  <si>
    <t>GHP25289</t>
  </si>
  <si>
    <t>CS20834654</t>
  </si>
  <si>
    <t>MIC3 &amp; BRACKET</t>
  </si>
  <si>
    <t>GHP25290</t>
  </si>
  <si>
    <t>CS20835763</t>
  </si>
  <si>
    <t>HP Indigo 6900</t>
  </si>
  <si>
    <t>CT345-51103 </t>
  </si>
  <si>
    <t>White Roller for SPM</t>
  </si>
  <si>
    <t>GHP25291</t>
  </si>
  <si>
    <t>CS20835803</t>
  </si>
  <si>
    <t>CT344- 01252 </t>
  </si>
  <si>
    <t>CARBON BRUSH ASSEMBLY</t>
  </si>
  <si>
    <t>CU498- 01673</t>
  </si>
  <si>
    <t>Side Blower KPL</t>
  </si>
  <si>
    <t>CT000-10000</t>
  </si>
  <si>
    <t>Idler Shaft</t>
  </si>
  <si>
    <t>CT045-88760</t>
  </si>
  <si>
    <t>Nip Assembly</t>
  </si>
  <si>
    <t>CT045-88761</t>
  </si>
  <si>
    <t>GHP25292</t>
  </si>
  <si>
    <t>C490-09812</t>
  </si>
  <si>
    <t xml:space="preserve">ITM DRUM JIG </t>
  </si>
  <si>
    <t>GHP25293</t>
  </si>
  <si>
    <t>CS20841286</t>
  </si>
  <si>
    <t>CT445-25742 </t>
  </si>
  <si>
    <t>GHP25294</t>
  </si>
  <si>
    <t>CS20843329</t>
  </si>
  <si>
    <t>GHP25295</t>
  </si>
  <si>
    <t>CS20844011</t>
  </si>
  <si>
    <t xml:space="preserve">CT445-99853 </t>
  </si>
  <si>
    <t>REAR SPONGE SHAFT ASM-CS G7</t>
  </si>
  <si>
    <t>CT446-54510</t>
  </si>
  <si>
    <t>GHP25296</t>
  </si>
  <si>
    <t>CS20848769</t>
  </si>
  <si>
    <t>CU498-10180</t>
  </si>
  <si>
    <t>Fluorescent Lamp</t>
  </si>
  <si>
    <t>GHP25297</t>
  </si>
  <si>
    <t>CS20848214</t>
  </si>
  <si>
    <t>CT397-30050</t>
  </si>
  <si>
    <t>BID FI HANDLES</t>
  </si>
  <si>
    <t>CT345-35831</t>
  </si>
  <si>
    <t>FI adapter assembly </t>
  </si>
  <si>
    <t>GHP25298</t>
  </si>
  <si>
    <t>CS20855116</t>
  </si>
  <si>
    <t>S4 EVR SUCTION CUPS(SET OF 10)&amp;FOR PERFECTOR S3</t>
  </si>
  <si>
    <t>GHP25299</t>
  </si>
  <si>
    <t>CS20860069</t>
  </si>
  <si>
    <t>MICRO SWITCH HINGE LEVER 0.1A 8GR ROHS</t>
  </si>
  <si>
    <t>GHP25300</t>
  </si>
  <si>
    <t>CS20863862</t>
  </si>
  <si>
    <t>PIP SUCTION CUPS</t>
  </si>
  <si>
    <t>GHP25301</t>
  </si>
  <si>
    <t>CS20863641</t>
  </si>
  <si>
    <t>S4 EVR Suction Cups</t>
  </si>
  <si>
    <t>GHP25302</t>
  </si>
  <si>
    <t>CS20864440</t>
  </si>
  <si>
    <t xml:space="preserve">CU153-02508 </t>
  </si>
  <si>
    <t>GAS SPRING 1000N 585MM-L 250MM-STROKE</t>
  </si>
  <si>
    <t xml:space="preserve">CU153-02523 </t>
  </si>
  <si>
    <t>STABILIUS GMbH 4926DN 350N 235.5-80</t>
  </si>
  <si>
    <t>GHP25303</t>
  </si>
  <si>
    <t>CS20864164</t>
  </si>
  <si>
    <t>CT441-14240</t>
  </si>
  <si>
    <t> BELLOWS 52MM FOR DIAMETE R 32MM</t>
  </si>
  <si>
    <t>GHP25304</t>
  </si>
  <si>
    <t>CS20860871</t>
  </si>
  <si>
    <t>CT445-43445</t>
  </si>
  <si>
    <t>BEARING FRONT ITM DRUM</t>
  </si>
  <si>
    <t>CT445-43455</t>
  </si>
  <si>
    <t>BEARING REAR ITM DRUM</t>
  </si>
  <si>
    <t>GHP25305</t>
  </si>
  <si>
    <t>CS20869595</t>
  </si>
  <si>
    <t>GHP25306</t>
  </si>
  <si>
    <t>CS20870360</t>
  </si>
  <si>
    <t>CU498-02411</t>
  </si>
  <si>
    <t>KIT, NUT, SPINDLE, DRAWER</t>
  </si>
  <si>
    <t>CU498-07230</t>
  </si>
  <si>
    <t>KIT, FLANGE BEARING FIXED </t>
  </si>
  <si>
    <t>CT990-01250 </t>
  </si>
  <si>
    <t>BEARING, BALL, GROOVED, RADIAL, 688-2Z</t>
  </si>
  <si>
    <t>GHP25307</t>
  </si>
  <si>
    <t>CS20870113</t>
  </si>
  <si>
    <t>CT443-92971</t>
  </si>
  <si>
    <t>PUW CORONA TUBE</t>
  </si>
  <si>
    <t>GHP25308</t>
  </si>
  <si>
    <t>CS20869530</t>
  </si>
  <si>
    <t>HP INDIGO WS6600</t>
  </si>
  <si>
    <t>CT344-15360</t>
  </si>
  <si>
    <t>Nautilair Intake Tech Assembly</t>
  </si>
  <si>
    <t>GHP25309</t>
  </si>
  <si>
    <t>CS20876410</t>
  </si>
  <si>
    <t>CT441-84020</t>
  </si>
  <si>
    <t>PROTECTOR PTE, ARAD</t>
  </si>
  <si>
    <t>GHP25310</t>
  </si>
  <si>
    <t>CS20876329</t>
  </si>
  <si>
    <t>GHP25311</t>
  </si>
  <si>
    <t>CS20879317</t>
  </si>
  <si>
    <t>CT354-05281</t>
  </si>
  <si>
    <t>E/H heating unit </t>
  </si>
  <si>
    <t>CA397-00342</t>
  </si>
  <si>
    <t>EAS-2086-52</t>
  </si>
  <si>
    <t>Power enable switch assembly</t>
  </si>
  <si>
    <t>GHP25312</t>
  </si>
  <si>
    <t>CS20879744</t>
  </si>
  <si>
    <t>GHP25313</t>
  </si>
  <si>
    <t>CS20879167</t>
  </si>
  <si>
    <t>GHP25314</t>
  </si>
  <si>
    <t>CS20880025</t>
  </si>
  <si>
    <t>DIGITAX DRIVER 1405 COATED</t>
  </si>
  <si>
    <t>0960-2325</t>
  </si>
  <si>
    <t>SM-UNIVERSAL ENCODER PLUS ROHS</t>
  </si>
  <si>
    <t>GHP25315</t>
  </si>
  <si>
    <t>CS20884005</t>
  </si>
  <si>
    <t>CT454-07820</t>
  </si>
  <si>
    <t>ITC COOLANT_LVL_SNS</t>
  </si>
  <si>
    <t>GHP25316</t>
  </si>
  <si>
    <t>CS20885069</t>
  </si>
  <si>
    <t>CU153-02448</t>
  </si>
  <si>
    <t>GAS SPRING 300N 250MM-STROKE 585MM-L</t>
  </si>
  <si>
    <t>GHP25317</t>
  </si>
  <si>
    <t>CS20884788</t>
  </si>
  <si>
    <t>GEAR MOTOR KW=0.55 2P UL-CSA PTC LUB</t>
  </si>
  <si>
    <t>GHP25318</t>
  </si>
  <si>
    <t>CS20885768</t>
  </si>
  <si>
    <t>SIDEBLOWER FLAT CABLE</t>
  </si>
  <si>
    <t>GHP25319</t>
  </si>
  <si>
    <t>CS20889731</t>
  </si>
  <si>
    <t>CT445-89880</t>
  </si>
  <si>
    <t>SG 12"-STAR GRIP LOWER ASSY</t>
  </si>
  <si>
    <t>GHP25320</t>
  </si>
  <si>
    <t>CS20889865</t>
  </si>
  <si>
    <t>CU498-03250</t>
  </si>
  <si>
    <t>SHEET SLIDING LEVER CPL</t>
  </si>
  <si>
    <t>CT446-33890</t>
  </si>
  <si>
    <t>GHP25322</t>
  </si>
  <si>
    <t>CS20890169</t>
  </si>
  <si>
    <t>CT597-00035</t>
  </si>
  <si>
    <t>GRIPPER</t>
  </si>
  <si>
    <t>CT597-00036</t>
  </si>
  <si>
    <t>GHP25323</t>
  </si>
  <si>
    <t>CS20890245</t>
  </si>
  <si>
    <t>PRESSURE TRANSMITTER</t>
  </si>
  <si>
    <t>GHP25324</t>
  </si>
  <si>
    <t>CS20890246</t>
  </si>
  <si>
    <t>CT445-92300</t>
  </si>
  <si>
    <t>CVC AIR FILTER WITH HANDLE</t>
  </si>
  <si>
    <t>GHP25325</t>
  </si>
  <si>
    <t>CS20893241</t>
  </si>
  <si>
    <t> SHEET, BELT PROTECTION( SET OF 2)</t>
  </si>
  <si>
    <t>CT443-55220</t>
  </si>
  <si>
    <t> DYNAMIC DECK SPRING(SET OF 3)</t>
  </si>
  <si>
    <t>GHP25326</t>
  </si>
  <si>
    <t>CS20893108</t>
  </si>
  <si>
    <t>CU150-01947</t>
  </si>
  <si>
    <t>BELT TIMING </t>
  </si>
  <si>
    <t>GHP25327</t>
  </si>
  <si>
    <t>CS20894371</t>
  </si>
  <si>
    <t>CU096-02873</t>
  </si>
  <si>
    <t>ACPMULTI VWRM 3.8A HV WS-SINGLE AXIS</t>
  </si>
  <si>
    <t>GHP25328</t>
  </si>
  <si>
    <t>CS20894783</t>
  </si>
  <si>
    <t>CT454-04843</t>
  </si>
  <si>
    <t xml:space="preserve">BID HV2 MODULE </t>
  </si>
  <si>
    <t>GHP25329</t>
  </si>
  <si>
    <t>CS20898564</t>
  </si>
  <si>
    <t>CU498-01611</t>
  </si>
  <si>
    <t>BELT FEEDER LP,PP,MR</t>
  </si>
  <si>
    <t>Transport Shaft PP MR</t>
  </si>
  <si>
    <t>CU498-01640</t>
  </si>
  <si>
    <t> CU498-01673</t>
  </si>
  <si>
    <t> CU498-01650</t>
  </si>
  <si>
    <t>Belt Synchronous 65MXL</t>
  </si>
  <si>
    <t>Shaft, Offsetter, CPL</t>
  </si>
  <si>
    <t> CT445-66660</t>
  </si>
  <si>
    <t>New Pattern NIP Roller Assembly</t>
  </si>
  <si>
    <t> CT490-17831</t>
  </si>
  <si>
    <t>Vacuum Belt</t>
  </si>
  <si>
    <t/>
  </si>
  <si>
    <t> CT445-06361</t>
  </si>
  <si>
    <t>Shaft, Driver Roller Assy, Eilat</t>
  </si>
  <si>
    <t> CT497-01600</t>
  </si>
  <si>
    <t>Scan Bar Optic</t>
  </si>
  <si>
    <t xml:space="preserve">Por </t>
  </si>
  <si>
    <t>PCA1 FMC</t>
  </si>
  <si>
    <t>GHP25330</t>
  </si>
  <si>
    <t>CS20899706</t>
  </si>
  <si>
    <t>SAFETY GRIPPER ASSY PGR</t>
  </si>
  <si>
    <t>GHP25331</t>
  </si>
  <si>
    <t>CS20880134</t>
  </si>
  <si>
    <t>CT356-24012</t>
  </si>
  <si>
    <t>MCN2 BOARD ASSEMBLY</t>
  </si>
  <si>
    <t>3140-1199</t>
  </si>
  <si>
    <t>Servostar CD drive</t>
  </si>
  <si>
    <t>GHP25332</t>
  </si>
  <si>
    <t>CS20897825</t>
  </si>
  <si>
    <t>GHP25333</t>
  </si>
  <si>
    <t>CS20898595</t>
  </si>
  <si>
    <t>CU150-01907</t>
  </si>
  <si>
    <t>Timing Belt 520MM - P _ LG 10MM - WD 260 Teeth</t>
  </si>
  <si>
    <t>GHP25334</t>
  </si>
  <si>
    <t>CS20897763</t>
  </si>
  <si>
    <t xml:space="preserve">CT344-01252 </t>
  </si>
  <si>
    <t xml:space="preserve">CARBON BRUSH CR ASSEMBLY </t>
  </si>
  <si>
    <t>GHP25335</t>
  </si>
  <si>
    <t>CS20905787</t>
  </si>
  <si>
    <t>CT454-05580</t>
  </si>
  <si>
    <t> EMA IMO PUMP</t>
  </si>
  <si>
    <t>GHP25336</t>
  </si>
  <si>
    <t>CS20909787</t>
  </si>
  <si>
    <t>CU150-01586</t>
  </si>
  <si>
    <t>COUPLING-LINEFLEX 50MM-ID 120MM-OD 638NM</t>
  </si>
  <si>
    <t>GHP25337</t>
  </si>
  <si>
    <t>CS20910004</t>
  </si>
  <si>
    <t>CA390-03711</t>
  </si>
  <si>
    <t>WH V2 (S) (R)</t>
  </si>
  <si>
    <t>GHP25338</t>
  </si>
  <si>
    <t>CS20984372</t>
  </si>
  <si>
    <t>CT490-16882</t>
  </si>
  <si>
    <t>KIT, NEW PLC910 &amp; FLASH PROG</t>
  </si>
  <si>
    <t>GHP25339</t>
  </si>
  <si>
    <t>CS20914772</t>
  </si>
  <si>
    <t xml:space="preserve">IDLER ASSEMBLY </t>
  </si>
  <si>
    <t>GHP25340</t>
  </si>
  <si>
    <t>CS20914734</t>
  </si>
  <si>
    <t>CT497-00170</t>
  </si>
  <si>
    <t xml:space="preserve">EVR FINGER 1.4MM </t>
  </si>
  <si>
    <t>GHP25341</t>
  </si>
  <si>
    <t>CS20928945</t>
  </si>
  <si>
    <t>GHP25343</t>
  </si>
  <si>
    <t>CS20943568</t>
  </si>
  <si>
    <t>CT445-37671</t>
  </si>
  <si>
    <t>CARBON BRUSH TOP ASSY - ITM</t>
  </si>
  <si>
    <t>GHP25344</t>
  </si>
  <si>
    <t>CS20944338</t>
  </si>
  <si>
    <t>GHP25345</t>
  </si>
  <si>
    <t>CS20944656</t>
  </si>
  <si>
    <t>CT445-64520</t>
  </si>
  <si>
    <t>IOS_DIRTY FLOATS ASSEMBLY</t>
  </si>
  <si>
    <t>GHP25346</t>
  </si>
  <si>
    <t>CS20913525</t>
  </si>
  <si>
    <t>E/H heating unit</t>
  </si>
  <si>
    <t>GHP25347</t>
  </si>
  <si>
    <t>CS20944688</t>
  </si>
  <si>
    <t>CU150-02084</t>
  </si>
  <si>
    <t xml:space="preserve">TORNADO BELT(SET OF 2) </t>
  </si>
  <si>
    <t>CT245-06210</t>
  </si>
  <si>
    <t>SENSOR IR REFLECT 70MM</t>
  </si>
  <si>
    <t>GHP25348</t>
  </si>
  <si>
    <t>CS20944620</t>
  </si>
  <si>
    <t>CT354-03821</t>
  </si>
  <si>
    <t> ICL ASSEMBLY</t>
  </si>
  <si>
    <t>GHP25349</t>
  </si>
  <si>
    <t>CS20949828</t>
  </si>
  <si>
    <t>BELT- TIMING 6MM</t>
  </si>
  <si>
    <t>GHP25350</t>
  </si>
  <si>
    <t>CS20949677</t>
  </si>
  <si>
    <t>GHP25351</t>
  </si>
  <si>
    <t>CS20950864</t>
  </si>
  <si>
    <t>CA446-43771</t>
  </si>
  <si>
    <t xml:space="preserve">TRASH IDLER ASSEMBLY BRIDGE </t>
  </si>
  <si>
    <t xml:space="preserve">CT545-06001 </t>
  </si>
  <si>
    <t>GHP25352</t>
  </si>
  <si>
    <t>CS20957768</t>
  </si>
  <si>
    <t>GHP25353</t>
  </si>
  <si>
    <t>CS20924193</t>
  </si>
  <si>
    <t xml:space="preserve">CU498-02050  </t>
  </si>
  <si>
    <t>LASER MODULE RED LINE</t>
  </si>
  <si>
    <t>CT454-12950</t>
  </si>
  <si>
    <t>GHP25354</t>
  </si>
  <si>
    <t>CS20899055</t>
  </si>
  <si>
    <t> COVER, SPINDLE</t>
  </si>
  <si>
    <t>GHP25355</t>
  </si>
  <si>
    <t>CS20899085</t>
  </si>
  <si>
    <t>CT454-07690</t>
  </si>
  <si>
    <t>IR IMP DRUM WIRED SER 4</t>
  </si>
  <si>
    <t>GHP25356</t>
  </si>
  <si>
    <t>CS20962048</t>
  </si>
  <si>
    <t>GHP25357</t>
  </si>
  <si>
    <t>CS20967905</t>
  </si>
  <si>
    <t>CT354-01561</t>
  </si>
  <si>
    <t>CABLE &amp; BRACKET C.S ASSY</t>
  </si>
  <si>
    <t>GHP25358</t>
  </si>
  <si>
    <t>CS20963922</t>
  </si>
  <si>
    <t>CU498-00201</t>
  </si>
  <si>
    <t>FAN RADIAL INCL. CABLE &amp; CONNECTOR</t>
  </si>
  <si>
    <t>GHP25359</t>
  </si>
  <si>
    <t>CS20963777</t>
  </si>
  <si>
    <t>CT345-52900</t>
  </si>
  <si>
    <t>TURBINE METER WITH FIITING</t>
  </si>
  <si>
    <t>GHP25360</t>
  </si>
  <si>
    <t>CS20951031</t>
  </si>
  <si>
    <t xml:space="preserve">HP INDIGO 12K </t>
  </si>
  <si>
    <t xml:space="preserve">CA492-01670 - S.NOTE FINGER GUARD EIC   FANS 10,20,30K   $17,64 </t>
  </si>
  <si>
    <t>GHP25361</t>
  </si>
  <si>
    <t>CS20983784</t>
  </si>
  <si>
    <t xml:space="preserve">CU498-01970 </t>
  </si>
  <si>
    <t>SPINDLE, CPL, R20-20K2-FSC</t>
  </si>
  <si>
    <t>CT468-65160</t>
  </si>
  <si>
    <t>GHP25362</t>
  </si>
  <si>
    <t>CS20989264</t>
  </si>
  <si>
    <t>CT342-01680</t>
  </si>
  <si>
    <t>IR HOLDER ITM DRUM</t>
  </si>
  <si>
    <t>GHP25363</t>
  </si>
  <si>
    <t>CS20990356</t>
  </si>
  <si>
    <t>CU498-01783</t>
  </si>
  <si>
    <t>PCA1 FEED MANAGEMENT CONTROLLER</t>
  </si>
  <si>
    <t>GHP25364</t>
  </si>
  <si>
    <t>CS20990584</t>
  </si>
  <si>
    <t>Sideblower Flat Cable</t>
  </si>
  <si>
    <t>GHP25365</t>
  </si>
  <si>
    <t>CS20990999</t>
  </si>
  <si>
    <t>GHP25366</t>
  </si>
  <si>
    <t>CS20991240</t>
  </si>
  <si>
    <t xml:space="preserve">CT446-00380 </t>
  </si>
  <si>
    <t xml:space="preserve">CT497-11260 </t>
  </si>
  <si>
    <t>IDU (FUJI) DRIVER, NORTHLAND MOT</t>
  </si>
  <si>
    <t>GHP25367</t>
  </si>
  <si>
    <t>CS20991313</t>
  </si>
  <si>
    <t>CT441-62522</t>
  </si>
  <si>
    <t>MACHINED FRONT CATCH TRAY</t>
  </si>
  <si>
    <t>GHP25368</t>
  </si>
  <si>
    <t>CS20996890</t>
  </si>
  <si>
    <t> CT445-43445</t>
  </si>
  <si>
    <t> CT445-53991</t>
  </si>
  <si>
    <t>BRAKE PIP IMP</t>
  </si>
  <si>
    <t>GHP25369</t>
  </si>
  <si>
    <t>CS20999574</t>
  </si>
  <si>
    <t>GHP25370</t>
  </si>
  <si>
    <t>CS21006098</t>
  </si>
  <si>
    <t xml:space="preserve">CT454-02830 </t>
  </si>
  <si>
    <t>GHP25371</t>
  </si>
  <si>
    <t>CS21004712</t>
  </si>
  <si>
    <t>Panasonic Darkon PNP Sensor</t>
  </si>
  <si>
    <t>GHP25372</t>
  </si>
  <si>
    <t>CS21010619</t>
  </si>
  <si>
    <t>NEW EBV BLOWER + SSR - FIRST REPLACEMENT KIT</t>
  </si>
  <si>
    <t>GHP25373</t>
  </si>
  <si>
    <t>CS20990081</t>
  </si>
  <si>
    <t>CT397-30970</t>
  </si>
  <si>
    <t>Front bearing web kit </t>
  </si>
  <si>
    <t>CT345-04805</t>
  </si>
  <si>
    <t>CT345-04815</t>
  </si>
  <si>
    <t>Bearing assembly, rear</t>
  </si>
  <si>
    <t>GHP25374</t>
  </si>
  <si>
    <t>CS20984362</t>
  </si>
  <si>
    <t>GHP25375</t>
  </si>
  <si>
    <t>CS21010808</t>
  </si>
  <si>
    <t>DIRECT PUMP 3/4</t>
  </si>
  <si>
    <t>GHP25376</t>
  </si>
  <si>
    <t>CS21010499</t>
  </si>
  <si>
    <t>SP, EBV SUCTION BLOWER FOR S3</t>
  </si>
  <si>
    <t>GHP25377</t>
  </si>
  <si>
    <t>CS21010724</t>
  </si>
  <si>
    <t xml:space="preserve">CL ST motor assembly </t>
  </si>
  <si>
    <t>GHP25378</t>
  </si>
  <si>
    <t>CS21010648</t>
  </si>
  <si>
    <t xml:space="preserve">MOTOR ASSEMBLY BID SEMI ENGAGE 1-5 </t>
  </si>
  <si>
    <t>GHP25379</t>
  </si>
  <si>
    <t>CS21012493</t>
  </si>
  <si>
    <t>RDU TUBE SEAL LONG NUT WELD ASSEMBLY</t>
  </si>
  <si>
    <t>GHP25380</t>
  </si>
  <si>
    <t>CS21016573</t>
  </si>
  <si>
    <t>CT397-30281</t>
  </si>
  <si>
    <t>Set, Zuwa pump for S3</t>
  </si>
  <si>
    <t>GHP25381</t>
  </si>
  <si>
    <t>CS21026269</t>
  </si>
  <si>
    <t>CT445-45273</t>
  </si>
  <si>
    <t>ENGAGE MOTOR FRONT 1-6 MR ASSEMBLY</t>
  </si>
  <si>
    <t>GHP25382</t>
  </si>
  <si>
    <t>CS21021764</t>
  </si>
  <si>
    <t>CT446-42800</t>
  </si>
  <si>
    <t>ITC ATMOR SP</t>
  </si>
  <si>
    <t>GHP25383</t>
  </si>
  <si>
    <t>CS21021726</t>
  </si>
  <si>
    <t>GHP25384</t>
  </si>
  <si>
    <t>CS21026038</t>
  </si>
  <si>
    <t>Feeder feed head - Tornado</t>
  </si>
  <si>
    <t>GHP25385</t>
  </si>
  <si>
    <t>CS21026347</t>
  </si>
  <si>
    <t>GHP25386</t>
  </si>
  <si>
    <t>CS21026517</t>
  </si>
  <si>
    <t>GHP25387</t>
  </si>
  <si>
    <t>CS21025968</t>
  </si>
  <si>
    <t>47100686 </t>
  </si>
  <si>
    <t>CT361-21070</t>
  </si>
  <si>
    <t>CableILS VHDCI W2107 assembly(S)</t>
  </si>
  <si>
    <t>FI ADAPTER ASSEMBLY</t>
  </si>
  <si>
    <t>GHP25388</t>
  </si>
  <si>
    <t>CS21027364</t>
  </si>
  <si>
    <t>TRANSPORT SHAFT PP MR</t>
  </si>
  <si>
    <t>GHP25389</t>
  </si>
  <si>
    <t>CS21030937</t>
  </si>
  <si>
    <t>ITS3&amp;ODS,11CLR:YMCK,OVG, W ,DIP,FPV,W.STAN</t>
  </si>
  <si>
    <t>GHP25390</t>
  </si>
  <si>
    <t>CS21031616</t>
  </si>
  <si>
    <t>GHP25391</t>
  </si>
  <si>
    <t>CS21032256</t>
  </si>
  <si>
    <t>GHP25392</t>
  </si>
  <si>
    <t>CS21032013</t>
  </si>
  <si>
    <t>COIL 24V 10W GEM - SOL R</t>
  </si>
  <si>
    <t>GHP25393</t>
  </si>
  <si>
    <t>CS21031742</t>
  </si>
  <si>
    <t> CS VISUAL - BELT 3MGT- 3 99-15 GATES</t>
  </si>
  <si>
    <t>GHP25394</t>
  </si>
  <si>
    <t>CS21032098</t>
  </si>
  <si>
    <t>CA354-01741</t>
  </si>
  <si>
    <t>IR ITM BLANKET</t>
  </si>
  <si>
    <t>CA354-01751</t>
  </si>
  <si>
    <t>IR ITM DRUM SENSOR</t>
  </si>
  <si>
    <t>GHP25395</t>
  </si>
  <si>
    <t>CS21038571</t>
  </si>
  <si>
    <t>CU498-04410</t>
  </si>
  <si>
    <t>SPRING NIP ROLLER</t>
  </si>
  <si>
    <t>GHP25396</t>
  </si>
  <si>
    <t>CS21012222</t>
  </si>
  <si>
    <t>LASER ENTREGUE E SUBSTITUIDO</t>
  </si>
  <si>
    <t>GHP25397</t>
  </si>
  <si>
    <t>CS21037383</t>
  </si>
  <si>
    <t>GHP25398</t>
  </si>
  <si>
    <t>CS21044510</t>
  </si>
  <si>
    <t> CT345-30332 </t>
  </si>
  <si>
    <t>ATMOR TOP ASSY</t>
  </si>
  <si>
    <t>CT345-30333</t>
  </si>
  <si>
    <t>GHP25399</t>
  </si>
  <si>
    <t>CS21044544</t>
  </si>
  <si>
    <t>CT001-22612</t>
  </si>
  <si>
    <t>PEELER ASSEMBLY  INPUT DPS</t>
  </si>
  <si>
    <t>CT001-22611</t>
  </si>
  <si>
    <t>GHP25400</t>
  </si>
  <si>
    <t>CS21047785</t>
  </si>
  <si>
    <t>CU096-03668</t>
  </si>
  <si>
    <t>4-PORT DOWNSTREAM USB 3. 0 HUB W/CDP</t>
  </si>
  <si>
    <t>CU096-06199</t>
  </si>
  <si>
    <t>CON25049</t>
  </si>
  <si>
    <t>GHP25401</t>
  </si>
  <si>
    <t>CS21047817</t>
  </si>
  <si>
    <t>DRIVER PUMP</t>
  </si>
  <si>
    <t>GHP25402</t>
  </si>
  <si>
    <t>CS21052506</t>
  </si>
  <si>
    <t>NAUTILAIR AND FILTER ASSEMBLY, EBV, 10000</t>
  </si>
  <si>
    <t>GHP25403</t>
  </si>
  <si>
    <t>CS21052823</t>
  </si>
  <si>
    <t>LIC PUMP ASSEMBLY PROCON</t>
  </si>
  <si>
    <t>GHP25404</t>
  </si>
  <si>
    <t>CS21056928</t>
  </si>
  <si>
    <t>GHP25405</t>
  </si>
  <si>
    <t>CS21054320</t>
  </si>
  <si>
    <t>SIDE BLOWER (ODM)</t>
  </si>
  <si>
    <t>GHP25406</t>
  </si>
  <si>
    <t>CS21017211</t>
  </si>
  <si>
    <t xml:space="preserve">CT397-30281 </t>
  </si>
  <si>
    <t>GHP25407</t>
  </si>
  <si>
    <t>CS21017270</t>
  </si>
  <si>
    <t>TURBINE METER WITH FITTINGS</t>
  </si>
  <si>
    <t>GHP25408</t>
  </si>
  <si>
    <t>CS21039022</t>
  </si>
  <si>
    <t>GHP25409</t>
  </si>
  <si>
    <t>CS21063760</t>
  </si>
  <si>
    <t>CT345-61130</t>
  </si>
  <si>
    <t>SG pump base assembly</t>
  </si>
  <si>
    <t>GHP25410</t>
  </si>
  <si>
    <t>CS21058775</t>
  </si>
  <si>
    <t>GHP25411</t>
  </si>
  <si>
    <t>CS21063635</t>
  </si>
  <si>
    <t> EVR Suction cups</t>
  </si>
  <si>
    <t>GHP25412</t>
  </si>
  <si>
    <t>CS21065579</t>
  </si>
  <si>
    <t>  INSULATED-FLOW-METER</t>
  </si>
  <si>
    <t>BID HV2 MODULE BOM</t>
  </si>
  <si>
    <t>CU498-02140</t>
  </si>
  <si>
    <t>KIT FUSE LITTELFUSE 5A</t>
  </si>
  <si>
    <t>CT490-14560</t>
  </si>
  <si>
    <t>MRO-0171-01</t>
  </si>
  <si>
    <t>O-ring Viton</t>
  </si>
  <si>
    <t>GHP25413</t>
  </si>
  <si>
    <t>CS21069614</t>
  </si>
  <si>
    <t>CT990-01230</t>
  </si>
  <si>
    <t>HOOD INTERLOCK SERIES S3</t>
  </si>
  <si>
    <t>GHP25414</t>
  </si>
  <si>
    <t>CS21037846</t>
  </si>
  <si>
    <t>CU310-03717</t>
  </si>
  <si>
    <t>SWITCH-RTRY BASIC TYPE F OR INSERT-MOUNT ROHS</t>
  </si>
  <si>
    <t>GHP25415</t>
  </si>
  <si>
    <t>CS21081182</t>
  </si>
  <si>
    <t>CU096-03069</t>
  </si>
  <si>
    <t>ACOPOSMULTI INVERTER UNIT 7.6A HV</t>
  </si>
  <si>
    <t>GHP25416</t>
  </si>
  <si>
    <t>CS20972985</t>
  </si>
  <si>
    <t>ITM bearing rear</t>
  </si>
  <si>
    <t>ITM Bearing Front</t>
  </si>
  <si>
    <t>GHP25417</t>
  </si>
  <si>
    <t>CS21080379</t>
  </si>
  <si>
    <t> SIDEBLOWER TURN FLAT CABLE</t>
  </si>
  <si>
    <t>GHP25418</t>
  </si>
  <si>
    <t>CS21081806</t>
  </si>
  <si>
    <t>PRINTZ</t>
  </si>
  <si>
    <t>SIDEBLOWER TURN FLAT CABLE</t>
  </si>
  <si>
    <t>GHP25419</t>
  </si>
  <si>
    <t>CS21081982</t>
  </si>
  <si>
    <t>CT354-05990</t>
  </si>
  <si>
    <t>SENSOR ASSY TYPE1</t>
  </si>
  <si>
    <t>EAS-2151-53</t>
  </si>
  <si>
    <t>GHP25420</t>
  </si>
  <si>
    <t>CS21082069</t>
  </si>
  <si>
    <t> ITC ATMOR SP</t>
  </si>
  <si>
    <t>GHP25421</t>
  </si>
  <si>
    <t>CS21080897</t>
  </si>
  <si>
    <t>S4 EVR SUCTION CUPS (SET OF 10) &amp; FOR PERFECTOR S3 10</t>
  </si>
  <si>
    <t>GHP25422</t>
  </si>
  <si>
    <t>CS21094315</t>
  </si>
  <si>
    <t>CU150-01913</t>
  </si>
  <si>
    <t>TIMING BELT 316MM-P-LG 1 0MM-WD 158 TEETH</t>
  </si>
  <si>
    <t>GHP25423</t>
  </si>
  <si>
    <t>CS21092988</t>
  </si>
  <si>
    <t>GHP25424</t>
  </si>
  <si>
    <t>CS21092779</t>
  </si>
  <si>
    <t>CT442-05110</t>
  </si>
  <si>
    <t>90 MM HOSE - UPPER EBV TO ELIPSE ADAPTOR- EBV</t>
  </si>
  <si>
    <t>Pronto em 02/09</t>
  </si>
  <si>
    <t>GHP25425</t>
  </si>
  <si>
    <t>CS21087034</t>
  </si>
  <si>
    <t>Final Setembro</t>
  </si>
  <si>
    <t>GHP25426</t>
  </si>
  <si>
    <t>CS21087082</t>
  </si>
  <si>
    <t>CU498-01851</t>
  </si>
  <si>
    <t>PCA1 Blower Distribution Board</t>
  </si>
  <si>
    <t xml:space="preserve">CU498-01730 </t>
  </si>
  <si>
    <t>SENSOR, PHOTOINTERRUPTER</t>
  </si>
  <si>
    <t>GHP25427</t>
  </si>
  <si>
    <t>CS21094405</t>
  </si>
  <si>
    <t>CT497-11350</t>
  </si>
  <si>
    <t>SET DLC FINGER AND ORING</t>
  </si>
  <si>
    <t xml:space="preserve">CT597-00102 </t>
  </si>
  <si>
    <t>GHP25428</t>
  </si>
  <si>
    <t>CS21094471</t>
  </si>
  <si>
    <t>LIC PUMP ASSY PROCON</t>
  </si>
  <si>
    <t>GHP25429</t>
  </si>
  <si>
    <t>CS21080777</t>
  </si>
  <si>
    <t>CT356-01080</t>
  </si>
  <si>
    <t>BOARD CIRC SOLID STATE RELAY</t>
  </si>
  <si>
    <t>GHP25430</t>
  </si>
  <si>
    <t>CS21080947</t>
  </si>
  <si>
    <t>CT340-93940</t>
  </si>
  <si>
    <t>LIC Housing, outlet, hose (black)</t>
  </si>
  <si>
    <t>CA397-00401</t>
  </si>
  <si>
    <t>BELT ROUND DIA 68MM ID (15 UNITS)</t>
  </si>
  <si>
    <t>GHP25431</t>
  </si>
  <si>
    <t>CS21099441</t>
  </si>
  <si>
    <t>CU096-03992</t>
  </si>
  <si>
    <t>DIGITAX CONTR 1401 ASSEMBLY WITH INSULAT</t>
  </si>
  <si>
    <t>GHP25432</t>
  </si>
  <si>
    <t>CS21102586</t>
  </si>
  <si>
    <t> CU150-01375</t>
  </si>
  <si>
    <t> BELT TIMING 3P 630L 6W RBR</t>
  </si>
  <si>
    <t>GHP25433</t>
  </si>
  <si>
    <t>CS21102616</t>
  </si>
  <si>
    <t>GHP25434</t>
  </si>
  <si>
    <t>CS21107167</t>
  </si>
  <si>
    <t> CT990-05190</t>
  </si>
  <si>
    <t>SP, SET FOR -Z PUMP</t>
  </si>
  <si>
    <t>CT990-05191</t>
  </si>
  <si>
    <t>GHP25435</t>
  </si>
  <si>
    <t>CS21104595</t>
  </si>
  <si>
    <t> CT345-20650 </t>
  </si>
  <si>
    <t>GHP25436</t>
  </si>
  <si>
    <t>CS21107761</t>
  </si>
  <si>
    <t>CU096-03302 </t>
  </si>
  <si>
    <t>GHP25437</t>
  </si>
  <si>
    <t>CS21107808</t>
  </si>
  <si>
    <t>CT497-11221</t>
  </si>
  <si>
    <t>G6 SINGLE WIPER TOP ASM</t>
  </si>
  <si>
    <t>CT497-11222</t>
  </si>
  <si>
    <t>GHP25438</t>
  </si>
  <si>
    <t>CS21107929</t>
  </si>
  <si>
    <t>CT446-29480</t>
  </si>
  <si>
    <t>KIT, BELT, FINGER(SET OF 2)</t>
  </si>
  <si>
    <t>GHP25439</t>
  </si>
  <si>
    <t>CS21107903</t>
  </si>
  <si>
    <t>CU498-01710</t>
  </si>
  <si>
    <t>TIMING BELT 420MM-P-LG 1 0MM-WD 84 TEETH</t>
  </si>
  <si>
    <t>GHP25440</t>
  </si>
  <si>
    <t>CS21111149</t>
  </si>
  <si>
    <t>GHP25441</t>
  </si>
  <si>
    <t>CS21110809</t>
  </si>
  <si>
    <t>CT445-49720</t>
  </si>
  <si>
    <t xml:space="preserve">IOS_HX ASSEMBLY  </t>
  </si>
  <si>
    <t>GHP25442</t>
  </si>
  <si>
    <t>CS21111330</t>
  </si>
  <si>
    <t>GHP25443</t>
  </si>
  <si>
    <t>CS21112371</t>
  </si>
  <si>
    <t>CT446-34751</t>
  </si>
  <si>
    <t>COUPLING, CS DRIVER SHAFT</t>
  </si>
  <si>
    <t>GHP25444</t>
  </si>
  <si>
    <t>CS21112530</t>
  </si>
  <si>
    <t>CU498-01730</t>
  </si>
  <si>
    <t>SENSOR, PHOTOINTERRUPTER, GL5</t>
  </si>
  <si>
    <t>GHP25445</t>
  </si>
  <si>
    <t>CON25041</t>
  </si>
  <si>
    <t>GHP25446</t>
  </si>
  <si>
    <t>CS21118745</t>
  </si>
  <si>
    <t>GHP25447</t>
  </si>
  <si>
    <t>CS21118768</t>
  </si>
  <si>
    <t>GHP25448</t>
  </si>
  <si>
    <t>CS21107839</t>
  </si>
  <si>
    <t>CT446-29260</t>
  </si>
  <si>
    <t>X-Align Assembly (Feeder Bridge )</t>
  </si>
  <si>
    <t>GHP25449</t>
  </si>
  <si>
    <t xml:space="preserve">CA492-01520 - S.NOTE FRONT DOOR MECH A ND PARS SCREWS 10,20,30K    $290,70 </t>
  </si>
  <si>
    <t>GHP25450</t>
  </si>
  <si>
    <t>CS21119024</t>
  </si>
  <si>
    <t>MFF-3068-02</t>
  </si>
  <si>
    <t>UNION FEMALE 1/4" BSP BRASS</t>
  </si>
  <si>
    <t>GHP25451</t>
  </si>
  <si>
    <t>CS21122015</t>
  </si>
  <si>
    <t>TRANS.SHAFT WITH SELF AL IGNMENT BEARING-SHANI &amp;</t>
  </si>
  <si>
    <t>GHP25452</t>
  </si>
  <si>
    <t>CS21122443</t>
  </si>
  <si>
    <t>GHP25453</t>
  </si>
  <si>
    <t>CS21122605</t>
  </si>
  <si>
    <t>Enviar para PRINTI</t>
  </si>
  <si>
    <t>GHP25454</t>
  </si>
  <si>
    <t>CS21123000</t>
  </si>
  <si>
    <t>GHP25455</t>
  </si>
  <si>
    <t>CS21122680</t>
  </si>
  <si>
    <t>CT345-23453</t>
  </si>
  <si>
    <t>EBM mechanism assembly</t>
  </si>
  <si>
    <t>GHP25456</t>
  </si>
  <si>
    <t>CS21125799</t>
  </si>
  <si>
    <t>GHP25457</t>
  </si>
  <si>
    <t>CS21125751</t>
  </si>
  <si>
    <t>CT444-75240</t>
  </si>
  <si>
    <t>S-Path</t>
  </si>
  <si>
    <t>GHP25458</t>
  </si>
  <si>
    <t>CS21126305</t>
  </si>
  <si>
    <t xml:space="preserve">CA446-33410 </t>
  </si>
  <si>
    <t>222_520_521-01_A_MODEL_1 2</t>
  </si>
  <si>
    <t xml:space="preserve">CU498-04162 </t>
  </si>
  <si>
    <t>GHP25459</t>
  </si>
  <si>
    <t>CS21126519</t>
  </si>
  <si>
    <t>CA441-92550</t>
  </si>
  <si>
    <t>TRAY CONNECTOR TO BACK WALL, G CS</t>
  </si>
  <si>
    <t>GHP25460</t>
  </si>
  <si>
    <t>CS21127095</t>
  </si>
  <si>
    <t>GHP25461</t>
  </si>
  <si>
    <t>CS21132952</t>
  </si>
  <si>
    <t>GHP25462</t>
  </si>
  <si>
    <t>CS21132888</t>
  </si>
  <si>
    <t>GHP25463</t>
  </si>
  <si>
    <t>CS21132581</t>
  </si>
  <si>
    <t>CU150-01910</t>
  </si>
  <si>
    <t>TIMING BELT 278MM-P-LG 10MM-WD 139 TEETH</t>
  </si>
  <si>
    <t>GHP25464</t>
  </si>
  <si>
    <t>CS21129480</t>
  </si>
  <si>
    <t>GHP25465</t>
  </si>
  <si>
    <t>CS21127217</t>
  </si>
  <si>
    <t>CU010-02906</t>
  </si>
  <si>
    <t>VALVE-ASSEMBLY AIR 3/2 1/4NPSF 24VDC</t>
  </si>
  <si>
    <t>CU010-02553</t>
  </si>
  <si>
    <t>REDUCER 8MM-DIA-TUBE 6MM-DIA-TUBE</t>
  </si>
  <si>
    <t>CT445-55682</t>
  </si>
  <si>
    <t>PRESSURE REGULATOR ASSEMBLY</t>
  </si>
  <si>
    <t>GHP25466</t>
  </si>
  <si>
    <t>CS21137783</t>
  </si>
  <si>
    <t>CT454-03800</t>
  </si>
  <si>
    <t>EXIT PROXIMITY SENSOR</t>
  </si>
  <si>
    <t>GHP25467</t>
  </si>
  <si>
    <t>CS21137944</t>
  </si>
  <si>
    <t>GHP25468</t>
  </si>
  <si>
    <t>CS21138366</t>
  </si>
  <si>
    <t xml:space="preserve">CA461-19811  </t>
  </si>
  <si>
    <t xml:space="preserve">ILS CABLE SCANNER UP </t>
  </si>
  <si>
    <t>GHP25469</t>
  </si>
  <si>
    <t>CS21137992</t>
  </si>
  <si>
    <t>GHP25470</t>
  </si>
  <si>
    <t>CS21142731</t>
  </si>
  <si>
    <t>BELT-TIMMING 6MM WD 2061 MM GRV LG</t>
  </si>
  <si>
    <t>GHP25471</t>
  </si>
  <si>
    <t>CS21141947</t>
  </si>
  <si>
    <t>PUW CHUCK SENSOR EMA ASSEMBLY</t>
  </si>
  <si>
    <t>GHP25472</t>
  </si>
  <si>
    <t>CS21145389</t>
  </si>
  <si>
    <t>CU498-04280</t>
  </si>
  <si>
    <t>BELT, SYNCHRONOUS, 100 S2M 316 NG</t>
  </si>
  <si>
    <t>GHP25473</t>
  </si>
  <si>
    <t>CS21145336</t>
  </si>
  <si>
    <t>CU153-02621</t>
  </si>
  <si>
    <t>GAS SPRING 650N 225</t>
  </si>
  <si>
    <t>CU153-02620</t>
  </si>
  <si>
    <t>GAS SPRING 850N 400L</t>
  </si>
  <si>
    <t>CU498-03040</t>
  </si>
  <si>
    <t>CU153-02487</t>
  </si>
  <si>
    <t>GAS SPRING COM 300N 300STK</t>
  </si>
  <si>
    <t>GHP25474</t>
  </si>
  <si>
    <t>CA492-01530</t>
  </si>
  <si>
    <t> S.NOTE FEEDER BRIDGE LOCKING MECHANISM 1X000</t>
  </si>
  <si>
    <t xml:space="preserve">CA492-01530 -  S.NOTE FEEDER BRIDGE LOCKING MECHANISM 1X000   $666,63 </t>
  </si>
  <si>
    <t>GHP25475</t>
  </si>
  <si>
    <t>CS21146780</t>
  </si>
  <si>
    <t>CT497-06531</t>
  </si>
  <si>
    <t>ECO PUW chuck on core sensor</t>
  </si>
  <si>
    <t>GHP25476</t>
  </si>
  <si>
    <t>CS21146704</t>
  </si>
  <si>
    <t>CT345-41540 </t>
  </si>
  <si>
    <t>Sensor ruler water</t>
  </si>
  <si>
    <t>GHP25477</t>
  </si>
  <si>
    <t>CS21146966</t>
  </si>
  <si>
    <t xml:space="preserve">CA492-01530 - S.NOTE FEEDER BRIDGE LOCKING MECHANISM 1X000   $666,63 </t>
  </si>
  <si>
    <t>GHP25478</t>
  </si>
  <si>
    <t>CS21149678</t>
  </si>
  <si>
    <t>CT468-29990</t>
  </si>
  <si>
    <t>COVER HANDLE</t>
  </si>
  <si>
    <t>GHP25479</t>
  </si>
  <si>
    <t>CS21149372</t>
  </si>
  <si>
    <t>GHP25480</t>
  </si>
  <si>
    <t>CS21150397</t>
  </si>
  <si>
    <t>CA456-00734</t>
  </si>
  <si>
    <t>VCORN 5 ASSEMBLY</t>
  </si>
  <si>
    <t>BRUNO HASSE</t>
  </si>
  <si>
    <t>CT456-00735</t>
  </si>
  <si>
    <t>CON25036</t>
  </si>
  <si>
    <t>GHP25481</t>
  </si>
  <si>
    <t>CS21150032</t>
  </si>
  <si>
    <t>GHP25482</t>
  </si>
  <si>
    <t>CS21150803</t>
  </si>
  <si>
    <t>BRASMOLDE</t>
  </si>
  <si>
    <t>THIAGO DEMETRIO</t>
  </si>
  <si>
    <t>GHP25483</t>
  </si>
  <si>
    <t>CS21249444</t>
  </si>
  <si>
    <t>CT446-17464</t>
  </si>
  <si>
    <t>CR HOUSING</t>
  </si>
  <si>
    <t>GHP25484</t>
  </si>
  <si>
    <t>CS21137851</t>
  </si>
  <si>
    <t> CT445-27164</t>
  </si>
  <si>
    <t>IMP MOTOR (ROTOR SPACER) ASSY</t>
  </si>
  <si>
    <t>CT445-24913</t>
  </si>
  <si>
    <t>I.O. FILTER PUMP ASSWEMBLY</t>
  </si>
  <si>
    <t>CU096-02919</t>
  </si>
  <si>
    <t>X20 SAFE DIGITAL INPUT MODULE</t>
  </si>
  <si>
    <t>SENSOR PHOTOINTERRUPTOR</t>
  </si>
  <si>
    <t>IMO PUMP SILICA CS PUMP</t>
  </si>
  <si>
    <t>CT445-29380</t>
  </si>
  <si>
    <t>IMP ENCOD HEAD ASSY</t>
  </si>
  <si>
    <t>CT454-04751</t>
  </si>
  <si>
    <t>POWER LINE FILTER ASSY</t>
  </si>
  <si>
    <t> CA460-30351</t>
  </si>
  <si>
    <t>CABLE W35</t>
  </si>
  <si>
    <t>GHP25485</t>
  </si>
  <si>
    <t>CS21158911</t>
  </si>
  <si>
    <t>GHP25486</t>
  </si>
  <si>
    <t>CS21158373</t>
  </si>
  <si>
    <t>GHP25487</t>
  </si>
  <si>
    <t>CS21159691</t>
  </si>
  <si>
    <t>CT441-66641</t>
  </si>
  <si>
    <t>FLOOR- LEAF (50DEG, 9MM HOLE)</t>
  </si>
  <si>
    <t>GHP25488</t>
  </si>
  <si>
    <t>CS21159938</t>
  </si>
  <si>
    <t>S4 EVR SUCTION CUPS (SET OF 10) &amp; FOR PERFECTOR S3</t>
  </si>
  <si>
    <t>GHP25489</t>
  </si>
  <si>
    <t>CS21104152</t>
  </si>
  <si>
    <t>UNIGRAFICA</t>
  </si>
  <si>
    <t>CU150-01209</t>
  </si>
  <si>
    <t>COUPLER SHORT RESIN TYPE 21.4-MM-LG ROHS</t>
  </si>
  <si>
    <t>GHP25490</t>
  </si>
  <si>
    <t>CS21162889</t>
  </si>
  <si>
    <t xml:space="preserve">CU150-01487 </t>
  </si>
  <si>
    <t>GHP25491</t>
  </si>
  <si>
    <t>CS21164772</t>
  </si>
  <si>
    <t>CU096-03516</t>
  </si>
  <si>
    <t>CORONA GENERATOR 220-240</t>
  </si>
  <si>
    <t>GHP25492</t>
  </si>
  <si>
    <t>CS21164998</t>
  </si>
  <si>
    <t>CT345-67290 </t>
  </si>
  <si>
    <t>INK TANK SUB-ASSEMBLY</t>
  </si>
  <si>
    <t>GHP25493</t>
  </si>
  <si>
    <t>CS21168924</t>
  </si>
  <si>
    <t>CU314-01474</t>
  </si>
  <si>
    <t>MOTOR SERVO 2000RPM 1.2N</t>
  </si>
  <si>
    <t>GHP25494</t>
  </si>
  <si>
    <t>CS21177563</t>
  </si>
  <si>
    <t>PRESSURE TRANSMITTER 0- 10BAR</t>
  </si>
  <si>
    <t>ROTATING VANE FLOW METER</t>
  </si>
  <si>
    <t>GHP25495</t>
  </si>
  <si>
    <t>CS21178333</t>
  </si>
  <si>
    <t>CT342-01690</t>
  </si>
  <si>
    <t>IR HOLDER - BLANKET</t>
  </si>
  <si>
    <t>GHP25496</t>
  </si>
  <si>
    <t>CS21178611</t>
  </si>
  <si>
    <t>PUMP GEAR ASSEMBLY, WIRED</t>
  </si>
  <si>
    <t>GHP25497</t>
  </si>
  <si>
    <t>CS21185362</t>
  </si>
  <si>
    <t>FORMA CERTA</t>
  </si>
  <si>
    <t>CU150-01923</t>
  </si>
  <si>
    <t>HIGH RIGIDITY OLDHAM COUPLING D14 32NM</t>
  </si>
  <si>
    <t>CT544-19590</t>
  </si>
  <si>
    <t>CAM &amp; BEARINGS ASSEMBLY</t>
  </si>
  <si>
    <t>GHP25498</t>
  </si>
  <si>
    <t>CS21188144</t>
  </si>
  <si>
    <t xml:space="preserve">CT990-04870  </t>
  </si>
  <si>
    <t>NEW EBV BLOWER + SSR - FIRST REPLACEMENT KIT</t>
  </si>
  <si>
    <t>GHP25499</t>
  </si>
  <si>
    <t>CS21188592</t>
  </si>
  <si>
    <t>BELT, S PAPER PATH</t>
  </si>
  <si>
    <t>GHP25500</t>
  </si>
  <si>
    <t>CS21153151</t>
  </si>
  <si>
    <t>GHP25501</t>
  </si>
  <si>
    <t>CS21190243</t>
  </si>
  <si>
    <t>IDU TANK ASSY -M1 SP HNV S WITHOUT IDU CUP</t>
  </si>
  <si>
    <t>CT497-06550</t>
  </si>
  <si>
    <t>GHP25502</t>
  </si>
  <si>
    <t>CS21194623</t>
  </si>
  <si>
    <t>GHP25503</t>
  </si>
  <si>
    <t>CS21194705</t>
  </si>
  <si>
    <t>CT445-15210</t>
  </si>
  <si>
    <t>SHAFT LOWER SPIN ASSY</t>
  </si>
  <si>
    <t>GHP25504</t>
  </si>
  <si>
    <t>CS21194874</t>
  </si>
  <si>
    <t>GHP25505</t>
  </si>
  <si>
    <t>CS21221874</t>
  </si>
  <si>
    <t>CT354-02001</t>
  </si>
  <si>
    <t>A/C COOLING BLOWER WIRED</t>
  </si>
  <si>
    <t>RICHARD KEVIN</t>
  </si>
  <si>
    <t>1836-0292</t>
  </si>
  <si>
    <t>IC Sensor Ultrasonic</t>
  </si>
  <si>
    <t>GHP25506</t>
  </si>
  <si>
    <t>CS21198474</t>
  </si>
  <si>
    <t>GHP25507</t>
  </si>
  <si>
    <t>CS21200119</t>
  </si>
  <si>
    <t>GHP25508</t>
  </si>
  <si>
    <t>HP INDIGO WS6800</t>
  </si>
  <si>
    <t>CA392-02850</t>
  </si>
  <si>
    <t xml:space="preserve">S.NOTE ESD ELIMINATION F ROM OIL FILTER PIPES </t>
  </si>
  <si>
    <t xml:space="preserve">CA392-02850 - S.NOTE ESD ELIMINATION F ROM OIL FILTER PIPES    $575,04 </t>
  </si>
  <si>
    <t>GHP25509</t>
  </si>
  <si>
    <t xml:space="preserve">HP INDIGO 15K </t>
  </si>
  <si>
    <t>CT990-05040</t>
  </si>
  <si>
    <t>S.NOTE PC DUST PREVENTION KIT</t>
  </si>
  <si>
    <t xml:space="preserve">CT990-05040 - S.NOTE PC DUST PREVENTION KIT   $78,41 </t>
  </si>
  <si>
    <t>GHP25510</t>
  </si>
  <si>
    <t>CS21204925</t>
  </si>
  <si>
    <t>GHP25511</t>
  </si>
  <si>
    <t>CS21203576</t>
  </si>
  <si>
    <t>CT446-44540</t>
  </si>
  <si>
    <t>CS-G7 HOUSING ASM 2/3</t>
  </si>
  <si>
    <t>CT446-55050</t>
  </si>
  <si>
    <t>GHP25512</t>
  </si>
  <si>
    <t>CS21203495</t>
  </si>
  <si>
    <t xml:space="preserve">SET,  CABLE FMC TO EDGE CON FEED MODULE (S) </t>
  </si>
  <si>
    <t>CON26013</t>
  </si>
  <si>
    <t>GHP25513</t>
  </si>
  <si>
    <t>CS21203789</t>
  </si>
  <si>
    <t>CT490-22881</t>
  </si>
  <si>
    <t>IMO_SEG_PUMP</t>
  </si>
  <si>
    <t>GHP25514</t>
  </si>
  <si>
    <t>CS21205173</t>
  </si>
  <si>
    <t>INSTALADO COM BLOWER EMPRESTADO PELA VALGROUP</t>
  </si>
  <si>
    <t>GHP25515</t>
  </si>
  <si>
    <t>CS21205307</t>
  </si>
  <si>
    <t>CA345-20660</t>
  </si>
  <si>
    <t>COUPLING-CLUTCH</t>
  </si>
  <si>
    <t>GHP25516</t>
  </si>
  <si>
    <t>CS21209955</t>
  </si>
  <si>
    <t>DUPLEX DVC BELTS</t>
  </si>
  <si>
    <t>GHP25517</t>
  </si>
  <si>
    <t>CS21210063</t>
  </si>
  <si>
    <t>SIDE BLOWER, CPL</t>
  </si>
  <si>
    <t>GHP25518</t>
  </si>
  <si>
    <t>CS21217342</t>
  </si>
  <si>
    <t>CU498-01902 </t>
  </si>
  <si>
    <t>Peça que era da P+E foi enviada para a ÓTIMA</t>
  </si>
  <si>
    <t>GHP25519</t>
  </si>
  <si>
    <t>CS21217185</t>
  </si>
  <si>
    <t>PULLY IDLER ASSEMBLY BRIDGE</t>
  </si>
  <si>
    <t>BELT TIMING 5MM -P 9MM W 2100 PITCH LG</t>
  </si>
  <si>
    <t>CARTRIDGE 400CCMFILLED WITH FAG</t>
  </si>
  <si>
    <t>GHP25520</t>
  </si>
  <si>
    <t>CS21217160</t>
  </si>
  <si>
    <t xml:space="preserve">1500-1147 </t>
  </si>
  <si>
    <t>BELT-GEAR 15-MM-WD 5-MM</t>
  </si>
  <si>
    <t>GHP25521</t>
  </si>
  <si>
    <t>CS21221136</t>
  </si>
  <si>
    <t xml:space="preserve">Engine Door Support Brackets and PARS Robust Screws </t>
  </si>
  <si>
    <t xml:space="preserve">CA492-01520 - S.Note Engine Door Support Brackets and PARS Robust Screws    $145,35 </t>
  </si>
  <si>
    <t>GHP25522</t>
  </si>
  <si>
    <t>CS21220056</t>
  </si>
  <si>
    <t>CS VISUAL - BELT 3MGT- 3 99-15 GATES</t>
  </si>
  <si>
    <t>GHP25523</t>
  </si>
  <si>
    <t>CS21220805</t>
  </si>
  <si>
    <t>1530-2649</t>
  </si>
  <si>
    <t>GAS SPRING 400N 60MM-STROKE</t>
  </si>
  <si>
    <t xml:space="preserve">CU153-02649 </t>
  </si>
  <si>
    <t>GHP25525</t>
  </si>
  <si>
    <t>CS21229935</t>
  </si>
  <si>
    <t>GHP25526</t>
  </si>
  <si>
    <t>GHP25527</t>
  </si>
  <si>
    <t>CS21230031</t>
  </si>
  <si>
    <t>CT345-60431</t>
  </si>
  <si>
    <t>FRONT COVER CERAMIC C.R ASSEMBLY </t>
  </si>
  <si>
    <t>CT345-60411</t>
  </si>
  <si>
    <t>REAR COVER CERAMIC CR ASSEMBLY</t>
  </si>
  <si>
    <t>GHP25528</t>
  </si>
  <si>
    <t>CS21230098</t>
  </si>
  <si>
    <t>CU144-00629</t>
  </si>
  <si>
    <t>HANDLE-ABS 4.84-LG 1.84</t>
  </si>
  <si>
    <t>CT446-05392</t>
  </si>
  <si>
    <t>IOS-SERVICE TANK</t>
  </si>
  <si>
    <t>GHP25529</t>
  </si>
  <si>
    <t>CS21226187</t>
  </si>
  <si>
    <t>GHP25530</t>
  </si>
  <si>
    <t>CS21234951</t>
  </si>
  <si>
    <t>CT446-09023</t>
  </si>
  <si>
    <t>INK PUMP TOP ASSEMBLY</t>
  </si>
  <si>
    <t>GHP25531</t>
  </si>
  <si>
    <t>CS21236798</t>
  </si>
  <si>
    <t>MAINTENANCE KIT SER 3 ZUWA PUMP BLACK IMPELLER</t>
  </si>
  <si>
    <t>GHP25532</t>
  </si>
  <si>
    <t>CS21240808</t>
  </si>
  <si>
    <t>GHP25533</t>
  </si>
  <si>
    <t>CS21241934</t>
  </si>
  <si>
    <t>CA454-03772</t>
  </si>
  <si>
    <t>HOME SENSOR ASSY</t>
  </si>
  <si>
    <t>GHP25534</t>
  </si>
  <si>
    <t>CS21241308</t>
  </si>
  <si>
    <t>CU498-02500</t>
  </si>
  <si>
    <t>BLDC MOTOR WITH GEARWHEEL ADAPTER</t>
  </si>
  <si>
    <t>CT446-29550</t>
  </si>
  <si>
    <t>GHP25535</t>
  </si>
  <si>
    <t>CS21245419</t>
  </si>
  <si>
    <t>SCAN BAR OPTIC</t>
  </si>
  <si>
    <t>GHP25536</t>
  </si>
  <si>
    <t>CS21245404</t>
  </si>
  <si>
    <t>IMO SEG PUMP</t>
  </si>
  <si>
    <t>GHP25537</t>
  </si>
  <si>
    <t>CS21244976</t>
  </si>
  <si>
    <t>CT443-00970</t>
  </si>
  <si>
    <t>3" KEY TYPE AIR CHUCK</t>
  </si>
  <si>
    <t>GHP25538</t>
  </si>
  <si>
    <t xml:space="preserve">CS21246644 </t>
  </si>
  <si>
    <t xml:space="preserve">CT345-51411 </t>
  </si>
  <si>
    <t>GHP25539</t>
  </si>
  <si>
    <t>CS21251059</t>
  </si>
  <si>
    <t>CON25044</t>
  </si>
  <si>
    <t>GHP25540</t>
  </si>
  <si>
    <t>CS21270890</t>
  </si>
  <si>
    <t>CA461-25560</t>
  </si>
  <si>
    <t>SPM USB Cable</t>
  </si>
  <si>
    <t xml:space="preserve">CA461-25562 </t>
  </si>
  <si>
    <t>GHP25541</t>
  </si>
  <si>
    <t>CS21270720</t>
  </si>
  <si>
    <t>CU010-03214</t>
  </si>
  <si>
    <t>VALVE-SOLENOID 5 PORT DIRECT PIPING</t>
  </si>
  <si>
    <t>GHP25542</t>
  </si>
  <si>
    <t>CS21294982</t>
  </si>
  <si>
    <t xml:space="preserve">HP INDIGO 100K </t>
  </si>
  <si>
    <t>CT990-02550</t>
  </si>
  <si>
    <t>S.NOTE STACKING QUALITY  ENHANCEMENT, 100K</t>
  </si>
  <si>
    <t xml:space="preserve">CT990-02550 - S.NOTE STACKING QUALITY  ENHANCEMENT, 100K   $2.051,01 </t>
  </si>
  <si>
    <t>GHP25543</t>
  </si>
  <si>
    <t>CS21298987</t>
  </si>
  <si>
    <t>MBA-0416-50</t>
  </si>
  <si>
    <t>SCREW ALLEN M4X16</t>
  </si>
  <si>
    <t>2190-1251</t>
  </si>
  <si>
    <t>WASHER M4 STEEL ZINE FLAKE COATED</t>
  </si>
  <si>
    <t>GHP25544</t>
  </si>
  <si>
    <t>CS21289115</t>
  </si>
  <si>
    <t>GHP25545</t>
  </si>
  <si>
    <t>CS21280639</t>
  </si>
  <si>
    <t>CT497-00821</t>
  </si>
  <si>
    <t>DCB400 WITH SSR ASSEMBLY SET</t>
  </si>
  <si>
    <t>GHP25546</t>
  </si>
  <si>
    <t>CS21261277</t>
  </si>
  <si>
    <t>GHP25547</t>
  </si>
  <si>
    <t>CS21280536</t>
  </si>
  <si>
    <t>SIDE BLOWER</t>
  </si>
  <si>
    <t>GHP25548</t>
  </si>
  <si>
    <t>CS21251333</t>
  </si>
  <si>
    <t>CT468-30800</t>
  </si>
  <si>
    <t>HOLDER, BOX</t>
  </si>
  <si>
    <t>CU498-02022</t>
  </si>
  <si>
    <t>AXLE-ASM EJECT-MODULE WITH SPRINGS</t>
  </si>
  <si>
    <t>GHP25549</t>
  </si>
  <si>
    <t>CS21249387</t>
  </si>
  <si>
    <t>CARBON BRUSH C.R. ASSEMBLY</t>
  </si>
  <si>
    <t>GHP25550</t>
  </si>
  <si>
    <t>CS21249449</t>
  </si>
  <si>
    <t>GHP25551</t>
  </si>
  <si>
    <t>CS21249498</t>
  </si>
  <si>
    <t>GHP25552</t>
  </si>
  <si>
    <t>CS21266710</t>
  </si>
  <si>
    <t>DRIVE DCT1402 PLUS</t>
  </si>
  <si>
    <t>GHP25553</t>
  </si>
  <si>
    <t>CS21266412</t>
  </si>
  <si>
    <t>TIMING BELT 278MM-P-LG 1 0MM-WD 139 TEETH</t>
  </si>
  <si>
    <t>GHP25554</t>
  </si>
  <si>
    <t>CS21300201</t>
  </si>
  <si>
    <t>PUMO ASSEMBLY - LIC</t>
  </si>
  <si>
    <t>GHP25556</t>
  </si>
  <si>
    <t>CS21280673</t>
  </si>
  <si>
    <t>GHP25557</t>
  </si>
  <si>
    <t>CS21275574</t>
  </si>
  <si>
    <t>COVER SPINDLE</t>
  </si>
  <si>
    <t>GHP25558</t>
  </si>
  <si>
    <t>CS21280547</t>
  </si>
  <si>
    <t>CARBON BRUSH TOP ASSY</t>
  </si>
  <si>
    <t>GHP25559</t>
  </si>
  <si>
    <t>CS21293769</t>
  </si>
  <si>
    <t>GHP25560</t>
  </si>
  <si>
    <t>CS21300267</t>
  </si>
  <si>
    <t>180MM AND 250MM HOSE- EH SUCTION TO ENGINE</t>
  </si>
  <si>
    <t>GHP25561</t>
  </si>
  <si>
    <t>CS21270683</t>
  </si>
  <si>
    <t>CU010-02972</t>
  </si>
  <si>
    <t>VALVE-HAND 3/2 M5 HAND ACT</t>
  </si>
  <si>
    <t>GHP25562</t>
  </si>
  <si>
    <t>GHP25563</t>
  </si>
  <si>
    <t>CS21276108</t>
  </si>
  <si>
    <t>GHP25564</t>
  </si>
  <si>
    <t>CS21274436</t>
  </si>
  <si>
    <t>0957-2222</t>
  </si>
  <si>
    <t>POWER SUPPLY</t>
  </si>
  <si>
    <t>GHP25565</t>
  </si>
  <si>
    <t>CS21293569</t>
  </si>
  <si>
    <t>GHP25566</t>
  </si>
  <si>
    <t>CS21293956</t>
  </si>
  <si>
    <t>CT490-03508</t>
  </si>
  <si>
    <t>EH &amp; EBV PIPES</t>
  </si>
  <si>
    <t>PENDENTE. ENVIAR PEÇA QUE VIRÁ PARA REPOR PLASUTIL. GHP25729</t>
  </si>
  <si>
    <t>GHP25567</t>
  </si>
  <si>
    <t>CS21293441</t>
  </si>
  <si>
    <t>CT397-30020</t>
  </si>
  <si>
    <t>TURBINE  UG KIT FOR S3</t>
  </si>
  <si>
    <t>GHP25568</t>
  </si>
  <si>
    <t>CS21308065</t>
  </si>
  <si>
    <t>CT490-20910</t>
  </si>
  <si>
    <t>POWER SUPPLY 36-80V 3 PHASES 13.5A</t>
  </si>
  <si>
    <t>GHP25569</t>
  </si>
  <si>
    <t>CS21308695</t>
  </si>
  <si>
    <t>CT446-28760</t>
  </si>
  <si>
    <t>REAR LOWER SR SHAFT ASSY</t>
  </si>
  <si>
    <t>GHP25570</t>
  </si>
  <si>
    <t>CS21310221</t>
  </si>
  <si>
    <t>SWITCH-PROXIMITY-SENSOR 1A 30VAC ROHS</t>
  </si>
  <si>
    <t>GHP25571</t>
  </si>
  <si>
    <t>CS21307974</t>
  </si>
  <si>
    <t>CU153-02605</t>
  </si>
  <si>
    <t>não</t>
  </si>
  <si>
    <t>CON25040 &amp; CON26001</t>
  </si>
  <si>
    <t>GHP25572</t>
  </si>
  <si>
    <t>CS21305304</t>
  </si>
  <si>
    <t>CT441-58940</t>
  </si>
  <si>
    <t>STRONGER DUPLEX BUSHINGS</t>
  </si>
  <si>
    <t>GHP25573</t>
  </si>
  <si>
    <t>CS21305331</t>
  </si>
  <si>
    <t>S</t>
  </si>
  <si>
    <t>GHP25574</t>
  </si>
  <si>
    <t>CS21305341</t>
  </si>
  <si>
    <t>GHP25575</t>
  </si>
  <si>
    <t>CS21305349</t>
  </si>
  <si>
    <t>GHP25576</t>
  </si>
  <si>
    <t>CS21305355</t>
  </si>
  <si>
    <t>GHP25577</t>
  </si>
  <si>
    <t>CS21305360</t>
  </si>
  <si>
    <t>GHP25578</t>
  </si>
  <si>
    <t>CS21305361</t>
  </si>
  <si>
    <t>GHP25579</t>
  </si>
  <si>
    <t>CS21305378</t>
  </si>
  <si>
    <t>GHP25580</t>
  </si>
  <si>
    <t>CS21305381</t>
  </si>
  <si>
    <t>GHP25581</t>
  </si>
  <si>
    <t>CS21305384</t>
  </si>
  <si>
    <t>GHP25582</t>
  </si>
  <si>
    <t>CS21305386</t>
  </si>
  <si>
    <t>GHP25583</t>
  </si>
  <si>
    <t>CS21305389</t>
  </si>
  <si>
    <t>GHP25584</t>
  </si>
  <si>
    <t>CS21305391</t>
  </si>
  <si>
    <t>GHP25585</t>
  </si>
  <si>
    <t>CS21305393</t>
  </si>
  <si>
    <t>GHP25586</t>
  </si>
  <si>
    <t>CS21305394</t>
  </si>
  <si>
    <t>GHP25587</t>
  </si>
  <si>
    <t>CS21315064</t>
  </si>
  <si>
    <t>CU150-01965</t>
  </si>
  <si>
    <t>BELT TIMING 5MM-P 9MM-W 275MM-PITCH-LG</t>
  </si>
  <si>
    <t>GHP25588</t>
  </si>
  <si>
    <t>CS21319723</t>
  </si>
  <si>
    <t>CT254-02450</t>
  </si>
  <si>
    <t>ITM heater lamp assembly (S)</t>
  </si>
  <si>
    <t>GHP25589</t>
  </si>
  <si>
    <t>CS21319190</t>
  </si>
  <si>
    <t>CU150-01911</t>
  </si>
  <si>
    <t>TIMMING BELT T 240MM - P LG 10MM 120 TEECH</t>
  </si>
  <si>
    <t>GHP25590</t>
  </si>
  <si>
    <t>CS21319233</t>
  </si>
  <si>
    <t>GHP25591</t>
  </si>
  <si>
    <t>CS21154691</t>
  </si>
  <si>
    <t>PRAKOLAR</t>
  </si>
  <si>
    <t>CU096-03454</t>
  </si>
  <si>
    <t>COMFORT PANEL</t>
  </si>
  <si>
    <t>CU315-00969</t>
  </si>
  <si>
    <t>REGULATOR 1/4</t>
  </si>
  <si>
    <t>CU010-05275</t>
  </si>
  <si>
    <t>GHP25592</t>
  </si>
  <si>
    <t>CS21323037</t>
  </si>
  <si>
    <t>BLOWER-NAUTILAIR 8.9IN</t>
  </si>
  <si>
    <t>ENTREGUE EM 07/10. NF 76753</t>
  </si>
  <si>
    <t>GHP25593</t>
  </si>
  <si>
    <t>CS21325485</t>
  </si>
  <si>
    <t>ITS3&amp;ODS,12CLRYMCK,OVG,W ,DIP,FPV,W.STAN,W.PREC</t>
  </si>
  <si>
    <t>GHP25594</t>
  </si>
  <si>
    <t>CS21325449</t>
  </si>
  <si>
    <t> BELT-TIMING 6MM-WD 2061M M-GRV LG</t>
  </si>
  <si>
    <t>01 unidade estoque / 01 unidade UTK</t>
  </si>
  <si>
    <t>GHP25595</t>
  </si>
  <si>
    <t>CS21325549</t>
  </si>
  <si>
    <t>GHP25596</t>
  </si>
  <si>
    <t>CS21324692</t>
  </si>
  <si>
    <t>SHAFT OFFSETTER ASSY</t>
  </si>
  <si>
    <t>GHP25597</t>
  </si>
  <si>
    <t>CS21325573</t>
  </si>
  <si>
    <t>PEELER ASSEMBLY INPUT DPS </t>
  </si>
  <si>
    <t>GHP25598</t>
  </si>
  <si>
    <t>CS21328915</t>
  </si>
  <si>
    <t>CU095-72655</t>
  </si>
  <si>
    <t>POWER SUPPLY 48V 1000W 21A</t>
  </si>
  <si>
    <t>GHP25599</t>
  </si>
  <si>
    <t>CS21330118</t>
  </si>
  <si>
    <t>CU498-04410 </t>
  </si>
  <si>
    <t>SPRING, COMPRESSION, 0.9X7.1X25</t>
  </si>
  <si>
    <t>GHP25600</t>
  </si>
  <si>
    <t>CS21330256</t>
  </si>
  <si>
    <t>CATUAÍ</t>
  </si>
  <si>
    <t>CA254-02760</t>
  </si>
  <si>
    <t>PROXIMITY SENSOR INDUCTIVE WIRED</t>
  </si>
  <si>
    <t>CU096-06066</t>
  </si>
  <si>
    <t xml:space="preserve">FIBER OPTIC SENSOR WXHXD </t>
  </si>
  <si>
    <t>GHP25601</t>
  </si>
  <si>
    <t>CS21338920</t>
  </si>
  <si>
    <t>S4 EVR SUCTION CUPS</t>
  </si>
  <si>
    <t>GHP25602</t>
  </si>
  <si>
    <t>CS21338970</t>
  </si>
  <si>
    <t>Wetting roller - top assembly.</t>
  </si>
  <si>
    <t>GHP25603</t>
  </si>
  <si>
    <t>CS21338867</t>
  </si>
  <si>
    <t>GHP25604</t>
  </si>
  <si>
    <t>CS21339296</t>
  </si>
  <si>
    <t>CT345-52140</t>
  </si>
  <si>
    <t>CL ST main housing assembly</t>
  </si>
  <si>
    <t>GHP25605</t>
  </si>
  <si>
    <t>CS21339797</t>
  </si>
  <si>
    <t>HP INDIGO 12000</t>
  </si>
  <si>
    <t>GHP25606</t>
  </si>
  <si>
    <t>CS21343829</t>
  </si>
  <si>
    <t>GHP25607</t>
  </si>
  <si>
    <t>CS21348624</t>
  </si>
  <si>
    <t>HP INDIGO 10000</t>
  </si>
  <si>
    <t>GHP25609</t>
  </si>
  <si>
    <t>CS21340613</t>
  </si>
  <si>
    <t>CT445-78441</t>
  </si>
  <si>
    <t>CS DRIVE - TOP ASSEMBLY G7</t>
  </si>
  <si>
    <t>CU314-01287</t>
  </si>
  <si>
    <t>GHP25608</t>
  </si>
  <si>
    <t>CS21349070</t>
  </si>
  <si>
    <t>GEAR MOTOR KW=0.55 2P UL</t>
  </si>
  <si>
    <t>GHP25610</t>
  </si>
  <si>
    <t>CS21354048</t>
  </si>
  <si>
    <t>CU498-00600</t>
  </si>
  <si>
    <t>TIMING BELT PULLEY - STEEL, 20TEETH</t>
  </si>
  <si>
    <t>GHP25612</t>
  </si>
  <si>
    <t>CS21354716</t>
  </si>
  <si>
    <t>GHP25614</t>
  </si>
  <si>
    <t>CS21354934</t>
  </si>
  <si>
    <t>GHP25615</t>
  </si>
  <si>
    <t>CS21358068</t>
  </si>
  <si>
    <t>GHP25616</t>
  </si>
  <si>
    <t>CS21359279</t>
  </si>
  <si>
    <t>CA354-02351</t>
  </si>
  <si>
    <t>CDM SET (CONDUCTIVITY &amp;DENSITY METER)</t>
  </si>
  <si>
    <t xml:space="preserve">CON26012 </t>
  </si>
  <si>
    <t>GHP25617</t>
  </si>
  <si>
    <t>CS21360385</t>
  </si>
  <si>
    <t>GEAR PINION 2-MODULE 36-TEETH 15MM-WD</t>
  </si>
  <si>
    <t>GHP25618</t>
  </si>
  <si>
    <t>CS21360338</t>
  </si>
  <si>
    <t>GHP25619</t>
  </si>
  <si>
    <t>CS21360449</t>
  </si>
  <si>
    <t>HP INDIGO 20000</t>
  </si>
  <si>
    <t>GHP25620</t>
  </si>
  <si>
    <t>CS21366215</t>
  </si>
  <si>
    <t>GHP25621</t>
  </si>
  <si>
    <t>CS21320312</t>
  </si>
  <si>
    <t>CT490-06171</t>
  </si>
  <si>
    <t>WH SP S4</t>
  </si>
  <si>
    <t>GHP25622</t>
  </si>
  <si>
    <t>CS21369727</t>
  </si>
  <si>
    <t>GHP25623</t>
  </si>
  <si>
    <t>CS21369877</t>
  </si>
  <si>
    <t>Nautilair and Filter Assembly</t>
  </si>
  <si>
    <t>Não enviado. Não encontrei o orçamento deste pedido</t>
  </si>
  <si>
    <t>GHP25624</t>
  </si>
  <si>
    <t>CS21371311</t>
  </si>
  <si>
    <t>GHP25625</t>
  </si>
  <si>
    <t>CS21374052</t>
  </si>
  <si>
    <t>TORNADO ASSY</t>
  </si>
  <si>
    <t>GHP25626</t>
  </si>
  <si>
    <t>CS21374279</t>
  </si>
  <si>
    <t>GHP25627</t>
  </si>
  <si>
    <t>CS21374410</t>
  </si>
  <si>
    <t>GHP25628</t>
  </si>
  <si>
    <t>CS21374783</t>
  </si>
  <si>
    <t>IDU Assembly C9</t>
  </si>
  <si>
    <t>GHP25629</t>
  </si>
  <si>
    <t>CS21375714</t>
  </si>
  <si>
    <t>CU314-01234</t>
  </si>
  <si>
    <t>FP MOTOR B&amp;R MOTOR 24VDC 25NM 1000RPM</t>
  </si>
  <si>
    <t>PEDRO QUEIROZ</t>
  </si>
  <si>
    <t>GHP25630</t>
  </si>
  <si>
    <t>CS21378832</t>
  </si>
  <si>
    <t>ITS3&amp;ODS,11CLR:YMCK,OVG,W,DIP,FPV,W.STAN,</t>
  </si>
  <si>
    <t>GHP25631</t>
  </si>
  <si>
    <t>CS21378710</t>
  </si>
  <si>
    <t>BELT VAC ST BRIDGE</t>
  </si>
  <si>
    <t>GHP25633</t>
  </si>
  <si>
    <t>CS21381069</t>
  </si>
  <si>
    <t>CT345-55800</t>
  </si>
  <si>
    <t>IDLER ASSEMBLY ILS</t>
  </si>
  <si>
    <t>GHP25634</t>
  </si>
  <si>
    <t>CS21381118</t>
  </si>
  <si>
    <t>WETTING ROLLER - TOP ASS Y</t>
  </si>
  <si>
    <t>CU096-03352</t>
  </si>
  <si>
    <t>PRESSURE SWITCH SPST 150</t>
  </si>
  <si>
    <t>CA397-00730</t>
  </si>
  <si>
    <t>PHOTOSENSOR</t>
  </si>
  <si>
    <t>TURBINE METER</t>
  </si>
  <si>
    <t>GHP25635</t>
  </si>
  <si>
    <t>CS21384416</t>
  </si>
  <si>
    <t>CA345-20193</t>
  </si>
  <si>
    <t>Roller assembly 3 IMP</t>
  </si>
  <si>
    <t>GHP25636</t>
  </si>
  <si>
    <t>CS21384178</t>
  </si>
  <si>
    <t>GHP25637</t>
  </si>
  <si>
    <t>CS21384902</t>
  </si>
  <si>
    <t>01 UTK / 01 ESTOQUE</t>
  </si>
  <si>
    <t>GHP25638</t>
  </si>
  <si>
    <t>CS21384500</t>
  </si>
  <si>
    <t xml:space="preserve">CON26005 </t>
  </si>
  <si>
    <t>VERIFICAR SE JÁ FOI ENVIADO</t>
  </si>
  <si>
    <t>BELT VAC.ST. BRIDGE PU12 W27</t>
  </si>
  <si>
    <t>GHP25639</t>
  </si>
  <si>
    <t>CS21384682</t>
  </si>
  <si>
    <t>BELT -TIMING 3MM</t>
  </si>
  <si>
    <t>GHP25640</t>
  </si>
  <si>
    <t>CS21385920</t>
  </si>
  <si>
    <t>CU314-01222</t>
  </si>
  <si>
    <t>DUPLEX/EVR MOTOR BRLESS</t>
  </si>
  <si>
    <t>GHP25641</t>
  </si>
  <si>
    <t>CS21385270</t>
  </si>
  <si>
    <t>CA354-00821</t>
  </si>
  <si>
    <t>WH Power supply</t>
  </si>
  <si>
    <t>GHP25642</t>
  </si>
  <si>
    <t>CS21391160</t>
  </si>
  <si>
    <t>CT990-04990</t>
  </si>
  <si>
    <t>ASMHPI0238 FILM CYLINDER</t>
  </si>
  <si>
    <t>GHP25643</t>
  </si>
  <si>
    <t>CS21390694</t>
  </si>
  <si>
    <t>GHP25644</t>
  </si>
  <si>
    <t>CS21391063</t>
  </si>
  <si>
    <t>CT454-09181 </t>
  </si>
  <si>
    <t>CWS TEMP SEM</t>
  </si>
  <si>
    <t>CT446-28241 </t>
  </si>
  <si>
    <t>GHP25645</t>
  </si>
  <si>
    <t>CS21392375</t>
  </si>
  <si>
    <t>GHP25646</t>
  </si>
  <si>
    <t>CS21392757</t>
  </si>
  <si>
    <t>GHP25647</t>
  </si>
  <si>
    <t>CS21395700</t>
  </si>
  <si>
    <t>TORNADO, HEXAGON, ASSEMBLY</t>
  </si>
  <si>
    <t>SENSOR ASSY TACTILE</t>
  </si>
  <si>
    <t>CU498-06890</t>
  </si>
  <si>
    <t>FEEDER FEEDHEAD RIBBON</t>
  </si>
  <si>
    <t>CU498-03083</t>
  </si>
  <si>
    <t>LEVEL PAPER PRESENT CPL, PILE</t>
  </si>
  <si>
    <t>CT446-33590</t>
  </si>
  <si>
    <t>GHP25648</t>
  </si>
  <si>
    <t>CS21400878</t>
  </si>
  <si>
    <t>CT497-00710</t>
  </si>
  <si>
    <t>MJ SNAP SEAL (8 UNITS)</t>
  </si>
  <si>
    <t>GHP25649</t>
  </si>
  <si>
    <t>CS21400733</t>
  </si>
  <si>
    <t>GHP25650</t>
  </si>
  <si>
    <t>CS21401105</t>
  </si>
  <si>
    <t>CU498-04310</t>
  </si>
  <si>
    <t>BELT, VERTICAL PAPER PATH</t>
  </si>
  <si>
    <t>CT497-00270</t>
  </si>
  <si>
    <t>GHP25652</t>
  </si>
  <si>
    <t>CS21400855</t>
  </si>
  <si>
    <t>CU316-04594</t>
  </si>
  <si>
    <t>BLOWER</t>
  </si>
  <si>
    <t>POWER LINE RFI FILTER ASSY</t>
  </si>
  <si>
    <t>GHP25653</t>
  </si>
  <si>
    <t>CS21401723</t>
  </si>
  <si>
    <t>CT456-01732</t>
  </si>
  <si>
    <t>BOARD ASSY, ILS-HS</t>
  </si>
  <si>
    <t>GHP25654</t>
  </si>
  <si>
    <t>CS21402625</t>
  </si>
  <si>
    <t>CT454-09060</t>
  </si>
  <si>
    <t>FLOW METER SENSOR</t>
  </si>
  <si>
    <t>CT001-21870</t>
  </si>
  <si>
    <t>Enviado para Forma Certa. NF 79733</t>
  </si>
  <si>
    <t>GHP25655</t>
  </si>
  <si>
    <t>CS21408402</t>
  </si>
  <si>
    <t>CT445-25641</t>
  </si>
  <si>
    <t>EPC MOTOR ASSEMBLY</t>
  </si>
  <si>
    <t>GHP25656</t>
  </si>
  <si>
    <t>CS21413842</t>
  </si>
  <si>
    <t>DIRECT CD PUMP 3/4", WIRED</t>
  </si>
  <si>
    <t>GHP25657</t>
  </si>
  <si>
    <t>CS21418304</t>
  </si>
  <si>
    <t>GHP25660</t>
  </si>
  <si>
    <t>CS21374813</t>
  </si>
  <si>
    <t>SAS PUMP SET FOR MR SP</t>
  </si>
  <si>
    <t>GHP25661</t>
  </si>
  <si>
    <t>CS21427472</t>
  </si>
  <si>
    <t>HP INDIGO W7250</t>
  </si>
  <si>
    <t>CU010-02636</t>
  </si>
  <si>
    <t>SOLENOIDE AIR VALV</t>
  </si>
  <si>
    <t>CT245-16851</t>
  </si>
  <si>
    <t>Water manifold assembly</t>
  </si>
  <si>
    <t>CT345-09513</t>
  </si>
  <si>
    <t>IBS Slave side pulley</t>
  </si>
  <si>
    <t>ATMOR - HEATER</t>
  </si>
  <si>
    <t>CT345-30332</t>
  </si>
  <si>
    <t>GHP25662</t>
  </si>
  <si>
    <t>CS21400944</t>
  </si>
  <si>
    <t>TIMING BELT 278mm</t>
  </si>
  <si>
    <t>CT544-19970</t>
  </si>
  <si>
    <t>PULLEY ASSEMBLY</t>
  </si>
  <si>
    <t>GHP25663</t>
  </si>
  <si>
    <t>CS21401006</t>
  </si>
  <si>
    <t>GHP25664</t>
  </si>
  <si>
    <t>CS21401245</t>
  </si>
  <si>
    <t>CT545-11112</t>
  </si>
  <si>
    <t>ENGAGE-CYLINDER-ASSY</t>
  </si>
  <si>
    <t>CT000-91330</t>
  </si>
  <si>
    <t>GHP25665</t>
  </si>
  <si>
    <t>CS21401476</t>
  </si>
  <si>
    <t>GHP25666</t>
  </si>
  <si>
    <t>CS21401557</t>
  </si>
  <si>
    <t>CVC AIR FILTER W. HANDLE 250mm</t>
  </si>
  <si>
    <t>GHP25667</t>
  </si>
  <si>
    <t>CS21432589</t>
  </si>
  <si>
    <t>CABLE W317</t>
  </si>
  <si>
    <t>MIC3 ASSY</t>
  </si>
  <si>
    <t>GHP25668</t>
  </si>
  <si>
    <t>CS21428143</t>
  </si>
  <si>
    <t>CT445-71091</t>
  </si>
  <si>
    <t>PIP CAM UNIT, REAR LONG</t>
  </si>
  <si>
    <t>CA461-25570</t>
  </si>
  <si>
    <t>SPM USB CABLE</t>
  </si>
  <si>
    <t>GHP25669</t>
  </si>
  <si>
    <t>CS21518711</t>
  </si>
  <si>
    <t>CT001-92130</t>
  </si>
  <si>
    <t>AIR KNIFE BLOWER</t>
  </si>
  <si>
    <t>CT001-93090</t>
  </si>
  <si>
    <t>GHP25670</t>
  </si>
  <si>
    <t>CS21438223</t>
  </si>
  <si>
    <t>CT990-03720 </t>
  </si>
  <si>
    <t>PRESSURE SENSOR UPGRADE KIT FOR 1ST REPLACEMENT</t>
  </si>
  <si>
    <t>GHP25671</t>
  </si>
  <si>
    <t>CS21436282</t>
  </si>
  <si>
    <t>CT461-21370</t>
  </si>
  <si>
    <t>CABLE ASSY W12137</t>
  </si>
  <si>
    <t>GHP25672</t>
  </si>
  <si>
    <t>CS21436910</t>
  </si>
  <si>
    <t>GHP25673</t>
  </si>
  <si>
    <t>CS21442224</t>
  </si>
  <si>
    <t>GHP25674</t>
  </si>
  <si>
    <t>CS21436551</t>
  </si>
  <si>
    <t>GHP25675</t>
  </si>
  <si>
    <t>CS21436178</t>
  </si>
  <si>
    <t>CA540-41000</t>
  </si>
  <si>
    <t>BRDG-NIP-PULLEY-REWORK</t>
  </si>
  <si>
    <t>CT545-11452</t>
  </si>
  <si>
    <t>GHP25676</t>
  </si>
  <si>
    <t>CS21436036</t>
  </si>
  <si>
    <t>CT497-00720 </t>
  </si>
  <si>
    <t>GHP25677</t>
  </si>
  <si>
    <t>CS21442117</t>
  </si>
  <si>
    <t>SLIP RING ASSEMBLY</t>
  </si>
  <si>
    <t>CU141-02115</t>
  </si>
  <si>
    <t>BEARING-BALL 25MM-ID52MM-OD 18MM-W</t>
  </si>
  <si>
    <t>GHP25678</t>
  </si>
  <si>
    <t>CS21448235</t>
  </si>
  <si>
    <t>CVC AIR FILTER W. HANDLE</t>
  </si>
  <si>
    <t>GHP25679</t>
  </si>
  <si>
    <t>CS21459695</t>
  </si>
  <si>
    <t>CT454-08481</t>
  </si>
  <si>
    <t>MODULE ASSEMBLY CRU3 HVPS SER4</t>
  </si>
  <si>
    <t>GHP25680</t>
  </si>
  <si>
    <t>CS21467154</t>
  </si>
  <si>
    <t>CU314-01262</t>
  </si>
  <si>
    <t>LEAD SCREWBRUSH MOTOR</t>
  </si>
  <si>
    <t>GHP25681</t>
  </si>
  <si>
    <t>CS21469014</t>
  </si>
  <si>
    <t>48500670 </t>
  </si>
  <si>
    <t>SER DRIVE DTS1401 PLUS</t>
  </si>
  <si>
    <t>GHP25682</t>
  </si>
  <si>
    <t>CS21473955</t>
  </si>
  <si>
    <t>GHP25683</t>
  </si>
  <si>
    <t>CS21475329</t>
  </si>
  <si>
    <t>GHP25684</t>
  </si>
  <si>
    <t>CS21478269</t>
  </si>
  <si>
    <t>GHP25685</t>
  </si>
  <si>
    <t>CS21478374</t>
  </si>
  <si>
    <t xml:space="preserve">PLUG-HOLE FLANGELESS 1.1 OD BLK NEOPRENE ROHS </t>
  </si>
  <si>
    <t>GHP25686</t>
  </si>
  <si>
    <t>CS21478506</t>
  </si>
  <si>
    <t xml:space="preserve">CT254-02450 </t>
  </si>
  <si>
    <t>ITM HEATER LAMP ASSY</t>
  </si>
  <si>
    <t>GHP25688</t>
  </si>
  <si>
    <t>CS21478859</t>
  </si>
  <si>
    <t>GHP25689</t>
  </si>
  <si>
    <t>CS21483943</t>
  </si>
  <si>
    <t>GHP25691</t>
  </si>
  <si>
    <t>CS21495809</t>
  </si>
  <si>
    <t>CT456-00059</t>
  </si>
  <si>
    <t>VCORN5 PC ASSEMBLY</t>
  </si>
  <si>
    <t>GHP25687</t>
  </si>
  <si>
    <t>CS21298905</t>
  </si>
  <si>
    <t>GHP25692</t>
  </si>
  <si>
    <t>CS21495953</t>
  </si>
  <si>
    <t>SET FOR EVR FINGER CUP &amp; FINGER MR</t>
  </si>
  <si>
    <t>GHP25693</t>
  </si>
  <si>
    <t>CS21495979</t>
  </si>
  <si>
    <t>CU096-03203</t>
  </si>
  <si>
    <t>SENSOR PRESSURE DIFF -2. 5 TO 2.5KPA</t>
  </si>
  <si>
    <t>CT457-00140</t>
  </si>
  <si>
    <t>GHP25694</t>
  </si>
  <si>
    <t>CS21493887</t>
  </si>
  <si>
    <t>GHP25696</t>
  </si>
  <si>
    <t>CS21509295</t>
  </si>
  <si>
    <t>CT440-94623</t>
  </si>
  <si>
    <t>CORE, BR</t>
  </si>
  <si>
    <t>CT497-11360</t>
  </si>
  <si>
    <t>REAR ARM / REAR ARM</t>
  </si>
  <si>
    <t>3140-1116</t>
  </si>
  <si>
    <t>BRUSH HOLDER CAP M10X1.0 14MM</t>
  </si>
  <si>
    <t>GHP25697</t>
  </si>
  <si>
    <t>CS21509389</t>
  </si>
  <si>
    <t>GHP25698</t>
  </si>
  <si>
    <t>CS21502363</t>
  </si>
  <si>
    <t>SHEET BELT PROTECTION (enviar uma barra de scanner junto)</t>
  </si>
  <si>
    <t>GHP25699</t>
  </si>
  <si>
    <t>CS21502597</t>
  </si>
  <si>
    <t>GHP25700</t>
  </si>
  <si>
    <t>CS21502612</t>
  </si>
  <si>
    <t>IN LINE DENS. DTP24</t>
  </si>
  <si>
    <t>GHP25701</t>
  </si>
  <si>
    <t>CS21500485</t>
  </si>
  <si>
    <t>CT468-38950</t>
  </si>
  <si>
    <t>BRIDGE SUCTION BELT</t>
  </si>
  <si>
    <t>GHP25702</t>
  </si>
  <si>
    <t>CS21508287</t>
  </si>
  <si>
    <t>GHP25703</t>
  </si>
  <si>
    <t>CS21508580</t>
  </si>
  <si>
    <t>GHP25704</t>
  </si>
  <si>
    <t>CS21507647</t>
  </si>
  <si>
    <t>GHP25705</t>
  </si>
  <si>
    <t>CS21508023</t>
  </si>
  <si>
    <t>WETTING ROLLER - TOP ASSEMBLY</t>
  </si>
  <si>
    <t>GHP25706</t>
  </si>
  <si>
    <t>CS21508138</t>
  </si>
  <si>
    <t>GHP25707</t>
  </si>
  <si>
    <t>CS21509632</t>
  </si>
  <si>
    <t>CT545-33110</t>
  </si>
  <si>
    <t>PULLED UNIT ASSEMBLY</t>
  </si>
  <si>
    <t>CT001-91271</t>
  </si>
  <si>
    <t>GHP25708</t>
  </si>
  <si>
    <t>CS21521477</t>
  </si>
  <si>
    <t>Cable and bracket C.S. assembly</t>
  </si>
  <si>
    <t>CL ST motor assembly</t>
  </si>
  <si>
    <t>GHP25709</t>
  </si>
  <si>
    <t>CS21518064</t>
  </si>
  <si>
    <t>TORNADO BELT(SET OF 2)</t>
  </si>
  <si>
    <t>GHP25710</t>
  </si>
  <si>
    <t>CS21522951</t>
  </si>
  <si>
    <t>GHP25711</t>
  </si>
  <si>
    <t>CS21518924</t>
  </si>
  <si>
    <t>PIP SUCTION CUPS</t>
  </si>
  <si>
    <t>GHP25712</t>
  </si>
  <si>
    <t>CS21523220</t>
  </si>
  <si>
    <t>CT545-09862</t>
  </si>
  <si>
    <t>MOTOR PULLEY ASSY</t>
  </si>
  <si>
    <t>GHP25713</t>
  </si>
  <si>
    <t>CS21521290</t>
  </si>
  <si>
    <t>CU404-02598</t>
  </si>
  <si>
    <t>CUP SUPPORT 15MM-LG 14MM-OD NBR SUCTION</t>
  </si>
  <si>
    <t>GHP25714</t>
  </si>
  <si>
    <t>CS21519009</t>
  </si>
  <si>
    <t>GHP25715</t>
  </si>
  <si>
    <t>CS21518587</t>
  </si>
  <si>
    <t>MJ SNAP SEAL</t>
  </si>
  <si>
    <t>GHP25716</t>
  </si>
  <si>
    <t>CS21521271</t>
  </si>
  <si>
    <t>TIC BOARD ASSEMBLY</t>
  </si>
  <si>
    <t>GHP25717</t>
  </si>
  <si>
    <t>CT990-07370</t>
  </si>
  <si>
    <t>S.NOTE 6K+ EC FILTER</t>
  </si>
  <si>
    <t>GHP25718</t>
  </si>
  <si>
    <t>CS21529951</t>
  </si>
  <si>
    <t>GHP25719</t>
  </si>
  <si>
    <t>CS21529820</t>
  </si>
  <si>
    <t>GHP25720</t>
  </si>
  <si>
    <t>CS21529268</t>
  </si>
  <si>
    <t>GHP25721</t>
  </si>
  <si>
    <t>CS21531606</t>
  </si>
  <si>
    <t>CU498-01940</t>
  </si>
  <si>
    <t>VALVE, ASSEMBLY</t>
  </si>
  <si>
    <t>CT446-29240</t>
  </si>
  <si>
    <t>GHP25722</t>
  </si>
  <si>
    <t>CS21530335</t>
  </si>
  <si>
    <t>SERVO DRIVE DST 1401 - DIGITAX</t>
  </si>
  <si>
    <t>GHP25723</t>
  </si>
  <si>
    <t>CS21531357</t>
  </si>
  <si>
    <t>CT445-52340</t>
  </si>
  <si>
    <t>TANK COVER WITH HANDLES</t>
  </si>
  <si>
    <t>CT445-52341</t>
  </si>
  <si>
    <t>CON26005 &amp; CON26013</t>
  </si>
  <si>
    <t>MÁQUINA DO SR. REPOR ESTOQUE / ENVIAR ELYON. VER REQ.</t>
  </si>
  <si>
    <t>FITTING HOSE BARB SOCKED 1/4" ID</t>
  </si>
  <si>
    <t>FITTING HOSE BARB PLUG 1/4" ID</t>
  </si>
  <si>
    <t>CT445-51413</t>
  </si>
  <si>
    <t>INK TANK AND HX ASSEMBLY</t>
  </si>
  <si>
    <t>CT445-51416</t>
  </si>
  <si>
    <t>GHP25724</t>
  </si>
  <si>
    <t>CS21536811</t>
  </si>
  <si>
    <t>GHP25725</t>
  </si>
  <si>
    <t>CS21536841</t>
  </si>
  <si>
    <t>CU498-01611 </t>
  </si>
  <si>
    <t>BELT FEEDER (SET OF 2)</t>
  </si>
  <si>
    <t>GHP25726</t>
  </si>
  <si>
    <t>CT990-01780</t>
  </si>
  <si>
    <t>100K Exit Unit Reliability Belts</t>
  </si>
  <si>
    <t>GHP25727</t>
  </si>
  <si>
    <t>CT990-01900</t>
  </si>
  <si>
    <t xml:space="preserve">CCR Lock Bracket </t>
  </si>
  <si>
    <t>GHP25728</t>
  </si>
  <si>
    <t>CS21547667</t>
  </si>
  <si>
    <t>CU498-06740</t>
  </si>
  <si>
    <t>PNEUMATIC CYLINDER CHAMBER ENGAGE PISTON</t>
  </si>
  <si>
    <t>GHP25729</t>
  </si>
  <si>
    <t>CS21543725</t>
  </si>
  <si>
    <t>EH AND EBV PIPES - VR+3</t>
  </si>
  <si>
    <t>GHP25730</t>
  </si>
  <si>
    <t>CS21547662</t>
  </si>
  <si>
    <t>GHP25731</t>
  </si>
  <si>
    <t>CS21548744</t>
  </si>
  <si>
    <t>STEPPER MOTOR</t>
  </si>
  <si>
    <t>GHP25732</t>
  </si>
  <si>
    <t>CS21548969</t>
  </si>
  <si>
    <t>GHP25733</t>
  </si>
  <si>
    <t>CS21548980</t>
  </si>
  <si>
    <t>REAR DRIVER SPONGE ROLLER.</t>
  </si>
  <si>
    <t>GHP25734</t>
  </si>
  <si>
    <t>CS21552625</t>
  </si>
  <si>
    <t>GHP25735</t>
  </si>
  <si>
    <t>CS21553400</t>
  </si>
  <si>
    <t>CT397-05050</t>
  </si>
  <si>
    <t>IMP MOTOR GEAR &amp; LOCKING Z60</t>
  </si>
  <si>
    <t>CT340-48412</t>
  </si>
  <si>
    <t>GEAR Z120 REWORK</t>
  </si>
  <si>
    <t>GHP25736</t>
  </si>
  <si>
    <t>CS21559592</t>
  </si>
  <si>
    <t>GHP25737</t>
  </si>
  <si>
    <t>CS21560939</t>
  </si>
  <si>
    <t>HP Indigo 20000</t>
  </si>
  <si>
    <t>CU498-05520</t>
  </si>
  <si>
    <t xml:space="preserve"> WEB GUIDE CONTROL PANEL</t>
  </si>
  <si>
    <t>CT497-00871</t>
  </si>
  <si>
    <t>ENTERANCE PUW SHIFTING SYSTEM ACTUATOR</t>
  </si>
  <si>
    <t>GHP25738</t>
  </si>
  <si>
    <t>CS21561378</t>
  </si>
  <si>
    <t>NEW EBV BLOWER + FIRST REPLACEMENT KIT</t>
  </si>
  <si>
    <t>GHP25739</t>
  </si>
  <si>
    <t>CS21564599</t>
  </si>
  <si>
    <t>CU150-01376</t>
  </si>
  <si>
    <t>DUPLEX TIMING BELT DLC</t>
  </si>
  <si>
    <t>GHP25740</t>
  </si>
  <si>
    <t>CS21565142</t>
  </si>
  <si>
    <t>Rear Driver Sponge Roller</t>
  </si>
  <si>
    <t>GHP25741</t>
  </si>
  <si>
    <t>CS21571636</t>
  </si>
  <si>
    <t>GHP25742</t>
  </si>
  <si>
    <t>CS21574987</t>
  </si>
  <si>
    <t xml:space="preserve">CT444-93761 </t>
  </si>
  <si>
    <t>MOTOR PAPER PATH PULLEY ASSY</t>
  </si>
  <si>
    <t>GHP25743</t>
  </si>
  <si>
    <t>CS21582162</t>
  </si>
  <si>
    <t>ICL assembly</t>
  </si>
  <si>
    <t>GHP25744</t>
  </si>
  <si>
    <t>CS21582255</t>
  </si>
  <si>
    <t>GHP25745</t>
  </si>
  <si>
    <t>CS21581930</t>
  </si>
  <si>
    <t>GHP25746</t>
  </si>
  <si>
    <t>CS21582195</t>
  </si>
  <si>
    <t>CHARGE ROLLER HOUSING</t>
  </si>
  <si>
    <t>GHP25747</t>
  </si>
  <si>
    <t>CS21581139</t>
  </si>
  <si>
    <t>GHP25748</t>
  </si>
  <si>
    <t>CS21582061</t>
  </si>
  <si>
    <t>CT445-48230</t>
  </si>
  <si>
    <t>TEMPERATURE SENSOR</t>
  </si>
  <si>
    <t>GHP25749</t>
  </si>
  <si>
    <t>CS21581842</t>
  </si>
  <si>
    <t>CU498-03230</t>
  </si>
  <si>
    <t>BELT FINGER(SET OF 2)</t>
  </si>
  <si>
    <t>GHP25750</t>
  </si>
  <si>
    <t>CS21598964</t>
  </si>
  <si>
    <t>CT397-05024</t>
  </si>
  <si>
    <t>SP BCS ELETROMECH ASSY</t>
  </si>
  <si>
    <t>GHP25751</t>
  </si>
  <si>
    <t>CS21605218</t>
  </si>
  <si>
    <t>60001111 </t>
  </si>
  <si>
    <t>CT545-32152</t>
  </si>
  <si>
    <t>ASP MAIN ASSEMBLY</t>
  </si>
  <si>
    <t>/</t>
  </si>
  <si>
    <t>PO</t>
  </si>
  <si>
    <t>Order date</t>
  </si>
  <si>
    <t>Cliente</t>
  </si>
  <si>
    <t>P/N</t>
  </si>
  <si>
    <t>Alteração de PN (Compatible Part)</t>
  </si>
  <si>
    <t xml:space="preserve">Descrição </t>
  </si>
  <si>
    <t>QTY</t>
  </si>
  <si>
    <t>Unit Price</t>
  </si>
  <si>
    <t>Total Price</t>
  </si>
  <si>
    <t>Consolidado</t>
  </si>
  <si>
    <t>OBS</t>
  </si>
  <si>
    <t>Invoice date</t>
  </si>
  <si>
    <t>Date of arrivel to CP</t>
  </si>
  <si>
    <t>Orçamento</t>
  </si>
  <si>
    <t>Ped. Venda</t>
  </si>
  <si>
    <t>Data</t>
  </si>
  <si>
    <t>HP25003</t>
  </si>
  <si>
    <t>VIBHUTI</t>
  </si>
  <si>
    <t>CA290-01480</t>
  </si>
  <si>
    <t>S/P BELTS DUPLEX CONVEYO R</t>
  </si>
  <si>
    <t>CON25005B</t>
  </si>
  <si>
    <t>NF 71750</t>
  </si>
  <si>
    <t>070402</t>
  </si>
  <si>
    <t>LIBERADO</t>
  </si>
  <si>
    <t>MKT-3409-01</t>
  </si>
  <si>
    <t xml:space="preserve">GASKETS FOR ITM COVERS </t>
  </si>
  <si>
    <t>CON25002B</t>
  </si>
  <si>
    <t>CA355-00021</t>
  </si>
  <si>
    <t>CA354-01151</t>
  </si>
  <si>
    <t xml:space="preserve">IOC 3 ASSY. </t>
  </si>
  <si>
    <t>CT345-29833</t>
  </si>
  <si>
    <t xml:space="preserve">AXLE MOTORS PROOF ASSY </t>
  </si>
  <si>
    <t>CT345-29680</t>
  </si>
  <si>
    <t>AXLES ASSY</t>
  </si>
  <si>
    <t>HP25004</t>
  </si>
  <si>
    <t>PIXEL HOUSE</t>
  </si>
  <si>
    <t>CARBON BRUSH C.R. ASSEMB LY</t>
  </si>
  <si>
    <t>HP25005</t>
  </si>
  <si>
    <t>PACKSTER</t>
  </si>
  <si>
    <t>HP25006</t>
  </si>
  <si>
    <t>HP25007</t>
  </si>
  <si>
    <t xml:space="preserve">CLEANING STATION ASSY WS </t>
  </si>
  <si>
    <t>HP25008</t>
  </si>
  <si>
    <t>CA397-01640</t>
  </si>
  <si>
    <t>SP,FEEDER DRAWER SMALL L IFT CABLES</t>
  </si>
  <si>
    <t>PARCIAL</t>
  </si>
  <si>
    <t>2 SEM ESTOQUE / 1 ESTOQUE</t>
  </si>
  <si>
    <t>AXLE MOTORS PROOF ASSY</t>
  </si>
  <si>
    <t>CA397-01280</t>
  </si>
  <si>
    <t>SP,FEEDER DRAWER LARGE L IFT CABLES</t>
  </si>
  <si>
    <t>CT345-01931</t>
  </si>
  <si>
    <t>DRIVE SHAFT ASSY</t>
  </si>
  <si>
    <t>CA244-09380</t>
  </si>
  <si>
    <t>CARBON BRUSH-ITM BIAS</t>
  </si>
  <si>
    <t>HP25009</t>
  </si>
  <si>
    <t>CU096-03190</t>
  </si>
  <si>
    <t>X20 DIGITAL INPUT MODULE 16-INPUTS 24VDC</t>
  </si>
  <si>
    <t>HP25011</t>
  </si>
  <si>
    <t>CT454-09181</t>
  </si>
  <si>
    <t>HP25013</t>
  </si>
  <si>
    <t>SINGULAR</t>
  </si>
  <si>
    <t>SENSOR OPTOCUPLER ASSY T YPE 1 (280MM)</t>
  </si>
  <si>
    <t>HP25016</t>
  </si>
  <si>
    <t xml:space="preserve">4SF19D </t>
  </si>
  <si>
    <t>HP INDIGO UTK CUST. 15K/</t>
  </si>
  <si>
    <t>HP25017</t>
  </si>
  <si>
    <t xml:space="preserve">CT001-63790 </t>
  </si>
  <si>
    <t>PROCON_PUMP_ASSY+FITTING S</t>
  </si>
  <si>
    <t>1 SEM ESTOQUE / 1 ESTOQUE | NF 71750</t>
  </si>
  <si>
    <t>070443</t>
  </si>
  <si>
    <t>HP25018</t>
  </si>
  <si>
    <t xml:space="preserve">CU316-04507 </t>
  </si>
  <si>
    <t>070486</t>
  </si>
  <si>
    <t>HP25019</t>
  </si>
  <si>
    <t xml:space="preserve">SAFETY GRIPPER ASSY PGR </t>
  </si>
  <si>
    <t>HP25025</t>
  </si>
  <si>
    <t>2F417A</t>
  </si>
  <si>
    <t>HP IND. EI SPOT RED 2000</t>
  </si>
  <si>
    <t>HP25027</t>
  </si>
  <si>
    <t xml:space="preserve">CA445-95804 </t>
  </si>
  <si>
    <t>WHU MI MAIN ASSY</t>
  </si>
  <si>
    <t>Enviado para a Zangraf - Ronald solicitou para não cobrar a nacionalização</t>
  </si>
  <si>
    <t>HP25029</t>
  </si>
  <si>
    <t>CERAMIC CHARGE ROLLER AS SY</t>
  </si>
  <si>
    <t>CT345-59232</t>
  </si>
  <si>
    <t>CHARGE ROLLER UNIT ASSEM BLY CCR</t>
  </si>
  <si>
    <t>TIC BOARD ASSY FOR S3</t>
  </si>
  <si>
    <t>CT245-26731</t>
  </si>
  <si>
    <t xml:space="preserve">INK TANK SUB ASSY </t>
  </si>
  <si>
    <t>HP25031</t>
  </si>
  <si>
    <t>HIPER GRAPHIC</t>
  </si>
  <si>
    <t>070341</t>
  </si>
  <si>
    <t>HP25032</t>
  </si>
  <si>
    <t>FUTURA</t>
  </si>
  <si>
    <t>CT244-02551</t>
  </si>
  <si>
    <t xml:space="preserve">IDLER, TIMING,BELT </t>
  </si>
  <si>
    <t>068846</t>
  </si>
  <si>
    <t>HP25033</t>
  </si>
  <si>
    <t>1500-1329</t>
  </si>
  <si>
    <t>TIMING BELT 3-MM-PITCH 9 -MM-WD</t>
  </si>
  <si>
    <t>070344</t>
  </si>
  <si>
    <t xml:space="preserve">HP25037 </t>
  </si>
  <si>
    <t>LAV DENIM</t>
  </si>
  <si>
    <t>CA397-01970</t>
  </si>
  <si>
    <t>SP,FEEDER BRIDGE VACUUM BELT(5X)</t>
  </si>
  <si>
    <t>070428</t>
  </si>
  <si>
    <t>CU150-01662</t>
  </si>
  <si>
    <t>BELT-TWIN POWER 3MM-PTIC H 9MM-W 570MM-L</t>
  </si>
  <si>
    <t>HP25044</t>
  </si>
  <si>
    <t xml:space="preserve">INOVE </t>
  </si>
  <si>
    <t xml:space="preserve">EXIT ROLLER ASSY </t>
  </si>
  <si>
    <t>HP25045</t>
  </si>
  <si>
    <t>CORGRAF</t>
  </si>
  <si>
    <t>MPX-3472-52</t>
  </si>
  <si>
    <t>CT244-11150</t>
  </si>
  <si>
    <t>GRIPPER CLAMP ASSY-1 UNI T</t>
  </si>
  <si>
    <t>NF 71750 (PARCIAL, APENAS ITEM 1)</t>
  </si>
  <si>
    <t>070489</t>
  </si>
  <si>
    <t>070436</t>
  </si>
  <si>
    <t>HP25047</t>
  </si>
  <si>
    <t>12 unidades sem estoque / 6 unidades estoque | NF 71750</t>
  </si>
  <si>
    <t>HP25051</t>
  </si>
  <si>
    <t>TRIGUEIRO</t>
  </si>
  <si>
    <t>CT245-28471</t>
  </si>
  <si>
    <t>C.S WETTING &amp; BEARING AS SY</t>
  </si>
  <si>
    <t>HP25052</t>
  </si>
  <si>
    <t>ALPHA EDITORA</t>
  </si>
  <si>
    <t>CT245-31910</t>
  </si>
  <si>
    <t xml:space="preserve">MOTOR MOUNT </t>
  </si>
  <si>
    <t>HP25053</t>
  </si>
  <si>
    <t>SUPER LABEL</t>
  </si>
  <si>
    <t>070458</t>
  </si>
  <si>
    <t>HP25054</t>
  </si>
  <si>
    <t>FERFWAY</t>
  </si>
  <si>
    <t>070462</t>
  </si>
  <si>
    <t>HP25055</t>
  </si>
  <si>
    <t>MENTOR</t>
  </si>
  <si>
    <t>070464</t>
  </si>
  <si>
    <t>CT261-03211</t>
  </si>
  <si>
    <t>CABLE ASSY W321 -PCT TO S.GAUGE AMP.&amp; PSTB SENS</t>
  </si>
  <si>
    <t>CON25011B</t>
  </si>
  <si>
    <t>HP25057</t>
  </si>
  <si>
    <t xml:space="preserve">idler shaft assembly </t>
  </si>
  <si>
    <t>Peça para UTK Eskenazi</t>
  </si>
  <si>
    <t>071622</t>
  </si>
  <si>
    <t>CT441-81921</t>
  </si>
  <si>
    <t xml:space="preserve">S4-CRU, COVER FOR EC </t>
  </si>
  <si>
    <t>Peça para UTK Eskenazi | NF 71750</t>
  </si>
  <si>
    <t>CU498-00140</t>
  </si>
  <si>
    <t xml:space="preserve">STEPPER MOTOR B&amp;R </t>
  </si>
  <si>
    <t xml:space="preserve">CLUTCH OFFSETTER </t>
  </si>
  <si>
    <t>POWER LINE RFI FILTER AS SY</t>
  </si>
  <si>
    <t>CT442-96311</t>
  </si>
  <si>
    <t>MAIN ROLLER NIPPLES ORIF ICE</t>
  </si>
  <si>
    <t xml:space="preserve">CON25021B </t>
  </si>
  <si>
    <t>HP25060</t>
  </si>
  <si>
    <t xml:space="preserve">ZAP GRAFICA </t>
  </si>
  <si>
    <t>CT345-48470</t>
  </si>
  <si>
    <t>070475</t>
  </si>
  <si>
    <t>CT345-43560</t>
  </si>
  <si>
    <t>PULLEYZ30 HTD3 L:9MM FLA NGE PL ASSY</t>
  </si>
  <si>
    <t>CT361-24560</t>
  </si>
  <si>
    <t>CR. INTER. WIRING</t>
  </si>
  <si>
    <t>CT345-08934</t>
  </si>
  <si>
    <t>E/H - DUCT CONNECTION P ANEL</t>
  </si>
  <si>
    <t>HP25061</t>
  </si>
  <si>
    <t>SKYGRAF</t>
  </si>
  <si>
    <t>POWER ENABLE SWITCH ASSY GREEN BUTTON</t>
  </si>
  <si>
    <t>NF71750</t>
  </si>
  <si>
    <t>HP25063</t>
  </si>
  <si>
    <t>HP25064</t>
  </si>
  <si>
    <t>HP25065</t>
  </si>
  <si>
    <t xml:space="preserve">HP25067 </t>
  </si>
  <si>
    <t>MULTIGRAFICA</t>
  </si>
  <si>
    <t>HP25068</t>
  </si>
  <si>
    <t xml:space="preserve">DEBIASI </t>
  </si>
  <si>
    <t>070437</t>
  </si>
  <si>
    <t>HP25069</t>
  </si>
  <si>
    <t>ELYON</t>
  </si>
  <si>
    <t>MOTOR MOUNT</t>
  </si>
  <si>
    <t>CT357-00373</t>
  </si>
  <si>
    <t>PCA, SLAVE 4-BD CONFIGUR ATION FEEDER</t>
  </si>
  <si>
    <t>HP25072</t>
  </si>
  <si>
    <t>KIT MAINTENANCE FOR ZUWA PUMP</t>
  </si>
  <si>
    <t>070331</t>
  </si>
  <si>
    <t>HP25073</t>
  </si>
  <si>
    <t>CT397-02830</t>
  </si>
  <si>
    <t>STACKER CLUTCH REPLACEME NT</t>
  </si>
  <si>
    <t>CT244-17540</t>
  </si>
  <si>
    <t xml:space="preserve">ROLLER +BEARING ASSY. </t>
  </si>
  <si>
    <t xml:space="preserve">HP25074 </t>
  </si>
  <si>
    <t>CA497-01200</t>
  </si>
  <si>
    <t xml:space="preserve">DIMENSION RULER - 1200MM </t>
  </si>
  <si>
    <t>HP25075</t>
  </si>
  <si>
    <t>HP25076</t>
  </si>
  <si>
    <t>070481</t>
  </si>
  <si>
    <t>HP25077</t>
  </si>
  <si>
    <t xml:space="preserve">CCL </t>
  </si>
  <si>
    <t>070484</t>
  </si>
  <si>
    <t>HP25078</t>
  </si>
  <si>
    <t>PRIMER PIPE NEOPRENE 24 THICK 61</t>
  </si>
  <si>
    <t>HP25079</t>
  </si>
  <si>
    <t>QUADRANTE</t>
  </si>
  <si>
    <t xml:space="preserve">TIC BOARD ASSY FOR S3 </t>
  </si>
  <si>
    <t xml:space="preserve">HP25081 </t>
  </si>
  <si>
    <t xml:space="preserve">IMP ENCOD HEAD ASSY </t>
  </si>
  <si>
    <t>CU096-02947</t>
  </si>
  <si>
    <t>PUMP HEAD WITHOUT FITTIN GS</t>
  </si>
  <si>
    <t>HP25083</t>
  </si>
  <si>
    <t>HP25087</t>
  </si>
  <si>
    <t>CPAD</t>
  </si>
  <si>
    <t>HP25090</t>
  </si>
  <si>
    <t>SENSOR, IR REFLECTIVE, 2 95 MM CABLE</t>
  </si>
  <si>
    <t>070328</t>
  </si>
  <si>
    <t>HP25091</t>
  </si>
  <si>
    <t>CARBON BRUSH HOUSING - I XEF</t>
  </si>
  <si>
    <t>HP25097</t>
  </si>
  <si>
    <t>MULTIPRINT</t>
  </si>
  <si>
    <t>CT256-00542</t>
  </si>
  <si>
    <t xml:space="preserve">BOARD ASSY MIC1 </t>
  </si>
  <si>
    <t>HP25098</t>
  </si>
  <si>
    <t>ULTRAPRES</t>
  </si>
  <si>
    <t>CT261-00971</t>
  </si>
  <si>
    <t>CABLE W97 DCI TO CORONA MOTORS</t>
  </si>
  <si>
    <t>HP25099</t>
  </si>
  <si>
    <t>CU150-01509</t>
  </si>
  <si>
    <t>BELT-BLOWER 840MM-LG 20 MM-WD 1.5MM-T</t>
  </si>
  <si>
    <t>NF 72922</t>
  </si>
  <si>
    <t>071368</t>
  </si>
  <si>
    <t>070477</t>
  </si>
  <si>
    <t>KIT MAINTENANCE-SER 3 ZU WA PUMP BLACK IMPELLER</t>
  </si>
  <si>
    <t>ZAP GRÁFICA</t>
  </si>
  <si>
    <t>CU150-01512</t>
  </si>
  <si>
    <t>BELT-BLOWER 830MM-LG 20M M-WD 1.5MM-T</t>
  </si>
  <si>
    <t>HP25100</t>
  </si>
  <si>
    <t>CU314-01480</t>
  </si>
  <si>
    <t>SERVO MOTOR 3.5NM 5500RP M 1200W</t>
  </si>
  <si>
    <t>070283</t>
  </si>
  <si>
    <t>CU096-04843</t>
  </si>
  <si>
    <t>ACOPOS P3 SERVO DRIVE W/ 8EI4X5HWTS0.0600-1</t>
  </si>
  <si>
    <t>HP25101</t>
  </si>
  <si>
    <t>LABORPRINT</t>
  </si>
  <si>
    <t>CT445-94460</t>
  </si>
  <si>
    <t xml:space="preserve">EH LAMP MAIN ASSY </t>
  </si>
  <si>
    <t>HP25103</t>
  </si>
  <si>
    <t>CT245-31980</t>
  </si>
  <si>
    <t xml:space="preserve">SUB-BR-4 </t>
  </si>
  <si>
    <t>1 unidade para o cliente P+E | NF 71750</t>
  </si>
  <si>
    <t>HP25104</t>
  </si>
  <si>
    <t>PLASUTIL</t>
  </si>
  <si>
    <t>MPT-8707-02</t>
  </si>
  <si>
    <t xml:space="preserve">PIN - BLADE HOLDER </t>
  </si>
  <si>
    <t>CON25018B</t>
  </si>
  <si>
    <t>071790</t>
  </si>
  <si>
    <t>CT340-21501</t>
  </si>
  <si>
    <t xml:space="preserve">REAR LOCATION PIN-ENGAGE </t>
  </si>
  <si>
    <t>NF 72920</t>
  </si>
  <si>
    <t>071361</t>
  </si>
  <si>
    <t xml:space="preserve">DRIVER, PUMP </t>
  </si>
  <si>
    <t>CT397-06370</t>
  </si>
  <si>
    <t>SET BEARING BALL 8X16X5 SEAL.</t>
  </si>
  <si>
    <t>CT340-76660</t>
  </si>
  <si>
    <t>ROLLER BLOCKER-CLEANING STATION</t>
  </si>
  <si>
    <t>CT340-20571</t>
  </si>
  <si>
    <t xml:space="preserve">REAR EXTRA PIN </t>
  </si>
  <si>
    <t>HP25105</t>
  </si>
  <si>
    <t>MOTOR SERVO 24VDC 2.5NM 8JSA33.E4045D000-0</t>
  </si>
  <si>
    <t>HP25109</t>
  </si>
  <si>
    <t>DUPLEX DVC BELTS PRETENS ION MECHANISM (MR2 UG)</t>
  </si>
  <si>
    <t>NEW EBV BLOWER + SSR - F IRST REPLACEMENT KIT</t>
  </si>
  <si>
    <t>CT597-00102</t>
  </si>
  <si>
    <t xml:space="preserve">SET DLC FINGER AND ORING </t>
  </si>
  <si>
    <t>CON25011B &amp; CON25018B</t>
  </si>
  <si>
    <t>PARCIAL. FALTA ITEM CU316-04507</t>
  </si>
  <si>
    <t>071466</t>
  </si>
  <si>
    <t>100K SIDE BLOWER (ODM)</t>
  </si>
  <si>
    <t>HP25112</t>
  </si>
  <si>
    <t>CT354-00423</t>
  </si>
  <si>
    <t xml:space="preserve">FANS ASSY WH ELECTRONICS </t>
  </si>
  <si>
    <t>HP25118</t>
  </si>
  <si>
    <t>HP25119</t>
  </si>
  <si>
    <t>HP25120</t>
  </si>
  <si>
    <t>HP25121</t>
  </si>
  <si>
    <t xml:space="preserve">CU096-03151 </t>
  </si>
  <si>
    <t>HP25126</t>
  </si>
  <si>
    <t xml:space="preserve">CT445-82750 </t>
  </si>
  <si>
    <t>PRESSURE-SENSORE-INSULAT ED-ASSY</t>
  </si>
  <si>
    <t>HP25127</t>
  </si>
  <si>
    <t xml:space="preserve">CT446-39010 </t>
  </si>
  <si>
    <t>HP25128</t>
  </si>
  <si>
    <t>MAYER</t>
  </si>
  <si>
    <t xml:space="preserve">CA254-00890 </t>
  </si>
  <si>
    <t>POWER RESISTOR FOR MOTOR INVERTER UNIT</t>
  </si>
  <si>
    <t>HP25130</t>
  </si>
  <si>
    <t xml:space="preserve">CU812-12130 </t>
  </si>
  <si>
    <t>TACTICAL CABLE LC-LC OM3 L- 50M</t>
  </si>
  <si>
    <t>HP25131</t>
  </si>
  <si>
    <t>THALES</t>
  </si>
  <si>
    <t xml:space="preserve">CT054-00580 </t>
  </si>
  <si>
    <t>PROBE CONDUCTIVITY METER , CDM</t>
  </si>
  <si>
    <t>HP25134</t>
  </si>
  <si>
    <t>CT990-05290</t>
  </si>
  <si>
    <t xml:space="preserve">S.NOTE RELIABILITY SET FOR 200K </t>
  </si>
  <si>
    <t>071749</t>
  </si>
  <si>
    <t>HP25140</t>
  </si>
  <si>
    <t>CA356-00911</t>
  </si>
  <si>
    <t>MOTOR CONTROL BOARD ASSY (TECHNOSOFT)</t>
  </si>
  <si>
    <t>Reposição de estoque</t>
  </si>
  <si>
    <t>HP25141</t>
  </si>
  <si>
    <t xml:space="preserve">PLASUTIL </t>
  </si>
  <si>
    <t>MIXING PUMP ASSY, RECYC LING SYSTEM</t>
  </si>
  <si>
    <t>HP25158</t>
  </si>
  <si>
    <t>GRAFIX</t>
  </si>
  <si>
    <t>071802</t>
  </si>
  <si>
    <t xml:space="preserve">PUMP ASSY -LIC </t>
  </si>
  <si>
    <t>HP25163</t>
  </si>
  <si>
    <t xml:space="preserve">CU141-02115 </t>
  </si>
  <si>
    <t>BEARING-BALL 25MM-ID 52 MM-OD 18MM-W</t>
  </si>
  <si>
    <t xml:space="preserve">CON25018B &amp; CON25021B &amp; CON25027B </t>
  </si>
  <si>
    <t>HP25165</t>
  </si>
  <si>
    <t xml:space="preserve">COMPRINT </t>
  </si>
  <si>
    <t xml:space="preserve">CT445-48202 </t>
  </si>
  <si>
    <t>BID ADAPTER 1-6 BASIC AS SY</t>
  </si>
  <si>
    <t>HP25166</t>
  </si>
  <si>
    <t>MAXXCOR</t>
  </si>
  <si>
    <t xml:space="preserve">CT245-00136 </t>
  </si>
  <si>
    <t xml:space="preserve">SCOROTRON UNIT </t>
  </si>
  <si>
    <t>HP25167</t>
  </si>
  <si>
    <t xml:space="preserve">CT244-02460 </t>
  </si>
  <si>
    <t xml:space="preserve">MOTOR, ASSY, LP1 </t>
  </si>
  <si>
    <t>HP25169</t>
  </si>
  <si>
    <t xml:space="preserve">CT000-83310 </t>
  </si>
  <si>
    <t>BRUSH SPREADED ASSY - PU W ARAD</t>
  </si>
  <si>
    <t>HP25170</t>
  </si>
  <si>
    <t xml:space="preserve">CT345-61130 </t>
  </si>
  <si>
    <t xml:space="preserve">SG PUMP BASE ASSY </t>
  </si>
  <si>
    <t>HP25173</t>
  </si>
  <si>
    <t>INOVE</t>
  </si>
  <si>
    <t xml:space="preserve">CT397-02930 </t>
  </si>
  <si>
    <t>SP,DRAWER#1 MOVING CABLES</t>
  </si>
  <si>
    <t>Entregue em 17/04/25</t>
  </si>
  <si>
    <t xml:space="preserve">CT397-06200 </t>
  </si>
  <si>
    <t>SET VACUUM BOX GREEN BEL TS (5 BELTS)</t>
  </si>
  <si>
    <t>HP25174</t>
  </si>
  <si>
    <t>REDOMA</t>
  </si>
  <si>
    <t xml:space="preserve">3150-0978 </t>
  </si>
  <si>
    <t xml:space="preserve">OZONE FILTER LARGE ROHS </t>
  </si>
  <si>
    <t>CA355-00070</t>
  </si>
  <si>
    <t>DRIVER INPUT FEED ROLLER IFR PROGRAMMED &amp; TESTED</t>
  </si>
  <si>
    <t>CA361-00550</t>
  </si>
  <si>
    <t>CABLE ASSY W55 DC FOR PH C SERVO</t>
  </si>
  <si>
    <t xml:space="preserve">CON26001B </t>
  </si>
  <si>
    <t>HP25175</t>
  </si>
  <si>
    <t xml:space="preserve">CT446-14840 </t>
  </si>
  <si>
    <t xml:space="preserve">PULLY ASSEMBLY </t>
  </si>
  <si>
    <t>HP25176</t>
  </si>
  <si>
    <t xml:space="preserve">CT357-00373 </t>
  </si>
  <si>
    <t>HP25177</t>
  </si>
  <si>
    <t>HELLOGRAF</t>
  </si>
  <si>
    <t>071816</t>
  </si>
  <si>
    <t>HP25178</t>
  </si>
  <si>
    <t xml:space="preserve">CA354-02351 </t>
  </si>
  <si>
    <t>CDM SET (CONDUCTIVITY &amp; DENSITY METER)</t>
  </si>
  <si>
    <t>HP25182</t>
  </si>
  <si>
    <t>FUTURA EXPRESS</t>
  </si>
  <si>
    <t xml:space="preserve">CT341-32671 </t>
  </si>
  <si>
    <t xml:space="preserve">PRESSURE SWITCH 0.56 BAR </t>
  </si>
  <si>
    <t>HP25187</t>
  </si>
  <si>
    <t xml:space="preserve">CA345-00745 </t>
  </si>
  <si>
    <t>HP25188</t>
  </si>
  <si>
    <t xml:space="preserve">CU498-01672 </t>
  </si>
  <si>
    <t xml:space="preserve">SIDE BLOWER KPL 10000 MR </t>
  </si>
  <si>
    <t>HP25190</t>
  </si>
  <si>
    <t>CT254-03960</t>
  </si>
  <si>
    <t>PAPER SENSOR ASSY FOR EX IT CONVEY</t>
  </si>
  <si>
    <t>REP. ESTOQUE</t>
  </si>
  <si>
    <t>HP25191</t>
  </si>
  <si>
    <t>CU096-03496</t>
  </si>
  <si>
    <t xml:space="preserve">PRESSURE SWITCH 650PA. </t>
  </si>
  <si>
    <t>CU096-03564</t>
  </si>
  <si>
    <t>PRESSURE SWITCH SPDT 420 0PA</t>
  </si>
  <si>
    <t>PRESSURE SWITCH SPST 150 PA</t>
  </si>
  <si>
    <t>HP25193</t>
  </si>
  <si>
    <t>SP INK PUMP MOTOR</t>
  </si>
  <si>
    <t>RDU TUBE SEAL LONG NUT W ELD ASM</t>
  </si>
  <si>
    <t>HP25194</t>
  </si>
  <si>
    <t xml:space="preserve">CT544-31330 </t>
  </si>
  <si>
    <t>HP25195</t>
  </si>
  <si>
    <t>CT345-52980</t>
  </si>
  <si>
    <t>KIT ,DANCER CYLINDER ASS Y</t>
  </si>
  <si>
    <t>HP25196</t>
  </si>
  <si>
    <t>CU498-04150</t>
  </si>
  <si>
    <t>ASSY DRIVE, ROLLER WITH SUCTION BELT</t>
  </si>
  <si>
    <t>VALVE-ASSY AIR 3/2 1/4NP SF 24VDC</t>
  </si>
  <si>
    <t>CT446-29630</t>
  </si>
  <si>
    <t>ROLLER, SUCTION BELT, AS SY</t>
  </si>
  <si>
    <t xml:space="preserve">BRIDGE SUCTION BELT </t>
  </si>
  <si>
    <t>HP25199</t>
  </si>
  <si>
    <t xml:space="preserve">CU090-51709 </t>
  </si>
  <si>
    <t>HP25200</t>
  </si>
  <si>
    <t xml:space="preserve">CT245-28471 </t>
  </si>
  <si>
    <t>HP25201</t>
  </si>
  <si>
    <t xml:space="preserve">CT456-00035 </t>
  </si>
  <si>
    <t xml:space="preserve">MCN3 BOARD ASSY </t>
  </si>
  <si>
    <t>HP25202</t>
  </si>
  <si>
    <t xml:space="preserve">CU314-01474 </t>
  </si>
  <si>
    <t>MOTOR SERVO 2000RPM 1.2N M</t>
  </si>
  <si>
    <t>HP25203</t>
  </si>
  <si>
    <t xml:space="preserve">CT345-48472 </t>
  </si>
  <si>
    <t xml:space="preserve">INK PUMP, NO TIC </t>
  </si>
  <si>
    <t>HP25204</t>
  </si>
  <si>
    <t>LOYOLA</t>
  </si>
  <si>
    <t>HP25205</t>
  </si>
  <si>
    <t xml:space="preserve">CT345-51380 </t>
  </si>
  <si>
    <t xml:space="preserve">SP,SET FOR -Z PUMP </t>
  </si>
  <si>
    <t>HP25209</t>
  </si>
  <si>
    <t>HP25212</t>
  </si>
  <si>
    <t>HP25214</t>
  </si>
  <si>
    <t xml:space="preserve">MBL-1015-02 </t>
  </si>
  <si>
    <t>BELT TIMING HTD3 9MM-312 ROHS</t>
  </si>
  <si>
    <t>HP25215</t>
  </si>
  <si>
    <t xml:space="preserve">CT468-67660 </t>
  </si>
  <si>
    <t>RAIL FOR TRAILING EDGE</t>
  </si>
  <si>
    <t xml:space="preserve">CON25027B </t>
  </si>
  <si>
    <t xml:space="preserve">HP25217 </t>
  </si>
  <si>
    <t>VALVE ASSY, PRESSURE, PE RFECTOR</t>
  </si>
  <si>
    <t>HP25218</t>
  </si>
  <si>
    <t>HP25220</t>
  </si>
  <si>
    <t>CA497-02340</t>
  </si>
  <si>
    <t>CT990-00620</t>
  </si>
  <si>
    <t>SP,1TB SATA SOLID STATE DRIV</t>
  </si>
  <si>
    <t>HP25221</t>
  </si>
  <si>
    <t>CU096-02462</t>
  </si>
  <si>
    <t>BOARD ASSEMBLY ELECTROM ETER ROHS</t>
  </si>
  <si>
    <t>HP25228</t>
  </si>
  <si>
    <t>HP25229</t>
  </si>
  <si>
    <t xml:space="preserve">ITM HEATER LAMP ASSY </t>
  </si>
  <si>
    <t>HP25230</t>
  </si>
  <si>
    <t>PIGMA</t>
  </si>
  <si>
    <t>HP25232</t>
  </si>
  <si>
    <t>CU153-02583</t>
  </si>
  <si>
    <t>REWINDER BLADDER RUBBER EXPANDING SHAFT BALLON</t>
  </si>
  <si>
    <t>HP25233</t>
  </si>
  <si>
    <t>HP25238</t>
  </si>
  <si>
    <t xml:space="preserve">CA397-01750  </t>
  </si>
  <si>
    <t>SP,INJECTED.PULLEY.Z18.W ITH.FLAG.D40</t>
  </si>
  <si>
    <t>HP25239</t>
  </si>
  <si>
    <t xml:space="preserve">0960-2556 </t>
  </si>
  <si>
    <t>SER DRIVE DST1405 PLUS CONF. COAT NO U/G</t>
  </si>
  <si>
    <t>HP25248</t>
  </si>
  <si>
    <t>PUMP AND FITTINGS ZUWA P UMP</t>
  </si>
  <si>
    <t>HP25249</t>
  </si>
  <si>
    <t>CT990-01250</t>
  </si>
  <si>
    <t xml:space="preserve">BEARING BALL 8X16X5 </t>
  </si>
  <si>
    <t>NUT, SPINDLE, DRAWER LP, PP,MR</t>
  </si>
  <si>
    <t>LOWER BEARING HOUSING- D RAWER</t>
  </si>
  <si>
    <t>UPPER BEARING HOUSING IN DRAWER</t>
  </si>
  <si>
    <t>HP25255</t>
  </si>
  <si>
    <t xml:space="preserve">CU498-07040 </t>
  </si>
  <si>
    <t>SET, CABLE, FMC TO EDGE CON FEED MODUL</t>
  </si>
  <si>
    <t>CON25027B</t>
  </si>
  <si>
    <t>HP25256</t>
  </si>
  <si>
    <t>HP25260</t>
  </si>
  <si>
    <t xml:space="preserve">CT597-00035 </t>
  </si>
  <si>
    <t xml:space="preserve">CT597-00034 </t>
  </si>
  <si>
    <t xml:space="preserve">SAFETY GRIPPER ASSY, PGR </t>
  </si>
  <si>
    <t xml:space="preserve">CT597-00036 </t>
  </si>
  <si>
    <t>HP25261</t>
  </si>
  <si>
    <t>HP25262</t>
  </si>
  <si>
    <t xml:space="preserve">CT445-25742 </t>
  </si>
  <si>
    <t>HP25264</t>
  </si>
  <si>
    <t xml:space="preserve">CT345-50911 </t>
  </si>
  <si>
    <t>HP25265</t>
  </si>
  <si>
    <t>CT361-00742</t>
  </si>
  <si>
    <t>CABLE ASSY. W74, BDU_1-4 - BID_1-4</t>
  </si>
  <si>
    <t>HP25270</t>
  </si>
  <si>
    <t xml:space="preserve">CU150-01586 </t>
  </si>
  <si>
    <t>COUPLING-LINEFLEX 50MM-I D 120MM-OD 638NM</t>
  </si>
  <si>
    <t>HP25272</t>
  </si>
  <si>
    <t xml:space="preserve">GRAFIX </t>
  </si>
  <si>
    <t xml:space="preserve">CT354-04953 </t>
  </si>
  <si>
    <t>MOTOR ASSY BID SEMI ENGA GE 1-5</t>
  </si>
  <si>
    <t>HP25273</t>
  </si>
  <si>
    <t xml:space="preserve">CT354-05281 </t>
  </si>
  <si>
    <t>SP-E/H HEATING UNIT - TO P ASSY.</t>
  </si>
  <si>
    <t xml:space="preserve">CT397-00130 </t>
  </si>
  <si>
    <t xml:space="preserve">MIC-3 AND BRACKET </t>
  </si>
  <si>
    <t>HP25275</t>
  </si>
  <si>
    <t>ACOPOS P3 SERVO DRIVE W/ DIGITAL-ENCODER</t>
  </si>
  <si>
    <t>HP25276</t>
  </si>
  <si>
    <t xml:space="preserve">PIGMA </t>
  </si>
  <si>
    <t>HP25277</t>
  </si>
  <si>
    <t xml:space="preserve">CT344-01252  </t>
  </si>
  <si>
    <t>HP25280</t>
  </si>
  <si>
    <t>HP25281</t>
  </si>
  <si>
    <t xml:space="preserve">CA345-09312 </t>
  </si>
  <si>
    <t>HEAT EXCHANGER WITH FITT INGS AND PIPES</t>
  </si>
  <si>
    <t>HP25282</t>
  </si>
  <si>
    <t xml:space="preserve">CA544-26761 </t>
  </si>
  <si>
    <t>CAM MOTOR BRKT &amp; HELICOILS, PGR</t>
  </si>
  <si>
    <t>HP25287</t>
  </si>
  <si>
    <t xml:space="preserve">CT445-56291 </t>
  </si>
  <si>
    <t xml:space="preserve">CON25037B </t>
  </si>
  <si>
    <t>HP25288</t>
  </si>
  <si>
    <t xml:space="preserve">INDEMETAL </t>
  </si>
  <si>
    <t>CT354-01221</t>
  </si>
  <si>
    <t>BID DRIVE MOTOR ASSY</t>
  </si>
  <si>
    <t xml:space="preserve">CON25027B &amp; CON25037B </t>
  </si>
  <si>
    <t>HP25289</t>
  </si>
  <si>
    <t>HP25291</t>
  </si>
  <si>
    <t>ULTRAPRESS</t>
  </si>
  <si>
    <t>CT245-34430</t>
  </si>
  <si>
    <t>CT245-34431</t>
  </si>
  <si>
    <t xml:space="preserve">ENDCAP REAR SP </t>
  </si>
  <si>
    <t>HP25293</t>
  </si>
  <si>
    <t>HP25295</t>
  </si>
  <si>
    <t xml:space="preserve">IR HOLDER - BLANKET </t>
  </si>
  <si>
    <t>HP25301</t>
  </si>
  <si>
    <t>VALVE SOL 1/4" 2WNC 24V DC VITON</t>
  </si>
  <si>
    <t>HP25304</t>
  </si>
  <si>
    <t>HP25308</t>
  </si>
  <si>
    <t xml:space="preserve">CT354-05492 </t>
  </si>
  <si>
    <t>SPM PROXIMITY SENSOR ASS Y</t>
  </si>
  <si>
    <t>HP25310</t>
  </si>
  <si>
    <t xml:space="preserve">CT345-35831 </t>
  </si>
  <si>
    <t xml:space="preserve">F.I. ADAPTER, ASSEMBLY </t>
  </si>
  <si>
    <t>HP25315</t>
  </si>
  <si>
    <t>CT440-29501</t>
  </si>
  <si>
    <t xml:space="preserve">EVR EXIT GUIDES WHEEL </t>
  </si>
  <si>
    <t>CU150-01912</t>
  </si>
  <si>
    <t>TIMING BELT 164MM-P-LG 1 0MM-WD 82 TEETH</t>
  </si>
  <si>
    <t>HP25316</t>
  </si>
  <si>
    <t>CA345-12130</t>
  </si>
  <si>
    <t>IMAGE OIL MANIFOLD ASSY</t>
  </si>
  <si>
    <t>CT254-02350</t>
  </si>
  <si>
    <t>CLEANING PUMP ASSY.</t>
  </si>
  <si>
    <t xml:space="preserve">IR HOLDER - ITM DRUN </t>
  </si>
  <si>
    <t>HP25317</t>
  </si>
  <si>
    <t>GRAFICA CAPITAL</t>
  </si>
  <si>
    <t>HP25319</t>
  </si>
  <si>
    <t>CT445-95210</t>
  </si>
  <si>
    <t>STACKER PULLEY ASSY BRID GE</t>
  </si>
  <si>
    <t>CU090-01697</t>
  </si>
  <si>
    <t>VITON O-RING INSERT SEAL FLUOROCARBON</t>
  </si>
  <si>
    <t>CU090-01707</t>
  </si>
  <si>
    <t>O-RING NBR 14MM-ID 2MM-W 70-SHORE BLACK</t>
  </si>
  <si>
    <t>CU316-04394</t>
  </si>
  <si>
    <t>FAN 48VDC 120X120X25.4MM 4600RPM</t>
  </si>
  <si>
    <t>HP25320</t>
  </si>
  <si>
    <t>HP25322</t>
  </si>
  <si>
    <t>HP25323</t>
  </si>
  <si>
    <t>CT441-85450</t>
  </si>
  <si>
    <t>REAR SEAL, EBV</t>
  </si>
  <si>
    <t>HP25324</t>
  </si>
  <si>
    <t>PUMP ASSY -LIC</t>
  </si>
  <si>
    <t>INK TANK SUB ASSY</t>
  </si>
  <si>
    <t>HP25327</t>
  </si>
  <si>
    <t>ATHALAIA</t>
  </si>
  <si>
    <t>HP25329</t>
  </si>
  <si>
    <t>CU150-01138</t>
  </si>
  <si>
    <t>COUPLING-FLEXIBLE DUBL D ISK 9X9-MM ROHS</t>
  </si>
  <si>
    <t>HP25331</t>
  </si>
  <si>
    <t>HP25332</t>
  </si>
  <si>
    <t xml:space="preserve">HP25334 </t>
  </si>
  <si>
    <t>ETIQECIA</t>
  </si>
  <si>
    <t>CA344-09251</t>
  </si>
  <si>
    <t>E/H - REAR ADAPTOR - FLO W SENSOR TECH ASSY.</t>
  </si>
  <si>
    <t>CT240-19480</t>
  </si>
  <si>
    <t xml:space="preserve">HANDLE </t>
  </si>
  <si>
    <t>CT345-43511</t>
  </si>
  <si>
    <t>E/H SHUTTER ASSY</t>
  </si>
  <si>
    <t>CT345-20570</t>
  </si>
  <si>
    <t>EXPANDING AIR SHAFT ASSY</t>
  </si>
  <si>
    <t>CT345-16492</t>
  </si>
  <si>
    <t>STOPER FOR EXPENDING SHA FT</t>
  </si>
  <si>
    <t>HP25337</t>
  </si>
  <si>
    <t xml:space="preserve">CU314-01480 </t>
  </si>
  <si>
    <t>HP25338</t>
  </si>
  <si>
    <t>VITAFOR</t>
  </si>
  <si>
    <t>MFL-1013-02</t>
  </si>
  <si>
    <t>HOUS.FILTR 1 1/2' GAUGE LOC3&amp;5 NO INDICATOR ROHS</t>
  </si>
  <si>
    <t>HP25340</t>
  </si>
  <si>
    <t>SP- BELT DRIVE(15 UNITS )DUPLEX CO NVEYOR</t>
  </si>
  <si>
    <t>HP25342</t>
  </si>
  <si>
    <t xml:space="preserve">CT497-00720 </t>
  </si>
  <si>
    <t>PIP SUCTION CUPS(12 UNIT S)</t>
  </si>
  <si>
    <t>HP25343</t>
  </si>
  <si>
    <t>E/H-HEATING UNIT -TOP AS SY</t>
  </si>
  <si>
    <t>HP25353</t>
  </si>
  <si>
    <t xml:space="preserve">CU096-03668 </t>
  </si>
  <si>
    <t>FOUR-PORT USB 3.1 GEN 1 (5GBPS) HUB</t>
  </si>
  <si>
    <t>HP25354</t>
  </si>
  <si>
    <t xml:space="preserve">CA240-89670 </t>
  </si>
  <si>
    <t>HP25356</t>
  </si>
  <si>
    <t xml:space="preserve">MIDIOGRAF </t>
  </si>
  <si>
    <t>CT341-29690</t>
  </si>
  <si>
    <t xml:space="preserve">REAR COVER-MACHINED </t>
  </si>
  <si>
    <t>CT341-29670</t>
  </si>
  <si>
    <t xml:space="preserve">FRONT COVER-MACHINED </t>
  </si>
  <si>
    <t>HP25357</t>
  </si>
  <si>
    <t>HP25360</t>
  </si>
  <si>
    <t>CL.ST MOTOR ASSY</t>
  </si>
  <si>
    <t>HP25362</t>
  </si>
  <si>
    <t>CT445-37681</t>
  </si>
  <si>
    <t>CARBON BRUSH TOP ASSY - PIP</t>
  </si>
  <si>
    <t xml:space="preserve">HP25364 </t>
  </si>
  <si>
    <t xml:space="preserve"> SINGULAR</t>
  </si>
  <si>
    <t>COIL 24V 10W GEM - SOL R OHS</t>
  </si>
  <si>
    <t>HP25365</t>
  </si>
  <si>
    <t>HP25371</t>
  </si>
  <si>
    <t xml:space="preserve">SIDEBLOWER FLAT CABLE </t>
  </si>
  <si>
    <t>HP25372</t>
  </si>
  <si>
    <t>MAXIMA</t>
  </si>
  <si>
    <t>CT341-37140</t>
  </si>
  <si>
    <t>CLEAR BELT FOR REGISTRAT ION TABLE</t>
  </si>
  <si>
    <t>HP25374</t>
  </si>
  <si>
    <t xml:space="preserve">PACKSTER </t>
  </si>
  <si>
    <t>REAR DRIVER SPONGE ROLLE R</t>
  </si>
  <si>
    <t>HP25379</t>
  </si>
  <si>
    <t>GRAFICA REDE</t>
  </si>
  <si>
    <t xml:space="preserve">5188-1077 </t>
  </si>
  <si>
    <t>PH SENSOR HOLDER ASSY - PLASTIC</t>
  </si>
  <si>
    <t>HP25384</t>
  </si>
  <si>
    <t xml:space="preserve">CU096-02952 </t>
  </si>
  <si>
    <t xml:space="preserve">PRESSURE GAUGE </t>
  </si>
  <si>
    <t>HP25385</t>
  </si>
  <si>
    <t>HP25386</t>
  </si>
  <si>
    <t>PHOTOELECTRIC SLOT SENSO R</t>
  </si>
  <si>
    <t>HP25387</t>
  </si>
  <si>
    <t xml:space="preserve">CT497-11350 </t>
  </si>
  <si>
    <t>HP25389</t>
  </si>
  <si>
    <t xml:space="preserve">0960-2554 </t>
  </si>
  <si>
    <t>DIG SER DRI 3PH CUR 1401 STEP PLUS ROHS</t>
  </si>
  <si>
    <t>HP25390</t>
  </si>
  <si>
    <t>HP25393</t>
  </si>
  <si>
    <t xml:space="preserve">CU498-01710 </t>
  </si>
  <si>
    <t>TIMING BELT 420MM-P-LG 10MM-WD 84 TEETH</t>
  </si>
  <si>
    <t>HP25394</t>
  </si>
  <si>
    <t xml:space="preserve">CU498-02200 </t>
  </si>
  <si>
    <t xml:space="preserve">FUSE ESKA 8A </t>
  </si>
  <si>
    <t>HP25399</t>
  </si>
  <si>
    <t>CU036-03507</t>
  </si>
  <si>
    <t>TERMINAL MODULE FOR ET 200S COMPACT</t>
  </si>
  <si>
    <t>CON26022B</t>
  </si>
  <si>
    <t>CU096-03453</t>
  </si>
  <si>
    <t>I/O MODULE 24VDC/0.5A 1 6DI/16DO</t>
  </si>
  <si>
    <t>HP25402</t>
  </si>
  <si>
    <t xml:space="preserve">BELT VERTICAL PAPER PATH </t>
  </si>
  <si>
    <t>HP25405</t>
  </si>
  <si>
    <t>CT345-60860</t>
  </si>
  <si>
    <t>HEAT EXCHGR WITH FITTING S</t>
  </si>
  <si>
    <t>HP25406</t>
  </si>
  <si>
    <t>FUJIOKA</t>
  </si>
  <si>
    <t>CT245-34250</t>
  </si>
  <si>
    <t>CT245-34251</t>
  </si>
  <si>
    <t xml:space="preserve">HOUSING CONTACT ASSEMBLY </t>
  </si>
  <si>
    <t>CT245-31000</t>
  </si>
  <si>
    <t xml:space="preserve">PAGE WEIGHT </t>
  </si>
  <si>
    <t>CA297-02240</t>
  </si>
  <si>
    <t>SP - COVER REAR SCOROTRO N</t>
  </si>
  <si>
    <t>CA140-06580</t>
  </si>
  <si>
    <t xml:space="preserve">HOUSING REAR </t>
  </si>
  <si>
    <t>HP25407</t>
  </si>
  <si>
    <t>HP25408</t>
  </si>
  <si>
    <t>HP25409</t>
  </si>
  <si>
    <t>HP25411</t>
  </si>
  <si>
    <t>ZAP GRAFICA</t>
  </si>
  <si>
    <t>CT345-32595</t>
  </si>
  <si>
    <t>FRONT MINI WALL INTEGRAT ED</t>
  </si>
  <si>
    <t>HP25416</t>
  </si>
  <si>
    <t>ASSY-TURBINE METER WITH FITTINGS</t>
  </si>
  <si>
    <t>HP25417</t>
  </si>
  <si>
    <t>HP25418</t>
  </si>
  <si>
    <t>HP25419</t>
  </si>
  <si>
    <t>HP25426</t>
  </si>
  <si>
    <t>COMPULASER</t>
  </si>
  <si>
    <t>HP25427</t>
  </si>
  <si>
    <t>CT344-14950</t>
  </si>
  <si>
    <t xml:space="preserve">EBV FUNNEL ASSEMBLY </t>
  </si>
  <si>
    <t xml:space="preserve">OUTLABEL </t>
  </si>
  <si>
    <t>Parcial. 02 entregues / 01 pendente (entregue em 20/10)</t>
  </si>
  <si>
    <t>HP25428</t>
  </si>
  <si>
    <t>CA397-02311</t>
  </si>
  <si>
    <t>SP,FEEDER MAIN BOARD</t>
  </si>
  <si>
    <t>HP25434</t>
  </si>
  <si>
    <t xml:space="preserve">CT345-41661 </t>
  </si>
  <si>
    <t>VALVE 3/2 ASSY, FOR SEGR EGATION</t>
  </si>
  <si>
    <t>CON25049B</t>
  </si>
  <si>
    <t xml:space="preserve">HP25438 </t>
  </si>
  <si>
    <t>CT340-44183</t>
  </si>
  <si>
    <t>MICRO SWITCH BENDED ACTU ATOR</t>
  </si>
  <si>
    <t>HP25440</t>
  </si>
  <si>
    <t>HP25441</t>
  </si>
  <si>
    <t xml:space="preserve">CT397-03010 </t>
  </si>
  <si>
    <t>KIT MAINTENANCE-SER 4 ZU WA PUMP WHITE IMPELLER</t>
  </si>
  <si>
    <t>HP25442</t>
  </si>
  <si>
    <t xml:space="preserve">CU150-01947 </t>
  </si>
  <si>
    <t>BELT TIMING 5MM-P 9MM-W 2100MM-PITCH-LG</t>
  </si>
  <si>
    <t>CON25040B</t>
  </si>
  <si>
    <t>HP25443</t>
  </si>
  <si>
    <t>HP25446</t>
  </si>
  <si>
    <t>CT340-97360</t>
  </si>
  <si>
    <t xml:space="preserve">STACKER BRIDGE HANDLE </t>
  </si>
  <si>
    <t>HP25447</t>
  </si>
  <si>
    <t>CA290-01870</t>
  </si>
  <si>
    <t>DELTA HEAT EXCH CLEAN 11 5&amp;220V</t>
  </si>
  <si>
    <t>CON26005B</t>
  </si>
  <si>
    <t>HP25448</t>
  </si>
  <si>
    <t>HP25449</t>
  </si>
  <si>
    <t>CU096-02866</t>
  </si>
  <si>
    <t>X20 DIGITAL MIXED MODULE S X20DM9324</t>
  </si>
  <si>
    <t>CU096-02864</t>
  </si>
  <si>
    <t>X20 BUSRECEIVER POWER FE X20BR9300</t>
  </si>
  <si>
    <t>CON26012B</t>
  </si>
  <si>
    <t>HP25455</t>
  </si>
  <si>
    <t xml:space="preserve">CT990-03460 </t>
  </si>
  <si>
    <t xml:space="preserve">RECORO 1/4M X 1/4M L38 </t>
  </si>
  <si>
    <t>HP25456</t>
  </si>
  <si>
    <t xml:space="preserve">CU498-01902 </t>
  </si>
  <si>
    <t>KIT, SHAFT OFFSETTER ASS Y</t>
  </si>
  <si>
    <t>HP25461</t>
  </si>
  <si>
    <t xml:space="preserve">PIN CONTACT </t>
  </si>
  <si>
    <t>HP25465</t>
  </si>
  <si>
    <t>HIPER GRAFICA</t>
  </si>
  <si>
    <t>CT397-00413</t>
  </si>
  <si>
    <t xml:space="preserve">GRIPPER CLAMP(6 UNITS) </t>
  </si>
  <si>
    <t>HP25466</t>
  </si>
  <si>
    <t>HP25467</t>
  </si>
  <si>
    <t>HP25468</t>
  </si>
  <si>
    <t>CA345-11402</t>
  </si>
  <si>
    <t xml:space="preserve">INTERLOCK ASSY WIRED </t>
  </si>
  <si>
    <t>CT345-45320</t>
  </si>
  <si>
    <t>AMATEK BLOWER WITH AIR F ILTER</t>
  </si>
  <si>
    <t>HP25469</t>
  </si>
  <si>
    <t xml:space="preserve">CU096-03202 </t>
  </si>
  <si>
    <t>EMBEDDED USB SPECTROPHO TOMETER</t>
  </si>
  <si>
    <t>HP25470</t>
  </si>
  <si>
    <t xml:space="preserve">CA245-08081 </t>
  </si>
  <si>
    <t>HP25473</t>
  </si>
  <si>
    <t xml:space="preserve">CT454-03772 </t>
  </si>
  <si>
    <t xml:space="preserve">HOME SENSOR ASSY </t>
  </si>
  <si>
    <t>HP25475</t>
  </si>
  <si>
    <t>HP25477</t>
  </si>
  <si>
    <t xml:space="preserve">CT497-01600 </t>
  </si>
  <si>
    <t xml:space="preserve">SCAN BAR OPTICS </t>
  </si>
  <si>
    <t>HP25478</t>
  </si>
  <si>
    <t>SP, FRONT BEARING WEB KI T</t>
  </si>
  <si>
    <t>BAERING ASSEMBLY, REAR - ITM</t>
  </si>
  <si>
    <t>HP25479</t>
  </si>
  <si>
    <t xml:space="preserve">CARBON BRUSH ASSY </t>
  </si>
  <si>
    <t>HP25480</t>
  </si>
  <si>
    <t>CT397-05021</t>
  </si>
  <si>
    <t>SP BCS ELECTROMECH ASSY</t>
  </si>
  <si>
    <t>HP25483</t>
  </si>
  <si>
    <t xml:space="preserve">BOARD ASSEM VCORN5 DFE </t>
  </si>
  <si>
    <t>HP25491</t>
  </si>
  <si>
    <t>CT344-19162</t>
  </si>
  <si>
    <t>CATCH TRAY VACUUM FORMIN G TC ASSY</t>
  </si>
  <si>
    <t>HP25492</t>
  </si>
  <si>
    <t>IPS LABEL</t>
  </si>
  <si>
    <t>HP25494</t>
  </si>
  <si>
    <t xml:space="preserve">CT342-01690 </t>
  </si>
  <si>
    <t>HP25495</t>
  </si>
  <si>
    <t xml:space="preserve">CT344-04550 </t>
  </si>
  <si>
    <t>BALANCING ROLLER BEARING S ASSY</t>
  </si>
  <si>
    <t>HP25496</t>
  </si>
  <si>
    <t>HP25497</t>
  </si>
  <si>
    <t xml:space="preserve">CU150-01910 </t>
  </si>
  <si>
    <t>HP25499</t>
  </si>
  <si>
    <t xml:space="preserve">CA345-19320  </t>
  </si>
  <si>
    <t>PIP HOLDER MECHANISM HA NDLE_ASSY</t>
  </si>
  <si>
    <t>HP25500</t>
  </si>
  <si>
    <t>HP25501</t>
  </si>
  <si>
    <t>HP25502</t>
  </si>
  <si>
    <t xml:space="preserve">CU498-04180 </t>
  </si>
  <si>
    <t>HP25503</t>
  </si>
  <si>
    <t xml:space="preserve">CU498-01650 </t>
  </si>
  <si>
    <t>SYNCHRONOUS BELT 65 TEET H 1/4-IN-WD</t>
  </si>
  <si>
    <t>HP25504</t>
  </si>
  <si>
    <t xml:space="preserve">CT446-18711 </t>
  </si>
  <si>
    <t>IMAGING OIL PUMP ASSY</t>
  </si>
  <si>
    <t>HP25505</t>
  </si>
  <si>
    <t xml:space="preserve">CT454-02772 </t>
  </si>
  <si>
    <t>DVC_VAC_FRNT BLOWER CABL E</t>
  </si>
  <si>
    <t xml:space="preserve">HP25508 </t>
  </si>
  <si>
    <t xml:space="preserve">CT345-43170 </t>
  </si>
  <si>
    <t xml:space="preserve">EBM MECHANISM ASSY </t>
  </si>
  <si>
    <t>HP25509</t>
  </si>
  <si>
    <t xml:space="preserve">CT454-02830  </t>
  </si>
  <si>
    <t>SWITCH PRESSURE, WIRED, AIR KNIFE</t>
  </si>
  <si>
    <t>HP25510</t>
  </si>
  <si>
    <t xml:space="preserve">PRAKOLAR </t>
  </si>
  <si>
    <t xml:space="preserve">CT345-48431 </t>
  </si>
  <si>
    <t>HP25511</t>
  </si>
  <si>
    <t>ASTER</t>
  </si>
  <si>
    <t xml:space="preserve">CL.ST MOTOR ASSY </t>
  </si>
  <si>
    <t xml:space="preserve">LIBERADO </t>
  </si>
  <si>
    <t>HP25513</t>
  </si>
  <si>
    <t>HP25514</t>
  </si>
  <si>
    <t xml:space="preserve">CT345-56180 </t>
  </si>
  <si>
    <t>PUMP DRIVER - ASSY 2 SET SCREW</t>
  </si>
  <si>
    <t>HP25517</t>
  </si>
  <si>
    <t>HP25521</t>
  </si>
  <si>
    <t>HP25525</t>
  </si>
  <si>
    <t>PROMTEC</t>
  </si>
  <si>
    <t>SCOROTRON UNIT</t>
  </si>
  <si>
    <t>HP25527</t>
  </si>
  <si>
    <t>MCM-2010-01</t>
  </si>
  <si>
    <t xml:space="preserve">CLAMP TUBE 18-20 ROHS </t>
  </si>
  <si>
    <t>HP25535</t>
  </si>
  <si>
    <t>DIPIX</t>
  </si>
  <si>
    <t>HP25536</t>
  </si>
  <si>
    <t>ORS-IMO BUFFER TOTAL ASS Y</t>
  </si>
  <si>
    <t>HP25537</t>
  </si>
  <si>
    <t>CU498-01470</t>
  </si>
  <si>
    <t xml:space="preserve">STACK MODULE TIMING BELT </t>
  </si>
  <si>
    <t>CU498-00810</t>
  </si>
  <si>
    <t>DESTINATION DIVERTER TIM ING BELT</t>
  </si>
  <si>
    <t>CU498-01320</t>
  </si>
  <si>
    <t xml:space="preserve">OVERPASS TIMING BELT </t>
  </si>
  <si>
    <t>HP25547</t>
  </si>
  <si>
    <t xml:space="preserve">ATMOR TOP ASSY </t>
  </si>
  <si>
    <t>HP25548</t>
  </si>
  <si>
    <t>CA397-06430</t>
  </si>
  <si>
    <t xml:space="preserve">GUIDE SUPPORT SOFSUB </t>
  </si>
  <si>
    <t>CA045-18312</t>
  </si>
  <si>
    <t>CA045-18313</t>
  </si>
  <si>
    <t>SOFSUB JIG NEW</t>
  </si>
  <si>
    <t>HP25550</t>
  </si>
  <si>
    <t>HP25552</t>
  </si>
  <si>
    <t>ARTCHIK</t>
  </si>
  <si>
    <t>HP25553</t>
  </si>
  <si>
    <t>CT454-05050</t>
  </si>
  <si>
    <t>CON25049B &amp; CON26001B &amp; CON26005B</t>
  </si>
  <si>
    <t>HP25555</t>
  </si>
  <si>
    <t>HP25559</t>
  </si>
  <si>
    <t xml:space="preserve">PIXEL HOUSE </t>
  </si>
  <si>
    <t xml:space="preserve">CU498-06820 </t>
  </si>
  <si>
    <t>HP25560</t>
  </si>
  <si>
    <t xml:space="preserve">HP 7800 SPM NIP SHAFT </t>
  </si>
  <si>
    <t>HP25564</t>
  </si>
  <si>
    <t>QUANDO CHEGAR ENVIAR PARA INDEMETAL</t>
  </si>
  <si>
    <t>HP25565</t>
  </si>
  <si>
    <t xml:space="preserve">CT001-21870 </t>
  </si>
  <si>
    <t xml:space="preserve">FLOW METER SENSOR(SER5) </t>
  </si>
  <si>
    <t>HP25566</t>
  </si>
  <si>
    <t>LABEL BEER</t>
  </si>
  <si>
    <t>HP25567</t>
  </si>
  <si>
    <t xml:space="preserve">CT454-09060 </t>
  </si>
  <si>
    <t>HP25569</t>
  </si>
  <si>
    <t>HP25570</t>
  </si>
  <si>
    <t xml:space="preserve">CT345-30332 </t>
  </si>
  <si>
    <t>HP25571</t>
  </si>
  <si>
    <t xml:space="preserve">ARTCHIK </t>
  </si>
  <si>
    <t>HP25572</t>
  </si>
  <si>
    <t xml:space="preserve">M&amp;R </t>
  </si>
  <si>
    <t>HP25573</t>
  </si>
  <si>
    <t xml:space="preserve">CU315-00995 </t>
  </si>
  <si>
    <t xml:space="preserve">DRAWER SPRING(SET OF 2) </t>
  </si>
  <si>
    <t xml:space="preserve">CT468-83060 </t>
  </si>
  <si>
    <t>FILTER MESH 60X250 80MIC RON</t>
  </si>
  <si>
    <t>HP25574</t>
  </si>
  <si>
    <t xml:space="preserve">MFL-1013-02 </t>
  </si>
  <si>
    <t>HP25575</t>
  </si>
  <si>
    <t>HP25576</t>
  </si>
  <si>
    <t xml:space="preserve">CT345-37862 </t>
  </si>
  <si>
    <t>HP25577</t>
  </si>
  <si>
    <t>BELT VAC.ST. BRIDGE PU12 W27 (SET OF 2)</t>
  </si>
  <si>
    <t>HP25578</t>
  </si>
  <si>
    <t>HP25579</t>
  </si>
  <si>
    <t xml:space="preserve">CT490-27100 </t>
  </si>
  <si>
    <t>HP25581</t>
  </si>
  <si>
    <t>CATUAI</t>
  </si>
  <si>
    <t xml:space="preserve">CU095-72655 </t>
  </si>
  <si>
    <t>POWER SUPPLY 48V 1000W 2 1A</t>
  </si>
  <si>
    <t>HP25584</t>
  </si>
  <si>
    <t xml:space="preserve">CT454-09191 </t>
  </si>
  <si>
    <t xml:space="preserve">EH SUCTION BLOWER </t>
  </si>
  <si>
    <t>HP25585</t>
  </si>
  <si>
    <t xml:space="preserve">CT345-58121 </t>
  </si>
  <si>
    <t>AIR MANIFOLD 7+1 STATION SF IC</t>
  </si>
  <si>
    <t>HP25586</t>
  </si>
  <si>
    <t>HP25587</t>
  </si>
  <si>
    <t>JESSI</t>
  </si>
  <si>
    <t>HP25588</t>
  </si>
  <si>
    <t>HP25591</t>
  </si>
  <si>
    <t xml:space="preserve">CT440-96191 </t>
  </si>
  <si>
    <t xml:space="preserve">SEAL </t>
  </si>
  <si>
    <t>HP25602</t>
  </si>
  <si>
    <t>HP25603</t>
  </si>
  <si>
    <t xml:space="preserve">EAS-2086-52 </t>
  </si>
  <si>
    <t>HP25604</t>
  </si>
  <si>
    <t xml:space="preserve">CORE, BR </t>
  </si>
  <si>
    <t>SET ARMS FOR CHARGE ROL LER</t>
  </si>
  <si>
    <t>HP25605</t>
  </si>
  <si>
    <t xml:space="preserve">MCL-0312-01 </t>
  </si>
  <si>
    <t>COUPLING FLEXIBLE 12X12 KEY 4 - RED ROHS</t>
  </si>
  <si>
    <t>HP25606</t>
  </si>
  <si>
    <t>CT354-01360</t>
  </si>
  <si>
    <t>FAN ASSY. WIRED- INK UNI T</t>
  </si>
  <si>
    <t>HP25607</t>
  </si>
  <si>
    <t xml:space="preserve">CT454-06320 </t>
  </si>
  <si>
    <t xml:space="preserve">IMO WASTE PUMP </t>
  </si>
  <si>
    <t>HP25608</t>
  </si>
  <si>
    <t xml:space="preserve">CT354-01221 </t>
  </si>
  <si>
    <t>HP25609</t>
  </si>
  <si>
    <t xml:space="preserve">CU096-03483 </t>
  </si>
  <si>
    <t>LUBRICATION PUMP 24VDC 7 0BAR M12X1</t>
  </si>
  <si>
    <t>HP25610</t>
  </si>
  <si>
    <t xml:space="preserve">SEAL, UPPER SUCTION, EBV </t>
  </si>
  <si>
    <t>CU146-02974</t>
  </si>
  <si>
    <t xml:space="preserve">SPRING-CPRSN(SET OF 5) </t>
  </si>
  <si>
    <t>O-RING ID=7.65 OD=11.21 VITON ROHS</t>
  </si>
  <si>
    <t>CU211-01577</t>
  </si>
  <si>
    <t>FUSE (METRIC) 10A 250V T IME LAG 5X20MM</t>
  </si>
  <si>
    <t>HP25611</t>
  </si>
  <si>
    <t>2110-1473</t>
  </si>
  <si>
    <t>FUSE (METRIC) 25A 600VAC 10X38 MM ROHS</t>
  </si>
  <si>
    <t>SER DRIVE DST1401 PLUS CONF. COAT NO U/G</t>
  </si>
  <si>
    <t>CU211-01466</t>
  </si>
  <si>
    <t>FUSEHOLDER BODY 10X38 RO HS</t>
  </si>
  <si>
    <t>HP25616</t>
  </si>
  <si>
    <t>HP25617</t>
  </si>
  <si>
    <t xml:space="preserve">CT354-02412 </t>
  </si>
  <si>
    <t>AXLE CIRCUMVENTION PAPER STACKER</t>
  </si>
  <si>
    <t>HP25618</t>
  </si>
  <si>
    <t>CT345-48783</t>
  </si>
  <si>
    <t>ROTORS PERFECTORS ASSEMB LY</t>
  </si>
  <si>
    <t>HP25623</t>
  </si>
  <si>
    <t>HP25624</t>
  </si>
  <si>
    <t xml:space="preserve">CT454-07690 </t>
  </si>
  <si>
    <t>IR IMP DRUM WIRED, SER # 4</t>
  </si>
  <si>
    <t>HP25625</t>
  </si>
  <si>
    <t>SIDE BLOWER KPL 10000(NE W FFC CABLE AND HOLDER).</t>
  </si>
  <si>
    <t>LEVER PAPER PRESENT PILE 222_532_821-03_A</t>
  </si>
  <si>
    <t>HP25626</t>
  </si>
  <si>
    <t xml:space="preserve">CT345-50901 </t>
  </si>
  <si>
    <t>PERFECTOR VACUUM VALVE A SSY</t>
  </si>
  <si>
    <t>HP25627</t>
  </si>
  <si>
    <t>CT000-99720</t>
  </si>
  <si>
    <t>HP25628</t>
  </si>
  <si>
    <t xml:space="preserve">CT443-55220 </t>
  </si>
  <si>
    <t>DYNAMIC DECK SPRING(SET OF 3)</t>
  </si>
  <si>
    <t>HP25631</t>
  </si>
  <si>
    <t xml:space="preserve">ZAP </t>
  </si>
  <si>
    <t>CT397-05000</t>
  </si>
  <si>
    <t>PULLEY-HTD 3MM-P 20-Z 6M M-ID ST FOR STACKER</t>
  </si>
  <si>
    <t>CT397-04990</t>
  </si>
  <si>
    <t>MOTOR PULLEY-HTD 3MM-P 2 0-Z</t>
  </si>
  <si>
    <t>CT354-04952</t>
  </si>
  <si>
    <t>5189-5421</t>
  </si>
  <si>
    <t>MOVEABLE GUIDE FOR HP IN DIGO 5500 AND 7000</t>
  </si>
  <si>
    <t>HP25632</t>
  </si>
  <si>
    <t xml:space="preserve">MJ SNAP SEAL (8 UNITS) </t>
  </si>
  <si>
    <t>HP25639</t>
  </si>
  <si>
    <t>CA245-01761</t>
  </si>
  <si>
    <t>HANDLE ASSY STACKER MMI 5000</t>
  </si>
  <si>
    <t>HP25640</t>
  </si>
  <si>
    <t>HP25641</t>
  </si>
  <si>
    <t xml:space="preserve">SINGULAR </t>
  </si>
  <si>
    <t>CT245-02661</t>
  </si>
  <si>
    <t xml:space="preserve">MAIN MOTOR ASSEMBLY </t>
  </si>
  <si>
    <t>HP25642</t>
  </si>
  <si>
    <t>CT345-32583</t>
  </si>
  <si>
    <t>REAR MINI WALL INTEGRATE D</t>
  </si>
  <si>
    <t>CA397-00372</t>
  </si>
  <si>
    <t xml:space="preserve">SP-CAM SPRING ASSEMBLY </t>
  </si>
  <si>
    <t>CT345-43442</t>
  </si>
  <si>
    <t>MINI WALL FR TOP ASSY</t>
  </si>
  <si>
    <t>CT345-45811</t>
  </si>
  <si>
    <t>CT345-45812</t>
  </si>
  <si>
    <t>FEED HEAD 2,3,4 WITH ANT I-CRASH</t>
  </si>
  <si>
    <t>CT397-02911</t>
  </si>
  <si>
    <t>CT397-02912</t>
  </si>
  <si>
    <t>GRIPPER SHAFT ASSY</t>
  </si>
  <si>
    <t>HP25644</t>
  </si>
  <si>
    <t>CT397-06220</t>
  </si>
  <si>
    <t>EXIT ROLLER SHAFT WITH R ETAINING RING</t>
  </si>
  <si>
    <t>CT397-00110</t>
  </si>
  <si>
    <t>KIT CAM FOLLOWER ASSY FO R GRIPPER SHAFT S-3</t>
  </si>
  <si>
    <t>CT297-00140</t>
  </si>
  <si>
    <t xml:space="preserve">EXIT ROLLER COLLAR </t>
  </si>
  <si>
    <t>HP25645</t>
  </si>
  <si>
    <t>HP25646</t>
  </si>
  <si>
    <t>HP25648</t>
  </si>
  <si>
    <t>HP25649</t>
  </si>
  <si>
    <t>HP25654</t>
  </si>
  <si>
    <t>CT490-14170</t>
  </si>
  <si>
    <t>HP25656</t>
  </si>
  <si>
    <t>CT397-30280</t>
  </si>
  <si>
    <t xml:space="preserve">HP25660 </t>
  </si>
  <si>
    <t>MIC-3 AND BRACKET</t>
  </si>
  <si>
    <t>HP25662</t>
  </si>
  <si>
    <t>HP25663</t>
  </si>
  <si>
    <t>HP25669</t>
  </si>
  <si>
    <t>CT345-51910</t>
  </si>
  <si>
    <t>CHARGE ROLLER UNIT ASSEM BLY NEW CB</t>
  </si>
  <si>
    <t>RMA</t>
  </si>
  <si>
    <t>URGENCY</t>
  </si>
  <si>
    <t>ORDER REASON</t>
  </si>
  <si>
    <t>ORDER STATUS</t>
  </si>
  <si>
    <t>REGULAR</t>
  </si>
  <si>
    <t>CHANNEL REPLENISHMENT</t>
  </si>
  <si>
    <t>OK</t>
  </si>
  <si>
    <t>MD</t>
  </si>
  <si>
    <t>UTK REPLENISHMENT</t>
  </si>
  <si>
    <t>Delayed</t>
  </si>
  <si>
    <t>PENDENTE</t>
  </si>
  <si>
    <t>BO</t>
  </si>
  <si>
    <t>Cancelled</t>
  </si>
  <si>
    <t>In replenishment process</t>
  </si>
  <si>
    <t>NOT SPARE</t>
  </si>
  <si>
    <t>Serial Number</t>
  </si>
  <si>
    <t>Order Date</t>
  </si>
  <si>
    <t>Customer Name</t>
  </si>
  <si>
    <t>Item Number</t>
  </si>
  <si>
    <t>Part Description</t>
  </si>
  <si>
    <t>Quantity Ordered</t>
  </si>
  <si>
    <t>Quantity Supported</t>
  </si>
  <si>
    <t>Order Urgency</t>
  </si>
  <si>
    <t>Delivery Date</t>
  </si>
  <si>
    <t>Order Reason</t>
  </si>
  <si>
    <t>Order Status</t>
  </si>
  <si>
    <t>IN REPLENISHMENT PROCESS</t>
  </si>
  <si>
    <t>Tornado Assy</t>
  </si>
  <si>
    <t>Side Blower</t>
  </si>
  <si>
    <t>Driver, Pump</t>
  </si>
  <si>
    <t>Carbon brush C.R. assembly</t>
  </si>
  <si>
    <t>Standar Auxiliary Contact</t>
  </si>
  <si>
    <t>Side blower</t>
  </si>
  <si>
    <t>ÓTIMA</t>
  </si>
  <si>
    <t>Photointerruptor</t>
  </si>
  <si>
    <t>Upper bearing housing</t>
  </si>
  <si>
    <t>Cable high power 1.8M-LG</t>
  </si>
  <si>
    <t>Ink pump, no tic</t>
  </si>
  <si>
    <t>Belt time</t>
  </si>
  <si>
    <t>CT361-03171</t>
  </si>
  <si>
    <t>Front arm and locker, exit roller (S)</t>
  </si>
  <si>
    <t>MCU module assembly</t>
  </si>
  <si>
    <t> Ink pump, no tic (S)</t>
  </si>
  <si>
    <t>TIC board assembly</t>
  </si>
  <si>
    <t>Ink Flow Center main Body</t>
  </si>
  <si>
    <t>MIC Board</t>
  </si>
  <si>
    <t>JOS assembly</t>
  </si>
  <si>
    <t>Wetting roller</t>
  </si>
  <si>
    <t>Ceramic charge roller assembly</t>
  </si>
  <si>
    <t>EBM assy</t>
  </si>
  <si>
    <t>Driver Servo 24-65 VDC, 2 motors</t>
  </si>
  <si>
    <t>IR reflective Sensor</t>
  </si>
  <si>
    <t>VR</t>
  </si>
  <si>
    <t>Large auxiliary can</t>
  </si>
  <si>
    <t>Suction cup TE holder</t>
  </si>
  <si>
    <t>PIP bearing front assembly</t>
  </si>
  <si>
    <t>Assem Segregation LCS</t>
  </si>
  <si>
    <t>Carbon Brush</t>
  </si>
  <si>
    <t>CT445-56291 </t>
  </si>
  <si>
    <t> CT445-82840</t>
  </si>
  <si>
    <t>Fuji driver</t>
  </si>
  <si>
    <t>METABRASIL</t>
  </si>
  <si>
    <t> Mixing pump</t>
  </si>
  <si>
    <t>Ceramic Charge Roller</t>
  </si>
  <si>
    <t>ILS Scanner Bar Assy</t>
  </si>
  <si>
    <t>ITC_PUMP UL 2500VAC</t>
  </si>
  <si>
    <t>CT445-18692</t>
  </si>
  <si>
    <t>ITC - HEATER TOP ASSY</t>
  </si>
  <si>
    <t>GRAFICA NMC</t>
  </si>
  <si>
    <t>SIDE BLOWER KPL 10000(NE W FFC CABLE AND HOLDER)</t>
  </si>
  <si>
    <t>CT445-45903</t>
  </si>
  <si>
    <t>JOS ASSY</t>
  </si>
  <si>
    <t>CT456-00673</t>
  </si>
  <si>
    <t>PCA, CIO2 ASSEMBLY, 2ND  LAYOUT MR2</t>
  </si>
  <si>
    <t>STA</t>
  </si>
  <si>
    <t>CU498-04170</t>
  </si>
  <si>
    <t>BELT, SYNCHRONOUS, 100   S3M 519 NGGE</t>
  </si>
  <si>
    <t>812 DPI UNIFIED WRITTING HEAD</t>
  </si>
  <si>
    <t>SEGREGATION 3WAY VALVE A SSY.</t>
  </si>
  <si>
    <t>SHEET, BELT  PROTECTION( SET OF 2)</t>
  </si>
  <si>
    <t>ILS, SCANNER BAR ASSY</t>
  </si>
  <si>
    <t>MOTOR PAPER PATH PULLEY    ASSY</t>
  </si>
  <si>
    <t>CT445-00370</t>
  </si>
  <si>
    <t>ITS3&amp;ODS,12CLRYMCK,OVG,W   ,DIP,FPV,W.STAN,W.PREC</t>
  </si>
  <si>
    <t>CT354-03831</t>
  </si>
  <si>
    <t>IOC3 ASSY</t>
  </si>
  <si>
    <t>Gear Motor KW=0,55 2P UL-CSA PTC Lub</t>
  </si>
  <si>
    <t xml:space="preserve">X20 4 channel motor </t>
  </si>
  <si>
    <t> Segregation 3-way valve</t>
  </si>
  <si>
    <t xml:space="preserve"> Ozone filter </t>
  </si>
  <si>
    <t>DIRECT CD PUMP 4 WIRED</t>
  </si>
  <si>
    <t>Carbon brush C.R. assembly (S)</t>
  </si>
  <si>
    <t> S4 DUPLEX SUCTION CUPS (10 UNITS)</t>
  </si>
  <si>
    <t>Gas Spring</t>
  </si>
  <si>
    <t>Wire W12525</t>
  </si>
  <si>
    <t>Tresu level sensor cable</t>
  </si>
  <si>
    <t> CLUTCH</t>
  </si>
  <si>
    <t>Motor Brussles 5.8A</t>
  </si>
  <si>
    <t xml:space="preserve">Panasonic Darkon PNP Sensor </t>
  </si>
  <si>
    <t>BID Drive Motor Assembly (S)</t>
  </si>
  <si>
    <t>LIC Pump Assembly Procon (S)</t>
  </si>
  <si>
    <t> TRANSPORT SHFAFT DESTINATION </t>
  </si>
  <si>
    <t>Sensors ruler primer (S)</t>
  </si>
  <si>
    <t xml:space="preserve">Direct CD Pump </t>
  </si>
  <si>
    <t>Ceramic charge roller assembly (S)</t>
  </si>
  <si>
    <t>Hawaii</t>
  </si>
  <si>
    <t>Wetting roller top assembly (S)</t>
  </si>
  <si>
    <t>S4 EVR Suction Cups (Set of 10)</t>
  </si>
  <si>
    <t>S4 Duplex Suction Cups</t>
  </si>
  <si>
    <t> Interlock assembly wired (S)</t>
  </si>
  <si>
    <t xml:space="preserve">Pneumatic manifold </t>
  </si>
  <si>
    <t>Opt. sensor assembly</t>
  </si>
  <si>
    <t>BID drive motor assembly (S)</t>
  </si>
  <si>
    <t>CT990-01400</t>
  </si>
  <si>
    <t xml:space="preserve">Dust covers for 25K </t>
  </si>
  <si>
    <t> CU095_72419</t>
  </si>
  <si>
    <t>S4 DUPLEX SUCTION CUPS (10 UNITS)</t>
  </si>
  <si>
    <t>ALL4LABELS - BLU</t>
  </si>
  <si>
    <t>Carbon Brush Assembly</t>
  </si>
  <si>
    <t>Carbon brush</t>
  </si>
  <si>
    <t>NAUTILAIR AND FILTER</t>
  </si>
  <si>
    <t>Duplex Suction Cups</t>
  </si>
  <si>
    <t> S4 DUPLEX SUCTION CUPS( 10 UNITS)</t>
  </si>
  <si>
    <t> CU498-01611</t>
  </si>
  <si>
    <t>Belt Feeder set of 2</t>
  </si>
  <si>
    <t>PCA1 Tornado Distribution Board</t>
  </si>
  <si>
    <t> CU498-01902</t>
  </si>
  <si>
    <t>  CU498-01783</t>
  </si>
  <si>
    <t>REUNA</t>
  </si>
  <si>
    <t> carbon brush</t>
  </si>
  <si>
    <t>META BTASIL</t>
  </si>
  <si>
    <t> ICL assembly (S)</t>
  </si>
  <si>
    <t>Carbon Brush C.R. Assembly</t>
  </si>
  <si>
    <t>CA492-01670</t>
  </si>
  <si>
    <t>S.NOTE FINGER GUARD EIC   FANS 10,20,30K</t>
  </si>
  <si>
    <t>Clutch</t>
  </si>
  <si>
    <t>Meta Brasil</t>
  </si>
  <si>
    <t> Carbon Brush</t>
  </si>
  <si>
    <t>DUPLEX SUCTION CUPS( 10 UNITS)</t>
  </si>
  <si>
    <t>CT490-27100 </t>
  </si>
  <si>
    <t>PCA1 Feed Management</t>
  </si>
  <si>
    <t> Board Circ Solid State Relay Stacker</t>
  </si>
  <si>
    <t> MIC 3 and bracket </t>
  </si>
  <si>
    <t>MOTO0R SERVO 24VDC 2.5 NM</t>
  </si>
  <si>
    <t xml:space="preserve">S.NOTE FRONT DOOR MECH A ND PARS SCREWS 10,20,30K </t>
  </si>
  <si>
    <t>Carbon brush</t>
  </si>
  <si>
    <t>S.NOTE FEEDER BRIDGE LOCKING MECHANISM 1X000</t>
  </si>
  <si>
    <t>NEW EBV BLOWER + SSR – FIRST REPLACEMENT KIT</t>
  </si>
  <si>
    <t>Corona generator 220-240</t>
  </si>
  <si>
    <t>Printi</t>
  </si>
  <si>
    <t> NEW EBV BLOWER + SSR - FIRST REPLACEMENT KIT</t>
  </si>
  <si>
    <t>NEW EBV BLOWER + SSR First Replacement</t>
  </si>
  <si>
    <t>S4 DUPLEX SUCTION CUPS</t>
  </si>
  <si>
    <t>NEW EBV BLOWER + SSR - FIRST REPLACEMENT KIT.</t>
  </si>
  <si>
    <t>Seritec</t>
  </si>
  <si>
    <t>A/C cooling blower wired</t>
  </si>
  <si>
    <t>Seritec </t>
  </si>
  <si>
    <t xml:space="preserve">CT990-05040 </t>
  </si>
  <si>
    <t>Duplex DVC Belts</t>
  </si>
  <si>
    <t xml:space="preserve">S.Note Engine Door Support Brackets and PARS Robust Screws </t>
  </si>
  <si>
    <t>Carbon brush assembly</t>
  </si>
  <si>
    <t>BID drive motor assembly</t>
  </si>
  <si>
    <t>sheet, belt protection</t>
  </si>
  <si>
    <t>Ozone filter large</t>
  </si>
  <si>
    <t>Cover spindle</t>
  </si>
  <si>
    <t>BRASILTA</t>
  </si>
  <si>
    <t>Mega Label</t>
  </si>
  <si>
    <t>Power Supply</t>
  </si>
  <si>
    <t>Gas Spring 400N</t>
  </si>
  <si>
    <t>CU096-03454  </t>
  </si>
  <si>
    <t>comfort panel </t>
  </si>
  <si>
    <t>regulator 1/4</t>
  </si>
  <si>
    <t xml:space="preserve">S4 DUPLEX SUCTION CUPS </t>
  </si>
  <si>
    <t>Detalhes do Sum of QUANTIDADE</t>
  </si>
  <si>
    <t>CLIENTE</t>
  </si>
  <si>
    <t>Retornável - Aguardando entrega</t>
  </si>
  <si>
    <t>Retornável - Aguadando devolução</t>
  </si>
  <si>
    <t>Retornável - Cobrar o cliente, após a troca</t>
  </si>
  <si>
    <t xml:space="preserve">Retornável - Aguardando cliente </t>
  </si>
  <si>
    <t>Retornável - Verificar se está no cliente</t>
  </si>
  <si>
    <t>Não informado</t>
  </si>
  <si>
    <t xml:space="preserve">CA492-01760 </t>
  </si>
  <si>
    <t xml:space="preserve">S.NOTE BID CLEANING JIG   SER 4 </t>
  </si>
  <si>
    <t xml:space="preserve">HP INDIGO 20000 </t>
  </si>
  <si>
    <t>CA492-02040</t>
  </si>
  <si>
    <t>S.Note PLC Authorization Dongle Installation.</t>
  </si>
  <si>
    <t xml:space="preserve">Retornável - Aguardando Douglas realizar a troca </t>
  </si>
  <si>
    <t>Retornável - Verificar com Ronald como iremos retornar</t>
  </si>
  <si>
    <t>CA492-02060</t>
  </si>
  <si>
    <t xml:space="preserve">S.NOTE PREMIUM WHITE BACKWARDS 1X000, 30000 </t>
  </si>
  <si>
    <t>CA492-01970</t>
  </si>
  <si>
    <t xml:space="preserve">S.Note Replacing Line Filter Cable Nuts </t>
  </si>
  <si>
    <t>OK - CT397-00130</t>
  </si>
  <si>
    <t>Retornável - Aguarando cliente fazer a devolução</t>
  </si>
  <si>
    <t xml:space="preserve">CT990-03080 </t>
  </si>
  <si>
    <t xml:space="preserve">CT990-04690 </t>
  </si>
  <si>
    <t xml:space="preserve">S.NOTE Engine Door Support Brackets and PARS Robust Screws </t>
  </si>
  <si>
    <t>IMO reservoir filtered assembly</t>
  </si>
  <si>
    <t xml:space="preserve">CA545-10714 </t>
  </si>
  <si>
    <t>Detalhes do Sum of Quantity Ordered</t>
  </si>
  <si>
    <t>Ótima Gráfica</t>
  </si>
  <si>
    <t>LOF REAL</t>
  </si>
  <si>
    <t>LOF ELAINE</t>
  </si>
  <si>
    <t>Sum of QUANTIDADE</t>
  </si>
  <si>
    <t>Sum of QTD ESTOQUE CP</t>
  </si>
  <si>
    <t>Sum of Quantity Ordered</t>
  </si>
  <si>
    <t>Sum of Quantity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</si>
</sst>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[$$-409]* #,##0.00_ ;_-[$$-409]* \-#,##0.00\ ;_-[$$-409]* &quot;-&quot;??_ ;_-@_ "/>
    <numFmt numFmtId="166" formatCode="mm/dd/yyyy"/>
    <numFmt numFmtId="167" formatCode="dd/mm/yy;@"/>
    <numFmt numFmtId="168" formatCode="mm/dd/yy;@"/>
    <numFmt numFmtId="169" formatCode="h:mm;@"/>
    <numFmt numFmtId="170" formatCode="m/d/yyyy;@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name val="Aptos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1"/>
      <color theme="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8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7" tint="0.3999755851924192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83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9" fontId="0" fillId="0" borderId="0" xfId="2" applyFont="1"/>
    <xf numFmtId="0" fontId="0" fillId="7" borderId="0" xfId="0" applyFill="1"/>
    <xf numFmtId="166" fontId="0" fillId="0" borderId="0" xfId="0" applyNumberFormat="1"/>
    <xf numFmtId="166" fontId="3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3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3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6" fontId="2" fillId="0" borderId="17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1" fillId="0" borderId="0" xfId="3" applyAlignment="1">
      <alignment horizontal="center"/>
    </xf>
    <xf numFmtId="49" fontId="2" fillId="0" borderId="0" xfId="0" applyNumberFormat="1" applyFont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9" borderId="0" xfId="0" applyFill="1"/>
    <xf numFmtId="0" fontId="14" fillId="0" borderId="2" xfId="0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5" fillId="0" borderId="0" xfId="3" applyFont="1" applyFill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0" xfId="0" applyFont="1"/>
    <xf numFmtId="0" fontId="14" fillId="0" borderId="13" xfId="0" applyFont="1" applyBorder="1" applyAlignment="1">
      <alignment horizontal="center"/>
    </xf>
    <xf numFmtId="167" fontId="14" fillId="0" borderId="0" xfId="0" applyNumberFormat="1" applyFont="1" applyAlignment="1">
      <alignment horizontal="center" vertical="center"/>
    </xf>
    <xf numFmtId="0" fontId="14" fillId="0" borderId="15" xfId="0" applyFont="1" applyBorder="1" applyAlignment="1">
      <alignment horizontal="center"/>
    </xf>
    <xf numFmtId="14" fontId="14" fillId="0" borderId="1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168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169" fontId="17" fillId="0" borderId="3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168" fontId="17" fillId="0" borderId="17" xfId="0" applyNumberFormat="1" applyFont="1" applyBorder="1" applyAlignment="1">
      <alignment horizontal="center"/>
    </xf>
    <xf numFmtId="169" fontId="17" fillId="0" borderId="17" xfId="0" applyNumberFormat="1" applyFont="1" applyBorder="1" applyAlignment="1">
      <alignment horizontal="center"/>
    </xf>
    <xf numFmtId="14" fontId="0" fillId="0" borderId="0" xfId="0" applyNumberFormat="1"/>
    <xf numFmtId="0" fontId="18" fillId="0" borderId="0" xfId="0" applyFont="1"/>
    <xf numFmtId="170" fontId="17" fillId="0" borderId="3" xfId="0" applyNumberFormat="1" applyFont="1" applyBorder="1" applyAlignment="1">
      <alignment horizontal="center" vertical="center"/>
    </xf>
    <xf numFmtId="9" fontId="0" fillId="0" borderId="0" xfId="0" applyNumberFormat="1"/>
    <xf numFmtId="0" fontId="19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19" fillId="0" borderId="17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170" fontId="14" fillId="0" borderId="3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0" fontId="14" fillId="0" borderId="1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14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vertical="center" wrapText="1"/>
    </xf>
    <xf numFmtId="14" fontId="17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14" fontId="17" fillId="0" borderId="17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0" fontId="17" fillId="0" borderId="10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14" fontId="17" fillId="0" borderId="10" xfId="0" applyNumberFormat="1" applyFont="1" applyBorder="1" applyAlignment="1">
      <alignment horizontal="center"/>
    </xf>
    <xf numFmtId="169" fontId="17" fillId="0" borderId="10" xfId="0" applyNumberFormat="1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14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left" vertical="center"/>
    </xf>
    <xf numFmtId="14" fontId="17" fillId="0" borderId="20" xfId="0" applyNumberFormat="1" applyFont="1" applyBorder="1" applyAlignment="1">
      <alignment horizontal="center"/>
    </xf>
    <xf numFmtId="169" fontId="17" fillId="0" borderId="20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168" fontId="2" fillId="0" borderId="3" xfId="0" applyNumberFormat="1" applyFont="1" applyBorder="1" applyAlignment="1">
      <alignment horizontal="center" vertical="center"/>
    </xf>
    <xf numFmtId="168" fontId="17" fillId="0" borderId="3" xfId="0" applyNumberFormat="1" applyFont="1" applyBorder="1" applyAlignment="1">
      <alignment horizontal="center" vertical="center"/>
    </xf>
    <xf numFmtId="168" fontId="17" fillId="0" borderId="17" xfId="0" applyNumberFormat="1" applyFont="1" applyBorder="1" applyAlignment="1">
      <alignment horizontal="center" vertical="center"/>
    </xf>
    <xf numFmtId="168" fontId="14" fillId="0" borderId="3" xfId="0" applyNumberFormat="1" applyFont="1" applyBorder="1" applyAlignment="1">
      <alignment horizontal="center" vertical="center"/>
    </xf>
    <xf numFmtId="168" fontId="14" fillId="0" borderId="1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70" fontId="14" fillId="0" borderId="10" xfId="0" applyNumberFormat="1" applyFon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4" fontId="2" fillId="0" borderId="3" xfId="1" applyFont="1" applyFill="1" applyBorder="1" applyAlignment="1">
      <alignment horizontal="center"/>
    </xf>
    <xf numFmtId="166" fontId="2" fillId="0" borderId="3" xfId="0" applyNumberFormat="1" applyFont="1" applyBorder="1"/>
    <xf numFmtId="166" fontId="2" fillId="0" borderId="17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/>
    </xf>
    <xf numFmtId="14" fontId="2" fillId="8" borderId="3" xfId="0" applyNumberFormat="1" applyFont="1" applyFill="1" applyBorder="1" applyAlignment="1">
      <alignment horizontal="center"/>
    </xf>
    <xf numFmtId="14" fontId="2" fillId="8" borderId="3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14" fontId="2" fillId="10" borderId="3" xfId="0" applyNumberFormat="1" applyFont="1" applyFill="1" applyBorder="1" applyAlignment="1">
      <alignment horizontal="center" vertical="center"/>
    </xf>
    <xf numFmtId="0" fontId="0" fillId="10" borderId="0" xfId="0" applyFill="1"/>
    <xf numFmtId="167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167" fontId="2" fillId="0" borderId="14" xfId="0" applyNumberFormat="1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67" fontId="14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7" fontId="14" fillId="0" borderId="14" xfId="0" applyNumberFormat="1" applyFont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4" fillId="11" borderId="13" xfId="0" applyFont="1" applyFill="1" applyBorder="1" applyAlignment="1">
      <alignment horizontal="center"/>
    </xf>
    <xf numFmtId="0" fontId="14" fillId="11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2" borderId="0" xfId="0" applyFont="1" applyFill="1"/>
    <xf numFmtId="0" fontId="2" fillId="12" borderId="13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165" fontId="2" fillId="0" borderId="2" xfId="0" applyNumberFormat="1" applyFont="1" applyBorder="1"/>
    <xf numFmtId="165" fontId="2" fillId="0" borderId="16" xfId="0" applyNumberFormat="1" applyFont="1" applyBorder="1"/>
    <xf numFmtId="165" fontId="2" fillId="0" borderId="0" xfId="0" applyNumberFormat="1" applyFont="1"/>
    <xf numFmtId="0" fontId="14" fillId="0" borderId="16" xfId="0" applyFont="1" applyBorder="1" applyAlignment="1">
      <alignment horizontal="center"/>
    </xf>
    <xf numFmtId="0" fontId="14" fillId="11" borderId="16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166" fontId="2" fillId="8" borderId="3" xfId="0" applyNumberFormat="1" applyFont="1" applyFill="1" applyBorder="1"/>
    <xf numFmtId="166" fontId="0" fillId="8" borderId="3" xfId="0" applyNumberFormat="1" applyFill="1" applyBorder="1"/>
    <xf numFmtId="166" fontId="2" fillId="10" borderId="17" xfId="0" applyNumberFormat="1" applyFont="1" applyFill="1" applyBorder="1"/>
    <xf numFmtId="0" fontId="0" fillId="4" borderId="0" xfId="0" applyFill="1"/>
    <xf numFmtId="14" fontId="2" fillId="9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 vertical="center"/>
    </xf>
    <xf numFmtId="166" fontId="0" fillId="0" borderId="3" xfId="0" applyNumberFormat="1" applyBorder="1"/>
    <xf numFmtId="0" fontId="2" fillId="0" borderId="22" xfId="0" applyFont="1" applyBorder="1" applyAlignment="1">
      <alignment horizontal="center"/>
    </xf>
    <xf numFmtId="166" fontId="0" fillId="9" borderId="17" xfId="0" applyNumberFormat="1" applyFill="1" applyBorder="1"/>
    <xf numFmtId="16" fontId="2" fillId="0" borderId="3" xfId="0" applyNumberFormat="1" applyFont="1" applyBorder="1" applyAlignment="1">
      <alignment horizontal="center"/>
    </xf>
    <xf numFmtId="0" fontId="21" fillId="0" borderId="0" xfId="0" applyFont="1"/>
    <xf numFmtId="0" fontId="22" fillId="2" borderId="23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14" fontId="7" fillId="13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165" fontId="7" fillId="13" borderId="2" xfId="0" applyNumberFormat="1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167" fontId="7" fillId="13" borderId="19" xfId="0" applyNumberFormat="1" applyFont="1" applyFill="1" applyBorder="1" applyAlignment="1">
      <alignment horizontal="center" vertical="center"/>
    </xf>
    <xf numFmtId="0" fontId="2" fillId="13" borderId="0" xfId="0" applyFont="1" applyFill="1"/>
    <xf numFmtId="49" fontId="0" fillId="0" borderId="0" xfId="0" applyNumberFormat="1"/>
    <xf numFmtId="0" fontId="8" fillId="3" borderId="24" xfId="0" applyFont="1" applyFill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/>
    </xf>
    <xf numFmtId="0" fontId="8" fillId="3" borderId="27" xfId="0" applyFont="1" applyFill="1" applyBorder="1" applyAlignment="1">
      <alignment horizontal="center" vertical="center" wrapText="1"/>
    </xf>
    <xf numFmtId="164" fontId="2" fillId="0" borderId="10" xfId="1" applyFont="1" applyBorder="1" applyAlignment="1">
      <alignment horizontal="center"/>
    </xf>
    <xf numFmtId="0" fontId="8" fillId="14" borderId="25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4" borderId="26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164" fontId="23" fillId="0" borderId="3" xfId="1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164" fontId="2" fillId="0" borderId="6" xfId="1" applyFont="1" applyBorder="1" applyAlignment="1">
      <alignment horizontal="center"/>
    </xf>
    <xf numFmtId="0" fontId="0" fillId="0" borderId="0" xfId="0" applyAlignment="1">
      <alignment horizontal="center"/>
    </xf>
    <xf numFmtId="14" fontId="2" fillId="0" borderId="17" xfId="0" applyNumberFormat="1" applyFont="1" applyBorder="1" applyAlignment="1">
      <alignment horizontal="center" vertical="center"/>
    </xf>
    <xf numFmtId="166" fontId="0" fillId="0" borderId="17" xfId="0" applyNumberFormat="1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169" fontId="17" fillId="0" borderId="3" xfId="0" applyNumberFormat="1" applyFont="1" applyBorder="1" applyAlignment="1">
      <alignment vertical="center"/>
    </xf>
    <xf numFmtId="169" fontId="17" fillId="0" borderId="17" xfId="0" applyNumberFormat="1" applyFont="1" applyBorder="1" applyAlignment="1">
      <alignment vertical="center"/>
    </xf>
    <xf numFmtId="169" fontId="14" fillId="0" borderId="3" xfId="0" applyNumberFormat="1" applyFont="1" applyBorder="1" applyAlignment="1">
      <alignment vertical="center"/>
    </xf>
    <xf numFmtId="169" fontId="14" fillId="0" borderId="17" xfId="0" applyNumberFormat="1" applyFont="1" applyBorder="1" applyAlignment="1">
      <alignment vertical="center"/>
    </xf>
    <xf numFmtId="169" fontId="14" fillId="0" borderId="10" xfId="0" applyNumberFormat="1" applyFont="1" applyBorder="1" applyAlignment="1">
      <alignment vertical="center"/>
    </xf>
    <xf numFmtId="0" fontId="2" fillId="10" borderId="17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14" fontId="2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4" fillId="0" borderId="0" xfId="0" applyFont="1" applyAlignment="1">
      <alignment horizontal="center"/>
    </xf>
    <xf numFmtId="0" fontId="23" fillId="15" borderId="3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14" fontId="23" fillId="16" borderId="3" xfId="0" applyNumberFormat="1" applyFont="1" applyFill="1" applyBorder="1" applyAlignment="1">
      <alignment horizontal="center" vertical="center"/>
    </xf>
    <xf numFmtId="14" fontId="23" fillId="15" borderId="3" xfId="0" applyNumberFormat="1" applyFont="1" applyFill="1" applyBorder="1" applyAlignment="1">
      <alignment horizontal="center" vertical="center"/>
    </xf>
    <xf numFmtId="165" fontId="25" fillId="0" borderId="0" xfId="0" applyNumberFormat="1" applyFont="1"/>
    <xf numFmtId="165" fontId="26" fillId="0" borderId="0" xfId="0" applyNumberFormat="1" applyFont="1"/>
    <xf numFmtId="2" fontId="2" fillId="0" borderId="5" xfId="0" applyNumberFormat="1" applyFont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20" xfId="0" applyFont="1" applyBorder="1" applyAlignment="1">
      <alignment horizontal="center"/>
    </xf>
    <xf numFmtId="2" fontId="2" fillId="17" borderId="5" xfId="0" applyNumberFormat="1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2" fontId="2" fillId="18" borderId="5" xfId="0" applyNumberFormat="1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4" fontId="2" fillId="9" borderId="2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65" fontId="2" fillId="9" borderId="2" xfId="0" applyNumberFormat="1" applyFont="1" applyFill="1" applyBorder="1"/>
    <xf numFmtId="0" fontId="2" fillId="9" borderId="0" xfId="0" applyFont="1" applyFill="1" applyAlignment="1">
      <alignment horizontal="center"/>
    </xf>
    <xf numFmtId="167" fontId="2" fillId="9" borderId="0" xfId="0" applyNumberFormat="1" applyFont="1" applyFill="1" applyAlignment="1">
      <alignment horizontal="center"/>
    </xf>
    <xf numFmtId="0" fontId="2" fillId="9" borderId="0" xfId="0" applyFont="1" applyFill="1"/>
    <xf numFmtId="0" fontId="2" fillId="18" borderId="5" xfId="0" applyFont="1" applyFill="1" applyBorder="1" applyAlignment="1">
      <alignment horizontal="center"/>
    </xf>
    <xf numFmtId="0" fontId="2" fillId="18" borderId="13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164" fontId="23" fillId="0" borderId="6" xfId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wrapText="1"/>
    </xf>
    <xf numFmtId="0" fontId="23" fillId="0" borderId="17" xfId="0" applyFont="1" applyBorder="1" applyAlignment="1">
      <alignment horizontal="center"/>
    </xf>
    <xf numFmtId="164" fontId="23" fillId="0" borderId="3" xfId="1" applyFont="1" applyFill="1" applyBorder="1" applyAlignment="1">
      <alignment horizontal="center" vertical="center"/>
    </xf>
    <xf numFmtId="0" fontId="23" fillId="0" borderId="0" xfId="0" applyFont="1"/>
    <xf numFmtId="14" fontId="23" fillId="0" borderId="3" xfId="0" applyNumberFormat="1" applyFont="1" applyBorder="1" applyAlignment="1">
      <alignment horizontal="center" wrapText="1"/>
    </xf>
    <xf numFmtId="0" fontId="23" fillId="0" borderId="18" xfId="0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/>
    </xf>
    <xf numFmtId="164" fontId="23" fillId="0" borderId="17" xfId="1" applyFont="1" applyFill="1" applyBorder="1" applyAlignment="1">
      <alignment horizontal="center"/>
    </xf>
    <xf numFmtId="164" fontId="23" fillId="0" borderId="17" xfId="1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14" fontId="23" fillId="0" borderId="0" xfId="0" applyNumberFormat="1" applyFont="1" applyAlignment="1">
      <alignment horizontal="center"/>
    </xf>
    <xf numFmtId="14" fontId="23" fillId="0" borderId="21" xfId="0" applyNumberFormat="1" applyFont="1" applyBorder="1" applyAlignment="1">
      <alignment horizontal="center"/>
    </xf>
    <xf numFmtId="14" fontId="8" fillId="4" borderId="20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" fontId="8" fillId="4" borderId="2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23" fillId="0" borderId="2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8" fillId="19" borderId="20" xfId="0" applyNumberFormat="1" applyFont="1" applyFill="1" applyBorder="1" applyAlignment="1">
      <alignment horizontal="center" vertical="center" wrapText="1"/>
    </xf>
    <xf numFmtId="14" fontId="2" fillId="20" borderId="0" xfId="0" applyNumberFormat="1" applyFont="1" applyFill="1" applyAlignment="1">
      <alignment horizontal="center"/>
    </xf>
    <xf numFmtId="14" fontId="2" fillId="18" borderId="3" xfId="0" applyNumberFormat="1" applyFont="1" applyFill="1" applyBorder="1" applyAlignment="1">
      <alignment horizontal="center"/>
    </xf>
    <xf numFmtId="14" fontId="2" fillId="18" borderId="3" xfId="0" applyNumberFormat="1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/>
    </xf>
    <xf numFmtId="164" fontId="2" fillId="18" borderId="3" xfId="1" applyFont="1" applyFill="1" applyBorder="1" applyAlignment="1">
      <alignment horizontal="center"/>
    </xf>
    <xf numFmtId="16" fontId="2" fillId="18" borderId="3" xfId="0" applyNumberFormat="1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14" fontId="2" fillId="18" borderId="0" xfId="0" applyNumberFormat="1" applyFont="1" applyFill="1" applyAlignment="1">
      <alignment horizontal="center"/>
    </xf>
    <xf numFmtId="1" fontId="2" fillId="18" borderId="0" xfId="0" applyNumberFormat="1" applyFont="1" applyFill="1" applyAlignment="1">
      <alignment horizontal="center"/>
    </xf>
    <xf numFmtId="0" fontId="2" fillId="18" borderId="12" xfId="0" applyFont="1" applyFill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18" borderId="0" xfId="0" applyFont="1" applyFill="1"/>
    <xf numFmtId="14" fontId="2" fillId="18" borderId="2" xfId="0" applyNumberFormat="1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165" fontId="2" fillId="18" borderId="2" xfId="0" applyNumberFormat="1" applyFont="1" applyFill="1" applyBorder="1"/>
    <xf numFmtId="14" fontId="2" fillId="18" borderId="14" xfId="0" applyNumberFormat="1" applyFont="1" applyFill="1" applyBorder="1" applyAlignment="1">
      <alignment horizontal="center"/>
    </xf>
    <xf numFmtId="0" fontId="2" fillId="18" borderId="0" xfId="0" applyFont="1" applyFill="1" applyAlignment="1">
      <alignment horizontal="center"/>
    </xf>
    <xf numFmtId="167" fontId="2" fillId="18" borderId="0" xfId="0" applyNumberFormat="1" applyFont="1" applyFill="1" applyAlignment="1">
      <alignment horizontal="center"/>
    </xf>
    <xf numFmtId="164" fontId="2" fillId="0" borderId="3" xfId="1" applyFont="1" applyFill="1" applyBorder="1" applyAlignment="1">
      <alignment horizontal="center" vertical="center"/>
    </xf>
    <xf numFmtId="164" fontId="2" fillId="0" borderId="6" xfId="1" applyFont="1" applyFill="1" applyBorder="1" applyAlignment="1">
      <alignment horizontal="center" vertical="center"/>
    </xf>
    <xf numFmtId="164" fontId="2" fillId="0" borderId="6" xfId="1" applyFont="1" applyFill="1" applyBorder="1" applyAlignment="1">
      <alignment horizont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3" fillId="0" borderId="6" xfId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164" fontId="23" fillId="0" borderId="18" xfId="1" applyFont="1" applyFill="1" applyBorder="1" applyAlignment="1">
      <alignment horizontal="center" vertical="center"/>
    </xf>
    <xf numFmtId="164" fontId="23" fillId="0" borderId="17" xfId="1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/>
    </xf>
    <xf numFmtId="0" fontId="23" fillId="0" borderId="3" xfId="0" quotePrefix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14" fontId="2" fillId="0" borderId="21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11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numFmt numFmtId="19" formatCode="dd/mm/yyyy"/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left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numFmt numFmtId="19" formatCode="dd/mm/yyyy"/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dd/mm/yy;@"/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dd/mm/yy;@"/>
      <alignment horizontal="center"/>
      <border>
        <left style="dotted">
          <color rgb="FF000000"/>
        </left>
        <right/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/>
      </fill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/>
      </fill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textRotation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textRotation="0" wrapText="0" indent="0" justifyLastLine="0" shrinkToFit="0" readingOrder="0"/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textRotation="0" wrapText="0" indent="0" justifyLastLine="0" shrinkToFit="0" readingOrder="0"/>
      <border>
        <left/>
        <right style="dotted">
          <color rgb="FF000000"/>
        </right>
        <top style="dotted">
          <color rgb="FF000000"/>
        </top>
        <bottom style="dotted">
          <color rgb="FF000000"/>
        </bottom>
        <vertical style="dotted">
          <color rgb="FF000000"/>
        </vertical>
        <horizontal style="dotted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 style="dotted">
          <color rgb="FF000000"/>
        </vertical>
        <horizontal style="dotted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dotted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70C0"/>
        </patternFill>
      </fill>
    </dxf>
  </dxfs>
  <tableStyles count="0" defaultTableStyle="TableStyleMedium2" defaultPivotStyle="PivotStyleLight16"/>
  <colors>
    <mruColors>
      <color rgb="FF83CCEB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85725</xdr:rowOff>
    </xdr:from>
    <xdr:to>
      <xdr:col>3</xdr:col>
      <xdr:colOff>120015</xdr:colOff>
      <xdr:row>18</xdr:row>
      <xdr:rowOff>123825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 PEDIDO HP">
              <a:extLst>
                <a:ext uri="{FF2B5EF4-FFF2-40B4-BE49-F238E27FC236}">
                  <a16:creationId xmlns:a16="http://schemas.microsoft.com/office/drawing/2014/main" id="{60F5049C-AB13-5C6D-584B-9F777855F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PEDIDO H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17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19050</xdr:colOff>
      <xdr:row>10</xdr:row>
      <xdr:rowOff>180975</xdr:rowOff>
    </xdr:from>
    <xdr:to>
      <xdr:col>7</xdr:col>
      <xdr:colOff>95250</xdr:colOff>
      <xdr:row>18</xdr:row>
      <xdr:rowOff>28575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EC3141C3-405F-5102-A517-A7FA190237EB}"/>
                </a:ext>
                <a:ext uri="{147F2762-F138-4A5C-976F-8EAC2B608ADB}">
                  <a16:predDERef xmlns:a16="http://schemas.microsoft.com/office/drawing/2014/main" pred="{60F5049C-AB13-5C6D-584B-9F777855F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21812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ardo Almeida" id="{65CE6C4F-1634-45E9-9BA1-55F43EBCECFA}" userId="S::ricardo.almeida@comprint.com.br::3ac18900-a180-4346-8523-00d217d8205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3.368629629629" createdVersion="8" refreshedVersion="8" minRefreshableVersion="3" recordCount="143" xr:uid="{2A10D6AA-6D34-4320-BB35-E09BDED6038D}">
  <cacheSource type="worksheet">
    <worksheetSource ref="A1:Z147" sheet="CONTRATO"/>
  </cacheSource>
  <cacheFields count="25">
    <cacheField name="ORDEM" numFmtId="0">
      <sharedItems/>
    </cacheField>
    <cacheField name="DATA PEDIDO HP" numFmtId="14">
      <sharedItems containsSemiMixedTypes="0" containsNonDate="0" containsDate="1" containsString="0" minDate="2025-01-10T00:00:00" maxDate="2025-02-28T00:00:00" count="26">
        <d v="2025-01-10T00:00:00"/>
        <d v="2025-01-13T00:00:00"/>
        <d v="2025-01-16T00:00:00"/>
        <d v="2025-01-17T00:00:00"/>
        <d v="2025-01-20T00:00:00"/>
        <d v="2025-01-21T00:00:00"/>
        <d v="2025-01-22T00:00:00"/>
        <d v="2025-01-24T00:00:00"/>
        <d v="2025-01-29T00:00:00"/>
        <d v="2025-01-30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3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</sharedItems>
    </cacheField>
    <cacheField name="DATA DO PEDIDO" numFmtId="14">
      <sharedItems containsNonDate="0" containsDate="1" containsString="0" containsBlank="1" minDate="2024-02-04T00:00:00" maxDate="2025-02-28T00:00:00"/>
    </cacheField>
    <cacheField name="CASO HP" numFmtId="0">
      <sharedItems containsBlank="1"/>
    </cacheField>
    <cacheField name="CLIENTE" numFmtId="0">
      <sharedItems/>
    </cacheField>
    <cacheField name="EQUIPAMENTO" numFmtId="0">
      <sharedItems containsBlank="1"/>
    </cacheField>
    <cacheField name="NUM SÉRIE" numFmtId="0">
      <sharedItems containsBlank="1" containsMixedTypes="1" containsNumber="1" containsInteger="1" minValue="41000142" maxValue="61000037"/>
    </cacheField>
    <cacheField name="CÓDIGO " numFmtId="0">
      <sharedItems/>
    </cacheField>
    <cacheField name="DESCRIÇÃO" numFmtId="0">
      <sharedItems/>
    </cacheField>
    <cacheField name="QUANTIDADE" numFmtId="0">
      <sharedItems containsSemiMixedTypes="0" containsString="0" containsNumber="1" containsInteger="1" minValue="1" maxValue="17"/>
    </cacheField>
    <cacheField name="URGENTE" numFmtId="0">
      <sharedItems containsBlank="1"/>
    </cacheField>
    <cacheField name="TÉCNICO" numFmtId="0">
      <sharedItems containsBlank="1"/>
    </cacheField>
    <cacheField name="MOTIVO REPOSIÇÃO" numFmtId="0">
      <sharedItems containsBlank="1"/>
    </cacheField>
    <cacheField name="ORIGEM" numFmtId="0">
      <sharedItems/>
    </cacheField>
    <cacheField name="QTD ESTOQUE CP" numFmtId="0">
      <sharedItems containsSemiMixedTypes="0" containsString="0" containsNumber="1" containsInteger="1" minValue="0" maxValue="4"/>
    </cacheField>
    <cacheField name="COD ALTERNATIVO" numFmtId="0">
      <sharedItems containsBlank="1"/>
    </cacheField>
    <cacheField name="RMA" numFmtId="0">
      <sharedItems/>
    </cacheField>
    <cacheField name="DATA DE ENTREGA AO CLIENTE" numFmtId="14">
      <sharedItems containsNonDate="0" containsDate="1" containsString="0" containsBlank="1" minDate="2024-12-10T00:00:00" maxDate="2025-03-08T00:00:00"/>
    </cacheField>
    <cacheField name="DATA DE ENVIO HP" numFmtId="14">
      <sharedItems containsNonDate="0" containsString="0" containsBlank="1"/>
    </cacheField>
    <cacheField name="DATA DE RECEBIMENTO CP" numFmtId="14">
      <sharedItems containsNonDate="0" containsString="0" containsBlank="1"/>
    </cacheField>
    <cacheField name="CONSOLIDADO" numFmtId="0">
      <sharedItems containsBlank="1"/>
    </cacheField>
    <cacheField name="NOTA FISCAL" numFmtId="0">
      <sharedItems containsBlank="1"/>
    </cacheField>
    <cacheField name="PREÇO UNITARIO" numFmtId="164">
      <sharedItems containsSemiMixedTypes="0" containsString="0" containsNumber="1" minValue="4.9000000000000004" maxValue="60590.21"/>
    </cacheField>
    <cacheField name="PREÇO TOTAL" numFmtId="164">
      <sharedItems containsSemiMixedTypes="0" containsString="0" containsNumber="1" minValue="5.52" maxValue="60590.21"/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 pivotCacheId="5489936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3.368629629629" createdVersion="8" refreshedVersion="8" minRefreshableVersion="3" recordCount="140" xr:uid="{A1DBA65B-13E2-4E23-86A7-F08D693B4AB9}">
  <cacheSource type="worksheet">
    <worksheetSource name="Table4"/>
  </cacheSource>
  <cacheFields count="12">
    <cacheField name="Serial Number" numFmtId="0">
      <sharedItems containsMixedTypes="1" containsNumber="1" containsInteger="1" minValue="41000142" maxValue="60002095"/>
    </cacheField>
    <cacheField name="Order Date" numFmtId="166">
      <sharedItems containsSemiMixedTypes="0" containsNonDate="0" containsDate="1" containsString="0" minDate="2025-01-10T00:00:00" maxDate="2025-03-01T00:00:00" count="25">
        <d v="2025-01-10T00:00:00"/>
        <d v="2025-01-13T00:00:00"/>
        <d v="2025-01-16T00:00:00"/>
        <d v="2025-01-17T00:00:00"/>
        <d v="2025-01-20T00:00:00"/>
        <d v="2025-01-21T00:00:00"/>
        <d v="2025-01-22T00:00:00"/>
        <d v="2025-01-24T00:00:00"/>
        <d v="2025-01-29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3T00:00:00"/>
        <d v="2025-02-18T00:00:00"/>
        <d v="2025-02-19T00:00:00"/>
        <d v="2025-02-20T00:00:00"/>
        <d v="2025-02-21T00:00:00"/>
        <d v="2025-02-24T00:00:00"/>
        <d v="2025-02-26T00:00:00"/>
        <d v="2025-02-27T00:00:00"/>
        <d v="2025-02-28T00:00:00"/>
      </sharedItems>
    </cacheField>
    <cacheField name="Customer Name" numFmtId="0">
      <sharedItems/>
    </cacheField>
    <cacheField name="Item Number" numFmtId="0">
      <sharedItems/>
    </cacheField>
    <cacheField name="Part Description" numFmtId="0">
      <sharedItems/>
    </cacheField>
    <cacheField name="Quantity Ordered" numFmtId="0">
      <sharedItems containsSemiMixedTypes="0" containsString="0" containsNumber="1" containsInteger="1" minValue="1" maxValue="4"/>
    </cacheField>
    <cacheField name="Quantity Supported" numFmtId="0">
      <sharedItems containsSemiMixedTypes="0" containsString="0" containsNumber="1" containsInteger="1" minValue="0" maxValue="4"/>
    </cacheField>
    <cacheField name="Order Urgency" numFmtId="0">
      <sharedItems/>
    </cacheField>
    <cacheField name="Delivery Date" numFmtId="0">
      <sharedItems containsNonDate="0" containsDate="1" containsString="0" containsBlank="1" minDate="2024-11-27T00:00:00" maxDate="2025-03-08T00:00:00"/>
    </cacheField>
    <cacheField name="Order Reason" numFmtId="0">
      <sharedItems/>
    </cacheField>
    <cacheField name="Order Status" numFmtId="0">
      <sharedItems/>
    </cacheField>
    <cacheField name="ME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 pivotCacheId="154653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GHP25002"/>
    <x v="0"/>
    <d v="2025-01-10T00:00:00"/>
    <s v="CS20350343"/>
    <s v="ATUALCARD"/>
    <s v="HP INDIGO 12000"/>
    <n v="50110193"/>
    <s v="CU150-01916 "/>
    <s v="TIMING BELT 519MM"/>
    <n v="1"/>
    <s v="NÃO"/>
    <s v="MAURICIO MATEOS"/>
    <s v="UTK"/>
    <s v="UTK"/>
    <n v="1"/>
    <m/>
    <s v="NÃO"/>
    <m/>
    <m/>
    <m/>
    <s v="CON25005 "/>
    <s v="CIF"/>
    <n v="25.9"/>
    <n v="25.9"/>
    <m/>
  </r>
  <r>
    <s v="GHP25002"/>
    <x v="0"/>
    <d v="2025-01-10T00:00:00"/>
    <s v="CS20350343"/>
    <s v="ATUALCARD"/>
    <s v="HP INDIGO 12000"/>
    <n v="50110193"/>
    <s v="CU498-02680 "/>
    <s v="IDLER SUB ASSEMBLY"/>
    <n v="1"/>
    <s v="NÃO"/>
    <s v="MAURICIO MATEOS"/>
    <s v="UTK"/>
    <s v="UTK"/>
    <n v="1"/>
    <m/>
    <s v="NÃO"/>
    <m/>
    <m/>
    <m/>
    <s v="CON25005 "/>
    <s v="CIF"/>
    <n v="59.94"/>
    <n v="59.94"/>
    <m/>
  </r>
  <r>
    <s v="GHP25003"/>
    <x v="0"/>
    <d v="2025-01-10T00:00:00"/>
    <s v="CS20351791"/>
    <s v="OUTLABEL"/>
    <s v="HP INDIGO 6600"/>
    <n v="44000216"/>
    <s v="CT341-70810"/>
    <s v="PRIMER PIPE NEOPRENE 24 THICK 60"/>
    <n v="1"/>
    <s v="NÃO"/>
    <s v="MAURICIO MATEOS"/>
    <s v="ESTOQUE"/>
    <s v="ESTOQUE"/>
    <n v="1"/>
    <m/>
    <s v="NÃO"/>
    <d v="2025-01-10T00:00:00"/>
    <m/>
    <m/>
    <s v="CON25005 "/>
    <s v="NFS 812"/>
    <n v="14.72"/>
    <n v="14.72"/>
    <m/>
  </r>
  <r>
    <s v="GHP25006 "/>
    <x v="0"/>
    <d v="2025-01-10T00:00:00"/>
    <s v="CS20351670"/>
    <s v="HAWAII"/>
    <s v="HP INDIGO 10000"/>
    <n v="50000530"/>
    <s v="CU498-02992"/>
    <s v="SHEET BELT PROTECTION"/>
    <n v="1"/>
    <s v="NÃO"/>
    <s v="MAURICIO MATEOS"/>
    <s v="ESTOQUE"/>
    <s v="ESTOQUE"/>
    <n v="1"/>
    <m/>
    <s v="NÃO"/>
    <d v="2025-01-10T00:00:00"/>
    <m/>
    <m/>
    <s v="CON25005 "/>
    <s v="NFS 801"/>
    <n v="49.07"/>
    <n v="49.07"/>
    <m/>
  </r>
  <r>
    <s v="GHP25007"/>
    <x v="0"/>
    <d v="2025-01-10T00:00:00"/>
    <s v="CS20351992"/>
    <s v="META BRASIL"/>
    <s v="HP INDIGO 10000"/>
    <n v="50000260"/>
    <s v="CT445-87450 "/>
    <s v="FRONT SIDE FAN"/>
    <n v="1"/>
    <s v="NÃO"/>
    <s v="MAURICIO MATEOS"/>
    <s v="ATENDER"/>
    <s v="SEM ESTOQUE"/>
    <n v="0"/>
    <s v="CT454-06840"/>
    <s v="NÃO"/>
    <m/>
    <m/>
    <m/>
    <s v="CON25005 "/>
    <s v="CIF"/>
    <n v="98.6"/>
    <n v="98.6"/>
    <m/>
  </r>
  <r>
    <s v="GHP25008"/>
    <x v="1"/>
    <d v="2025-01-13T00:00:00"/>
    <s v="CS20356016"/>
    <s v="IPSIS"/>
    <s v="HP INDIGO 10000"/>
    <n v="50000202"/>
    <s v="CU498-03211"/>
    <s v="Tornado Assy"/>
    <n v="1"/>
    <s v="NÃO"/>
    <s v="EMERSON ZANELLA"/>
    <s v="ESTOQUE"/>
    <s v="ESTOQUE"/>
    <n v="1"/>
    <m/>
    <s v="OK"/>
    <d v="2025-01-13T00:00:00"/>
    <m/>
    <m/>
    <s v="CON25005 "/>
    <s v="NFS 803"/>
    <n v="177.88"/>
    <n v="177.88"/>
    <m/>
  </r>
  <r>
    <s v="GHP25008"/>
    <x v="1"/>
    <d v="2025-01-13T00:00:00"/>
    <s v="CS20356016"/>
    <s v="IPSIS"/>
    <s v="HP INDIGO 10000"/>
    <n v="50000202"/>
    <s v="CU498-01673"/>
    <s v="Side Blower"/>
    <n v="1"/>
    <s v="NÃO"/>
    <s v="EMERSON ZANELLA"/>
    <s v="ESTOQUE"/>
    <s v="ESTOQUE"/>
    <n v="1"/>
    <s v="CU498-01672"/>
    <s v="OK"/>
    <d v="2025-01-13T00:00:00"/>
    <m/>
    <m/>
    <s v="CON25005 "/>
    <s v="NFS 803"/>
    <n v="309.75"/>
    <n v="309.75"/>
    <m/>
  </r>
  <r>
    <s v="GHP25004"/>
    <x v="2"/>
    <d v="2025-01-15T00:00:00"/>
    <s v="CS20367901"/>
    <s v="INDEMETAL"/>
    <s v="HP INDIGO 6800"/>
    <n v="48000432"/>
    <s v="CU096-03202"/>
    <s v="EMBEDDED USB SPECTROPHO"/>
    <n v="1"/>
    <s v="SIM"/>
    <s v="DOUGLAS LIMA"/>
    <s v="ESTOQUE"/>
    <s v="ESTOQUE"/>
    <n v="1"/>
    <m/>
    <s v="OK"/>
    <d v="2025-01-16T00:00:00"/>
    <m/>
    <m/>
    <m/>
    <s v="NFS 819"/>
    <n v="1579.42"/>
    <n v="1579.42"/>
    <m/>
  </r>
  <r>
    <s v="GHP25009"/>
    <x v="2"/>
    <d v="2025-01-14T00:00:00"/>
    <s v="CS20363988"/>
    <s v="CAMARGO"/>
    <s v="HP INDIGO 20000"/>
    <n v="51000323"/>
    <s v="CT454-10681"/>
    <s v="PUW CHUCK SENSOR EMA ASSY"/>
    <n v="1"/>
    <s v="NÃO"/>
    <s v="MAURICIO MATEOS"/>
    <s v="ATENDER"/>
    <s v="SEM ESTOQUE"/>
    <n v="0"/>
    <m/>
    <s v="NÃO"/>
    <m/>
    <m/>
    <m/>
    <s v="CON25005 "/>
    <s v="CIF"/>
    <n v="92.01"/>
    <n v="92.01"/>
    <m/>
  </r>
  <r>
    <s v="GHP25010"/>
    <x v="2"/>
    <d v="2025-01-14T00:00:00"/>
    <s v="CS20363952"/>
    <s v="LOG &amp; PRINT"/>
    <s v="HP INDIGO 10000"/>
    <n v="50110229"/>
    <s v="CT454-02221"/>
    <s v="THERMISTOR TO TEMP SENSOR"/>
    <n v="1"/>
    <s v="NÃO"/>
    <s v="MAURICIO MATEOS"/>
    <s v="ATENDER"/>
    <s v="UTK"/>
    <n v="1"/>
    <m/>
    <s v="NÃO"/>
    <m/>
    <m/>
    <m/>
    <s v="CON25005 "/>
    <s v="CIF"/>
    <n v="53.67"/>
    <n v="53.67"/>
    <m/>
  </r>
  <r>
    <s v="GHP25011"/>
    <x v="2"/>
    <d v="2025-01-14T00:00:00"/>
    <s v="CS20364021"/>
    <s v="IPSIS"/>
    <s v="HP INDIGO 10000"/>
    <n v="50000202"/>
    <s v="CU498-06820"/>
    <s v="KIT SIDEBLOWER FLAT CABLE"/>
    <n v="1"/>
    <s v="NÃO"/>
    <s v="MAURICIO MATEOS"/>
    <s v="ESTOQUE"/>
    <s v="ESTOQUE"/>
    <n v="1"/>
    <m/>
    <s v="NÃO"/>
    <d v="2025-01-16T00:00:00"/>
    <m/>
    <m/>
    <s v="CON25005 "/>
    <s v="NFS 803"/>
    <n v="79.02"/>
    <n v="79.02"/>
    <m/>
  </r>
  <r>
    <s v="GHP25012"/>
    <x v="2"/>
    <d v="2025-01-14T00:00:00"/>
    <s v="CS20364004"/>
    <s v="ALPHA COLOR"/>
    <s v="HP INDIGO 6800"/>
    <n v="48000044"/>
    <s v="CA240 -89670"/>
    <s v="Driver, Pump"/>
    <n v="2"/>
    <s v="NÃO"/>
    <s v="MAURICIO MATEOS"/>
    <s v="ESTOQUE"/>
    <s v="ESTOQUE"/>
    <n v="2"/>
    <m/>
    <s v="NÃO"/>
    <d v="2025-01-16T00:00:00"/>
    <m/>
    <m/>
    <s v="CON25005 "/>
    <m/>
    <n v="21.47"/>
    <n v="42.94"/>
    <s v="Para instalar na peça CT345-48472 que está na edicula e após retornar ao estoque "/>
  </r>
  <r>
    <s v="GHP25013"/>
    <x v="2"/>
    <d v="2025-01-14T00:00:00"/>
    <s v="CS20363907"/>
    <s v="LOG &amp; PRINT"/>
    <s v="HP INDIGO 10000"/>
    <n v="50110229"/>
    <s v="CT497-11320"/>
    <s v="SET TIMING BELT"/>
    <n v="1"/>
    <s v="NÃO"/>
    <s v="MAURICIO MATEOS"/>
    <s v="UTK"/>
    <s v="UTK"/>
    <n v="1"/>
    <m/>
    <s v="NÃO"/>
    <m/>
    <m/>
    <m/>
    <s v="CON25005 "/>
    <s v="CIF"/>
    <n v="28.81"/>
    <n v="28.81"/>
    <m/>
  </r>
  <r>
    <s v="GHP25013"/>
    <x v="2"/>
    <d v="2025-01-14T00:00:00"/>
    <s v="CS20363907"/>
    <s v="LOG &amp; PRINT"/>
    <s v="HP INDIGO 10000"/>
    <n v="50110229"/>
    <s v="CU498-02692"/>
    <s v="SUCTION BELT (SET OF 5)"/>
    <n v="1"/>
    <s v="NÃO"/>
    <s v="MAURICIO MATEOS"/>
    <s v="UTK"/>
    <s v="UTK"/>
    <n v="1"/>
    <m/>
    <s v="NÃO"/>
    <m/>
    <m/>
    <m/>
    <s v="CON25005 "/>
    <s v="CIF"/>
    <n v="434.22"/>
    <n v="434.22"/>
    <m/>
  </r>
  <r>
    <s v="GHP25014"/>
    <x v="2"/>
    <d v="2025-01-14T00:00:00"/>
    <s v="CS20363941"/>
    <s v="INDEMETAL"/>
    <s v="HP INDIGO 6600"/>
    <n v="44000059"/>
    <s v="CT344-01252"/>
    <s v="Carbon brush C.R. assembly"/>
    <n v="2"/>
    <s v="NÃO"/>
    <s v="MAURICIO MATEOS"/>
    <s v="ESTOQUE"/>
    <s v="ESTOQUE"/>
    <n v="2"/>
    <m/>
    <s v="NÃO"/>
    <d v="2025-01-16T00:00:00"/>
    <m/>
    <m/>
    <s v="CON25005 "/>
    <s v="NFS 819"/>
    <n v="16.22"/>
    <n v="32.44"/>
    <m/>
  </r>
  <r>
    <s v="GHP25015"/>
    <x v="2"/>
    <d v="2025-01-14T00:00:00"/>
    <s v="CS20363971"/>
    <s v="HAWAII"/>
    <s v="HP INDIGO 10000"/>
    <n v="50000530"/>
    <s v="CT490-24790"/>
    <s v="S4 EVR SUCTION CUPS(SET OF 10)"/>
    <n v="1"/>
    <s v="NÃO"/>
    <s v="MAURICIO MATEOS"/>
    <s v="ESTOQUE"/>
    <s v="ESTOQUE"/>
    <n v="1"/>
    <m/>
    <s v="NÃO"/>
    <d v="2025-01-16T00:00:00"/>
    <m/>
    <m/>
    <s v="CON25005 "/>
    <s v="NFS 801"/>
    <n v="52.14"/>
    <n v="52.14"/>
    <m/>
  </r>
  <r>
    <s v="GHP25015"/>
    <x v="2"/>
    <d v="2025-01-14T00:00:00"/>
    <s v="CS20363971"/>
    <s v="HAWAII"/>
    <s v="HP INDIGO 10000"/>
    <n v="50000530"/>
    <s v="CT490-27100"/>
    <s v="S4 DUPLEX SUCTION CUPS( 10 UNITS)"/>
    <n v="1"/>
    <s v="NÃO"/>
    <s v="MAURICIO MATEOS"/>
    <s v="ESTOQUE"/>
    <s v="ESTOQUE"/>
    <n v="1"/>
    <m/>
    <s v="NÃO"/>
    <d v="2025-01-16T00:00:00"/>
    <m/>
    <m/>
    <s v="CON25005 "/>
    <s v="NFS 801"/>
    <n v="25.01"/>
    <n v="25.01"/>
    <m/>
  </r>
  <r>
    <s v="GHP25016"/>
    <x v="3"/>
    <d v="2025-01-16T00:00:00"/>
    <s v="CS20336772"/>
    <s v="CAMARGO"/>
    <s v="HP INDIGO 20000"/>
    <n v="51000136"/>
    <s v="CU096-02847"/>
    <s v="X20DI9371 DIGITAL INPUT MODULES"/>
    <n v="1"/>
    <s v="NÃO"/>
    <s v="EMERSON ZANELLA"/>
    <s v="UTK"/>
    <s v="UTK"/>
    <n v="1"/>
    <m/>
    <s v="NÃO"/>
    <d v="2025-01-17T00:00:00"/>
    <m/>
    <m/>
    <s v="CON25005 "/>
    <s v="CIF"/>
    <n v="84.15"/>
    <n v="84.15"/>
    <m/>
  </r>
  <r>
    <s v="GHP25016"/>
    <x v="3"/>
    <d v="2025-01-16T00:00:00"/>
    <s v="CS20336772"/>
    <s v="CAMARGO"/>
    <s v="HP INDIGO 20000"/>
    <n v="51000136"/>
    <s v="CU096-03046"/>
    <s v="Standar Auxiliary Contact"/>
    <n v="1"/>
    <s v="NÃO"/>
    <s v="EMERSON ZANELLA"/>
    <s v="UTK"/>
    <s v="UTK"/>
    <n v="1"/>
    <m/>
    <s v="NÃO"/>
    <d v="2025-01-20T00:00:00"/>
    <m/>
    <m/>
    <s v="CON25005 "/>
    <s v="CIF"/>
    <n v="37.9"/>
    <n v="37.9"/>
    <m/>
  </r>
  <r>
    <s v="GHP25017"/>
    <x v="3"/>
    <d v="2025-01-16T00:00:00"/>
    <s v="CS20371088"/>
    <s v="CAMARGO"/>
    <s v="HP INDIGO 20000"/>
    <n v="51000136"/>
    <s v="CT454-12730"/>
    <s v="SGA &amp; LOAD CELL 1.5KG"/>
    <n v="1"/>
    <s v="SIM"/>
    <s v="EMERSON ZANELLA"/>
    <s v="ATENDER"/>
    <s v="ESTOQUE"/>
    <n v="1"/>
    <m/>
    <s v="OK"/>
    <d v="2025-01-17T00:00:00"/>
    <m/>
    <m/>
    <s v="CON25005 "/>
    <s v="CIF"/>
    <n v="280.89"/>
    <n v="280.89"/>
    <m/>
  </r>
  <r>
    <s v="GHP25017"/>
    <x v="3"/>
    <d v="2025-01-16T00:00:00"/>
    <s v="CS20371088"/>
    <s v="CAMARGO"/>
    <s v="HP INDIGO 20000"/>
    <n v="51000136"/>
    <s v="CT490-20060"/>
    <s v="HS IMPELLER ASSEMBLY"/>
    <n v="1"/>
    <s v="SIM"/>
    <s v="EMERSON ZANELLA"/>
    <s v="ATENDER"/>
    <s v="ESTOQUE"/>
    <n v="1"/>
    <m/>
    <s v="NÃO"/>
    <d v="2025-01-17T00:00:00"/>
    <m/>
    <m/>
    <s v="CON25005 "/>
    <s v="CIF"/>
    <n v="18.09"/>
    <n v="18.09"/>
    <m/>
  </r>
  <r>
    <s v="GHP25019"/>
    <x v="4"/>
    <d v="2025-01-20T00:00:00"/>
    <s v="CS20383592"/>
    <s v="ATUALCARD"/>
    <s v="HP INDIGO 12000"/>
    <n v="50110193"/>
    <s v="CU316-04507"/>
    <s v="BLOWER 5.7 240VAC 1200W BYPASS 1STG UHF"/>
    <n v="1"/>
    <s v="NÃO"/>
    <s v="MAURICIO MATEOS"/>
    <s v="ESTOQUE"/>
    <s v="ESTOQUE"/>
    <n v="1"/>
    <m/>
    <s v="OK"/>
    <d v="2025-01-20T00:00:00"/>
    <m/>
    <m/>
    <s v="CON25005 "/>
    <s v="CIF"/>
    <n v="389.44"/>
    <n v="389.44"/>
    <m/>
  </r>
  <r>
    <s v="GHP25020"/>
    <x v="4"/>
    <d v="2025-01-20T00:00:00"/>
    <s v="CS20383055"/>
    <s v="LOG &amp; PRINT"/>
    <s v="HP INDIGO 12000"/>
    <n v="50110229"/>
    <s v="CU498-03211"/>
    <s v="Tornado Assy"/>
    <n v="2"/>
    <s v="NÃO"/>
    <s v="MAURICIO MATEOS"/>
    <s v="UTK"/>
    <s v="UTK"/>
    <n v="2"/>
    <m/>
    <s v="Retornável - Cobrar o cliente, após a troca"/>
    <m/>
    <m/>
    <m/>
    <s v="CON25005 "/>
    <s v="CIF"/>
    <n v="177.88"/>
    <n v="355.76"/>
    <m/>
  </r>
  <r>
    <s v="GHP25021"/>
    <x v="4"/>
    <d v="2025-01-20T00:00:00"/>
    <s v="CS20382938"/>
    <s v="CAMARGO"/>
    <s v="HP INDIGO 20000"/>
    <n v="51000136"/>
    <s v="CT001-63790"/>
    <s v="PROCON_PUMP_ASSY+FITTINGS"/>
    <n v="1"/>
    <s v="NÃO"/>
    <s v="MAURICIO MATEOS"/>
    <s v="ESTOQUE"/>
    <s v="ESTOQUE"/>
    <n v="1"/>
    <m/>
    <s v="OK"/>
    <d v="2025-01-20T00:00:00"/>
    <m/>
    <m/>
    <s v="CON25005 "/>
    <s v="CIF"/>
    <n v="555.25"/>
    <n v="555.25"/>
    <m/>
  </r>
  <r>
    <s v="GHP25022"/>
    <x v="4"/>
    <d v="2025-01-20T00:00:00"/>
    <s v="CS20383757"/>
    <s v="OUTLABEL"/>
    <s v="HP INDIGO 6600"/>
    <n v="44000216"/>
    <s v="CU209-00978"/>
    <s v="LCD TOUCH SCREEN PANEL 5"/>
    <n v="1"/>
    <s v="NÃO"/>
    <s v="MAURICIO MATEOS"/>
    <s v="ESTOQUE"/>
    <s v="ESTOQUE"/>
    <n v="1"/>
    <m/>
    <s v="NÃO"/>
    <d v="2025-01-15T00:00:00"/>
    <m/>
    <m/>
    <s v="CON25005 "/>
    <s v="NFS 812"/>
    <n v="2651.71"/>
    <n v="2651.71"/>
    <m/>
  </r>
  <r>
    <s v="GHP25023"/>
    <x v="4"/>
    <d v="2025-01-20T00:00:00"/>
    <s v="CS20383452"/>
    <s v="INDEMETAL"/>
    <s v="HP INDIGO 6900"/>
    <n v="48300301"/>
    <s v="CA344-05930"/>
    <s v="CL ST motor assembly"/>
    <n v="1"/>
    <s v="NÃO"/>
    <s v="MAURICIO MATEOS"/>
    <s v="ESTOQUE"/>
    <s v="ESTOQUE"/>
    <n v="1"/>
    <m/>
    <s v="OK"/>
    <d v="2025-01-20T00:00:00"/>
    <m/>
    <m/>
    <s v="CON25005 "/>
    <s v="NFS 819"/>
    <n v="98.91"/>
    <n v="98.91"/>
    <m/>
  </r>
  <r>
    <s v="GHP25024"/>
    <x v="4"/>
    <d v="2025-01-20T00:00:00"/>
    <s v="CS20382804"/>
    <s v="ATUALCARD"/>
    <s v="HP INDIGO 12000"/>
    <n v="50110193"/>
    <s v="CU498-01673 "/>
    <s v="Side Blower"/>
    <n v="2"/>
    <s v="NÃO"/>
    <s v="MAURICIO MATEOS"/>
    <s v="UTK"/>
    <s v="UTK"/>
    <n v="2"/>
    <m/>
    <s v="Retornável - Cobrar o cliente, após a troca"/>
    <m/>
    <m/>
    <m/>
    <s v="CON25005 "/>
    <s v="CIF"/>
    <n v="309.75"/>
    <n v="619.5"/>
    <m/>
  </r>
  <r>
    <s v="GHP25005"/>
    <x v="5"/>
    <d v="2025-01-10T00:00:00"/>
    <s v="CS20351845"/>
    <s v="PRINTI"/>
    <s v="HP INDIGO 10000"/>
    <n v="50000343"/>
    <s v="CT445-56291"/>
    <s v="NAUTILAIR AND FILTER ASSEMBLY, EBV, EILAT"/>
    <n v="1"/>
    <s v="NÃO"/>
    <s v="MAURICIO MATEOS"/>
    <s v="ESTOQUE"/>
    <s v="ESTOQUE"/>
    <n v="1"/>
    <m/>
    <s v="NÃO"/>
    <d v="2025-01-06T00:00:00"/>
    <m/>
    <m/>
    <s v="CON25005 "/>
    <s v="CIF"/>
    <n v="976.79"/>
    <n v="976.79"/>
    <m/>
  </r>
  <r>
    <s v="GHP25025"/>
    <x v="5"/>
    <d v="2025-01-21T00:00:00"/>
    <s v="CS20387734"/>
    <s v="ÓTIMA"/>
    <s v="HP INDIGO 12000"/>
    <s v="50110057 "/>
    <s v=" CU498-07230 "/>
    <s v="KIT, FLANGE BEARING FIXED"/>
    <n v="4"/>
    <s v="SIM"/>
    <s v="ISMAR MIRANDA"/>
    <s v="ATENDER"/>
    <s v="SEM ESTOQUE"/>
    <n v="0"/>
    <s v="CT540-31901"/>
    <s v="NÃO"/>
    <m/>
    <m/>
    <m/>
    <s v="CON25005 "/>
    <s v="CIF"/>
    <n v="62.22"/>
    <n v="248.88"/>
    <m/>
  </r>
  <r>
    <s v="GHP25025"/>
    <x v="5"/>
    <d v="2025-01-21T00:00:00"/>
    <s v="CS20387734"/>
    <s v="ÓTIMA"/>
    <s v="HP INDIGO 12000"/>
    <s v="50110057 "/>
    <s v=" CU498-01660 "/>
    <s v="Photointerruptor"/>
    <n v="1"/>
    <s v="SIM"/>
    <s v="ISMAR MIRANDA"/>
    <s v="ESTOQUE"/>
    <s v="ESTOQUE"/>
    <n v="1"/>
    <m/>
    <s v="NÃO"/>
    <d v="2025-01-15T00:00:00"/>
    <m/>
    <m/>
    <m/>
    <s v="CIF"/>
    <n v="10.18"/>
    <n v="10.18"/>
    <m/>
  </r>
  <r>
    <s v="GHP25025"/>
    <x v="5"/>
    <d v="2025-01-21T00:00:00"/>
    <s v="CS20387734"/>
    <s v="ÓTIMA"/>
    <s v="HP INDIGO 12000"/>
    <s v="50110057 "/>
    <s v="  CT540-31871  "/>
    <s v="Upper bearing housing"/>
    <n v="4"/>
    <s v="SIM"/>
    <s v="ISMAR MIRANDA"/>
    <s v="ESTOQUE"/>
    <s v="ESTOQUE"/>
    <n v="4"/>
    <m/>
    <s v="NÃO"/>
    <d v="2025-01-15T00:00:00"/>
    <m/>
    <m/>
    <s v="CON25005 "/>
    <s v="CIF"/>
    <n v="80.180000000000007"/>
    <n v="320.72000000000003"/>
    <m/>
  </r>
  <r>
    <s v="GHP25027"/>
    <x v="6"/>
    <d v="2025-01-22T00:00:00"/>
    <s v="CS20391926"/>
    <s v="INDEMETAL"/>
    <s v="HP INDIGO 6900"/>
    <n v="48300301"/>
    <s v="CU812-11315"/>
    <s v="Cable high power 1.8M-LG"/>
    <n v="1"/>
    <s v="SIM"/>
    <s v="MAURICIO MATEOS"/>
    <s v="ATENDER"/>
    <s v="SEM ESTOQUE"/>
    <n v="0"/>
    <m/>
    <s v="NÃO"/>
    <m/>
    <m/>
    <m/>
    <s v="CON25005 "/>
    <m/>
    <n v="447.56"/>
    <n v="447.56"/>
    <m/>
  </r>
  <r>
    <s v="GHP25028"/>
    <x v="6"/>
    <d v="2025-01-22T00:00:00"/>
    <s v="CS20391905"/>
    <s v="FTD"/>
    <s v="HP INDIGO 100K"/>
    <n v="60002072"/>
    <s v="MAD-1702-02"/>
    <s v="BEARING BALL 17X40X12 6203ZZ"/>
    <n v="1"/>
    <s v="NÃO"/>
    <s v="EMERSON ZANELLA"/>
    <s v="ESTOQUE"/>
    <s v="ESTOQUE"/>
    <n v="1"/>
    <m/>
    <s v="NÃO"/>
    <d v="2025-01-16T00:00:00"/>
    <m/>
    <m/>
    <s v="CON25005 "/>
    <s v="NFS 807"/>
    <n v="5.64"/>
    <n v="5.64"/>
    <m/>
  </r>
  <r>
    <s v="GHP25028"/>
    <x v="6"/>
    <d v="2025-01-22T00:00:00"/>
    <s v="CS20391905"/>
    <s v="FTD"/>
    <s v="HP INDIGO 100K"/>
    <n v="60002072"/>
    <s v="CU141-02965"/>
    <s v="BRG-RLR FOLLOWER 10MM-ID 30MM-OD 15MM-W"/>
    <n v="1"/>
    <s v="NÃO"/>
    <s v="EMERSON ZANELLA"/>
    <s v="ESTOQUE"/>
    <s v="ESTOQUE"/>
    <n v="1"/>
    <m/>
    <s v="NÃO"/>
    <d v="2025-01-16T00:00:00"/>
    <m/>
    <m/>
    <s v="CON25005 "/>
    <s v="NFS 807"/>
    <n v="96.35"/>
    <n v="96.35"/>
    <m/>
  </r>
  <r>
    <s v="GHP25018"/>
    <x v="7"/>
    <d v="2025-01-20T00:00:00"/>
    <s v="CS20383652"/>
    <s v="SERITEC"/>
    <s v="HP INDIGO 6800"/>
    <n v="48000482"/>
    <s v="CT345-48472"/>
    <s v="Ink pump, no tic"/>
    <n v="1"/>
    <s v="NÃO"/>
    <s v="MAURICIO MATEOS"/>
    <s v="ESTOQUE"/>
    <s v="ESTOQUE"/>
    <n v="1"/>
    <m/>
    <s v="OK"/>
    <d v="2025-01-10T00:00:00"/>
    <m/>
    <m/>
    <s v="CON25005 "/>
    <s v="NFS 808"/>
    <n v="146.5"/>
    <n v="146.5"/>
    <m/>
  </r>
  <r>
    <s v="GHP25029"/>
    <x v="7"/>
    <d v="2025-01-22T00:00:00"/>
    <s v="CS20393165"/>
    <s v="FTD"/>
    <s v="HP INDIGO 100K"/>
    <n v="60002072"/>
    <s v="CT446-40961"/>
    <s v="PULLEY IDLER ASSY BRG"/>
    <n v="1"/>
    <s v="NÃO"/>
    <s v="MAURICIO MATEOS"/>
    <s v="UTK"/>
    <s v="UTK"/>
    <n v="1"/>
    <m/>
    <s v="NÃO"/>
    <m/>
    <m/>
    <m/>
    <s v="CON25005 "/>
    <m/>
    <n v="45.24"/>
    <n v="45.24"/>
    <m/>
  </r>
  <r>
    <s v="GHP25030"/>
    <x v="7"/>
    <d v="2025-01-23T00:00:00"/>
    <s v="CS20396081"/>
    <s v="LOG &amp; PRINT"/>
    <s v="HP INDIGO 12000"/>
    <n v="50110229"/>
    <s v="CU498-01650"/>
    <s v="Belt time"/>
    <n v="1"/>
    <s v="NÃO"/>
    <s v="ALEXANDRE ROMÃO"/>
    <s v="ATENDER"/>
    <s v="ESTOQUE"/>
    <n v="1"/>
    <s v="CU150-01956"/>
    <s v="NÃO"/>
    <d v="2025-02-17T00:00:00"/>
    <m/>
    <m/>
    <m/>
    <s v="CIF"/>
    <n v="22.54"/>
    <n v="22.54"/>
    <m/>
  </r>
  <r>
    <s v="GHP25031"/>
    <x v="7"/>
    <d v="2025-01-23T00:00:00"/>
    <s v="CS20395842"/>
    <s v="IPSIS"/>
    <s v="HP INDIGO 10000"/>
    <n v="50000202"/>
    <s v="CU316-04507"/>
    <s v="BLOWER 5.7 240VAC"/>
    <n v="1"/>
    <s v="NÃO"/>
    <s v="MAURICIO MATEOS"/>
    <s v="ESTOQUE"/>
    <s v="ESTOQUE"/>
    <n v="1"/>
    <m/>
    <s v="OK"/>
    <d v="2025-01-14T00:00:00"/>
    <m/>
    <m/>
    <m/>
    <s v="NFS 803"/>
    <n v="389.44"/>
    <n v="389.44"/>
    <m/>
  </r>
  <r>
    <s v="GHP25032"/>
    <x v="7"/>
    <d v="2025-01-23T00:00:00"/>
    <s v="CS20396328"/>
    <s v="ZANGRAF"/>
    <s v="HP INDIGO 7500"/>
    <n v="43000422"/>
    <s v="CT361-03171"/>
    <s v="CABLE ASSY W317-INK UNIT MIC-HEATER+PUMP"/>
    <n v="1"/>
    <s v="NÃO"/>
    <s v="ALEXANDRE ROMÃO"/>
    <s v="ESTOQUE"/>
    <s v="ESTOQUE"/>
    <n v="1"/>
    <m/>
    <s v="NÃO"/>
    <d v="2025-01-15T00:00:00"/>
    <m/>
    <m/>
    <m/>
    <s v="Custos pagos pela CP"/>
    <n v="27.6"/>
    <n v="27.6"/>
    <s v="Peça retornou para o estoque "/>
  </r>
  <r>
    <s v="GHP25033"/>
    <x v="7"/>
    <d v="2025-01-23T00:00:00"/>
    <s v="CS20396297"/>
    <s v="SOBRAL"/>
    <s v="HP INDIGO 7900"/>
    <n v="47100399"/>
    <s v="CT345-44700"/>
    <s v="Front arm and locker, exit roller (S)"/>
    <n v="1"/>
    <s v="NÃO"/>
    <s v="ALEXANDRE ROMÃO"/>
    <s v="ATENDER"/>
    <s v="SEM ESTOQUE"/>
    <n v="0"/>
    <m/>
    <s v="NÃO"/>
    <m/>
    <m/>
    <m/>
    <m/>
    <m/>
    <n v="121.14"/>
    <n v="121.14"/>
    <m/>
  </r>
  <r>
    <s v="GHP25033"/>
    <x v="7"/>
    <d v="2025-01-23T00:00:00"/>
    <s v="CS20396297"/>
    <s v="SOBRAL"/>
    <s v="HP INDIGO 7900"/>
    <n v="47100399"/>
    <s v="CT345-37862"/>
    <s v="EXIT ROLLER"/>
    <n v="1"/>
    <s v="NÃO"/>
    <s v="ALEXANDRE ROMÃO"/>
    <s v="ESTOQUE"/>
    <s v="ESTOQUE"/>
    <n v="1"/>
    <m/>
    <s v="NÃO"/>
    <d v="2025-01-07T00:00:00"/>
    <m/>
    <m/>
    <s v="CON25005 "/>
    <s v="NFS 809"/>
    <n v="186.16"/>
    <n v="186.16"/>
    <m/>
  </r>
  <r>
    <s v="GHP25033"/>
    <x v="7"/>
    <d v="2025-01-23T00:00:00"/>
    <s v="CS20396297"/>
    <s v="SOBRAL"/>
    <s v="HP INDIGO 7900"/>
    <n v="47100399"/>
    <s v=" CT345-52900"/>
    <s v="FLOW METER"/>
    <n v="1"/>
    <s v="NÃO"/>
    <s v="ALEXANDRE ROMÃO"/>
    <s v="ESTOQUE"/>
    <s v="ESTOQUE"/>
    <n v="1"/>
    <m/>
    <s v="NÃO"/>
    <d v="2025-01-07T00:00:00"/>
    <m/>
    <m/>
    <s v="CON25005 "/>
    <s v="NFS 809"/>
    <n v="170.21"/>
    <n v="170.21"/>
    <m/>
  </r>
  <r>
    <s v="GHP25034"/>
    <x v="7"/>
    <d v="2025-01-23T00:00:00"/>
    <s v="CS20395364"/>
    <s v="ÓTIMA"/>
    <s v="HP INDIGO 12000"/>
    <n v="50110057"/>
    <s v="CU498-04180"/>
    <s v="COVER, SPINDLE"/>
    <n v="4"/>
    <s v="NÃO"/>
    <s v="MAURICIO MATEOS"/>
    <s v="ATENDER"/>
    <s v="SEM ESTOQUE"/>
    <n v="0"/>
    <s v="CT540-31871"/>
    <s v="NÃO"/>
    <m/>
    <m/>
    <m/>
    <s v="CON25005 "/>
    <s v="CIF"/>
    <n v="80.180000000000007"/>
    <n v="320.72000000000003"/>
    <m/>
  </r>
  <r>
    <s v="GHP25035"/>
    <x v="7"/>
    <d v="2025-01-23T00:00:00"/>
    <s v="CS20397627"/>
    <s v="ATUALCARD"/>
    <s v="HP INDIGO 12000"/>
    <n v="50110193"/>
    <s v="CT490-24790"/>
    <s v="S4 EVR SUCTION CUPS "/>
    <n v="1"/>
    <s v="NÃO"/>
    <s v="MAURICIO MATEOS"/>
    <s v="UTK"/>
    <s v="UTK"/>
    <n v="1"/>
    <m/>
    <s v="NÃO"/>
    <d v="2025-01-24T00:00:00"/>
    <m/>
    <m/>
    <s v="CON25005 "/>
    <s v="CIF"/>
    <n v="52.14"/>
    <n v="52.14"/>
    <m/>
  </r>
  <r>
    <s v="GHP25035"/>
    <x v="7"/>
    <d v="2025-01-23T00:00:00"/>
    <s v="CS20397627"/>
    <s v="ATUALCARD"/>
    <s v="HP INDIGO 12000"/>
    <n v="50110193"/>
    <s v="CT490-27100"/>
    <s v="S4 DUPLEX SUCTION CUPS( 10 UNITS)"/>
    <n v="1"/>
    <s v="NÃO"/>
    <s v="MAURICIO MATEOS"/>
    <s v="UTK"/>
    <s v="UTK"/>
    <n v="1"/>
    <m/>
    <s v="NÃO"/>
    <d v="2025-01-24T00:00:00"/>
    <m/>
    <m/>
    <s v="CON25005 "/>
    <s v="CIF"/>
    <n v="25.01"/>
    <n v="25.01"/>
    <m/>
  </r>
  <r>
    <s v="GHP25036"/>
    <x v="7"/>
    <d v="2025-01-23T00:00:00"/>
    <s v="CS20395785"/>
    <s v="INDEMETAL"/>
    <s v="HP INDIGO 6800"/>
    <n v="48000432"/>
    <s v="CT354-01403"/>
    <s v="MCU module assembly"/>
    <n v="1"/>
    <s v="NÃO"/>
    <s v="MAURICIO MATEOS"/>
    <s v="ESTOQUE"/>
    <s v="ESTOQUE"/>
    <n v="1"/>
    <m/>
    <s v="OK"/>
    <d v="2025-01-24T00:00:00"/>
    <m/>
    <m/>
    <s v="CON25005 "/>
    <s v="Custos Comprint"/>
    <n v="594.38"/>
    <n v="594.38"/>
    <s v="Reposição, pois a peça do estoque apresentou defeito"/>
  </r>
  <r>
    <s v="GHP25037"/>
    <x v="7"/>
    <d v="2025-01-23T00:00:00"/>
    <s v="CS20397707"/>
    <s v="ATUALCARD"/>
    <s v="HP INDIGO 12000"/>
    <n v="50110193"/>
    <s v="CT497-00430 "/>
    <s v="SET AXLE DRIVE"/>
    <n v="1"/>
    <s v="NÃO"/>
    <s v="MAURICIO MATEOS"/>
    <s v="UTK"/>
    <s v="UTK"/>
    <n v="1"/>
    <m/>
    <s v="NÃO"/>
    <m/>
    <m/>
    <m/>
    <s v="CON25005 "/>
    <s v="CIF"/>
    <n v="136.91999999999999"/>
    <n v="136.91999999999999"/>
    <m/>
  </r>
  <r>
    <s v="GHP25037"/>
    <x v="7"/>
    <d v="2025-01-23T00:00:00"/>
    <s v="CS20397707"/>
    <s v="ATUALCARD"/>
    <s v="HP INDIGO 12000"/>
    <n v="50110193"/>
    <s v="CU498-04330"/>
    <s v="KIT BELT S PAPER PATH"/>
    <n v="1"/>
    <s v="NÃO"/>
    <s v="MAURICIO MATEOS"/>
    <s v="UTK"/>
    <s v="UTK"/>
    <n v="1"/>
    <s v="CT497-00280"/>
    <s v="NÃO"/>
    <d v="2025-01-24T00:00:00"/>
    <m/>
    <m/>
    <m/>
    <s v="CIF"/>
    <n v="78.67"/>
    <n v="78.67"/>
    <m/>
  </r>
  <r>
    <s v="GHP25037"/>
    <x v="7"/>
    <d v="2025-01-23T00:00:00"/>
    <s v="CS20397707"/>
    <s v="ATUALCARD"/>
    <s v="HP INDIGO 12000"/>
    <n v="50110193"/>
    <s v="CT454-08031"/>
    <s v="PANASONIC DARKON PNP SENSOR"/>
    <n v="1"/>
    <s v="NÃO"/>
    <s v="MAURICIO MATEOS"/>
    <s v="UTK"/>
    <s v="UTK"/>
    <n v="1"/>
    <m/>
    <s v="NÃO"/>
    <m/>
    <m/>
    <m/>
    <s v="CON25005 "/>
    <s v="CIF"/>
    <n v="73.42"/>
    <n v="73.42"/>
    <m/>
  </r>
  <r>
    <s v="GHP25038"/>
    <x v="7"/>
    <d v="2025-01-23T00:00:00"/>
    <s v="CS20396242"/>
    <s v="HAWAII"/>
    <s v="HP INDIGO 12000"/>
    <n v="50000530"/>
    <s v="CU498-06820 "/>
    <s v="KIT SIDEBLOWER FLAT CABLE (S)"/>
    <n v="1"/>
    <s v="NÃO"/>
    <s v="ALEXANDRE ROMÃO"/>
    <s v="ESTOQUE"/>
    <s v="ESTOQUE"/>
    <n v="1"/>
    <m/>
    <s v="NÃO"/>
    <d v="2025-01-16T00:00:00"/>
    <m/>
    <m/>
    <s v="CON25005 "/>
    <s v="NFS 801"/>
    <n v="79.02"/>
    <n v="79.02"/>
    <m/>
  </r>
  <r>
    <s v="GHP25038"/>
    <x v="7"/>
    <d v="2025-01-23T00:00:00"/>
    <s v="CS20396242"/>
    <s v="HAWAII"/>
    <s v="HP INDIGO 12000"/>
    <n v="50000530"/>
    <s v="CU498-01930"/>
    <s v=" MOTOR, SYNCHRON-SERVO, 3000 "/>
    <n v="1"/>
    <s v="NÃO"/>
    <s v="ALEXANDRE ROMÃO"/>
    <s v="ESTOQUE"/>
    <s v="ESTOQUE"/>
    <n v="1"/>
    <s v="CU314-01250"/>
    <s v="OK - CU314-01250"/>
    <d v="2025-01-16T00:00:00"/>
    <m/>
    <m/>
    <s v="CON25005 "/>
    <s v="NFS 801"/>
    <n v="395.76"/>
    <n v="395.76"/>
    <m/>
  </r>
  <r>
    <s v="GHP25039"/>
    <x v="7"/>
    <d v="2025-01-23T00:00:00"/>
    <s v="CS20396104"/>
    <s v="ALPHA COLOR"/>
    <s v="HP INDIGO 6800"/>
    <n v="48000044"/>
    <s v="CT345-48472"/>
    <s v=" Ink pump, no tic (S)"/>
    <n v="1"/>
    <s v="NÃO"/>
    <s v="ALEXANDRE ROMÃO"/>
    <s v="ESTOQUE"/>
    <s v="ESTOQUE"/>
    <n v="1"/>
    <m/>
    <s v="OK"/>
    <d v="2025-01-21T00:00:00"/>
    <m/>
    <m/>
    <s v="CON25005 "/>
    <s v="NFS 806"/>
    <n v="146.5"/>
    <n v="146.5"/>
    <m/>
  </r>
  <r>
    <s v="GHP25040"/>
    <x v="7"/>
    <d v="2025-01-23T00:00:00"/>
    <s v="CS20395535"/>
    <s v="ALPHA COLOR"/>
    <s v="HP INDIGO 6800"/>
    <n v="48000044"/>
    <s v="CT345-48431"/>
    <s v="TIC board assembly"/>
    <n v="1"/>
    <s v="NÃO"/>
    <s v="MAURICIO MATEOS"/>
    <s v="ESTOQUE"/>
    <s v="ESTOQUE"/>
    <n v="1"/>
    <m/>
    <s v="OK"/>
    <d v="2025-01-08T00:00:00"/>
    <m/>
    <m/>
    <s v="CON25005 "/>
    <s v="NFS 806"/>
    <n v="182.54"/>
    <n v="182.54"/>
    <m/>
  </r>
  <r>
    <s v="GHP25026"/>
    <x v="8"/>
    <d v="2024-12-03T00:00:00"/>
    <s v="CS20230345"/>
    <s v="ALL4LABELS"/>
    <s v="HP INDIGO 6000"/>
    <n v="41000142"/>
    <s v="CT344-01252"/>
    <s v="C.R. CARBON BRUSH SET"/>
    <n v="2"/>
    <s v="SIM"/>
    <s v="ISMAR MIRANDA"/>
    <s v="ESTOQUE"/>
    <s v="ESTOQUE"/>
    <n v="2"/>
    <m/>
    <s v="NÃO"/>
    <d v="2025-01-06T00:00:00"/>
    <m/>
    <m/>
    <s v="CON25005 "/>
    <s v="NFS 877"/>
    <n v="16.22"/>
    <n v="32.44"/>
    <m/>
  </r>
  <r>
    <s v="GHP25041"/>
    <x v="8"/>
    <d v="2025-01-29T00:00:00"/>
    <s v="CS20075012"/>
    <s v="OTIMA"/>
    <s v="HP INDIGO 12000"/>
    <n v="50110057"/>
    <s v="CT445-43435 "/>
    <s v="ITM DRUM (S)"/>
    <n v="1"/>
    <s v="NÃO"/>
    <s v="EMERSON ZANELLA"/>
    <s v="ATENDER"/>
    <s v="SEM ESTOQUE"/>
    <n v="0"/>
    <m/>
    <s v="Retornável - Cobrar o cliente, após a troca"/>
    <d v="2025-02-18T00:00:00"/>
    <m/>
    <m/>
    <m/>
    <s v="CIF"/>
    <n v="28824.73"/>
    <n v="28824.73"/>
    <m/>
  </r>
  <r>
    <s v="GHP25041"/>
    <x v="8"/>
    <d v="2025-01-29T00:00:00"/>
    <s v="CS20075012"/>
    <s v="OTIMA"/>
    <s v="HP INDIGO 12000"/>
    <n v="50110057"/>
    <s v="CT445-43445 "/>
    <s v="BEARING FRONT  ITM DRUM (S)"/>
    <n v="1"/>
    <s v="NÃO"/>
    <s v="EMERSON ZANELLA"/>
    <s v="ATENDER"/>
    <s v="SEM ESTOQUE"/>
    <n v="0"/>
    <m/>
    <s v="Retornável - Cobrar o cliente, após a troca"/>
    <d v="2025-02-18T00:00:00"/>
    <m/>
    <m/>
    <m/>
    <s v="CIF"/>
    <n v="1542.6"/>
    <n v="1542.6"/>
    <m/>
  </r>
  <r>
    <s v="GHP25041"/>
    <x v="8"/>
    <d v="2025-01-29T00:00:00"/>
    <s v="CS20075012"/>
    <s v="OTIMA"/>
    <s v="HP INDIGO 12000"/>
    <n v="50110057"/>
    <s v="CT445-43455 "/>
    <s v="BEARING REAR ITM DRUM (S)"/>
    <n v="1"/>
    <s v="NÃO"/>
    <s v="EMERSON ZANELLA"/>
    <s v="ATENDER"/>
    <s v="SEM ESTOQUE"/>
    <n v="0"/>
    <m/>
    <s v="Retornável - Cobrar o cliente, após a troca"/>
    <d v="2025-02-18T00:00:00"/>
    <m/>
    <m/>
    <m/>
    <s v="CIF"/>
    <n v="2308.5"/>
    <n v="2308.5"/>
    <m/>
  </r>
  <r>
    <s v="GHP25042"/>
    <x v="9"/>
    <d v="2025-01-24T00:00:00"/>
    <s v="CS20400367"/>
    <s v="PRINTI"/>
    <s v="HP INDIGO 12000"/>
    <n v="50110372"/>
    <s v="CU498-07040"/>
    <s v="CABLE FMC TO EDGE COM FEED MODULE"/>
    <n v="1"/>
    <s v="SIM"/>
    <s v="FELIPE ALBUQUERQUE"/>
    <s v="ESTOQUE"/>
    <s v="ESTOQUE"/>
    <n v="1"/>
    <m/>
    <s v="NÃO"/>
    <d v="2025-02-17T00:00:00"/>
    <m/>
    <m/>
    <m/>
    <s v="CIF"/>
    <n v="76.67"/>
    <n v="76.67"/>
    <m/>
  </r>
  <r>
    <s v="GHP25043"/>
    <x v="10"/>
    <d v="2025-01-31T00:00:00"/>
    <s v="CS20421088"/>
    <s v="OTIMA"/>
    <s v="HP INDIGO 12000"/>
    <n v="50110057"/>
    <s v="CA442-13452"/>
    <s v="Ink Flow Center main Body"/>
    <n v="1"/>
    <s v="NÃO"/>
    <s v="EMERSON ZANELLA"/>
    <s v="UTK"/>
    <s v="UTK"/>
    <n v="1"/>
    <m/>
    <s v="Retornável - Cobrar o cliente, após a troca"/>
    <m/>
    <m/>
    <m/>
    <m/>
    <s v="CIF"/>
    <n v="15.33"/>
    <n v="15.33"/>
    <m/>
  </r>
  <r>
    <s v="GHP25044"/>
    <x v="10"/>
    <d v="2025-01-31T00:00:00"/>
    <s v="CS20424754"/>
    <s v="ZANGRAF"/>
    <s v="HP INDIGO 7500"/>
    <n v="43000422"/>
    <s v="CT345-31922"/>
    <s v="MIC Board"/>
    <n v="1"/>
    <s v="NÃO"/>
    <s v="MAURICIO MATEOS"/>
    <s v="ESTOQUE"/>
    <s v="ESTOQUE"/>
    <n v="1"/>
    <s v="CT397-00130"/>
    <s v="OK - CT397-00130"/>
    <d v="2025-01-24T00:00:00"/>
    <m/>
    <m/>
    <m/>
    <s v="NFS 836"/>
    <n v="654.77"/>
    <n v="654.77"/>
    <m/>
  </r>
  <r>
    <s v="GHP25046"/>
    <x v="10"/>
    <d v="2025-02-03T00:00:00"/>
    <s v="CS20430150"/>
    <s v="SERITEC"/>
    <s v="HP INDIGO 6800"/>
    <n v="48000482"/>
    <s v="CT990-00460"/>
    <s v="KIT MAINTENANCE-SER 3 ZUWA PUMP BLACK IMPELLER"/>
    <n v="1"/>
    <s v="NÃO"/>
    <s v="MAURICIO MATEOS"/>
    <s v="ESTOQUE"/>
    <s v="ESTOQUE"/>
    <n v="1"/>
    <s v="CT990-00461"/>
    <s v="NÃO"/>
    <d v="2025-02-03T00:00:00"/>
    <m/>
    <m/>
    <m/>
    <s v="NFS 890"/>
    <n v="159.5"/>
    <n v="159.5"/>
    <m/>
  </r>
  <r>
    <s v="GHP25047"/>
    <x v="10"/>
    <d v="2025-02-03T00:00:00"/>
    <s v="CS20430325"/>
    <s v="SERITEC"/>
    <s v="HP INDIGO 6800"/>
    <n v="48000482"/>
    <s v="CT345-48431"/>
    <s v="TIC board assembly"/>
    <n v="1"/>
    <s v="NÃO"/>
    <s v="MAURICIO MATEOS"/>
    <s v="ESTOQUE"/>
    <s v="ESTOQUE"/>
    <n v="1"/>
    <m/>
    <s v="OK"/>
    <d v="2025-01-15T00:00:00"/>
    <m/>
    <m/>
    <m/>
    <s v="NFS 808"/>
    <n v="431.82"/>
    <n v="431.82"/>
    <m/>
  </r>
  <r>
    <s v="GHP25049"/>
    <x v="10"/>
    <d v="2025-02-03T00:00:00"/>
    <s v="CS20431108"/>
    <s v="HAWAII"/>
    <s v="HP INDIGO 10000"/>
    <n v="50000530"/>
    <s v="CT445-45904"/>
    <s v="JOS assembly"/>
    <n v="1"/>
    <s v="SIM"/>
    <s v="FELIPE ALBUQUERQUE"/>
    <s v="ESTOQUE"/>
    <s v="ESTOQUE"/>
    <n v="1"/>
    <m/>
    <s v="Retornável - Aguarando cliente fazer a devolução"/>
    <d v="2025-01-31T00:00:00"/>
    <m/>
    <m/>
    <m/>
    <s v="NFS 883"/>
    <n v="396.84"/>
    <n v="396.84"/>
    <m/>
  </r>
  <r>
    <s v="GHP25051"/>
    <x v="10"/>
    <d v="2025-02-03T00:00:00"/>
    <s v="CS20430400"/>
    <s v="HAWAII"/>
    <s v="HP INDIGO 10000"/>
    <n v="50000530"/>
    <s v="CU150-01487"/>
    <s v="BELT-TIMING 6MM-WD 2061MM-GRV LG"/>
    <n v="1"/>
    <s v="NÃO"/>
    <s v="MAURICIO MATEOS"/>
    <s v="ESTOQUE"/>
    <s v="ESTOQUE"/>
    <n v="1"/>
    <m/>
    <s v="NÃO"/>
    <d v="2025-01-31T00:00:00"/>
    <m/>
    <m/>
    <m/>
    <s v="NFS 883"/>
    <n v="35.19"/>
    <n v="35.19"/>
    <m/>
  </r>
  <r>
    <s v="GHP25052"/>
    <x v="10"/>
    <d v="2025-02-03T00:00:00"/>
    <s v="CS20430383"/>
    <s v="NMC"/>
    <s v="HP INDIGO 6600"/>
    <n v="44000010"/>
    <s v="CT345-00746"/>
    <s v="Wetting roller"/>
    <n v="1"/>
    <s v="NÃO"/>
    <s v="MAURICIO MATEOS"/>
    <s v="ESTOQUE"/>
    <s v="ESTOQUE"/>
    <n v="1"/>
    <m/>
    <s v="NÃO"/>
    <d v="2025-02-17T00:00:00"/>
    <m/>
    <m/>
    <m/>
    <s v="NFS 887"/>
    <n v="79.989999999999995"/>
    <n v="79.989999999999995"/>
    <m/>
  </r>
  <r>
    <s v="GHP25053"/>
    <x v="10"/>
    <d v="2025-02-03T00:00:00"/>
    <s v="CS20432524"/>
    <s v="ATUALCARD"/>
    <s v="HP INDIGO 12000"/>
    <n v="50110193"/>
    <s v="CU150-01921"/>
    <s v="BELT SYNCHRONOUS"/>
    <n v="1"/>
    <s v="NÃO"/>
    <s v="MAURICIO MATEOS"/>
    <s v="UTK"/>
    <s v="UTK"/>
    <n v="1"/>
    <m/>
    <s v="NÃO"/>
    <d v="2025-02-05T00:00:00"/>
    <m/>
    <m/>
    <m/>
    <s v="CIF"/>
    <n v="37.229999999999997"/>
    <n v="37.229999999999997"/>
    <m/>
  </r>
  <r>
    <s v="GHP25050"/>
    <x v="11"/>
    <d v="2025-02-03T00:00:00"/>
    <s v="CS20430492"/>
    <s v="INDEMETAL"/>
    <s v="HP INDIGO 6900"/>
    <n v="48300301"/>
    <s v="CT344-34270"/>
    <s v="Ceramic charge roller assembly"/>
    <n v="1"/>
    <s v="NÃO"/>
    <s v="MAURICIO MATEOS"/>
    <s v="ESTOQUE"/>
    <s v="ESTOQUE"/>
    <n v="1"/>
    <m/>
    <s v="OK"/>
    <d v="2025-01-22T00:00:00"/>
    <m/>
    <m/>
    <m/>
    <s v="NFS 819"/>
    <n v="882.69"/>
    <n v="882.69"/>
    <m/>
  </r>
  <r>
    <s v="GHP25055"/>
    <x v="11"/>
    <d v="2025-02-03T00:00:00"/>
    <s v="CS20432598"/>
    <s v="FTD"/>
    <s v="HP INDIGO 100K"/>
    <n v="60002072"/>
    <s v="CU314-01218 "/>
    <s v="MOTOR SERVO 24VDC 2.5NM 4500RPM"/>
    <n v="1"/>
    <s v="NÃO"/>
    <s v="DANIEL ABREU"/>
    <s v="ESTOQUE"/>
    <s v="ESTOQUE"/>
    <n v="1"/>
    <m/>
    <s v="OK"/>
    <d v="2025-02-04T00:00:00"/>
    <m/>
    <m/>
    <m/>
    <m/>
    <n v="886.36"/>
    <n v="886.36"/>
    <m/>
  </r>
  <r>
    <s v="GHP25056"/>
    <x v="11"/>
    <d v="2025-01-31T00:00:00"/>
    <s v="CS20424173"/>
    <s v="PRINTI"/>
    <s v="HP INDIGO 10000"/>
    <n v="50000343"/>
    <s v="CT000-24961"/>
    <s v="TRANS SHAFT WITH SELF ALIGNMENT"/>
    <n v="1"/>
    <s v="NÃO"/>
    <s v="MAURICIO MATEOS"/>
    <s v="UTK"/>
    <s v="UTK"/>
    <n v="1"/>
    <m/>
    <s v="NÃO"/>
    <d v="2025-02-05T00:00:00"/>
    <m/>
    <m/>
    <m/>
    <s v="CIF"/>
    <n v="274.36"/>
    <n v="274.36"/>
    <m/>
  </r>
  <r>
    <s v="GHP25058"/>
    <x v="11"/>
    <d v="2025-02-03T00:00:00"/>
    <s v="CS20432996"/>
    <s v="IPSIS"/>
    <s v="HP INDIGO 10000"/>
    <n v="50000202"/>
    <s v="CU096-03202"/>
    <s v="SPECTROPHOTOMETER"/>
    <n v="1"/>
    <s v="NÃO"/>
    <s v="EDSON DOMINGUES"/>
    <s v="ESTOQUE"/>
    <s v="ESTOQUE"/>
    <n v="1"/>
    <m/>
    <s v="OK"/>
    <d v="2025-01-06T00:00:00"/>
    <m/>
    <m/>
    <m/>
    <s v="NFS 803"/>
    <n v="1427.32"/>
    <n v="1427.32"/>
    <m/>
  </r>
  <r>
    <s v="GHP25059"/>
    <x v="11"/>
    <d v="2025-02-04T00:00:00"/>
    <s v="CS20436128"/>
    <s v="SERITEC"/>
    <s v="HP INDIGO 6800"/>
    <n v="48000482"/>
    <s v="CT345-00746"/>
    <s v="Wetting roller - top assembly"/>
    <n v="1"/>
    <s v="NÃO"/>
    <s v="MAURICIO MATEOS"/>
    <s v="ATENDER"/>
    <s v="ESTOQUE"/>
    <n v="1"/>
    <m/>
    <s v="NÃO"/>
    <d v="2025-02-17T00:00:00"/>
    <m/>
    <m/>
    <m/>
    <s v="NFS 890"/>
    <n v="79.989999999999995"/>
    <n v="79.989999999999995"/>
    <m/>
  </r>
  <r>
    <s v="GHP25060"/>
    <x v="11"/>
    <d v="2025-02-04T00:00:00"/>
    <s v="CS20436017"/>
    <s v="INDEMETAL"/>
    <s v="HP INDIGO 6600"/>
    <n v="44000059"/>
    <s v="CT354-04953"/>
    <s v="MOTOR ASSEMBLY BID SEMI ENGAGE 1-5"/>
    <n v="1"/>
    <s v="NÃO"/>
    <s v="MAURICIO MATEOS"/>
    <s v="ESTOQUE"/>
    <s v="ESTOQUE"/>
    <n v="1"/>
    <m/>
    <s v="OK"/>
    <d v="2025-01-24T00:00:00"/>
    <m/>
    <m/>
    <m/>
    <s v="NFS 819"/>
    <n v="98.36"/>
    <n v="98.36"/>
    <m/>
  </r>
  <r>
    <s v="GHP25060"/>
    <x v="11"/>
    <d v="2025-02-04T00:00:00"/>
    <s v="CS20436017"/>
    <s v="INDEMETAL"/>
    <s v="HP INDIGO 6600"/>
    <n v="44000059"/>
    <s v="CU010-02818"/>
    <s v="SPEED CONTROLLER 10.5 MM"/>
    <n v="1"/>
    <s v="NÃO"/>
    <s v="MAURICIO MATEOS"/>
    <s v="ATENDER"/>
    <s v="SEM ESTOQUE"/>
    <n v="0"/>
    <m/>
    <s v="Retornável - Cobrar o cliente, após a troca"/>
    <m/>
    <m/>
    <m/>
    <m/>
    <m/>
    <n v="11.91"/>
    <n v="11.91"/>
    <m/>
  </r>
  <r>
    <s v="GHP25061"/>
    <x v="11"/>
    <d v="2025-02-04T00:00:00"/>
    <s v="CS20435682"/>
    <s v="PRINTI"/>
    <s v="HP INDIGO 12000"/>
    <n v="50110372"/>
    <s v=" CT445-72210"/>
    <s v="EBM assy"/>
    <n v="1"/>
    <s v="SIM"/>
    <s v="ALEXANDRE ROMÃO"/>
    <s v="ATENDER"/>
    <s v="SEM ESTOQUE"/>
    <n v="0"/>
    <m/>
    <s v="Retornável - Cobrar o cliente, após a troca"/>
    <m/>
    <m/>
    <m/>
    <m/>
    <s v="CIF"/>
    <n v="4764.91"/>
    <n v="4764.91"/>
    <m/>
  </r>
  <r>
    <s v="GHP25061"/>
    <x v="11"/>
    <d v="2024-02-04T00:00:00"/>
    <s v="CS20435682"/>
    <s v="PRINTI"/>
    <s v="HP INDIGO 12000"/>
    <n v="50110372"/>
    <s v=" CT445-36261"/>
    <s v="ADAPTOR EBM ACTUATION INTERFACE"/>
    <n v="1"/>
    <s v="SIM"/>
    <s v="ALEXANDRE ROMÃO"/>
    <s v="ESTOQUE"/>
    <s v="ESTOQUE"/>
    <n v="1"/>
    <m/>
    <s v="NÃO"/>
    <d v="2025-02-04T00:00:00"/>
    <m/>
    <m/>
    <m/>
    <s v="CIF"/>
    <n v="254.87"/>
    <n v="254.87"/>
    <m/>
  </r>
  <r>
    <s v="GHP25045"/>
    <x v="12"/>
    <d v="2025-02-03T00:00:00"/>
    <s v="CS20430257"/>
    <s v="CAMARGO"/>
    <s v="HP INDIGO 20000"/>
    <n v="51000136"/>
    <s v="CU010-03285"/>
    <s v="VALVE QUARTER TURN 16MM-DIA X 3/4-IN"/>
    <n v="1"/>
    <s v="NÃO"/>
    <s v="MAURICIO MATEOS"/>
    <s v="ATENDER"/>
    <s v="SEM ESTOQUE"/>
    <n v="0"/>
    <m/>
    <s v="NÃO"/>
    <m/>
    <m/>
    <m/>
    <m/>
    <s v="CIF"/>
    <n v="20.87"/>
    <n v="20.87"/>
    <m/>
  </r>
  <r>
    <s v="GHP25062"/>
    <x v="12"/>
    <d v="2024-02-04T00:00:00"/>
    <m/>
    <s v="COMPRINT"/>
    <m/>
    <m/>
    <s v="CT990-03080 "/>
    <s v="S.NOTE ANTI-SOAP BRACKET LONGER SCREWS SER 4 &amp; 5"/>
    <n v="17"/>
    <m/>
    <m/>
    <s v="S.NOTE"/>
    <s v="S.NOTE"/>
    <n v="0"/>
    <m/>
    <s v="NÃO"/>
    <m/>
    <m/>
    <m/>
    <m/>
    <m/>
    <n v="4.9000000000000004"/>
    <n v="83.300000000000011"/>
    <m/>
  </r>
  <r>
    <s v="GHP25063"/>
    <x v="12"/>
    <d v="2024-02-05T00:00:00"/>
    <m/>
    <s v="COMPRINT"/>
    <m/>
    <m/>
    <s v="CT990-04690 "/>
    <s v="S.NOTE RIO &amp; WASTE BRACKET REPLACEMENT"/>
    <n v="5"/>
    <m/>
    <m/>
    <s v="S.NOTE"/>
    <s v="S.NOTE"/>
    <n v="0"/>
    <m/>
    <s v="NÃO"/>
    <m/>
    <m/>
    <m/>
    <m/>
    <m/>
    <n v="132.28"/>
    <n v="661.4"/>
    <m/>
  </r>
  <r>
    <s v="GHP25064"/>
    <x v="12"/>
    <d v="2024-02-05T00:00:00"/>
    <m/>
    <s v="COMPRINT"/>
    <m/>
    <m/>
    <s v="CA492-01520"/>
    <s v="S.NOTE Engine Door Support Brackets and PARS Robust Screws "/>
    <n v="3"/>
    <m/>
    <m/>
    <s v="S.NOTE"/>
    <s v="S.NOTE"/>
    <n v="0"/>
    <m/>
    <s v="NÃO"/>
    <m/>
    <m/>
    <m/>
    <m/>
    <m/>
    <n v="145.35"/>
    <n v="436.04999999999995"/>
    <m/>
  </r>
  <r>
    <s v="GHP25054"/>
    <x v="13"/>
    <d v="2025-01-30T00:00:00"/>
    <s v="CS20424739"/>
    <s v="PRINTI"/>
    <s v="HP INDIGO 100K"/>
    <n v="60002095"/>
    <s v="CA545-10713"/>
    <s v="IMO reservoir filtered assembly"/>
    <n v="1"/>
    <s v="NÃO"/>
    <s v="DANIEL ABREU"/>
    <s v="ATENDER"/>
    <s v="SEM ESTOQUE"/>
    <n v="0"/>
    <s v="CA545-10714 "/>
    <s v="Não informado"/>
    <m/>
    <m/>
    <m/>
    <m/>
    <s v="CIF"/>
    <n v="986.75"/>
    <n v="986.75"/>
    <m/>
  </r>
  <r>
    <s v="GHP25065"/>
    <x v="13"/>
    <d v="2025-02-04T00:00:00"/>
    <s v="CS20437198"/>
    <s v="PRINTI"/>
    <s v="HP INDIGO 10000"/>
    <n v="50000343"/>
    <s v="CU096-02839"/>
    <s v="Driver Servo 24-65 VDC, 2 motors"/>
    <n v="1"/>
    <s v="NÃO"/>
    <s v="EMERSON ZANELLA"/>
    <s v="ESTOQUE"/>
    <s v="ESTOQUE"/>
    <n v="1"/>
    <m/>
    <s v="OK"/>
    <d v="2025-02-04T00:00:00"/>
    <m/>
    <m/>
    <m/>
    <s v="NFS 879"/>
    <n v="601.41999999999996"/>
    <n v="601.41999999999996"/>
    <m/>
  </r>
  <r>
    <s v="GHP25066"/>
    <x v="13"/>
    <d v="2025-02-05T00:00:00"/>
    <s v="CS20439529"/>
    <s v="STGRAF"/>
    <s v="HP INDIGO 15k"/>
    <s v="50300141 "/>
    <s v="CA245-08081"/>
    <s v="IR reflective Sensor"/>
    <n v="1"/>
    <s v="NÃO"/>
    <s v="EDSON DOMINGUES"/>
    <s v="ESTOQUE"/>
    <s v="ESTOQUE"/>
    <n v="1"/>
    <m/>
    <s v="NÃO"/>
    <d v="2025-02-05T00:00:00"/>
    <m/>
    <m/>
    <m/>
    <s v="Custos pagos pela CP"/>
    <n v="20"/>
    <n v="20"/>
    <m/>
  </r>
  <r>
    <s v="GHP25057"/>
    <x v="14"/>
    <d v="2025-02-07T00:00:00"/>
    <s v="CS20447934"/>
    <s v="PRINTI"/>
    <s v="HP INDIGO 100K"/>
    <n v="60002095"/>
    <s v="CT497-06440"/>
    <s v="VACUUM PUMP ASSEMBLY"/>
    <n v="1"/>
    <s v="SIM"/>
    <s v="EMERSON ZANELLA"/>
    <s v="ATENDER"/>
    <s v="SEM ESTOQUE"/>
    <n v="0"/>
    <m/>
    <s v="NÃO"/>
    <m/>
    <m/>
    <m/>
    <m/>
    <s v="CIF"/>
    <n v="1407.73"/>
    <n v="1407.73"/>
    <m/>
  </r>
  <r>
    <s v="GHP25067"/>
    <x v="14"/>
    <d v="2025-02-06T00:00:00"/>
    <s v="CS20444758"/>
    <s v="NMC"/>
    <s v="HP INDIGO 6600"/>
    <s v="44000010 "/>
    <s v="CT345-33380"/>
    <s v=" MOTOR AND PULLEY ASSY"/>
    <n v="1"/>
    <s v="NÃO"/>
    <s v="EDUARDO NOBRE"/>
    <s v="ESTOQUE"/>
    <s v="ESTOQUE"/>
    <n v="1"/>
    <s v="CT345-61780"/>
    <s v="OK"/>
    <d v="2025-01-20T00:00:00"/>
    <m/>
    <m/>
    <m/>
    <s v="NFS 802"/>
    <n v="2377.7800000000002"/>
    <n v="2377.7800000000002"/>
    <m/>
  </r>
  <r>
    <s v="GHP25068"/>
    <x v="14"/>
    <d v="2025-02-06T00:00:00"/>
    <s v="CS20396185"/>
    <s v="FLEXCORTE"/>
    <s v="HP INDIGO 6600"/>
    <n v="44000321"/>
    <s v="CA345-18840"/>
    <s v="  ILD DEAD SHAFT ASSY"/>
    <n v="1"/>
    <s v="NÃO"/>
    <s v="EDUARDO NOBRE"/>
    <s v="ESTOQUE"/>
    <s v="ESTOQUE"/>
    <n v="1"/>
    <m/>
    <s v="NÃO"/>
    <d v="2025-01-15T00:00:00"/>
    <m/>
    <m/>
    <m/>
    <s v="NFS 815"/>
    <n v="449.1"/>
    <n v="449.1"/>
    <m/>
  </r>
  <r>
    <s v="GHP25068"/>
    <x v="14"/>
    <d v="2025-02-06T00:00:00"/>
    <s v="CS20396185"/>
    <s v="FLEXCORTE"/>
    <s v="HP INDIGO 6600"/>
    <n v="44000321"/>
    <s v="EOD-1202-02"/>
    <s v=" IN LINE DENS"/>
    <n v="1"/>
    <s v="NÃO"/>
    <s v="EDUARDO NOBRE"/>
    <s v="ESTOQUE"/>
    <s v="ESTOQUE"/>
    <n v="1"/>
    <m/>
    <s v="NÃO"/>
    <d v="2025-01-15T00:00:00"/>
    <m/>
    <m/>
    <m/>
    <s v="NFS 815"/>
    <n v="769.19"/>
    <n v="769.19"/>
    <m/>
  </r>
  <r>
    <s v="GHP25069"/>
    <x v="15"/>
    <d v="2025-02-04T00:00:00"/>
    <s v="CS20437091"/>
    <s v="PRINTI"/>
    <s v="HP INDIGO 10000"/>
    <n v="50000343"/>
    <s v="CU150-01487"/>
    <s v="BELT-TIMING 6MM-WD 2061MM-GRV LG"/>
    <n v="1"/>
    <s v="NÃO"/>
    <s v="MAURICIO MATEOS"/>
    <s v="UTK"/>
    <s v="UTK"/>
    <n v="1"/>
    <m/>
    <s v="NÃO"/>
    <d v="2025-02-10T00:00:00"/>
    <m/>
    <m/>
    <m/>
    <s v="CIF"/>
    <n v="35.19"/>
    <n v="35.19"/>
    <m/>
  </r>
  <r>
    <s v="GHP25070"/>
    <x v="15"/>
    <d v="2025-02-10T00:00:00"/>
    <s v="CS20456079"/>
    <s v="VR"/>
    <s v="HP INDIGO 6900"/>
    <n v="48300375"/>
    <s v="CT345-19110"/>
    <s v="Large auxiliary can"/>
    <n v="1"/>
    <s v="NÃO"/>
    <s v="MAURICIO MATEOS"/>
    <s v="ATENDER"/>
    <s v="SEM ESTOQUE"/>
    <n v="0"/>
    <m/>
    <s v="NÃO"/>
    <m/>
    <m/>
    <m/>
    <m/>
    <m/>
    <n v="16.329999999999998"/>
    <n v="16.329999999999998"/>
    <m/>
  </r>
  <r>
    <s v="GHP25071"/>
    <x v="15"/>
    <d v="2025-02-10T00:00:00"/>
    <s v="CS20456113"/>
    <s v="PRINTI"/>
    <s v="HP INDIGO 12000"/>
    <n v="50110372"/>
    <s v="CU498-02992"/>
    <s v="SHEET, BELT PROTECTION"/>
    <n v="1"/>
    <s v="NÃO"/>
    <s v="MAURICIO MATEOS"/>
    <s v="ESTOQUE"/>
    <s v="ESTOQUE"/>
    <n v="1"/>
    <m/>
    <s v="NÃO"/>
    <d v="2025-02-07T00:00:00"/>
    <m/>
    <m/>
    <m/>
    <s v="CIF"/>
    <n v="49.81"/>
    <n v="49.81"/>
    <m/>
  </r>
  <r>
    <s v="GHP25072"/>
    <x v="15"/>
    <d v="2025-02-10T00:00:00"/>
    <s v="CS20456169"/>
    <s v="LOG &amp; PRINT"/>
    <s v="HP INDIGO 12000"/>
    <n v="50110229"/>
    <s v="CT990-04680"/>
    <s v="HP MONITOR E24T G5 FHD TOUCH EURO"/>
    <n v="1"/>
    <s v="SIM"/>
    <s v="MAURICIO MATEOS"/>
    <s v="ATENDER"/>
    <s v="SEM ESTOQUE"/>
    <n v="0"/>
    <m/>
    <s v="NÃO"/>
    <m/>
    <m/>
    <m/>
    <m/>
    <s v="CIF"/>
    <n v="248.73"/>
    <n v="248.73"/>
    <m/>
  </r>
  <r>
    <s v="GHP25074"/>
    <x v="16"/>
    <d v="2025-02-03T00:00:00"/>
    <s v="CS20433379"/>
    <s v="P+E"/>
    <s v="HP INDIGO 15k"/>
    <n v="50300097"/>
    <s v="CT497-00720"/>
    <s v="Suction cup TE holder"/>
    <n v="1"/>
    <s v="NÃO"/>
    <s v="FELIPE ALBUQUERQUE"/>
    <s v="ATENDER"/>
    <s v="ESTOQUE"/>
    <n v="1"/>
    <m/>
    <s v="NÃO"/>
    <d v="2025-02-03T00:00:00"/>
    <m/>
    <m/>
    <m/>
    <s v="NFS 889"/>
    <n v="83.29"/>
    <n v="83.29"/>
    <m/>
  </r>
  <r>
    <s v="GHP25075"/>
    <x v="17"/>
    <d v="2025-02-12T00:00:00"/>
    <s v="CS20464492"/>
    <s v="PRINTI"/>
    <s v="HP INDIGO 100K"/>
    <n v="60002095"/>
    <s v="CT454-09041"/>
    <s v="Bid HV3 Module"/>
    <n v="1"/>
    <s v="NÃO"/>
    <s v="EMERSON ZANELLA"/>
    <s v="ESTOQUE"/>
    <s v="ESTOQUE"/>
    <n v="1"/>
    <m/>
    <s v="OK"/>
    <d v="2025-02-13T00:00:00"/>
    <m/>
    <m/>
    <m/>
    <s v="CIF"/>
    <n v="1172.56"/>
    <n v="1172.56"/>
    <m/>
  </r>
  <r>
    <s v="GHP25076"/>
    <x v="18"/>
    <d v="2025-02-10T00:00:00"/>
    <s v="CS20456400"/>
    <s v="THALES GROUP"/>
    <s v="HP INDIGO 7K"/>
    <n v="47200115"/>
    <s v="CT345-14034"/>
    <s v="PIP bearing front assembly"/>
    <n v="1"/>
    <s v="NÃO"/>
    <s v="VAGNER GARCIA"/>
    <s v="ESTOQUE"/>
    <s v="ESTOQUE"/>
    <n v="1"/>
    <m/>
    <s v="Retornável - Aguardando entrega"/>
    <d v="2024-12-16T00:00:00"/>
    <m/>
    <m/>
    <m/>
    <s v="NFS 820"/>
    <n v="1317.91"/>
    <n v="1317.91"/>
    <m/>
  </r>
  <r>
    <s v="GHP25078"/>
    <x v="18"/>
    <m/>
    <m/>
    <s v="ALL4LABELS"/>
    <s v="HP INDIGO 20000 "/>
    <n v="51000129"/>
    <s v="CA492-01970"/>
    <s v="S.Note Replacing Line Filter Cable Nuts "/>
    <n v="1"/>
    <m/>
    <m/>
    <s v="S.NOTE"/>
    <s v="S.NOTE"/>
    <n v="0"/>
    <m/>
    <s v="NÃO"/>
    <m/>
    <m/>
    <m/>
    <m/>
    <m/>
    <n v="5.52"/>
    <n v="5.52"/>
    <m/>
  </r>
  <r>
    <s v="GHP25077"/>
    <x v="19"/>
    <d v="2025-02-17T00:00:00"/>
    <s v="CS20480529"/>
    <s v="FTD"/>
    <s v="HP INDIGO 100K"/>
    <n v="60002072"/>
    <s v="CU498-06820"/>
    <s v="SIDE BLOWER FLATCABLE"/>
    <n v="1"/>
    <s v="NÃO"/>
    <s v="DANIEL ABREU"/>
    <s v="ESTOQUE"/>
    <s v="ESTOQUE"/>
    <n v="1"/>
    <m/>
    <s v="NÃO"/>
    <d v="2025-02-05T00:00:00"/>
    <m/>
    <m/>
    <m/>
    <m/>
    <n v="77.98"/>
    <n v="77.98"/>
    <m/>
  </r>
  <r>
    <s v="GHP25077"/>
    <x v="19"/>
    <d v="2025-02-17T00:00:00"/>
    <s v="CS20480529"/>
    <s v="FTD"/>
    <s v="HP INDIGO 100K"/>
    <n v="60002072"/>
    <s v="CT545-11561"/>
    <s v="SIDE BLOWER"/>
    <n v="1"/>
    <s v="NÃO"/>
    <s v="DANIEL ABREU"/>
    <s v="ESTOQUE"/>
    <s v="ESTOQUE"/>
    <n v="1"/>
    <m/>
    <s v="Retornável - Aguardando entrega"/>
    <d v="2025-02-05T00:00:00"/>
    <m/>
    <m/>
    <m/>
    <m/>
    <n v="359.28"/>
    <n v="359.28"/>
    <m/>
  </r>
  <r>
    <s v="GHP25079"/>
    <x v="19"/>
    <d v="2025-02-17T00:00:00"/>
    <s v="CS20480029"/>
    <s v="IPSIS"/>
    <s v="HP INDIGO 10000"/>
    <n v="50000202"/>
    <s v="CT454-04550 "/>
    <s v="Assem Segregation LCS"/>
    <n v="1"/>
    <s v="NÃO"/>
    <s v="EMERSON ZANELLA"/>
    <s v="ESTOQUE"/>
    <s v="ESTOQUE"/>
    <n v="1"/>
    <s v="CT457-00050"/>
    <s v="OK"/>
    <d v="2025-02-17T00:00:00"/>
    <m/>
    <m/>
    <m/>
    <s v="NFS 893"/>
    <n v="826.34"/>
    <n v="826.34"/>
    <m/>
  </r>
  <r>
    <s v="GHP25080"/>
    <x v="19"/>
    <d v="2025-02-17T00:00:00"/>
    <s v="CS20480030"/>
    <s v="VR"/>
    <s v="HP INDIGO 6900"/>
    <n v="48300375"/>
    <s v="CT345-48431"/>
    <s v="TIC BOARD ASSEMBLY FOR S3"/>
    <n v="1"/>
    <s v="NÃO"/>
    <s v="ALEXANDRE ROMÃO"/>
    <s v="ESTOQUE"/>
    <s v="ESTOQUE"/>
    <n v="1"/>
    <m/>
    <s v="OK"/>
    <d v="2024-12-10T00:00:00"/>
    <m/>
    <m/>
    <m/>
    <s v="NFS 748"/>
    <n v="431.82"/>
    <n v="431.82"/>
    <m/>
  </r>
  <r>
    <s v="GHP25081"/>
    <x v="19"/>
    <d v="2024-02-17T00:00:00"/>
    <s v="CS20480431"/>
    <s v="ÓTIMA"/>
    <s v="HP INDIGO 12000"/>
    <s v="50110057 "/>
    <s v="CT454-06131"/>
    <s v="WHEL3 PLATE"/>
    <n v="1"/>
    <s v="NÃO"/>
    <s v="ISMAR MIRANDA"/>
    <s v="ESTOQUE"/>
    <s v="ESTOQUE"/>
    <n v="1"/>
    <s v="CT454-06132"/>
    <s v="OK"/>
    <d v="2025-02-04T00:00:00"/>
    <m/>
    <m/>
    <m/>
    <s v="CIF"/>
    <n v="6075.1"/>
    <n v="6075.1"/>
    <m/>
  </r>
  <r>
    <s v="GHP25082"/>
    <x v="19"/>
    <d v="2025-02-19T00:00:00"/>
    <s v="CS20488905"/>
    <s v="ATUALCARD"/>
    <s v="HP INDIGO 12000"/>
    <n v="50110193"/>
    <s v="CU096-03302"/>
    <s v="CARTRIDGE 400CCM FILLED WITH FAG OG3000"/>
    <n v="1"/>
    <s v="NÃO"/>
    <s v="MAURICIO MATEOS"/>
    <s v="ESTOQUE"/>
    <s v="ESTOQUE"/>
    <n v="1"/>
    <m/>
    <s v="NÃO"/>
    <d v="2025-02-13T00:00:00"/>
    <m/>
    <m/>
    <m/>
    <s v="CIF"/>
    <n v="125.99"/>
    <n v="125.99"/>
    <m/>
  </r>
  <r>
    <s v="GHP25083"/>
    <x v="19"/>
    <d v="2025-02-19T00:00:00"/>
    <s v="CS20489015"/>
    <s v="INDEMETAL"/>
    <s v="HP INDIGO 6800"/>
    <n v="48000432"/>
    <s v="CT397-31020"/>
    <s v="SP,IMO SG PUMP FOR FULL I.O SYSTEM"/>
    <n v="1"/>
    <s v="NÃO"/>
    <s v="MAURICIO MATEOS"/>
    <s v="ESTOQUE"/>
    <s v="ESTOQUE"/>
    <n v="1"/>
    <m/>
    <s v="OK"/>
    <d v="2025-02-12T00:00:00"/>
    <m/>
    <m/>
    <m/>
    <s v="NFS 885"/>
    <n v="453.02"/>
    <n v="453.02"/>
    <m/>
  </r>
  <r>
    <s v="GHP25084"/>
    <x v="19"/>
    <m/>
    <m/>
    <s v="ATUALCARD"/>
    <s v="HP INDIGO 12000"/>
    <n v="50110193"/>
    <s v="CA492-02060"/>
    <s v="S.NOTE PREMIUM WHITE BACKWARDS 1X000, 30000 "/>
    <n v="1"/>
    <m/>
    <m/>
    <s v="S.NOTE"/>
    <s v="S.NOTE"/>
    <n v="0"/>
    <m/>
    <s v="NÃO"/>
    <m/>
    <m/>
    <m/>
    <m/>
    <m/>
    <n v="1099.46"/>
    <n v="1099.46"/>
    <m/>
  </r>
  <r>
    <s v="GHP25073"/>
    <x v="20"/>
    <d v="2025-02-20T00:00:00"/>
    <s v="CS20495390"/>
    <s v="ZANGRAF"/>
    <s v="HP INDIGO 7500"/>
    <n v="43000422"/>
    <s v="CA345-00745"/>
    <s v="WETTING ROLLER - TOP ASSY"/>
    <n v="1"/>
    <s v="NÃO"/>
    <s v="MAURICIO MATEOS"/>
    <s v="ESTOQUE"/>
    <s v="ESTOQUE"/>
    <n v="1"/>
    <s v="CT345-00746"/>
    <s v="NÃO"/>
    <d v="2025-02-05T00:00:00"/>
    <m/>
    <m/>
    <m/>
    <s v="NFS 897"/>
    <n v="79.989999999999995"/>
    <n v="79.989999999999995"/>
    <m/>
  </r>
  <r>
    <s v="GHP25085"/>
    <x v="20"/>
    <d v="2025-02-19T00:00:00"/>
    <s v="CS20490536"/>
    <s v="CAMARGO"/>
    <s v="HP INDIGO 20000"/>
    <n v="51000323"/>
    <s v="CT341-14140"/>
    <s v="CARBON BRUSH HOUSING"/>
    <n v="1"/>
    <s v="NÃO"/>
    <s v="MAURICIO MATEOS"/>
    <s v="ATENDER"/>
    <s v="SEM ESTOQUE"/>
    <n v="0"/>
    <m/>
    <s v="NÃO"/>
    <m/>
    <m/>
    <m/>
    <m/>
    <s v="CIF"/>
    <n v="7.35"/>
    <n v="7.35"/>
    <m/>
  </r>
  <r>
    <s v="GHP25085"/>
    <x v="20"/>
    <d v="2025-02-19T00:00:00"/>
    <s v="CS20490536"/>
    <s v="CAMARGO"/>
    <s v="HP INDIGO 20000"/>
    <n v="51000323"/>
    <s v="CT344-01252"/>
    <s v="Carbon Brush"/>
    <n v="2"/>
    <s v="NÃO"/>
    <s v="MAURICIO MATEOS"/>
    <s v="UTK"/>
    <s v="ESTOQUE"/>
    <n v="2"/>
    <m/>
    <s v="NÃO"/>
    <d v="2025-02-19T00:00:00"/>
    <m/>
    <m/>
    <m/>
    <s v="CIF"/>
    <n v="17.28"/>
    <n v="34.56"/>
    <m/>
  </r>
  <r>
    <s v="GHP25086"/>
    <x v="20"/>
    <d v="2025-02-19T00:00:00"/>
    <s v="CS20490576"/>
    <s v="ATUALCARD"/>
    <s v="HP INDIGO 12000"/>
    <n v="50110193"/>
    <s v="CU150-01576"/>
    <s v="BELT TIMING 3MM"/>
    <n v="1"/>
    <s v="NÃO"/>
    <s v="MAURICIO MATEOS"/>
    <s v="UTK"/>
    <s v="ESTOQUE"/>
    <n v="1"/>
    <m/>
    <s v="NÃO"/>
    <d v="2025-02-20T00:00:00"/>
    <m/>
    <m/>
    <m/>
    <s v="CIF"/>
    <n v="10.19"/>
    <n v="10.19"/>
    <m/>
  </r>
  <r>
    <s v="GHP25087"/>
    <x v="20"/>
    <d v="2025-02-19T00:00:00"/>
    <s v="CS20489062"/>
    <s v="ATUALCARD"/>
    <s v="HP INDIGO 12000"/>
    <n v="50110193"/>
    <s v="CT445-58580"/>
    <s v="DRIVE SHAFT DVC"/>
    <n v="1"/>
    <s v="NÃO"/>
    <s v="MAURICIO MATEOS"/>
    <s v="ATENDER"/>
    <s v="SEM ESTOQUE"/>
    <n v="0"/>
    <m/>
    <s v="NÃO"/>
    <m/>
    <m/>
    <m/>
    <m/>
    <s v="CIF"/>
    <n v="511.16"/>
    <n v="511.16"/>
    <m/>
  </r>
  <r>
    <s v="GHP25087"/>
    <x v="20"/>
    <d v="2025-02-19T00:00:00"/>
    <s v="CS20489062"/>
    <s v="ATUALCARD"/>
    <s v="HP INDIGO 12000"/>
    <n v="50110193"/>
    <s v="CT443-36000 "/>
    <s v="DVC MOTOR PULLEY Z=21, 3M HTD"/>
    <n v="1"/>
    <s v="NÃO"/>
    <s v="MAURICIO MATEOS"/>
    <s v="ESTOQUE"/>
    <s v="ESTOQUE"/>
    <n v="1"/>
    <m/>
    <s v="NÃO"/>
    <d v="2025-02-20T00:00:00"/>
    <m/>
    <m/>
    <m/>
    <s v="CIF"/>
    <n v="85.17"/>
    <n v="85.17"/>
    <m/>
  </r>
  <r>
    <s v="GHP25088"/>
    <x v="20"/>
    <d v="2025-02-19T00:00:00"/>
    <s v="CS20489196"/>
    <s v="IPSIS"/>
    <s v="HP INDIGO 10000"/>
    <n v="50000202"/>
    <s v="CT446-27593"/>
    <s v="EH LAMP"/>
    <n v="1"/>
    <s v="NÃO"/>
    <s v="MAURICIO MATEOS"/>
    <s v="ESTOQUE"/>
    <s v="ESTOQUE"/>
    <n v="1"/>
    <m/>
    <s v="OK"/>
    <d v="2025-02-11T00:00:00"/>
    <m/>
    <m/>
    <m/>
    <s v="NFS 893"/>
    <n v="1721.28"/>
    <n v="1721.28"/>
    <m/>
  </r>
  <r>
    <s v="GHP25089"/>
    <x v="20"/>
    <d v="2025-02-20T00:00:00"/>
    <s v="CS20494920"/>
    <s v="VALGROUP"/>
    <s v="HP INDIGO 200K"/>
    <n v="61000037"/>
    <s v="CT590-03140"/>
    <s v="812 DPI UNIFIED WRITING HEAD"/>
    <n v="1"/>
    <s v="SIM"/>
    <s v="MAURICIO MATEOS"/>
    <s v="ATENDER"/>
    <s v="SEM ESTOQUE"/>
    <n v="0"/>
    <m/>
    <s v="Retornável - Verificar com Ronald como iremos retornar"/>
    <m/>
    <m/>
    <m/>
    <m/>
    <m/>
    <n v="60590.21"/>
    <n v="60590.21"/>
    <m/>
  </r>
  <r>
    <s v="GHP25090"/>
    <x v="21"/>
    <d v="2025-02-20T00:00:00"/>
    <s v="CS20495426"/>
    <s v="FTD"/>
    <s v="HP INDIGO 100K"/>
    <n v="60002072"/>
    <s v="CT990-05470"/>
    <s v="PGR CAM MOTOR FIRST REPLACEMENT KIT "/>
    <n v="1"/>
    <s v="SIM"/>
    <s v="DANIEL ABREU"/>
    <s v="ATENDER"/>
    <s v="SEM ESTOQUE"/>
    <n v="0"/>
    <m/>
    <s v="Não informado"/>
    <m/>
    <m/>
    <m/>
    <m/>
    <m/>
    <n v="2531.29"/>
    <n v="2531.29"/>
    <m/>
  </r>
  <r>
    <s v="GHP25091"/>
    <x v="21"/>
    <d v="2025-02-20T00:00:00"/>
    <s v="CS20494091"/>
    <s v="META BRASIL"/>
    <s v="HP INDIGO 10000"/>
    <n v="50000260"/>
    <s v="CU498-04180"/>
    <s v="COVER, SPINDLE "/>
    <n v="3"/>
    <s v="SIM"/>
    <s v="DOUGLAS LIMA"/>
    <s v="ATENDER"/>
    <s v="SEM ESTOQUE"/>
    <n v="0"/>
    <s v="CT540-31871"/>
    <s v="NÃO"/>
    <m/>
    <m/>
    <m/>
    <m/>
    <s v="CIF"/>
    <n v="80.180000000000007"/>
    <n v="240.54000000000002"/>
    <m/>
  </r>
  <r>
    <s v="GHP25091"/>
    <x v="21"/>
    <d v="2025-02-20T00:00:00"/>
    <s v="CS20494091"/>
    <s v="META BRASIL"/>
    <s v="HP INDIGO 10000"/>
    <n v="50000260"/>
    <s v="CT446-34610"/>
    <s v="PAPER LEVER ASSEMBLY"/>
    <n v="1"/>
    <s v="NÃO"/>
    <s v="DOUGLAS LIMA"/>
    <s v="ESTOQUE"/>
    <s v="ESTOQUE"/>
    <n v="1"/>
    <m/>
    <s v="Retornável - Aguardando Douglas realizar a troca "/>
    <d v="2025-02-19T00:00:00"/>
    <m/>
    <m/>
    <m/>
    <s v="CIF"/>
    <n v="273.58"/>
    <n v="273.58"/>
    <m/>
  </r>
  <r>
    <s v="GHP25091"/>
    <x v="21"/>
    <d v="2025-02-20T00:00:00"/>
    <s v="CS20494091"/>
    <s v="META BRASIL"/>
    <s v="HP INDIGO 10000"/>
    <n v="50000260"/>
    <s v="CU498-01660"/>
    <s v="PHOTOINTERRUPTER"/>
    <n v="1"/>
    <s v="NÃO"/>
    <s v="DOUGLAS LIMA"/>
    <s v="ESTOQUE"/>
    <s v="ESTOQUE"/>
    <n v="1"/>
    <m/>
    <s v="NÃO"/>
    <d v="2025-02-19T00:00:00"/>
    <m/>
    <m/>
    <m/>
    <s v="CIF"/>
    <n v="11.43"/>
    <n v="11.43"/>
    <m/>
  </r>
  <r>
    <s v="GHP25091"/>
    <x v="21"/>
    <d v="2025-02-20T00:00:00"/>
    <s v="CS20494091"/>
    <s v="META BRASIL"/>
    <s v="HP INDIGO 10000"/>
    <n v="50000260"/>
    <s v="CU498-03211"/>
    <s v="TORNADO, HEXAGON ASSEMBLY"/>
    <n v="3"/>
    <s v="NÃO"/>
    <s v="DOUGLAS LIMA"/>
    <s v="ESTOQUE"/>
    <s v="ESTOQUE"/>
    <n v="3"/>
    <m/>
    <s v="Retornável - Aguardando Douglas realizar a troca "/>
    <d v="2025-02-19T00:00:00"/>
    <m/>
    <m/>
    <m/>
    <s v="CIF"/>
    <n v="177.88"/>
    <n v="533.64"/>
    <m/>
  </r>
  <r>
    <s v="GHP25091"/>
    <x v="21"/>
    <d v="2025-02-20T00:00:00"/>
    <s v="CS20494091"/>
    <s v="META BRASIL"/>
    <s v="HP INDIGO 10000"/>
    <n v="50000260"/>
    <s v="CU498-04200"/>
    <s v="LOWER CRASH SWITCH"/>
    <n v="1"/>
    <s v="SIM"/>
    <s v="DOUGLAS LIMA"/>
    <s v="ATENDER"/>
    <s v="SEM ESTOQUE"/>
    <n v="0"/>
    <m/>
    <s v="NÃO"/>
    <m/>
    <m/>
    <m/>
    <m/>
    <s v="CIF"/>
    <n v="24.61"/>
    <n v="24.61"/>
    <m/>
  </r>
  <r>
    <s v="GHP25094"/>
    <x v="21"/>
    <d v="2025-02-21T00:00:00"/>
    <s v="CS20499768"/>
    <s v="ALPHA COLOR"/>
    <s v="HP INDIGO 20000"/>
    <n v="51000174"/>
    <s v="CU316-04507"/>
    <s v="BLOWER 5.7 240VAC 1200W BYPASS 1STG UHF"/>
    <n v="1"/>
    <s v="NÃO"/>
    <s v="MAURICIO MATEOS"/>
    <s v="ESTOQUE"/>
    <s v="ESTOQUE"/>
    <n v="1"/>
    <m/>
    <s v="Retornável - Aguardando entrega"/>
    <d v="2025-02-17T00:00:00"/>
    <m/>
    <m/>
    <m/>
    <s v="NFS 881"/>
    <n v="475.51"/>
    <n v="475.51"/>
    <m/>
  </r>
  <r>
    <s v="GHP25092"/>
    <x v="22"/>
    <d v="2025-02-21T00:00:00"/>
    <s v="CS20484783"/>
    <s v="PRINTI"/>
    <s v="HP INDIGO 12000"/>
    <n v="50110372"/>
    <s v="CA461-26064"/>
    <s v="CABLE ASSY W12606 EC B&amp;R BOX"/>
    <n v="1"/>
    <s v="SIM"/>
    <s v="DOUGLAS LIMA"/>
    <s v="ATENDER"/>
    <s v="SEM ESTOQUE"/>
    <n v="0"/>
    <m/>
    <s v="Não informado"/>
    <m/>
    <m/>
    <m/>
    <m/>
    <s v="CIF"/>
    <n v="96.11"/>
    <n v="96.11"/>
    <m/>
  </r>
  <r>
    <s v="GHP25093"/>
    <x v="22"/>
    <d v="2025-02-21T00:00:00"/>
    <s v="CS20499531"/>
    <s v="INDEMETAL"/>
    <s v="HP INDIGO 6900"/>
    <n v="48300301"/>
    <s v="CT397-02900"/>
    <s v="EBV SUCTION BLOWER FOR S-3"/>
    <n v="1"/>
    <s v="NÃO"/>
    <s v="MAURICIO MATEOS"/>
    <s v="ESTOQUE"/>
    <s v="ESTOQUE"/>
    <n v="1"/>
    <s v="CT397-02901"/>
    <s v="OK"/>
    <d v="2025-01-23T00:00:00"/>
    <m/>
    <m/>
    <m/>
    <s v="NFS 819"/>
    <n v="1240.6400000000001"/>
    <n v="1240.6400000000001"/>
    <m/>
  </r>
  <r>
    <s v="GHP25095"/>
    <x v="23"/>
    <d v="2025-02-25T00:00:00"/>
    <m/>
    <s v="ALL4LABELS"/>
    <s v="HP INDIGO 20000 "/>
    <n v="51000129"/>
    <s v="CA492-02040"/>
    <s v="S.Note PLC Authorization Dongle Installation."/>
    <n v="1"/>
    <m/>
    <m/>
    <m/>
    <s v="SEM ESTOQUE"/>
    <n v="0"/>
    <m/>
    <s v="NÃO"/>
    <m/>
    <m/>
    <m/>
    <m/>
    <m/>
    <n v="60.88"/>
    <n v="60.88"/>
    <m/>
  </r>
  <r>
    <s v="GHP25096"/>
    <x v="23"/>
    <d v="2025-02-25T00:00:00"/>
    <m/>
    <s v="COMPRINT"/>
    <m/>
    <m/>
    <s v="CA492-01760 "/>
    <s v="S.NOTE BID CLEANING JIG   SER 4 "/>
    <n v="2"/>
    <m/>
    <m/>
    <m/>
    <s v="SEM ESTOQUE"/>
    <n v="0"/>
    <m/>
    <s v="NÃO"/>
    <m/>
    <m/>
    <m/>
    <m/>
    <m/>
    <n v="60.71"/>
    <n v="121.42"/>
    <m/>
  </r>
  <r>
    <s v="GHP25097"/>
    <x v="24"/>
    <d v="2025-02-25T00:00:00"/>
    <s v="CS20509358"/>
    <s v="HAWAII"/>
    <s v="HP INDIGO 10000"/>
    <n v="50000530"/>
    <s v="CT445-56291 "/>
    <s v="NAUTILAIR AND FILTER ASSEMBLY, EBV, EILAT"/>
    <n v="1"/>
    <s v="NÃO"/>
    <s v="ALEXANDRE ROMÃO"/>
    <s v="ESTOQUE"/>
    <s v="ESTOQUE"/>
    <n v="1"/>
    <m/>
    <s v="OK"/>
    <d v="2025-02-24T00:00:00"/>
    <m/>
    <m/>
    <m/>
    <s v="NFS 916"/>
    <n v="1187.4100000000001"/>
    <n v="1187.4100000000001"/>
    <m/>
  </r>
  <r>
    <s v="GHP25098"/>
    <x v="24"/>
    <d v="2025-02-25T00:00:00"/>
    <s v="CS20509327"/>
    <s v="ATUALCARD"/>
    <s v="HP INDIGO 12000"/>
    <n v="50110193"/>
    <s v="CU498-01650"/>
    <s v="BELT SYNCHRONOUS 65 MXL  025 NG"/>
    <n v="1"/>
    <s v="NÃO"/>
    <s v="ALEXANDRE ROMÃO"/>
    <s v="UTK"/>
    <s v="UTK"/>
    <n v="1"/>
    <s v="CU150-01956"/>
    <s v="NÃO"/>
    <m/>
    <m/>
    <m/>
    <m/>
    <s v="CIF"/>
    <n v="22.54"/>
    <n v="22.54"/>
    <m/>
  </r>
  <r>
    <s v="GHP25099"/>
    <x v="24"/>
    <d v="2025-02-25T00:00:00"/>
    <s v="CS20509338"/>
    <s v="LOG &amp; PRINT"/>
    <s v="HP INDIGO 12000"/>
    <n v="50110229"/>
    <s v="CU498-01650"/>
    <s v="BELT SYNCHRONOUS 65 MXL  025 NG"/>
    <n v="1"/>
    <s v="NÃO"/>
    <s v="ALEXANDRE ROMÃO"/>
    <s v="UTK"/>
    <s v="UTK"/>
    <n v="1"/>
    <s v="CU150-01956"/>
    <s v="NÃO"/>
    <m/>
    <m/>
    <m/>
    <m/>
    <s v="CIF"/>
    <n v="22.54"/>
    <n v="22.54"/>
    <m/>
  </r>
  <r>
    <s v="GHP25100"/>
    <x v="24"/>
    <d v="2025-02-25T00:00:00"/>
    <s v="CS20511440"/>
    <s v="PRINTI"/>
    <s v="HP INDIGO 100K"/>
    <s v="60002095 "/>
    <s v="CT990-05470"/>
    <s v="PGR CAM MOTOR FIRST REPLACEMENT KIT "/>
    <n v="1"/>
    <s v="SIM"/>
    <s v="DANIEL ABREU"/>
    <s v="ATENDER"/>
    <s v="SEM ESTOQUE"/>
    <n v="0"/>
    <m/>
    <s v="Não informado"/>
    <m/>
    <m/>
    <m/>
    <m/>
    <s v="CIF"/>
    <n v="2531.29"/>
    <n v="2531.29"/>
    <m/>
  </r>
  <r>
    <s v="GHP25101"/>
    <x v="24"/>
    <d v="2025-02-26T00:00:00"/>
    <s v="CS20513903"/>
    <s v="PRINTI"/>
    <s v="HP INDIGO 12000"/>
    <n v="50110372"/>
    <s v="CU498-01650"/>
    <s v="BELT SYNCHRONOUS 65 MXL  025 NG"/>
    <n v="1"/>
    <s v="NÃO"/>
    <s v="ALEXANDRE ROMÃO"/>
    <s v="UTK"/>
    <s v="UTK"/>
    <n v="1"/>
    <s v="CU150-01956"/>
    <s v="NÃO"/>
    <m/>
    <m/>
    <m/>
    <m/>
    <s v="CIF"/>
    <n v="22.54"/>
    <n v="22.54"/>
    <m/>
  </r>
  <r>
    <s v="GHP25102"/>
    <x v="24"/>
    <d v="2025-02-25T00:00:00"/>
    <s v="CS20511376"/>
    <s v="FTD"/>
    <s v="HP INDIGO 100K"/>
    <n v="60002072"/>
    <s v="CU314-01218 "/>
    <s v="MOTOR SERVO 24VDC 2.5NM 4500RPM"/>
    <n v="1"/>
    <s v="SIM"/>
    <s v="DANIEL ABREU"/>
    <s v="ESTOQUE"/>
    <s v="ESTOQUE"/>
    <n v="1"/>
    <m/>
    <s v="Retornável - Verificar se está no cliente"/>
    <d v="2025-02-25T00:00:00"/>
    <m/>
    <m/>
    <m/>
    <m/>
    <n v="886.36"/>
    <n v="886.36"/>
    <m/>
  </r>
  <r>
    <s v="GHP25103"/>
    <x v="24"/>
    <d v="2025-02-26T00:00:00"/>
    <s v="CS20514055"/>
    <s v="MEGA LABEL"/>
    <s v="HP INDIGO 6600"/>
    <n v="44000058"/>
    <s v="CU096-04002"/>
    <s v="DIGITAX FP 1405"/>
    <n v="1"/>
    <s v="NÃO"/>
    <s v="ALEXANDRE ROMÃO"/>
    <m/>
    <s v="ESTOQUE"/>
    <n v="1"/>
    <s v="0960-2556"/>
    <s v="Retornável - Aguadando devolução"/>
    <d v="2025-02-26T00:00:00"/>
    <m/>
    <m/>
    <m/>
    <s v="NFS 924"/>
    <n v="966.08"/>
    <n v="966.08"/>
    <m/>
  </r>
  <r>
    <s v="GHP25103"/>
    <x v="24"/>
    <d v="2025-02-26T00:00:00"/>
    <s v="CS20514055"/>
    <s v="MEGA LABEL"/>
    <s v="HP INDIGO 6600"/>
    <n v="44000058"/>
    <s v="CU096-03991"/>
    <s v="DIGITAX FEED 1402"/>
    <n v="1"/>
    <s v="NÃO"/>
    <s v="ALEXANDRE ROMÃO"/>
    <m/>
    <s v="ESTOQUE"/>
    <n v="1"/>
    <m/>
    <s v="Retornável - Aguadando devolução"/>
    <d v="2025-02-26T00:00:00"/>
    <m/>
    <m/>
    <m/>
    <s v="NFS 924"/>
    <n v="1323.87"/>
    <n v="1323.87"/>
    <m/>
  </r>
  <r>
    <s v="GHP25104"/>
    <x v="24"/>
    <d v="2025-02-26T00:00:00"/>
    <s v="CS20515241"/>
    <s v="PRINTI"/>
    <s v="HP INDIGO 100K"/>
    <n v="60002095"/>
    <s v="CT554-00312"/>
    <s v="SLIP RING"/>
    <n v="1"/>
    <s v="NÃO"/>
    <s v="DOUGLAS LIMA"/>
    <m/>
    <s v="SEM ESTOQUE"/>
    <n v="0"/>
    <s v="CT545-20614"/>
    <s v="NÃO"/>
    <m/>
    <m/>
    <m/>
    <m/>
    <s v="CIF"/>
    <n v="4432.21"/>
    <n v="4432.21"/>
    <m/>
  </r>
  <r>
    <s v="GHP25001"/>
    <x v="25"/>
    <d v="2025-02-27T00:00:00"/>
    <s v="CS20519234"/>
    <s v="ATUALCARD"/>
    <s v="HP INDIGO 12000"/>
    <n v="50110193"/>
    <s v=" CT445-82840"/>
    <s v=" INSULATED FLOW METER"/>
    <n v="1"/>
    <s v="NÃO"/>
    <s v="ISMAR MIRANDA"/>
    <s v="UTK"/>
    <s v="ESTOQUE"/>
    <n v="1"/>
    <m/>
    <s v="OK"/>
    <d v="2025-01-06T00:00:00"/>
    <m/>
    <m/>
    <m/>
    <s v="CIF"/>
    <n v="790.42"/>
    <n v="790.42"/>
    <m/>
  </r>
  <r>
    <s v="GHP25106"/>
    <x v="25"/>
    <d v="2025-02-26T00:00:00"/>
    <s v="CS20516110"/>
    <s v="CAMARGO"/>
    <s v="HP INDIGO 20000"/>
    <n v="51000136"/>
    <s v="CT446-18711"/>
    <s v=" IMAGING OIL PUMP ASSEMBLY"/>
    <n v="1"/>
    <s v="NÃO"/>
    <s v="ALEXANDRE ROMÃO"/>
    <m/>
    <s v="UTK"/>
    <n v="1"/>
    <m/>
    <s v="Retornável - Cobrar o cliente, após a troca"/>
    <m/>
    <m/>
    <m/>
    <m/>
    <s v="CIF"/>
    <n v="1207.54"/>
    <n v="1207.54"/>
    <m/>
  </r>
  <r>
    <s v="GHP25106"/>
    <x v="25"/>
    <d v="2025-02-26T00:00:00"/>
    <s v="CS20516110"/>
    <s v="CAMARGO"/>
    <s v="HP INDIGO 20000"/>
    <n v="51000136"/>
    <s v="CT445-65410 "/>
    <s v="SAS PUMP SET FOR MR"/>
    <n v="1"/>
    <s v="NÃO"/>
    <s v="ALEXANDRE ROMÃO"/>
    <m/>
    <s v="SEM ESTOQUE"/>
    <n v="0"/>
    <s v="CT001-63790"/>
    <s v="Retornável - Cobrar o cliente, após a troca"/>
    <m/>
    <m/>
    <m/>
    <m/>
    <s v="CIF"/>
    <n v="354.38"/>
    <n v="354.38"/>
    <m/>
  </r>
  <r>
    <s v="GHP25106"/>
    <x v="25"/>
    <d v="2025-02-26T00:00:00"/>
    <s v="CS20516110"/>
    <s v="CAMARGO"/>
    <s v="HP INDIGO 20000"/>
    <n v="51000136"/>
    <s v="CU316-04507 "/>
    <s v="BLOWER 5.7 240V 1200 BYPASS"/>
    <n v="1"/>
    <s v="NÃO"/>
    <s v="ALEXANDRE ROMÃO"/>
    <m/>
    <s v="UTK"/>
    <n v="1"/>
    <m/>
    <s v="Retornável - Cobrar o cliente, após a troca"/>
    <m/>
    <m/>
    <m/>
    <m/>
    <s v="CIF"/>
    <n v="475.51"/>
    <n v="475.51"/>
    <m/>
  </r>
  <r>
    <s v="GHP25106"/>
    <x v="25"/>
    <d v="2025-02-26T00:00:00"/>
    <s v="CS20516110"/>
    <s v="CAMARGO"/>
    <s v="HP INDIGO 20000"/>
    <n v="51000136"/>
    <s v="CT446-00380 "/>
    <s v="IDU MOTOR ASASY NORTH "/>
    <n v="1"/>
    <s v="NÃO"/>
    <s v="ALEXANDRE ROMÃO"/>
    <m/>
    <s v="ESTOQUE"/>
    <n v="1"/>
    <m/>
    <s v="Retornável - Aguardando cliente "/>
    <d v="2025-03-07T00:00:00"/>
    <m/>
    <m/>
    <m/>
    <s v="CIF"/>
    <n v="260.14999999999998"/>
    <n v="260.14999999999998"/>
    <m/>
  </r>
  <r>
    <s v="GHP25106"/>
    <x v="25"/>
    <d v="2025-02-26T00:00:00"/>
    <s v="CS20516110"/>
    <s v="CAMARGO"/>
    <s v="HP INDIGO 20000"/>
    <n v="51000136"/>
    <s v="CT497-11260"/>
    <s v="Fuji driver"/>
    <n v="1"/>
    <s v="NÃO"/>
    <s v="ALEXANDRE ROMÃO"/>
    <m/>
    <s v="ESTOQUE"/>
    <n v="1"/>
    <m/>
    <s v="Retornável - Aguardando cliente "/>
    <d v="2025-03-07T00:00:00"/>
    <m/>
    <m/>
    <m/>
    <s v="CIF"/>
    <n v="720.36"/>
    <n v="720.36"/>
    <m/>
  </r>
  <r>
    <s v="GHP25106"/>
    <x v="25"/>
    <d v="2025-02-26T00:00:00"/>
    <s v="CS20516110"/>
    <s v="CAMARGO"/>
    <s v="HP INDIGO 20000"/>
    <n v="51000136"/>
    <s v="CT468-92530"/>
    <s v="IDU CAP 3TR (BELLOWS)"/>
    <n v="1"/>
    <s v="NÃO"/>
    <s v="ALEXANDRE ROMÃO"/>
    <m/>
    <s v="SEM ESTOQUE"/>
    <n v="0"/>
    <m/>
    <s v="NÃO"/>
    <m/>
    <m/>
    <m/>
    <m/>
    <s v="CIF"/>
    <n v="66.959999999999994"/>
    <n v="66.959999999999994"/>
    <m/>
  </r>
  <r>
    <s v="GHP25107"/>
    <x v="25"/>
    <d v="2025-02-26T00:00:00"/>
    <s v="CS20516253"/>
    <s v="CAMARGO"/>
    <s v="HP INDIGO 20000"/>
    <n v="51000323"/>
    <s v="CT455-00350 "/>
    <s v="ITS3 &amp; ODS Board"/>
    <n v="1"/>
    <s v="NÃO"/>
    <s v="ALEXANDRE ROMÃO"/>
    <m/>
    <s v="SEM ESTOQUE"/>
    <n v="0"/>
    <m/>
    <s v="Retornável - Cobrar o cliente, após a troca"/>
    <m/>
    <m/>
    <m/>
    <m/>
    <s v="CIF"/>
    <n v="874.36"/>
    <n v="874.36"/>
    <m/>
  </r>
  <r>
    <s v="GHP25107"/>
    <x v="25"/>
    <d v="2025-02-26T00:00:00"/>
    <s v="CS20516253"/>
    <s v="CAMARGO"/>
    <s v="HP INDIGO 20000"/>
    <n v="51000323"/>
    <s v="CT397-03010"/>
    <s v=" MAINTENANCE KIT FOR ZUWA PUMP"/>
    <n v="1"/>
    <s v="NÃO"/>
    <s v="ALEXANDRE ROMÃO"/>
    <m/>
    <s v="UTK"/>
    <n v="1"/>
    <m/>
    <s v="Retornável - Cobrar o cliente, após a troca"/>
    <m/>
    <m/>
    <m/>
    <m/>
    <s v="CIF"/>
    <n v="96.35"/>
    <n v="96.35"/>
    <m/>
  </r>
  <r>
    <s v="GHP25108"/>
    <x v="25"/>
    <d v="2025-02-27T00:00:00"/>
    <s v="CS20519374"/>
    <s v="METABRASIL"/>
    <s v="HP INDIGO 10000"/>
    <s v="50000260 "/>
    <s v=" CU498-01640"/>
    <s v=" PCA1 TORNADO"/>
    <n v="1"/>
    <s v="NÃO"/>
    <s v="ISMAR MIRANDA"/>
    <m/>
    <s v="ESTOQUE"/>
    <n v="1"/>
    <m/>
    <s v="NÃO"/>
    <d v="2025-01-22T00:00:00"/>
    <m/>
    <m/>
    <m/>
    <s v="CIF"/>
    <n v="140.44999999999999"/>
    <n v="140.44999999999999"/>
    <m/>
  </r>
  <r>
    <s v="GHP25110"/>
    <x v="25"/>
    <d v="2025-02-27T00:00:00"/>
    <s v="CS20521319"/>
    <s v="HAWAII"/>
    <s v="HP INDIGO 10000"/>
    <n v="50000530"/>
    <s v="CT454-02830"/>
    <s v="PRESSURE SWITCH, WIRED, AIR KNIFE"/>
    <n v="1"/>
    <s v="NÃO"/>
    <s v="ALEXANDRE ROMÃO"/>
    <m/>
    <s v="ESTOQUE"/>
    <n v="1"/>
    <m/>
    <s v="Retornável - Aguadando devolução"/>
    <d v="2025-02-25T00:00:00"/>
    <m/>
    <m/>
    <m/>
    <m/>
    <n v="91.76"/>
    <n v="91.76"/>
    <m/>
  </r>
  <r>
    <s v="GHP25111"/>
    <x v="25"/>
    <d v="2025-02-27T00:00:00"/>
    <s v="CS20521200"/>
    <s v="STGRAF"/>
    <s v="HP INDIGO 15k"/>
    <n v="50300141"/>
    <s v="CT454-07861"/>
    <s v=" IMO-PUMP-SILICA GEL/CS PUMP"/>
    <n v="1"/>
    <s v="NÃO"/>
    <s v="ALEXANDRE ROMÃO"/>
    <m/>
    <s v="ESTOQUE"/>
    <n v="1"/>
    <s v="CT454-07860"/>
    <s v="Retornável - Aguardando entrega"/>
    <d v="2025-02-21T00:00:00"/>
    <m/>
    <m/>
    <m/>
    <s v="Custos pagos pela CP"/>
    <n v="339.68"/>
    <n v="339.68"/>
    <m/>
  </r>
  <r>
    <s v="GHP25112"/>
    <x v="25"/>
    <d v="2025-02-27T00:00:00"/>
    <s v="CS20521399"/>
    <s v="META BRASIL"/>
    <s v="HP INDIGO 10000"/>
    <n v="50000260"/>
    <s v="CT490-17831"/>
    <s v="VACUUM BELT"/>
    <n v="1"/>
    <s v="NÃO"/>
    <s v="ALEXANDRE ROMÃO"/>
    <m/>
    <s v="ESTOQUE"/>
    <n v="1"/>
    <m/>
    <s v="NÃO"/>
    <d v="2025-02-25T00:00:00"/>
    <m/>
    <m/>
    <m/>
    <s v="CIF"/>
    <n v="631.67999999999995"/>
    <n v="631.6799999999999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50110193"/>
    <x v="0"/>
    <s v="ATUALCARD"/>
    <s v="CU150-01916 "/>
    <s v="TIMING BELT 519MM"/>
    <n v="1"/>
    <n v="1"/>
    <s v="REGULAR"/>
    <m/>
    <s v="UTK REPLENISHMENT"/>
    <s v="In replenishment process"/>
    <n v="1"/>
  </r>
  <r>
    <n v="50110193"/>
    <x v="0"/>
    <s v="ATUALCARD"/>
    <s v="CU498-02680 "/>
    <s v="IDLER SUB ASSEMBLY"/>
    <n v="1"/>
    <n v="1"/>
    <s v="REGULAR"/>
    <m/>
    <s v="UTK REPLENISHMENT"/>
    <s v="In replenishment process"/>
    <n v="1"/>
  </r>
  <r>
    <n v="44000216"/>
    <x v="0"/>
    <s v="OUTLABEL"/>
    <s v="CT341-70810"/>
    <s v="PRIMER PIPE NEOPRENE 24 THICK 60"/>
    <n v="1"/>
    <n v="1"/>
    <s v="REGULAR"/>
    <d v="2025-01-10T00:00:00"/>
    <s v="CHANNEL REPLENISHMENT"/>
    <s v="In replenishment process"/>
    <n v="1"/>
  </r>
  <r>
    <n v="50000530"/>
    <x v="0"/>
    <s v="INDEMETAL"/>
    <s v="CU498-02992"/>
    <s v="SHEET BELT PROTECTION"/>
    <n v="1"/>
    <n v="1"/>
    <s v="REGULAR"/>
    <d v="2025-01-10T00:00:00"/>
    <s v="CHANNEL REPLENISHMENT"/>
    <s v="In replenishment process"/>
    <n v="1"/>
  </r>
  <r>
    <n v="50000260"/>
    <x v="0"/>
    <s v="META BRASIL"/>
    <s v="CT445-87450 "/>
    <s v="FRONT SIDE FAN"/>
    <n v="1"/>
    <n v="0"/>
    <s v="REGULAR"/>
    <m/>
    <s v="CHANNEL REPLENISHMENT"/>
    <s v="In replenishment process"/>
    <n v="1"/>
  </r>
  <r>
    <n v="50000202"/>
    <x v="1"/>
    <s v="IPSIS"/>
    <s v="CU498-03211"/>
    <s v="Tornado Assy"/>
    <n v="1"/>
    <n v="1"/>
    <s v="REGULAR"/>
    <d v="2025-01-13T00:00:00"/>
    <s v="CHANNEL REPLENISHMENT"/>
    <s v="In replenishment process"/>
    <n v="1"/>
  </r>
  <r>
    <n v="50000202"/>
    <x v="1"/>
    <s v="IPSIS"/>
    <s v="CU498-01673"/>
    <s v="Side Blower"/>
    <n v="1"/>
    <n v="1"/>
    <s v="REGULAR"/>
    <d v="2025-01-13T00:00:00"/>
    <s v="CHANNEL REPLENISHMENT"/>
    <s v="In replenishment process"/>
    <n v="1"/>
  </r>
  <r>
    <n v="48000432"/>
    <x v="2"/>
    <s v="INDEMETAL"/>
    <s v="CU096-03202"/>
    <s v="EMBEDDED USB SPECTROPHO"/>
    <n v="1"/>
    <n v="1"/>
    <s v="MD"/>
    <d v="2025-01-16T00:00:00"/>
    <s v="CHANNEL REPLENISHMENT"/>
    <s v="In replenishment process"/>
    <n v="1"/>
  </r>
  <r>
    <n v="51000323"/>
    <x v="2"/>
    <s v="CAMARGO"/>
    <s v="CT454-10681"/>
    <s v="PUW CHUCK SENSOR EMA ASSY"/>
    <n v="1"/>
    <n v="0"/>
    <s v="REGULAR"/>
    <m/>
    <s v="CHANNEL REPLENISHMENT"/>
    <s v="In replenishment process"/>
    <n v="1"/>
  </r>
  <r>
    <n v="50110229"/>
    <x v="2"/>
    <s v="LOG &amp; PRINT"/>
    <s v="CT454-02221"/>
    <s v="THERMISTOR TO TEMP SENSOR"/>
    <n v="1"/>
    <n v="1"/>
    <s v="REGULAR"/>
    <m/>
    <s v="CHANNEL REPLENISHMENT"/>
    <s v="In replenishment process"/>
    <n v="1"/>
  </r>
  <r>
    <n v="50000202"/>
    <x v="2"/>
    <s v="IPSIS"/>
    <s v="CU498-06820"/>
    <s v="KIT SIDEBLOWER FLAT CABLE"/>
    <n v="1"/>
    <n v="1"/>
    <s v="REGULAR"/>
    <d v="2025-01-16T00:00:00"/>
    <s v="CHANNEL REPLENISHMENT"/>
    <s v="In replenishment process"/>
    <n v="1"/>
  </r>
  <r>
    <n v="48000044"/>
    <x v="2"/>
    <s v="ALPHA COLOR"/>
    <s v="CA240 -89670"/>
    <s v="Driver, Pump"/>
    <n v="2"/>
    <n v="2"/>
    <s v="REGULAR"/>
    <d v="2025-01-16T00:00:00"/>
    <s v="CHANNEL REPLENISHMENT"/>
    <s v="In replenishment process"/>
    <n v="1"/>
  </r>
  <r>
    <n v="50110229"/>
    <x v="2"/>
    <s v="LOG &amp; PRINT"/>
    <s v="CT497-11320"/>
    <s v="SET TIMING BELT"/>
    <n v="1"/>
    <n v="1"/>
    <s v="REGULAR"/>
    <m/>
    <s v="UTK REPLENISHMENT"/>
    <s v="In replenishment process"/>
    <n v="1"/>
  </r>
  <r>
    <n v="50110229"/>
    <x v="2"/>
    <s v="LOG &amp; PRINT"/>
    <s v="CU498-02692"/>
    <s v="SUCTION BELT (SET OF 5)"/>
    <n v="1"/>
    <n v="1"/>
    <s v="REGULAR"/>
    <m/>
    <s v="UTK REPLENISHMENT"/>
    <s v="In replenishment process"/>
    <n v="1"/>
  </r>
  <r>
    <n v="44000059"/>
    <x v="2"/>
    <s v="INDEMETAL"/>
    <s v="CT344-01252"/>
    <s v="Carbon brush C.R. assembly"/>
    <n v="2"/>
    <n v="2"/>
    <s v="REGULAR"/>
    <d v="2025-01-16T00:00:00"/>
    <s v="CHANNEL REPLENISHMENT"/>
    <s v="In replenishment process"/>
    <n v="1"/>
  </r>
  <r>
    <n v="50000530"/>
    <x v="2"/>
    <s v="HAWAII"/>
    <s v="CT490-24790"/>
    <s v="S4 EVR SUCTION CUPS(SET OF 10)"/>
    <n v="1"/>
    <n v="1"/>
    <s v="REGULAR"/>
    <d v="2025-01-16T00:00:00"/>
    <s v="CHANNEL REPLENISHMENT"/>
    <s v="In replenishment process"/>
    <n v="1"/>
  </r>
  <r>
    <n v="50000530"/>
    <x v="2"/>
    <s v="HAWAII"/>
    <s v="CT490-27100"/>
    <s v="S4 DUPLEX SUCTION CUPS( 10 UNITS)"/>
    <n v="1"/>
    <n v="1"/>
    <s v="REGULAR"/>
    <d v="2025-01-16T00:00:00"/>
    <s v="CHANNEL REPLENISHMENT"/>
    <s v="In replenishment process"/>
    <n v="1"/>
  </r>
  <r>
    <n v="51000136"/>
    <x v="3"/>
    <s v="CAMARGO"/>
    <s v="CU096-02847"/>
    <s v="X20DI9371 DIGITAL INPUT MODULES"/>
    <n v="1"/>
    <n v="1"/>
    <s v="REGULAR"/>
    <d v="2025-01-17T00:00:00"/>
    <s v="UTK REPLENISHMENT"/>
    <s v="In replenishment process"/>
    <n v="1"/>
  </r>
  <r>
    <n v="51000136"/>
    <x v="3"/>
    <s v="CAMARGO"/>
    <s v="CU096-03046"/>
    <s v="Standar Auxiliary Contact"/>
    <n v="1"/>
    <n v="1"/>
    <s v="REGULAR"/>
    <d v="2025-01-20T00:00:00"/>
    <s v="UTK REPLENISHMENT"/>
    <s v="In replenishment process"/>
    <n v="1"/>
  </r>
  <r>
    <n v="51000136"/>
    <x v="3"/>
    <s v="CAMARGO"/>
    <s v="CT454-12730"/>
    <s v="SGA &amp; LOAD CELL 1.5KG"/>
    <n v="1"/>
    <n v="1"/>
    <s v="MD"/>
    <d v="2025-01-17T00:00:00"/>
    <s v="CHANNEL REPLENISHMENT"/>
    <s v="In replenishment process"/>
    <n v="1"/>
  </r>
  <r>
    <n v="51000136"/>
    <x v="3"/>
    <s v="CAMARGO"/>
    <s v="CT490-20060"/>
    <s v="HS IMPELLER ASSEMBLY"/>
    <n v="1"/>
    <n v="1"/>
    <s v="REGULAR"/>
    <d v="2025-01-17T00:00:00"/>
    <s v="CHANNEL REPLENISHMENT"/>
    <s v="In replenishment process"/>
    <n v="1"/>
  </r>
  <r>
    <n v="50110193"/>
    <x v="4"/>
    <s v="ATUALCARD"/>
    <s v="CU316-04507"/>
    <s v="BLOWER 5.7 240VAC 1200W BYPASS 1STG UHF"/>
    <n v="1"/>
    <n v="1"/>
    <s v="REGULAR"/>
    <d v="2025-01-20T00:00:00"/>
    <s v="CHANNEL REPLENISHMENT"/>
    <s v="In replenishment process"/>
    <n v="1"/>
  </r>
  <r>
    <n v="50110229"/>
    <x v="4"/>
    <s v="LOG &amp; PRINT"/>
    <s v="CU498-03211"/>
    <s v="Tornado Assy"/>
    <n v="2"/>
    <n v="2"/>
    <s v="REGULAR"/>
    <m/>
    <s v="UTK REPLENISHMENT"/>
    <s v="In replenishment process"/>
    <n v="1"/>
  </r>
  <r>
    <n v="51000136"/>
    <x v="4"/>
    <s v="CAMARGO"/>
    <s v="CT001-63790"/>
    <s v="PROCON_PUMP_ASSY+FITTINGS"/>
    <n v="1"/>
    <n v="1"/>
    <s v="REGULAR"/>
    <d v="2025-01-20T00:00:00"/>
    <s v="CHANNEL REPLENISHMENT"/>
    <s v="In replenishment process"/>
    <n v="1"/>
  </r>
  <r>
    <n v="44000216"/>
    <x v="4"/>
    <s v="OUTLABEL"/>
    <s v="CU209-00978"/>
    <s v="LCD TOUCH SCREEN PANEL 5"/>
    <n v="1"/>
    <n v="1"/>
    <s v="REGULAR"/>
    <d v="2025-01-15T00:00:00"/>
    <s v="CHANNEL REPLENISHMENT"/>
    <s v="In replenishment process"/>
    <n v="1"/>
  </r>
  <r>
    <n v="48300301"/>
    <x v="4"/>
    <s v="INDEMETAL"/>
    <s v="CA344-05930"/>
    <s v="CL ST motor assembly"/>
    <n v="1"/>
    <n v="1"/>
    <s v="REGULAR"/>
    <d v="2025-01-20T00:00:00"/>
    <s v="CHANNEL REPLENISHMENT"/>
    <s v="In replenishment process"/>
    <n v="1"/>
  </r>
  <r>
    <n v="50110193"/>
    <x v="4"/>
    <s v="ATUALCARD"/>
    <s v="CU498-01673 "/>
    <s v="Side Blower"/>
    <n v="2"/>
    <n v="2"/>
    <s v="REGULAR"/>
    <m/>
    <s v="CHANNEL REPLENISHMENT"/>
    <s v="In replenishment process"/>
    <n v="1"/>
  </r>
  <r>
    <n v="50000343"/>
    <x v="5"/>
    <s v="PRINTI"/>
    <s v="CT445-56291"/>
    <s v="NAUTILAIR AND FILTER ASSEMBLY, EBV, EILAT"/>
    <n v="1"/>
    <n v="1"/>
    <s v="REGULAR"/>
    <d v="2025-01-06T00:00:00"/>
    <s v="CHANNEL REPLENISHMENT"/>
    <s v="In replenishment process"/>
    <n v="1"/>
  </r>
  <r>
    <s v="50110057 "/>
    <x v="5"/>
    <s v="ÓTIMA"/>
    <s v=" CU498-01660 "/>
    <s v="Photointerruptor"/>
    <n v="1"/>
    <n v="1"/>
    <s v="MD"/>
    <d v="2025-01-15T00:00:00"/>
    <s v="CHANNEL REPLENISHMENT"/>
    <s v="In replenishment process"/>
    <n v="1"/>
  </r>
  <r>
    <s v="50110057 "/>
    <x v="5"/>
    <s v="ÓTIMA"/>
    <s v="  CT540-31871  "/>
    <s v="Upper bearing housing"/>
    <n v="4"/>
    <n v="4"/>
    <s v="MD"/>
    <d v="2025-01-15T00:00:00"/>
    <s v="CHANNEL REPLENISHMENT"/>
    <s v="In replenishment process"/>
    <n v="1"/>
  </r>
  <r>
    <s v="50110057 "/>
    <x v="5"/>
    <s v="ÓTIMA"/>
    <s v=" CU498-07230 "/>
    <s v="KIT, FLANGE BEARING FIXED"/>
    <n v="4"/>
    <n v="0"/>
    <s v="MD"/>
    <m/>
    <s v="CHANNEL REPLENISHMENT"/>
    <s v="In replenishment process"/>
    <n v="1"/>
  </r>
  <r>
    <n v="48300301"/>
    <x v="6"/>
    <s v="INDEMETAL"/>
    <s v="CU812-11315"/>
    <s v="Cable high power 1.8M-LG"/>
    <n v="1"/>
    <n v="1"/>
    <s v="MD"/>
    <m/>
    <s v="CHANNEL REPLENISHMENT"/>
    <s v="In replenishment process"/>
    <n v="1"/>
  </r>
  <r>
    <n v="60002072"/>
    <x v="6"/>
    <s v="FTD"/>
    <s v="MAD-1702-02"/>
    <s v="BEARING BALL 17X40X12 6203ZZ"/>
    <n v="1"/>
    <n v="1"/>
    <s v="REGULAR"/>
    <d v="2025-01-16T00:00:00"/>
    <s v="CHANNEL REPLENISHMENT"/>
    <s v="In replenishment process"/>
    <n v="1"/>
  </r>
  <r>
    <n v="60002072"/>
    <x v="6"/>
    <s v="FTD"/>
    <s v="CU141-02965"/>
    <s v="BRG-RLR FOLLOWER 10MM-ID 30MM-OD 15MM-W"/>
    <n v="1"/>
    <n v="1"/>
    <s v="REGULAR"/>
    <d v="2025-01-16T00:00:00"/>
    <s v="CHANNEL REPLENISHMENT"/>
    <s v="In replenishment process"/>
    <n v="1"/>
  </r>
  <r>
    <n v="48000482"/>
    <x v="7"/>
    <s v="SERITEC"/>
    <s v="CT345-48472"/>
    <s v="Ink pump, no tic"/>
    <n v="1"/>
    <n v="1"/>
    <s v="REGULAR"/>
    <d v="2025-01-10T00:00:00"/>
    <s v="CHANNEL REPLENISHMENT"/>
    <s v="In replenishment process"/>
    <n v="1"/>
  </r>
  <r>
    <n v="60002072"/>
    <x v="7"/>
    <s v="FTD"/>
    <s v="CT446-40961"/>
    <s v="PULLEY IDLER ASSY BRG"/>
    <n v="1"/>
    <n v="1"/>
    <s v="REGULAR"/>
    <m/>
    <s v="UTK REPLENISHMENT"/>
    <s v="In replenishment process"/>
    <n v="1"/>
  </r>
  <r>
    <n v="50110229"/>
    <x v="7"/>
    <s v="LOG &amp; PRINT"/>
    <s v="CU498-01650"/>
    <s v="Belt time"/>
    <n v="1"/>
    <n v="1"/>
    <s v="REGULAR"/>
    <m/>
    <s v="CHANNEL REPLENISHMENT"/>
    <s v="In replenishment process"/>
    <n v="1"/>
  </r>
  <r>
    <n v="50000202"/>
    <x v="7"/>
    <s v="IPSIS"/>
    <s v="CU316-04507"/>
    <s v="BLOWER 5.7 240VAC"/>
    <n v="1"/>
    <n v="1"/>
    <s v="REGULAR"/>
    <d v="2025-01-14T00:00:00"/>
    <s v="CHANNEL REPLENISHMENT"/>
    <s v="In replenishment process"/>
    <n v="1"/>
  </r>
  <r>
    <n v="43000422"/>
    <x v="7"/>
    <s v="ZANGRAF"/>
    <s v="CT361-03171"/>
    <s v="CABLE ASSY W317-INK UNIT MIC-HEATER+PUMP"/>
    <n v="1"/>
    <n v="1"/>
    <s v="REGULAR"/>
    <d v="2025-01-15T00:00:00"/>
    <s v="CHANNEL REPLENISHMENT"/>
    <s v="In replenishment process"/>
    <n v="1"/>
  </r>
  <r>
    <n v="47100399"/>
    <x v="7"/>
    <s v="SOBRAL"/>
    <s v="CT345-44700"/>
    <s v="Front arm and locker, exit roller (S)"/>
    <n v="1"/>
    <n v="1"/>
    <s v="REGULAR"/>
    <m/>
    <s v="CHANNEL REPLENISHMENT"/>
    <s v="In replenishment process"/>
    <n v="1"/>
  </r>
  <r>
    <n v="47100399"/>
    <x v="7"/>
    <s v="SOBRAL"/>
    <s v="CT345-37862"/>
    <s v="EXIT ROLLER"/>
    <n v="1"/>
    <n v="1"/>
    <s v="REGULAR"/>
    <d v="2025-01-07T00:00:00"/>
    <s v="CHANNEL REPLENISHMENT"/>
    <s v="In replenishment process"/>
    <n v="1"/>
  </r>
  <r>
    <n v="47100399"/>
    <x v="7"/>
    <s v="SOBRAL"/>
    <s v=" CT345-52900"/>
    <s v="FLOW METER"/>
    <n v="1"/>
    <n v="1"/>
    <s v="REGULAR"/>
    <d v="2025-01-07T00:00:00"/>
    <s v="CHANNEL REPLENISHMENT"/>
    <s v="In replenishment process"/>
    <n v="1"/>
  </r>
  <r>
    <n v="50110057"/>
    <x v="7"/>
    <s v="ÓTIMA"/>
    <s v="CU498-04180"/>
    <s v="COVER, SPINDLE"/>
    <n v="4"/>
    <n v="4"/>
    <s v="REGULAR"/>
    <m/>
    <s v="CHANNEL REPLENISHMENT"/>
    <s v="In replenishment process"/>
    <n v="1"/>
  </r>
  <r>
    <n v="50110193"/>
    <x v="7"/>
    <s v="ATUALCARD"/>
    <s v="CT490-24790"/>
    <s v="S4 EVR SUCTION CUPS "/>
    <n v="1"/>
    <n v="1"/>
    <s v="REGULAR"/>
    <d v="2025-01-24T00:00:00"/>
    <s v="UTK REPLENISHMENT"/>
    <s v="In replenishment process"/>
    <n v="1"/>
  </r>
  <r>
    <n v="50110193"/>
    <x v="7"/>
    <s v="ATUALCARD"/>
    <s v="CT490-27100"/>
    <s v="S4 DUPLEX SUCTION CUPS( 10 UNITS)"/>
    <n v="1"/>
    <n v="1"/>
    <s v="REGULAR"/>
    <d v="2025-01-24T00:00:00"/>
    <s v="UTK REPLENISHMENT"/>
    <s v="In replenishment process"/>
    <n v="1"/>
  </r>
  <r>
    <n v="48000432"/>
    <x v="7"/>
    <s v="INDEMETAL"/>
    <s v="CT354-01403"/>
    <s v="MCU module assembly"/>
    <n v="1"/>
    <n v="1"/>
    <s v="REGULAR"/>
    <d v="2025-01-24T00:00:00"/>
    <s v="CHANNEL REPLENISHMENT"/>
    <s v="In replenishment process"/>
    <n v="1"/>
  </r>
  <r>
    <n v="50110193"/>
    <x v="7"/>
    <s v="ATUALCARD"/>
    <s v="CT497-00430 "/>
    <s v="SET AXLE DRIVE"/>
    <n v="1"/>
    <n v="1"/>
    <s v="REGULAR"/>
    <m/>
    <s v="UTK REPLENISHMENT"/>
    <s v="In replenishment process"/>
    <n v="1"/>
  </r>
  <r>
    <n v="50110193"/>
    <x v="7"/>
    <s v="ATUALCARD"/>
    <s v="CU498-04330"/>
    <s v="KIT BELT S PAPER PATH"/>
    <n v="1"/>
    <n v="1"/>
    <s v="REGULAR"/>
    <d v="2025-01-24T00:00:00"/>
    <s v="UTK REPLENISHMENT"/>
    <s v="In replenishment process"/>
    <n v="1"/>
  </r>
  <r>
    <n v="50110193"/>
    <x v="7"/>
    <s v="ATUALCARD"/>
    <s v="CT454-08031"/>
    <s v="PANASONIC DARKON PNP SENSOR"/>
    <n v="1"/>
    <n v="1"/>
    <s v="REGULAR"/>
    <m/>
    <s v="UTK REPLENISHMENT"/>
    <s v="In replenishment process"/>
    <n v="1"/>
  </r>
  <r>
    <n v="50000530"/>
    <x v="7"/>
    <s v="HAWAII"/>
    <s v="CU498-06820 "/>
    <s v="KIT SIDEBLOWER FLAT CABLE (S)"/>
    <n v="1"/>
    <n v="1"/>
    <s v="REGULAR"/>
    <d v="2025-01-16T00:00:00"/>
    <s v="CHANNEL REPLENISHMENT"/>
    <s v="In replenishment process"/>
    <n v="1"/>
  </r>
  <r>
    <n v="50000530"/>
    <x v="7"/>
    <s v="HAWAII"/>
    <s v="CU498-01930"/>
    <s v=" MOTOR, SYNCHRON-SERVO, 3000 "/>
    <n v="1"/>
    <n v="1"/>
    <s v="REGULAR"/>
    <d v="2025-01-16T00:00:00"/>
    <s v="CHANNEL REPLENISHMENT"/>
    <s v="In replenishment process"/>
    <n v="1"/>
  </r>
  <r>
    <n v="48000044"/>
    <x v="7"/>
    <s v="ALPHA COLOR"/>
    <s v="CT345-48472"/>
    <s v=" Ink pump, no tic (S)"/>
    <n v="1"/>
    <n v="1"/>
    <s v="REGULAR"/>
    <d v="2025-01-21T00:00:00"/>
    <s v="CHANNEL REPLENISHMENT"/>
    <s v="In replenishment process"/>
    <n v="1"/>
  </r>
  <r>
    <n v="48000044"/>
    <x v="7"/>
    <s v="ALPHA COLOR"/>
    <s v="CT345-48431"/>
    <s v="TIC board assembly"/>
    <n v="1"/>
    <n v="1"/>
    <s v="REGULAR"/>
    <d v="2025-01-08T00:00:00"/>
    <s v="CHANNEL REPLENISHMENT"/>
    <s v="In replenishment process"/>
    <n v="1"/>
  </r>
  <r>
    <n v="41000142"/>
    <x v="8"/>
    <s v="ALL4LABELS"/>
    <s v="CT344-01252"/>
    <s v="C.R. CARBON BRUSH SET"/>
    <n v="2"/>
    <n v="2"/>
    <s v="MD"/>
    <d v="2025-01-06T00:00:00"/>
    <s v="CHANNEL REPLENISHMENT"/>
    <s v="In replenishment process"/>
    <n v="1"/>
  </r>
  <r>
    <n v="50110057"/>
    <x v="9"/>
    <s v="OTIMA"/>
    <s v="CT445-43435 "/>
    <s v="ITM DRUM (S)"/>
    <n v="1"/>
    <n v="0"/>
    <s v="REGULAR"/>
    <d v="2025-02-18T00:00:00"/>
    <s v="CHANNEL REPLENISHMENT"/>
    <s v="In replenishment process"/>
    <n v="2"/>
  </r>
  <r>
    <n v="50110057"/>
    <x v="9"/>
    <s v="OTIMA"/>
    <s v="CT445-43445 "/>
    <s v="BEARING FRONT  ITM DRUM (S)"/>
    <n v="1"/>
    <n v="1"/>
    <s v="REGULAR"/>
    <d v="2025-02-18T00:00:00"/>
    <s v="CHANNEL REPLENISHMENT"/>
    <s v="In replenishment process"/>
    <n v="2"/>
  </r>
  <r>
    <n v="50110057"/>
    <x v="9"/>
    <s v="OTIMA"/>
    <s v="CT445-43455 "/>
    <s v="BEARING REAR ITM DRUM (S)"/>
    <n v="1"/>
    <n v="1"/>
    <s v="REGULAR"/>
    <d v="2025-02-18T00:00:00"/>
    <s v="CHANNEL REPLENISHMENT"/>
    <s v="In replenishment process"/>
    <n v="2"/>
  </r>
  <r>
    <n v="50110372"/>
    <x v="9"/>
    <s v="PRINTI"/>
    <s v="CU498-07040"/>
    <s v="CABLE FMC TO EDGE COM FEED MODULE"/>
    <n v="1"/>
    <n v="1"/>
    <s v="MD"/>
    <d v="2025-02-17T00:00:00"/>
    <s v="CHANNEL REPLENISHMENT"/>
    <s v="In replenishment process"/>
    <n v="2"/>
  </r>
  <r>
    <n v="50110057"/>
    <x v="9"/>
    <s v="OTIMA"/>
    <s v="CA442-13452"/>
    <s v="Ink Flow Center main Body"/>
    <n v="1"/>
    <n v="1"/>
    <s v="REGULAR"/>
    <m/>
    <s v="UTK REPLENISHMENT"/>
    <s v="In replenishment process"/>
    <n v="2"/>
  </r>
  <r>
    <n v="43000422"/>
    <x v="9"/>
    <s v="ZANGRAF"/>
    <s v="CT345-31922"/>
    <s v="MIC Board"/>
    <n v="1"/>
    <n v="1"/>
    <s v="REGULAR"/>
    <d v="2025-01-24T00:00:00"/>
    <s v="CHANNEL REPLENISHMENT"/>
    <s v="In replenishment process"/>
    <n v="2"/>
  </r>
  <r>
    <n v="48000482"/>
    <x v="9"/>
    <s v="SERITEC"/>
    <s v="CT990-00460"/>
    <s v="KIT MAINTENANCE-SER 3 ZUWA PUMP BLACK IMPELLER"/>
    <n v="1"/>
    <n v="1"/>
    <s v="REGULAR"/>
    <d v="2025-02-03T00:00:00"/>
    <s v="CHANNEL REPLENISHMENT"/>
    <s v="In replenishment process"/>
    <n v="2"/>
  </r>
  <r>
    <n v="48000482"/>
    <x v="9"/>
    <s v="SERITEC"/>
    <s v="CT345-48431"/>
    <s v="TIC board assembly"/>
    <n v="1"/>
    <n v="1"/>
    <s v="REGULAR"/>
    <d v="2025-01-15T00:00:00"/>
    <s v="CHANNEL REPLENISHMENT"/>
    <s v="In replenishment process"/>
    <n v="2"/>
  </r>
  <r>
    <n v="50000530"/>
    <x v="9"/>
    <s v="HAWAII"/>
    <s v="CT445-45904"/>
    <s v="JOS assembly"/>
    <n v="1"/>
    <n v="1"/>
    <s v="MD"/>
    <d v="2025-01-31T00:00:00"/>
    <s v="CHANNEL REPLENISHMENT"/>
    <s v="In replenishment process"/>
    <n v="2"/>
  </r>
  <r>
    <n v="50000530"/>
    <x v="9"/>
    <s v="HAWAII"/>
    <s v="CU150-01487"/>
    <s v="BELT-TIMING 6MM-WD 2061MM-GRV LG"/>
    <n v="1"/>
    <n v="1"/>
    <s v="REGULAR"/>
    <d v="2025-01-31T00:00:00"/>
    <s v="CHANNEL REPLENISHMENT"/>
    <s v="In replenishment process"/>
    <n v="2"/>
  </r>
  <r>
    <n v="44000010"/>
    <x v="9"/>
    <s v="NMC"/>
    <s v="CT345-00746"/>
    <s v="Wetting roller"/>
    <n v="1"/>
    <n v="1"/>
    <s v="REGULAR"/>
    <d v="2025-02-17T00:00:00"/>
    <s v="CHANNEL REPLENISHMENT"/>
    <s v="In replenishment process"/>
    <n v="2"/>
  </r>
  <r>
    <n v="50110193"/>
    <x v="9"/>
    <s v="ATUALCARD"/>
    <s v="CU150-01921"/>
    <s v="BELT SYNCHRONOUS"/>
    <n v="1"/>
    <n v="1"/>
    <s v="REGULAR"/>
    <d v="2025-02-05T00:00:00"/>
    <s v="UTK REPLENISHMENT"/>
    <s v="In replenishment process"/>
    <n v="2"/>
  </r>
  <r>
    <n v="48300301"/>
    <x v="10"/>
    <s v="INDEMETAL"/>
    <s v="CT344-34270"/>
    <s v="Ceramic charge roller assembly"/>
    <n v="1"/>
    <n v="1"/>
    <s v="REGULAR"/>
    <d v="2025-01-22T00:00:00"/>
    <s v="CHANNEL REPLENISHMENT"/>
    <s v="In replenishment process"/>
    <n v="2"/>
  </r>
  <r>
    <n v="60002072"/>
    <x v="10"/>
    <s v="FTD"/>
    <s v="CU314-01218 "/>
    <s v="MOTOR SERVO 24VDC 2.5NM 4500RPM"/>
    <n v="1"/>
    <n v="1"/>
    <s v="REGULAR"/>
    <d v="2025-02-04T00:00:00"/>
    <s v="CHANNEL REPLENISHMENT"/>
    <s v="In replenishment process"/>
    <n v="2"/>
  </r>
  <r>
    <n v="50000343"/>
    <x v="10"/>
    <s v="PRINTI"/>
    <s v="CT000-24961"/>
    <s v="TRANS SHAFT WITH SELF ALIGNMENT"/>
    <n v="1"/>
    <n v="1"/>
    <s v="REGULAR"/>
    <d v="2025-02-05T00:00:00"/>
    <s v="UTK REPLENISHMENT"/>
    <s v="In replenishment process"/>
    <n v="2"/>
  </r>
  <r>
    <n v="50000202"/>
    <x v="10"/>
    <s v="IPSIS"/>
    <s v="CU096-03202"/>
    <s v="SPECTROPHOTOMETER"/>
    <n v="1"/>
    <n v="1"/>
    <s v="REGULAR"/>
    <d v="2025-01-06T00:00:00"/>
    <s v="CHANNEL REPLENISHMENT"/>
    <s v="In replenishment process"/>
    <n v="2"/>
  </r>
  <r>
    <n v="48000482"/>
    <x v="10"/>
    <s v="SERITEC"/>
    <s v="CT345-00746"/>
    <s v="Wetting roller - top assembly"/>
    <n v="1"/>
    <n v="1"/>
    <s v="REGULAR"/>
    <d v="2025-02-17T00:00:00"/>
    <s v="CHANNEL REPLENISHMENT"/>
    <s v="In replenishment process"/>
    <n v="2"/>
  </r>
  <r>
    <n v="44000059"/>
    <x v="10"/>
    <s v="INDEMETAL"/>
    <s v="CT354-04953"/>
    <s v="MOTOR ASSEMBLY BID SEMI ENGAGE 1-5"/>
    <n v="1"/>
    <n v="1"/>
    <s v="REGULAR"/>
    <d v="2025-01-24T00:00:00"/>
    <s v="CHANNEL REPLENISHMENT"/>
    <s v="In replenishment process"/>
    <n v="2"/>
  </r>
  <r>
    <n v="44000059"/>
    <x v="10"/>
    <s v="INDEMETAL"/>
    <s v="CU010-02818"/>
    <s v="SPEED CONTROLLER 10.5 MM"/>
    <n v="1"/>
    <n v="1"/>
    <s v="REGULAR"/>
    <d v="2025-02-04T00:00:00"/>
    <s v="CHANNEL REPLENISHMENT"/>
    <s v="In replenishment process"/>
    <n v="2"/>
  </r>
  <r>
    <n v="50110372"/>
    <x v="10"/>
    <s v="PRINTI"/>
    <s v=" CT445-72210"/>
    <s v="EBM assy"/>
    <n v="1"/>
    <n v="0"/>
    <s v="MD"/>
    <m/>
    <s v="CHANNEL REPLENISHMENT"/>
    <s v="In replenishment process"/>
    <n v="2"/>
  </r>
  <r>
    <n v="50110372"/>
    <x v="10"/>
    <s v="PRINTI"/>
    <s v=" CT445-36261"/>
    <s v="ADAPTOR EBM ACTUATION INTERFACE"/>
    <n v="1"/>
    <n v="1"/>
    <s v="MD"/>
    <d v="2025-02-04T00:00:00"/>
    <s v="CHANNEL REPLENISHMENT"/>
    <s v="In replenishment process"/>
    <n v="2"/>
  </r>
  <r>
    <n v="51000136"/>
    <x v="11"/>
    <s v="CAMARGO"/>
    <s v="CU010-03285"/>
    <s v="VALVE QUARTER TURN 16MM-DIA X 3/4-IN"/>
    <n v="1"/>
    <n v="0"/>
    <s v="REGULAR"/>
    <m/>
    <s v="CHANNEL REPLENISHMENT"/>
    <s v="In replenishment process"/>
    <n v="2"/>
  </r>
  <r>
    <n v="50000343"/>
    <x v="12"/>
    <s v="PRINTI"/>
    <s v="CU096-02839"/>
    <s v="Driver Servo 24-65 VDC, 2 motors"/>
    <n v="1"/>
    <n v="1"/>
    <s v="REGULAR"/>
    <d v="2025-02-04T00:00:00"/>
    <s v="CHANNEL REPLENISHMENT"/>
    <s v="In replenishment process"/>
    <n v="2"/>
  </r>
  <r>
    <s v="50300141 "/>
    <x v="12"/>
    <s v="STGRAF"/>
    <s v="CA245-08081"/>
    <s v="IR reflective Sensor"/>
    <n v="1"/>
    <n v="1"/>
    <s v="REGULAR"/>
    <d v="2025-02-05T00:00:00"/>
    <s v="CHANNEL REPLENISHMENT"/>
    <s v="In replenishment process"/>
    <n v="2"/>
  </r>
  <r>
    <n v="60002095"/>
    <x v="13"/>
    <s v="PRINTI"/>
    <s v="CT497-06440"/>
    <s v="VACUUM PUMP ASSEMBLY"/>
    <n v="1"/>
    <n v="0"/>
    <s v="MD"/>
    <m/>
    <s v="CHANNEL REPLENISHMENT"/>
    <s v="In replenishment process"/>
    <n v="2"/>
  </r>
  <r>
    <s v="44000010 "/>
    <x v="13"/>
    <s v="NMC"/>
    <s v="CT345-33380"/>
    <s v=" MOTOR AND PULLEY ASSY"/>
    <n v="1"/>
    <n v="1"/>
    <s v="REGULAR"/>
    <d v="2025-01-20T00:00:00"/>
    <s v="CHANNEL REPLENISHMENT"/>
    <s v="In replenishment process"/>
    <n v="2"/>
  </r>
  <r>
    <n v="44000321"/>
    <x v="13"/>
    <s v="FLEXCORTE"/>
    <s v="CA345-18840"/>
    <s v="  ILD DEAD SHAFT ASSY"/>
    <n v="1"/>
    <n v="1"/>
    <s v="REGULAR"/>
    <d v="2025-01-15T00:00:00"/>
    <s v="CHANNEL REPLENISHMENT"/>
    <s v="In replenishment process"/>
    <n v="2"/>
  </r>
  <r>
    <n v="44000321"/>
    <x v="13"/>
    <s v="FLEXCORTE"/>
    <s v="EOD-1202-02"/>
    <s v=" IN LINE DENS"/>
    <n v="1"/>
    <n v="1"/>
    <s v="REGULAR"/>
    <d v="2025-01-15T00:00:00"/>
    <s v="CHANNEL REPLENISHMENT"/>
    <s v="In replenishment process"/>
    <n v="2"/>
  </r>
  <r>
    <n v="50000343"/>
    <x v="14"/>
    <s v="PRINTI"/>
    <s v="CU150-01487"/>
    <s v="BELT-TIMING 6MM-WD 2061MM-GRV LG"/>
    <n v="1"/>
    <n v="1"/>
    <s v="REGULAR"/>
    <d v="2025-02-10T00:00:00"/>
    <s v="UTK REPLENISHMENT"/>
    <s v="In replenishment process"/>
    <n v="2"/>
  </r>
  <r>
    <n v="48300375"/>
    <x v="14"/>
    <s v="VR"/>
    <s v="CT345-19110"/>
    <s v="Large auxiliary can"/>
    <n v="1"/>
    <n v="1"/>
    <s v="REGULAR"/>
    <m/>
    <s v="CHANNEL REPLENISHMENT"/>
    <s v="In replenishment process"/>
    <n v="2"/>
  </r>
  <r>
    <n v="50110372"/>
    <x v="14"/>
    <s v="PRINTI"/>
    <s v="CU498-02992"/>
    <s v="SHEET, BELT PROTECTION"/>
    <n v="1"/>
    <n v="1"/>
    <s v="REGULAR"/>
    <d v="2025-02-07T00:00:00"/>
    <s v="CHANNEL REPLENISHMENT"/>
    <s v="In replenishment process"/>
    <n v="2"/>
  </r>
  <r>
    <n v="50110229"/>
    <x v="14"/>
    <s v="LOG &amp; PRINT"/>
    <s v="CT990-04680"/>
    <s v="HP MONITOR E24T G5 FHD TOUCH EURO"/>
    <n v="1"/>
    <n v="1"/>
    <s v="MD"/>
    <d v="2025-02-10T00:00:00"/>
    <s v="CHANNEL REPLENISHMENT"/>
    <s v="In replenishment process"/>
    <n v="2"/>
  </r>
  <r>
    <n v="50300097"/>
    <x v="15"/>
    <s v="P+E"/>
    <s v="CT497-00720"/>
    <s v="Suction cup TE holder"/>
    <n v="1"/>
    <n v="1"/>
    <s v="REGULAR"/>
    <d v="2025-02-03T00:00:00"/>
    <s v="CHANNEL REPLENISHMENT"/>
    <s v="In replenishment process"/>
    <n v="2"/>
  </r>
  <r>
    <n v="60002095"/>
    <x v="16"/>
    <s v="PRINTI"/>
    <s v="CT454-09041"/>
    <s v="Bid HV3 Module"/>
    <n v="1"/>
    <n v="1"/>
    <s v="REGULAR"/>
    <d v="2025-02-13T00:00:00"/>
    <s v="CHANNEL REPLENISHMENT"/>
    <s v="In replenishment process"/>
    <n v="2"/>
  </r>
  <r>
    <n v="47200115"/>
    <x v="17"/>
    <s v="THALES GROUP"/>
    <s v="CT345-14034"/>
    <s v="PIP bearing front assembly"/>
    <n v="1"/>
    <n v="1"/>
    <s v="REGULAR"/>
    <d v="2024-12-16T00:00:00"/>
    <s v="CHANNEL REPLENISHMENT"/>
    <s v="In replenishment process"/>
    <n v="2"/>
  </r>
  <r>
    <n v="60002072"/>
    <x v="18"/>
    <s v="FTD"/>
    <s v="CU498-06820"/>
    <s v="SIDE BLOWER FLATCABLE"/>
    <n v="1"/>
    <n v="1"/>
    <s v="REGULAR"/>
    <d v="2025-02-05T00:00:00"/>
    <s v="CHANNEL REPLENISHMENT"/>
    <s v="In replenishment process"/>
    <n v="2"/>
  </r>
  <r>
    <n v="60002072"/>
    <x v="18"/>
    <s v="FTD"/>
    <s v="CT545-11561"/>
    <s v="SIDE BLOWER"/>
    <n v="1"/>
    <n v="1"/>
    <s v="REGULAR"/>
    <d v="2025-02-05T00:00:00"/>
    <s v="CHANNEL REPLENISHMENT"/>
    <s v="In replenishment process"/>
    <n v="2"/>
  </r>
  <r>
    <n v="50000202"/>
    <x v="18"/>
    <s v="IPSIS"/>
    <s v="CT454-04550 "/>
    <s v="Assem Segregation LCS"/>
    <n v="1"/>
    <n v="1"/>
    <s v="REGULAR"/>
    <d v="2025-02-17T00:00:00"/>
    <s v="CHANNEL REPLENISHMENT"/>
    <s v="In replenishment process"/>
    <n v="2"/>
  </r>
  <r>
    <n v="48300375"/>
    <x v="18"/>
    <s v="VR"/>
    <s v="CT345-48431"/>
    <s v="TIC BOARD ASSEMBLY FOR S3"/>
    <n v="1"/>
    <n v="1"/>
    <s v="REGULAR"/>
    <d v="2024-12-10T00:00:00"/>
    <s v="CHANNEL REPLENISHMENT"/>
    <s v="In replenishment process"/>
    <n v="2"/>
  </r>
  <r>
    <s v="50110057 "/>
    <x v="18"/>
    <s v="ÓTIMA"/>
    <s v="CT454-06131"/>
    <s v="WHEL3 PLATE"/>
    <n v="1"/>
    <n v="1"/>
    <s v="REGULAR"/>
    <d v="2025-02-04T00:00:00"/>
    <s v="CHANNEL REPLENISHMENT"/>
    <s v="In replenishment process"/>
    <n v="2"/>
  </r>
  <r>
    <n v="50110193"/>
    <x v="18"/>
    <s v="ATUALCARD"/>
    <s v="CU096-03302"/>
    <s v="CARTRIDGE 400CCM FILLED WITH FAG OG3000"/>
    <n v="1"/>
    <n v="1"/>
    <s v="REGULAR"/>
    <d v="2025-02-13T00:00:00"/>
    <s v="CHANNEL REPLENISHMENT"/>
    <s v="In replenishment process"/>
    <n v="2"/>
  </r>
  <r>
    <n v="48000432"/>
    <x v="18"/>
    <s v="INDEMETAL"/>
    <s v="CT397-31020"/>
    <s v="SP,IMO SG PUMP FOR FULL I.O SYSTEM"/>
    <n v="1"/>
    <n v="1"/>
    <s v="REGULAR"/>
    <d v="2025-02-12T00:00:00"/>
    <s v="CHANNEL REPLENISHMENT"/>
    <s v="In replenishment process"/>
    <n v="2"/>
  </r>
  <r>
    <n v="43000422"/>
    <x v="19"/>
    <s v="ZANGRAF"/>
    <s v="CA345-00745"/>
    <s v="WETTING ROLLER - TOP ASSY"/>
    <n v="1"/>
    <n v="1"/>
    <s v="REGULAR"/>
    <d v="2025-02-05T00:00:00"/>
    <s v="CHANNEL REPLENISHMENT"/>
    <s v="In replenishment process"/>
    <n v="2"/>
  </r>
  <r>
    <n v="51000323"/>
    <x v="19"/>
    <s v="CAMARGO"/>
    <s v="CT341-14140"/>
    <s v="CARBON BRUSH HOUSING"/>
    <n v="1"/>
    <n v="1"/>
    <s v="REGULAR"/>
    <d v="2025-02-20T00:00:00"/>
    <s v="CHANNEL REPLENISHMENT"/>
    <s v="In replenishment process"/>
    <n v="2"/>
  </r>
  <r>
    <n v="51000323"/>
    <x v="19"/>
    <s v="CAMARGO"/>
    <s v="CT344-01252"/>
    <s v="Carbon Brush"/>
    <n v="2"/>
    <n v="2"/>
    <s v="REGULAR"/>
    <d v="2025-02-19T00:00:00"/>
    <s v="CHANNEL REPLENISHMENT"/>
    <s v="In replenishment process"/>
    <n v="2"/>
  </r>
  <r>
    <n v="50110193"/>
    <x v="19"/>
    <s v="ATUALCARD"/>
    <s v="CU150-01576"/>
    <s v="BELT TIMING 3MM"/>
    <n v="1"/>
    <n v="1"/>
    <s v="REGULAR"/>
    <d v="2025-02-20T00:00:00"/>
    <s v="CHANNEL REPLENISHMENT"/>
    <s v="In replenishment process"/>
    <n v="2"/>
  </r>
  <r>
    <n v="50110193"/>
    <x v="19"/>
    <s v="ATUALCARD"/>
    <s v="CT445-58580"/>
    <s v="DRIVE SHAFT DVC"/>
    <n v="1"/>
    <n v="1"/>
    <s v="REGULAR"/>
    <d v="2025-02-20T00:00:00"/>
    <s v="CHANNEL REPLENISHMENT"/>
    <s v="In replenishment process"/>
    <n v="2"/>
  </r>
  <r>
    <n v="50110193"/>
    <x v="19"/>
    <s v="ATUALCARD"/>
    <s v="CT443-36000 "/>
    <s v="DVC MOTOR PULLEY Z=21, 3M HTD"/>
    <n v="1"/>
    <n v="1"/>
    <s v="REGULAR"/>
    <d v="2025-02-20T00:00:00"/>
    <s v="CHANNEL REPLENISHMENT"/>
    <s v="In replenishment process"/>
    <n v="2"/>
  </r>
  <r>
    <n v="50000202"/>
    <x v="19"/>
    <s v="IPSIS"/>
    <s v="CT446-27593"/>
    <s v="EH LAMP"/>
    <n v="1"/>
    <n v="1"/>
    <s v="REGULAR"/>
    <d v="2025-02-11T00:00:00"/>
    <s v="CHANNEL REPLENISHMENT"/>
    <s v="In replenishment process"/>
    <n v="2"/>
  </r>
  <r>
    <n v="50000260"/>
    <x v="20"/>
    <s v="META BRASIL"/>
    <s v="CU498-04180"/>
    <s v="COVER, SPINDLE "/>
    <n v="3"/>
    <n v="0"/>
    <s v="MD"/>
    <m/>
    <s v="CHANNEL REPLENISHMENT"/>
    <s v="In replenishment process"/>
    <n v="2"/>
  </r>
  <r>
    <n v="50000260"/>
    <x v="20"/>
    <s v="META BRASIL"/>
    <s v="CT446-34610"/>
    <s v="PAPER LEVER ASSEMBLY"/>
    <n v="1"/>
    <n v="1"/>
    <s v="REGULAR"/>
    <d v="2025-02-19T00:00:00"/>
    <s v="CHANNEL REPLENISHMENT"/>
    <s v="In replenishment process"/>
    <n v="2"/>
  </r>
  <r>
    <n v="50000260"/>
    <x v="20"/>
    <s v="META BRASIL"/>
    <s v="CU498-01660"/>
    <s v="PHOTOINTERRUPTER"/>
    <n v="1"/>
    <n v="1"/>
    <s v="REGULAR"/>
    <d v="2025-02-19T00:00:00"/>
    <s v="CHANNEL REPLENISHMENT"/>
    <s v="In replenishment process"/>
    <n v="2"/>
  </r>
  <r>
    <n v="50000260"/>
    <x v="20"/>
    <s v="META BRASIL"/>
    <s v="CU498-03211"/>
    <s v="TORNADO, HEXAGON ASSEMBLY"/>
    <n v="3"/>
    <n v="3"/>
    <s v="REGULAR"/>
    <d v="2025-02-19T00:00:00"/>
    <s v="CHANNEL REPLENISHMENT"/>
    <s v="In replenishment process"/>
    <n v="2"/>
  </r>
  <r>
    <n v="50000260"/>
    <x v="20"/>
    <s v="META BRASIL"/>
    <s v="CU498-04200"/>
    <s v="LOWER CRASH SWITCH"/>
    <n v="1"/>
    <n v="0"/>
    <s v="MD"/>
    <m/>
    <s v="CHANNEL REPLENISHMENT"/>
    <s v="In replenishment process"/>
    <n v="2"/>
  </r>
  <r>
    <n v="51000174"/>
    <x v="20"/>
    <s v="ALPHA COLOR"/>
    <s v="CU316-04507"/>
    <s v="BLOWER 5.7 240VAC 1200W BYPASS 1STG UHF"/>
    <n v="1"/>
    <n v="1"/>
    <s v="REGULAR"/>
    <d v="2025-02-17T00:00:00"/>
    <s v="CHANNEL REPLENISHMENT"/>
    <s v="In replenishment process"/>
    <n v="2"/>
  </r>
  <r>
    <n v="50110372"/>
    <x v="21"/>
    <s v="PRINTI"/>
    <s v="CA461-26064"/>
    <s v="CABLE ASSY W12606 EC B&amp;R BOX"/>
    <n v="1"/>
    <n v="0"/>
    <s v="MD"/>
    <m/>
    <s v="CHANNEL REPLENISHMENT"/>
    <s v="In replenishment process"/>
    <n v="2"/>
  </r>
  <r>
    <n v="48300301"/>
    <x v="21"/>
    <s v="INDEMETAL"/>
    <s v="CT397-02900"/>
    <s v="EBV SUCTION BLOWER FOR S-3"/>
    <n v="1"/>
    <n v="1"/>
    <s v="REGULAR"/>
    <d v="2025-01-23T00:00:00"/>
    <s v="CHANNEL REPLENISHMENT"/>
    <s v="In replenishment process"/>
    <n v="2"/>
  </r>
  <r>
    <n v="50000530"/>
    <x v="22"/>
    <s v="HAWAII"/>
    <s v="CT445-56291 "/>
    <s v="NAUTILAIR AND FILTER ASSEMBLY, EBV, EILAT"/>
    <n v="1"/>
    <n v="1"/>
    <s v="REGULAR"/>
    <d v="2025-02-24T00:00:00"/>
    <s v="CHANNEL REPLENISHMENT"/>
    <s v="In replenishment process"/>
    <n v="2"/>
  </r>
  <r>
    <n v="50110193"/>
    <x v="22"/>
    <s v="ATUALCARD"/>
    <s v="CU498-01650"/>
    <s v="BELT SYNCHRONOUS 65 MXL  025 NG"/>
    <n v="1"/>
    <n v="1"/>
    <s v="REGULAR"/>
    <m/>
    <s v="UTK REPLENISHMENT"/>
    <s v="In replenishment process"/>
    <n v="2"/>
  </r>
  <r>
    <n v="50110229"/>
    <x v="22"/>
    <s v="LOG &amp; PRINT"/>
    <s v="CU498-01650"/>
    <s v="BELT SYNCHRONOUS 65 MXL  025 NG"/>
    <n v="1"/>
    <n v="1"/>
    <s v="REGULAR"/>
    <m/>
    <s v="UTK REPLENISHMENT"/>
    <s v="In replenishment process"/>
    <n v="2"/>
  </r>
  <r>
    <n v="50110372"/>
    <x v="22"/>
    <s v="PRINTI"/>
    <s v="CU498-01650"/>
    <s v="BELT SYNCHRONOUS 65 MXL  025 NG"/>
    <n v="1"/>
    <n v="1"/>
    <s v="REGULAR"/>
    <m/>
    <s v="UTK REPLENISHMENT"/>
    <s v="In replenishment process"/>
    <n v="2"/>
  </r>
  <r>
    <n v="60002072"/>
    <x v="22"/>
    <s v="FTD"/>
    <s v="CU314-01218 "/>
    <s v="MOTOR SERVO 24VDC 2.5NM 4500RPM"/>
    <n v="1"/>
    <n v="1"/>
    <s v="MD"/>
    <d v="2025-02-25T00:00:00"/>
    <s v="CHANNEL REPLENISHMENT"/>
    <s v="In replenishment process"/>
    <n v="2"/>
  </r>
  <r>
    <n v="44000058"/>
    <x v="22"/>
    <s v="MEGA LABEL"/>
    <s v="CU096-04002"/>
    <s v="DIGITAX FP 1405"/>
    <n v="1"/>
    <n v="1"/>
    <s v="REGULAR"/>
    <d v="2025-02-26T00:00:00"/>
    <s v="CHANNEL REPLENISHMENT"/>
    <s v="In replenishment process"/>
    <n v="2"/>
  </r>
  <r>
    <n v="44000058"/>
    <x v="22"/>
    <s v="MEGA LABEL"/>
    <s v="CU096-03991"/>
    <s v="DIGITAX FEED 1402"/>
    <n v="1"/>
    <n v="1"/>
    <s v="REGULAR"/>
    <d v="2025-02-26T00:00:00"/>
    <s v="CHANNEL REPLENISHMENT"/>
    <s v="In replenishment process"/>
    <n v="2"/>
  </r>
  <r>
    <n v="60002095"/>
    <x v="22"/>
    <s v="PRINTI"/>
    <s v="CT554-00312"/>
    <s v="SLIP RING"/>
    <n v="1"/>
    <n v="0"/>
    <s v="REGULAR"/>
    <m/>
    <s v="CHANNEL REPLENISHMENT"/>
    <s v="In replenishment process"/>
    <n v="2"/>
  </r>
  <r>
    <n v="50110193"/>
    <x v="23"/>
    <s v="ATUALCARD"/>
    <s v=" CT445-82840"/>
    <s v=" INSULATED FLOW METER"/>
    <n v="1"/>
    <n v="1"/>
    <s v="REGULAR"/>
    <d v="2025-01-06T00:00:00"/>
    <s v="CHANNEL REPLENISHMENT"/>
    <s v="In replenishment process"/>
    <n v="2"/>
  </r>
  <r>
    <n v="51000136"/>
    <x v="23"/>
    <s v="CAMARGO"/>
    <s v="CT446-18711"/>
    <s v=" IMAGING OIL PUMP ASSEMBLY"/>
    <n v="1"/>
    <n v="1"/>
    <s v="REGULAR"/>
    <m/>
    <s v="UTK REPLENISHMENT"/>
    <s v="In replenishment process"/>
    <n v="2"/>
  </r>
  <r>
    <n v="51000136"/>
    <x v="23"/>
    <s v="CAMARGO"/>
    <s v="CT445-65410 "/>
    <s v="SAS PUMP SET FOR MR"/>
    <n v="1"/>
    <n v="1"/>
    <s v="REGULAR"/>
    <d v="2025-02-27T00:00:00"/>
    <s v="CHANNEL REPLENISHMENT"/>
    <s v="In replenishment process"/>
    <n v="2"/>
  </r>
  <r>
    <n v="51000136"/>
    <x v="23"/>
    <s v="CAMARGO"/>
    <s v="CU316-04507 "/>
    <s v="BLOWER 5.7 240V 1200 BYPASS"/>
    <n v="1"/>
    <n v="1"/>
    <s v="REGULAR"/>
    <m/>
    <s v="UTK REPLENISHMENT"/>
    <s v="In replenishment process"/>
    <n v="2"/>
  </r>
  <r>
    <n v="51000136"/>
    <x v="23"/>
    <s v="CAMARGO"/>
    <s v="CT446-00380 "/>
    <s v="IDU MOTOR ASASY NORTH "/>
    <n v="1"/>
    <n v="1"/>
    <s v="REGULAR"/>
    <d v="2025-03-07T00:00:00"/>
    <s v="CHANNEL REPLENISHMENT"/>
    <s v="In replenishment process"/>
    <n v="2"/>
  </r>
  <r>
    <n v="51000136"/>
    <x v="23"/>
    <s v="CAMARGO"/>
    <s v="CT497-11260"/>
    <s v="Fuji driver"/>
    <n v="1"/>
    <n v="1"/>
    <s v="REGULAR"/>
    <d v="2025-03-07T00:00:00"/>
    <s v="CHANNEL REPLENISHMENT"/>
    <s v="In replenishment process"/>
    <n v="2"/>
  </r>
  <r>
    <n v="51000136"/>
    <x v="23"/>
    <s v="CAMARGO"/>
    <s v="CT468-92530"/>
    <s v="IDU CAP 3TR (BELLOWS)"/>
    <n v="1"/>
    <n v="0"/>
    <s v="REGULAR"/>
    <m/>
    <s v="CHANNEL REPLENISHMENT"/>
    <s v="In replenishment process"/>
    <n v="2"/>
  </r>
  <r>
    <n v="51000323"/>
    <x v="23"/>
    <s v="CAMARGO"/>
    <s v="CT455-00350 "/>
    <s v="ITS3 &amp; ODS Board"/>
    <n v="1"/>
    <n v="1"/>
    <s v="REGULAR"/>
    <d v="2025-02-27T00:00:00"/>
    <s v="CHANNEL REPLENISHMENT"/>
    <s v="In replenishment process"/>
    <n v="2"/>
  </r>
  <r>
    <n v="51000323"/>
    <x v="23"/>
    <s v="CAMARGO"/>
    <s v="CT397-03010"/>
    <s v=" MAINTENANCE KIT FOR ZUWA PUMP"/>
    <n v="1"/>
    <n v="1"/>
    <s v="REGULAR"/>
    <m/>
    <s v="UTK REPLENISHMENT"/>
    <s v="In replenishment process"/>
    <n v="2"/>
  </r>
  <r>
    <s v="50000260 "/>
    <x v="23"/>
    <s v="METABRASIL"/>
    <s v=" CU498-01640"/>
    <s v=" PCA1 TORNADO"/>
    <n v="1"/>
    <n v="1"/>
    <s v="REGULAR"/>
    <d v="2025-01-22T00:00:00"/>
    <s v="CHANNEL REPLENISHMENT"/>
    <s v="In replenishment process"/>
    <n v="2"/>
  </r>
  <r>
    <n v="50000530"/>
    <x v="23"/>
    <s v="HAWAII"/>
    <s v="CT454-02830"/>
    <s v="PRESSURE SWITCH, WIRED, AIR KNIFE"/>
    <n v="1"/>
    <n v="1"/>
    <s v="REGULAR"/>
    <d v="2025-02-25T00:00:00"/>
    <s v="CHANNEL REPLENISHMENT"/>
    <s v="In replenishment process"/>
    <n v="2"/>
  </r>
  <r>
    <n v="50300141"/>
    <x v="23"/>
    <s v="STGRAF"/>
    <s v="CT454-07861"/>
    <s v=" IMO-PUMP-SILICA GEL/CS PUMP"/>
    <n v="1"/>
    <n v="1"/>
    <s v="REGULAR"/>
    <d v="2025-02-21T00:00:00"/>
    <s v="CHANNEL REPLENISHMENT"/>
    <s v="In replenishment process"/>
    <n v="2"/>
  </r>
  <r>
    <n v="50000260"/>
    <x v="23"/>
    <s v="META BRASIL"/>
    <s v="CT490-17831"/>
    <s v="VACUUM BELT"/>
    <n v="1"/>
    <n v="1"/>
    <s v="REGULAR"/>
    <d v="2025-02-25T00:00:00"/>
    <s v="CHANNEL REPLENISHMENT"/>
    <s v="In replenishment process"/>
    <n v="2"/>
  </r>
  <r>
    <n v="50000260"/>
    <x v="23"/>
    <s v="META BRASIL"/>
    <s v="CU498-02992"/>
    <s v="SHEET BELT PROTECTION"/>
    <n v="1"/>
    <n v="1"/>
    <s v="REGULAR"/>
    <d v="2025-02-25T00:00:00"/>
    <s v="CHANNEL REPLENISHMENT"/>
    <s v="In replenishment process"/>
    <n v="2"/>
  </r>
  <r>
    <n v="50000202"/>
    <x v="23"/>
    <s v="IPSIS"/>
    <s v="CT344-01252"/>
    <s v="CARBON BRUSH CR ASSEMBLY"/>
    <n v="2"/>
    <n v="2"/>
    <s v="REGULAR"/>
    <d v="2025-02-26T00:00:00"/>
    <s v="CHANNEL REPLENISHMENT"/>
    <s v="In replenishment process"/>
    <n v="2"/>
  </r>
  <r>
    <n v="50000202"/>
    <x v="23"/>
    <s v="IPSIS"/>
    <s v="CT341-14140"/>
    <s v="CARBON BRUSH HOUSING - IXEF"/>
    <n v="2"/>
    <n v="2"/>
    <s v="REGULAR"/>
    <d v="2025-02-27T00:00:00"/>
    <s v="CHANNEL REPLENISHMENT"/>
    <s v="In replenishment process"/>
    <n v="2"/>
  </r>
  <r>
    <s v="48500665 "/>
    <x v="24"/>
    <s v="FLEXUL"/>
    <s v="CT345-50461"/>
    <s v=" Mixing pump"/>
    <n v="1"/>
    <n v="1"/>
    <s v="REGULAR"/>
    <d v="2025-02-25T00:00:00"/>
    <s v="CHANNEL REPLENISHMENT"/>
    <s v="In replenishment process"/>
    <n v="2"/>
  </r>
  <r>
    <s v="48500665 "/>
    <x v="24"/>
    <s v="FLEXUL"/>
    <s v="CT344-34270"/>
    <s v="Ceramic Charge Roller"/>
    <n v="1"/>
    <n v="1"/>
    <s v="REGULAR"/>
    <d v="2025-02-25T00:00:00"/>
    <s v="CHANNEL REPLENISHMENT"/>
    <s v="In replenishment process"/>
    <n v="2"/>
  </r>
  <r>
    <s v="48500665 "/>
    <x v="24"/>
    <s v="FLEXUL"/>
    <s v="CT397-05030"/>
    <s v="ILS Scanner Bar Assy"/>
    <n v="1"/>
    <n v="0"/>
    <s v="MD"/>
    <m/>
    <s v="CHANNEL REPLENISHMENT"/>
    <s v="In replenishment process"/>
    <n v="2"/>
  </r>
  <r>
    <s v="48500665 "/>
    <x v="24"/>
    <s v="FLEXUL"/>
    <s v="CA354-06210"/>
    <s v="WIRED PRESSURE GAUGE FOR S3"/>
    <n v="1"/>
    <n v="0"/>
    <s v="MD"/>
    <m/>
    <s v="CHANNEL REPLENISHMENT"/>
    <s v="In replenishment process"/>
    <n v="2"/>
  </r>
  <r>
    <n v="41000142"/>
    <x v="24"/>
    <s v="ALL4LABELS"/>
    <s v="MBL-1015-02"/>
    <s v="BELT TIMING HTD-3 9MM-312"/>
    <n v="1"/>
    <n v="1"/>
    <s v="REGULAR"/>
    <d v="2024-11-27T00:00:00"/>
    <s v="CHANNEL REPLENISHMENT"/>
    <s v="In replenishment process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455E5-70B8-4805-9C91-DF6089F5A0B6}" name="LOF REAL" cacheId="98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4" firstHeaderRow="0" firstDataRow="1" firstDataCol="0"/>
  <pivotFields count="25"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QUANTIDADE" fld="9" baseField="0" baseItem="0"/>
    <dataField name="Sum of QTD ESTOQUE CP" fld="14" baseField="0" baseItem="0"/>
  </dataFields>
  <pivotTableStyleInfo name="PivotStyleLight16" showRowHeaders="1" showColHeaders="1" showRowStripes="0" showColStripes="0" showLastColumn="1"/>
  <filters count="1">
    <filter fld="1" type="dateBetween" evalOrder="-1" id="214" name="DATA PEDIDO HP">
      <autoFilter ref="A1">
        <filterColumn colId="0">
          <customFilters and="1">
            <customFilter operator="greaterThanOrEqual" val="45748"/>
            <customFilter operator="lessThanOrEqual" val="4580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2454D-CED2-427D-9EE4-F419C3499EBC}" name="LOF ELAINE" cacheId="98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4:G5" firstHeaderRow="0" firstDataRow="1" firstDataCol="0"/>
  <pivotFields count="12">
    <pivotField showAll="0"/>
    <pivotField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Quantity Ordered" fld="5" baseField="0" baseItem="0"/>
    <dataField name="Sum of Quantity Supported" fld="6" baseField="0" baseItem="0"/>
  </dataFields>
  <pivotTableStyleInfo name="PivotStyleLight16" showRowHeaders="1" showColHeaders="1" showRowStripes="0" showColStripes="0" showLastColumn="1"/>
  <filters count="1">
    <filter fld="1" type="dateBetween" evalOrder="-1" id="136" name="Order Date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AE1005" totalsRowShown="0" headerRowDxfId="101" dataDxfId="100">
  <autoFilter ref="A1:AE1005" xr:uid="{00000000-000C-0000-FFFF-FFFF00000000}">
    <filterColumn colId="7">
      <filters>
        <filter val="CT490-06171"/>
        <filter val="(NãoVazias)"/>
      </filters>
    </filterColumn>
  </autoFilter>
  <tableColumns count="31">
    <tableColumn id="1" xr3:uid="{00000000-0010-0000-0000-000001000000}" name="ORDEM" dataDxfId="99"/>
    <tableColumn id="13" xr3:uid="{FB1D3971-C751-4730-B8F0-ECD767A906C1}" name="DATA PEDIDO HP" dataDxfId="98"/>
    <tableColumn id="2" xr3:uid="{00000000-0010-0000-0000-000002000000}" name="DATA DO PEDIDO" dataDxfId="97"/>
    <tableColumn id="3" xr3:uid="{00000000-0010-0000-0000-000003000000}" name="CASO HP" dataDxfId="96"/>
    <tableColumn id="4" xr3:uid="{00000000-0010-0000-0000-000004000000}" name="CUSTOMER" dataDxfId="95"/>
    <tableColumn id="5" xr3:uid="{00000000-0010-0000-0000-000005000000}" name="EQUIPAMENTO" dataDxfId="94"/>
    <tableColumn id="6" xr3:uid="{00000000-0010-0000-0000-000006000000}" name="NUM SÉRIE" dataDxfId="93"/>
    <tableColumn id="7" xr3:uid="{00000000-0010-0000-0000-000007000000}" name="CÓDIGO " dataDxfId="92"/>
    <tableColumn id="8" xr3:uid="{00000000-0010-0000-0000-000008000000}" name="DESCRIÇÃO" dataDxfId="91"/>
    <tableColumn id="9" xr3:uid="{00000000-0010-0000-0000-000009000000}" name="QUANTIDADE" dataDxfId="90"/>
    <tableColumn id="10" xr3:uid="{00000000-0010-0000-0000-00000A000000}" name="URGENTE" dataDxfId="89"/>
    <tableColumn id="11" xr3:uid="{00000000-0010-0000-0000-00000B000000}" name="TÉCNICO" dataDxfId="88"/>
    <tableColumn id="12" xr3:uid="{00000000-0010-0000-0000-00000C000000}" name="MOTIVO REPOSIÇÃO" dataDxfId="87"/>
    <tableColumn id="14" xr3:uid="{00000000-0010-0000-0000-00000E000000}" name="ORIGEM" dataDxfId="86"/>
    <tableColumn id="15" xr3:uid="{00000000-0010-0000-0000-00000F000000}" name="QTD ESTOQUE CP" dataDxfId="85"/>
    <tableColumn id="26" xr3:uid="{9D0C94E7-00A9-447C-B018-8A8E321E452C}" name="LOF" dataDxfId="84"/>
    <tableColumn id="29" xr3:uid="{3EF3E68C-2166-4564-9E3B-DB80D9177F0D}" name="RAT" dataDxfId="83"/>
    <tableColumn id="16" xr3:uid="{00000000-0010-0000-0000-000010000000}" name="COD ALTERNATIVO" dataDxfId="82"/>
    <tableColumn id="18" xr3:uid="{00000000-0010-0000-0000-000012000000}" name="DATA DE ENTREGA AO CLIENTE" dataDxfId="81"/>
    <tableColumn id="19" xr3:uid="{00000000-0010-0000-0000-000013000000}" name="DATA DE ENVIO HP" dataDxfId="80"/>
    <tableColumn id="20" xr3:uid="{00000000-0010-0000-0000-000014000000}" name="DATA DE RECEBIMENTO CP" dataDxfId="79"/>
    <tableColumn id="21" xr3:uid="{00000000-0010-0000-0000-000015000000}" name="CONSOLIDADO" dataDxfId="78"/>
    <tableColumn id="22" xr3:uid="{00000000-0010-0000-0000-000016000000}" name="NOTA FISCAL" dataDxfId="77"/>
    <tableColumn id="23" xr3:uid="{00000000-0010-0000-0000-000017000000}" name="PREÇO UNITARIO" dataDxfId="76"/>
    <tableColumn id="24" xr3:uid="{00000000-0010-0000-0000-000018000000}" name="PREÇO TOTAL" dataDxfId="75">
      <calculatedColumnFormula>Table2[[#This Row],[PREÇO UNITARIO]]*Table2[[#This Row],[QUANTIDADE]]</calculatedColumnFormula>
    </tableColumn>
    <tableColumn id="25" xr3:uid="{00000000-0010-0000-0000-000019000000}" name="OBSERVAÇÃO" dataDxfId="74"/>
    <tableColumn id="27" xr3:uid="{2CFE3C89-14A5-4626-B4BE-75E7E569426A}" name="MES" dataDxfId="73">
      <calculatedColumnFormula>MONTH(Table2[[#This Row],[DATA PEDIDO HP]])</calculatedColumnFormula>
    </tableColumn>
    <tableColumn id="17" xr3:uid="{797BD5C3-E8A5-4E2C-A65E-527EBC1713C4}" name="TIPO" dataDxfId="72"/>
    <tableColumn id="28" xr3:uid="{466AB473-E372-4B28-AE85-DAAA6E9E9D99}" name="HOJE" dataDxfId="71">
      <calculatedColumnFormula>TODAY()</calculatedColumnFormula>
    </tableColumn>
    <tableColumn id="30" xr3:uid="{79C5031B-6DA3-4DEF-965E-8E1BF858A25A}" name="HOLD" dataDxfId="70">
      <calculatedColumnFormula>_xlfn.DAYS(Table2[[#This Row],[HOJE]],Table2[[#This Row],[DATA PEDIDO HP]])</calculatedColumnFormula>
    </tableColumn>
    <tableColumn id="31" xr3:uid="{2560BF09-C51C-45AA-98B2-AA71FBCF7220}" name="STATUS" dataDxfId="69">
      <calculatedColumnFormula>IF(Table2[[#This Row],[HOLD]]&gt;30,"ATRASADO","NO PRAZO")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1398E-EAAB-4CE3-B68F-DD4864816712}" name="Table3" displayName="Table3" ref="A1:R484" totalsRowShown="0" headerRowDxfId="64" dataDxfId="63">
  <autoFilter ref="A1:R484" xr:uid="{DFB1398E-EAAB-4CE3-B68F-DD4864816712}">
    <filterColumn colId="2">
      <filters>
        <filter val="PRAKOLAR"/>
      </filters>
    </filterColumn>
  </autoFilter>
  <tableColumns count="18">
    <tableColumn id="1" xr3:uid="{A4A44C80-A96A-41D1-B7F4-C8E089183F97}" name="PO" dataDxfId="62"/>
    <tableColumn id="2" xr3:uid="{D5D1DA21-6852-48DB-A7A9-1F32941FF3EA}" name="Order date" dataDxfId="61"/>
    <tableColumn id="3" xr3:uid="{02A51F93-BE90-4B81-82C0-D93DA63CA0D8}" name="Cliente" dataDxfId="60"/>
    <tableColumn id="4" xr3:uid="{AE6DFD60-786C-4F35-AF0B-C5465C19A4D9}" name="P/N" dataDxfId="59"/>
    <tableColumn id="5" xr3:uid="{0CA4D992-3FA6-4BFA-B541-5F704C20CAAD}" name="Alteração de PN (Compatible Part)" dataDxfId="58"/>
    <tableColumn id="6" xr3:uid="{75891FF3-64E5-433B-BB73-422AB08A186B}" name="Descrição " dataDxfId="57"/>
    <tableColumn id="7" xr3:uid="{9BB6EF0F-CC79-47D6-9463-07EB8C81FF08}" name="QTY" dataDxfId="56"/>
    <tableColumn id="8" xr3:uid="{1E915BF5-62AE-4AEC-A6CF-88BFFE17FAC4}" name="Unit Price" dataDxfId="55"/>
    <tableColumn id="9" xr3:uid="{AA58CD01-4732-474E-BD26-8C1AB7BBDFF3}" name="Total Price" dataDxfId="54">
      <calculatedColumnFormula>Table3[[#This Row],[Unit Price]]*Table3[[#This Row],[QTY]]</calculatedColumnFormula>
    </tableColumn>
    <tableColumn id="10" xr3:uid="{E050F116-0EBE-467E-9B89-C581DD93C632}" name="Consolidado" dataDxfId="53"/>
    <tableColumn id="11" xr3:uid="{B55DDC8F-33AE-4CE8-B893-3949261CC63C}" name="ORIGEM" dataDxfId="52"/>
    <tableColumn id="12" xr3:uid="{51AB16E9-3665-43C9-AF73-B9C97CA5B4C2}" name="OBS" dataDxfId="51"/>
    <tableColumn id="13" xr3:uid="{DADA67CD-2298-4EEF-BA72-C155C6E1DEB0}" name="Invoice date" dataDxfId="50"/>
    <tableColumn id="14" xr3:uid="{2168508F-2497-4BA1-97EC-6E88BED53DD0}" name="Date of arrivel to CP" dataDxfId="49"/>
    <tableColumn id="15" xr3:uid="{81C3369B-24DC-471F-B296-E8FB845A284E}" name="Orçamento" dataDxfId="48"/>
    <tableColumn id="16" xr3:uid="{22182933-BCD5-473C-8B5A-AB9A2B79D5D5}" name="Ped. Venda" dataDxfId="47"/>
    <tableColumn id="17" xr3:uid="{626C9DA9-9DC5-4559-945F-5C2CC5222F23}" name="Data" dataDxfId="46"/>
    <tableColumn id="20" xr3:uid="{D44FF209-963E-4219-83D0-83C424DAD63B}" name="STATU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57A67-DC47-40DC-A63D-35870AE548FC}" name="Table4" displayName="Table4" ref="A1:L164" totalsRowShown="0" headerRowDxfId="44" dataDxfId="43" headerRowBorderDxfId="41" tableBorderDxfId="42">
  <autoFilter ref="A1:L164" xr:uid="{8D657A67-DC47-40DC-A63D-35870AE548FC}">
    <filterColumn colId="11">
      <filters>
        <filter val="3"/>
      </filters>
    </filterColumn>
  </autoFilter>
  <sortState xmlns:xlrd2="http://schemas.microsoft.com/office/spreadsheetml/2017/richdata2" ref="A2:L55">
    <sortCondition ref="A1:A55"/>
  </sortState>
  <tableColumns count="12">
    <tableColumn id="1" xr3:uid="{AB658431-4044-4496-83BE-D0AD951F0DD7}" name="Serial Number" dataDxfId="40"/>
    <tableColumn id="12" xr3:uid="{EE708A9B-31F6-4067-804A-A667263E3AB2}" name="Order Date" dataDxfId="39"/>
    <tableColumn id="2" xr3:uid="{E7C7CD95-DC22-4E15-928A-C66BC6145287}" name="Customer Name" dataDxfId="38"/>
    <tableColumn id="3" xr3:uid="{2ECD6508-0A82-46C0-8C08-772AD26E34AC}" name="Item Number" dataDxfId="37"/>
    <tableColumn id="4" xr3:uid="{5D61498C-D91F-403A-B202-9439D5420A65}" name="Part Description" dataDxfId="36"/>
    <tableColumn id="5" xr3:uid="{AC8042AE-FF02-4EF0-A653-9DA0E985A952}" name="Quantity Ordered" dataDxfId="35"/>
    <tableColumn id="6" xr3:uid="{CF6DC18F-546B-4F32-B469-4275F4947F80}" name="Quantity Supported" dataDxfId="34"/>
    <tableColumn id="7" xr3:uid="{555F4E06-2E1B-4524-8C85-E828543C0ECB}" name="Order Urgency" dataDxfId="33"/>
    <tableColumn id="8" xr3:uid="{A9F47474-E9F0-401E-84DC-BFD77C15FFA5}" name="Delivery Date" dataDxfId="32"/>
    <tableColumn id="9" xr3:uid="{6641410A-82FB-49B4-BC6A-AD1FD33E3513}" name="Order Reason" dataDxfId="31"/>
    <tableColumn id="10" xr3:uid="{F4C044D5-6316-4DAA-B88B-82C57D9E82B5}" name="Order Status" dataDxfId="30"/>
    <tableColumn id="11" xr3:uid="{3F6E6AF2-BDB6-4972-BB97-64EB1A18DB7C}" name="MES" dataDxfId="29">
      <calculatedColumnFormula>MONTH(Table4[[#This Row],[Order Date]])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AC289F-4F09-4F95-8B73-99912F34B7D4}" name="Tabela4" displayName="Tabela4" ref="A3:Y88" totalsRowShown="0">
  <autoFilter ref="A3:Y88" xr:uid="{45AC289F-4F09-4F95-8B73-99912F34B7D4}"/>
  <tableColumns count="25">
    <tableColumn id="1" xr3:uid="{75EB83A0-ADC6-4262-92EE-5A3F749AD30F}" name="ORDEM"/>
    <tableColumn id="2" xr3:uid="{CB13D8D2-D9BC-4342-A2E4-906DA8EB5FC3}" name="DATA PEDIDO HP" dataDxfId="28"/>
    <tableColumn id="3" xr3:uid="{1ED7FBD5-F1FF-486D-A300-7F27DC18F546}" name="DATA DO PEDIDO" dataDxfId="27"/>
    <tableColumn id="4" xr3:uid="{6491D61B-5511-4BD8-A254-EFA097B9DCEB}" name="CASO HP"/>
    <tableColumn id="5" xr3:uid="{58B508A6-8FCD-42A5-AA72-67F2C0DDABB5}" name="CLIENTE"/>
    <tableColumn id="6" xr3:uid="{23AE111F-C8CC-4DA8-BDD4-DAA831F1D507}" name="EQUIPAMENTO"/>
    <tableColumn id="7" xr3:uid="{E2D53A97-4F09-4150-BF05-E497052CE2F9}" name="NUM SÉRIE"/>
    <tableColumn id="8" xr3:uid="{705719C9-4E8D-43BD-A13C-6501C60BCC28}" name="CÓDIGO "/>
    <tableColumn id="9" xr3:uid="{DF14273C-9253-4A05-AEA5-04887AD08DA1}" name="DESCRIÇÃO"/>
    <tableColumn id="10" xr3:uid="{2ADA2058-26B0-4D74-B06E-D9C7ED6E18F8}" name="QUANTIDADE"/>
    <tableColumn id="11" xr3:uid="{64221FD0-AC57-44A7-B575-1258C2AC9AAA}" name="URGENTE"/>
    <tableColumn id="12" xr3:uid="{4A4734DA-8991-4D86-9989-09438554213F}" name="TÉCNICO"/>
    <tableColumn id="13" xr3:uid="{08FD4576-DD76-47A3-A002-CE162CD5C95C}" name="MOTIVO REPOSIÇÃO"/>
    <tableColumn id="14" xr3:uid="{16A47601-E1F7-457F-9719-896064EF2EA5}" name="ORIGEM"/>
    <tableColumn id="15" xr3:uid="{EE995C90-DAA3-4B4A-A22F-6206572D16D9}" name="QTD ESTOQUE CP"/>
    <tableColumn id="16" xr3:uid="{89CDAAB0-628E-4786-A44B-B9B6C34322A2}" name="COD ALTERNATIVO"/>
    <tableColumn id="17" xr3:uid="{8ACD1D70-1392-4D3A-A80A-DDA3E0A540F9}" name="RMA"/>
    <tableColumn id="18" xr3:uid="{0DAD8A2E-2601-4BF8-B9DA-6AE9FEAF0BD3}" name="DATA DE ENTREGA AO CLIENTE" dataDxfId="26"/>
    <tableColumn id="19" xr3:uid="{C06AD3F6-A425-4BFC-9A58-2921E1B210E3}" name="DATA DE ENVIO HP"/>
    <tableColumn id="20" xr3:uid="{62302F7B-011E-44DC-84BD-9E7EF708D479}" name="DATA DE RECEBIMENTO CP"/>
    <tableColumn id="21" xr3:uid="{5E7EE461-851F-4A10-876B-DE5418238F53}" name="CONSOLIDADO"/>
    <tableColumn id="22" xr3:uid="{08E917D5-473C-4731-A59B-7F538D397619}" name="NOTA FISCAL"/>
    <tableColumn id="23" xr3:uid="{6B887ED1-A648-4173-8ED1-97E5767ECA07}" name="PREÇO UNITARIO"/>
    <tableColumn id="24" xr3:uid="{3ACE48B7-BA04-42A7-B4E2-42D80F198D27}" name="PREÇO TOTAL"/>
    <tableColumn id="25" xr3:uid="{DC614367-15B4-4E6C-9817-A6D78CC44B5B}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95ECF2-E34E-4F9F-9584-58E60E85768F}" name="Tabela5" displayName="Tabela5" ref="A3:Y89" totalsRowCount="1">
  <autoFilter ref="A3:Y88" xr:uid="{B895ECF2-E34E-4F9F-9584-58E60E85768F}"/>
  <tableColumns count="25">
    <tableColumn id="1" xr3:uid="{8B729AFE-8E43-4707-B8D2-1FE37202CE24}" name="ORDEM"/>
    <tableColumn id="2" xr3:uid="{25FBB8BC-E359-46DE-87C0-2D40BD38DBD0}" name="DATA PEDIDO HP" dataDxfId="24" totalsRowDxfId="25"/>
    <tableColumn id="3" xr3:uid="{05EC1478-85BD-41E2-A8A6-263FBA08CC9C}" name="DATA DO PEDIDO" dataDxfId="22" totalsRowDxfId="23"/>
    <tableColumn id="4" xr3:uid="{F79AE189-2C99-4831-B8F2-6954F6B55557}" name="CASO HP"/>
    <tableColumn id="5" xr3:uid="{EE8ADDBD-C0FA-4B29-A105-3295161E093F}" name="CLIENTE"/>
    <tableColumn id="6" xr3:uid="{9CD9CC33-AAF1-4214-B7F3-95362BF4B608}" name="EQUIPAMENTO"/>
    <tableColumn id="7" xr3:uid="{109B78DD-3651-4766-B970-0655D40DFE4E}" name="NUM SÉRIE"/>
    <tableColumn id="8" xr3:uid="{65302FE1-EDDC-4EC1-8DC9-4350ECACB05D}" name="CÓDIGO "/>
    <tableColumn id="9" xr3:uid="{EDA32D31-65AD-4C65-8B46-57BC2A5BAFAA}" name="DESCRIÇÃO"/>
    <tableColumn id="10" xr3:uid="{2DDC92B2-8CC1-4973-AE37-C5029B84D0FB}" name="QUANTIDADE" totalsRowFunction="sum"/>
    <tableColumn id="11" xr3:uid="{EA395BC3-BDFF-4FD4-8F1F-A3192B0E8AA2}" name="URGENTE"/>
    <tableColumn id="12" xr3:uid="{85C0783A-B21D-490D-93BE-477B7A231AA9}" name="TÉCNICO"/>
    <tableColumn id="13" xr3:uid="{A6AE68D0-71A9-4054-AB02-749CA52C8BEA}" name="MOTIVO REPOSIÇÃO"/>
    <tableColumn id="14" xr3:uid="{6B2B813F-4ACC-4F23-A25F-E5C6BB219218}" name="ORIGEM"/>
    <tableColumn id="15" xr3:uid="{D786EDEB-8030-4268-B047-EFA2E8377D8B}" name="QTD ESTOQUE CP" totalsRowFunction="sum"/>
    <tableColumn id="16" xr3:uid="{D725E346-5FAD-475D-9C99-6B77ABE02885}" name="COD ALTERNATIVO"/>
    <tableColumn id="17" xr3:uid="{719D97F4-074D-41AD-8151-0DC08B168775}" name="RMA"/>
    <tableColumn id="18" xr3:uid="{F65F556E-C803-4A6A-9ABF-FE74AB76B631}" name="DATA DE ENTREGA AO CLIENTE" dataDxfId="20" totalsRowDxfId="21"/>
    <tableColumn id="19" xr3:uid="{7677A692-CEF7-46DF-BF23-5CD6D4131F25}" name="DATA DE ENVIO HP"/>
    <tableColumn id="20" xr3:uid="{5F8CD32B-8FAF-4577-BE36-39D3D3AE6644}" name="DATA DE RECEBIMENTO CP"/>
    <tableColumn id="21" xr3:uid="{B12984AE-E8FA-4CEC-833A-4371C933724C}" name="CONSOLIDADO"/>
    <tableColumn id="22" xr3:uid="{1C8D058D-A9D1-499D-92DB-F9CFA5D34106}" name="NOTA FISCAL"/>
    <tableColumn id="23" xr3:uid="{5C8F8BFD-4E4B-4F18-BE4B-4706147B4407}" name="PREÇO UNITARIO"/>
    <tableColumn id="24" xr3:uid="{885DBAE6-9FF5-4463-89DB-4B48CB5A9C9A}" name="PREÇO TOTAL"/>
    <tableColumn id="25" xr3:uid="{A409523C-CFB4-4375-ADFB-F50328004725}" name="OBSERV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C4FCF0-77BD-4AF9-B79A-81CAF61F8CD3}" name="Tabela6" displayName="Tabela6" ref="A3:L89" totalsRowShown="0">
  <autoFilter ref="A3:L89" xr:uid="{19C4FCF0-77BD-4AF9-B79A-81CAF61F8CD3}"/>
  <tableColumns count="12">
    <tableColumn id="1" xr3:uid="{7313F9AA-B0A3-4B36-8015-3651324AF39E}" name="Serial Number"/>
    <tableColumn id="2" xr3:uid="{F745A967-57C8-4199-A48D-B7948A57A592}" name="Order Date" dataDxfId="19"/>
    <tableColumn id="3" xr3:uid="{40EA249D-FC1A-4D54-979C-F4042222D6F1}" name="Customer Name"/>
    <tableColumn id="4" xr3:uid="{8D78F6B8-D821-45C9-B64E-D02D9DC5F9C8}" name="Item Number"/>
    <tableColumn id="5" xr3:uid="{9AA9BC45-2567-4FF7-86CB-0A300383B488}" name="Part Description"/>
    <tableColumn id="6" xr3:uid="{69D608D6-42FE-45B1-BCE1-CA25C5DE489C}" name="Quantity Ordered"/>
    <tableColumn id="7" xr3:uid="{945A6C63-471E-4CBF-BE21-02B4276F2105}" name="Quantity Supported"/>
    <tableColumn id="8" xr3:uid="{07086D7E-E0D3-4CDF-A7E3-47F43CB36546}" name="Order Urgency"/>
    <tableColumn id="9" xr3:uid="{62B80CD6-030B-4D3A-992B-31CE95062DA1}" name="Delivery Date" dataDxfId="18"/>
    <tableColumn id="10" xr3:uid="{28CDEC66-6DE2-4490-8B87-EFC1598B68D0}" name="Order Reason"/>
    <tableColumn id="11" xr3:uid="{7EDC8BAA-C9AE-4ADD-8E8F-14AC45B4DB7C}" name="Order Status"/>
    <tableColumn id="12" xr3:uid="{DE8B3925-32B6-4CFE-AF54-78C5DB35021A}" name="M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ABC303-4F14-411F-B238-186DA9DB18C5}" name="Tabela7" displayName="Tabela7" ref="A3:L305" totalsRowShown="0" dataDxfId="17">
  <autoFilter ref="A3:L305" xr:uid="{5BABC303-4F14-411F-B238-186DA9DB18C5}">
    <filterColumn colId="11">
      <filters>
        <filter val="5"/>
      </filters>
    </filterColumn>
  </autoFilter>
  <tableColumns count="12">
    <tableColumn id="1" xr3:uid="{B6018F26-C00A-4EB6-9A51-CC8206B0A8B1}" name="Serial Number" dataDxfId="16"/>
    <tableColumn id="2" xr3:uid="{81FE0C9C-9E4C-40D3-94BF-8E2CBB5F1F93}" name="Order Date" dataDxfId="15"/>
    <tableColumn id="3" xr3:uid="{695256A4-7587-4FD4-B25B-A88279A4F330}" name="Customer Name" dataDxfId="14"/>
    <tableColumn id="4" xr3:uid="{208AE531-21EA-4A64-9276-6C9160D344A4}" name="Item Number" dataDxfId="13"/>
    <tableColumn id="5" xr3:uid="{77C7E460-F545-4071-B349-B8678F1A35A3}" name="Part Description" dataDxfId="12"/>
    <tableColumn id="6" xr3:uid="{CB17CFB8-4F03-4F06-BEA2-36074020749C}" name="Quantity Ordered" dataDxfId="11"/>
    <tableColumn id="7" xr3:uid="{0908CDD8-CF91-468C-ACE4-5BCB8CE70184}" name="Quantity Supported" dataDxfId="10"/>
    <tableColumn id="8" xr3:uid="{9E34D102-403F-49A4-84E7-51E6BAB09024}" name="Order Urgency" dataDxfId="9"/>
    <tableColumn id="9" xr3:uid="{C4C0F6D6-F300-4FCC-8089-D86B549F5B34}" name="Delivery Date" dataDxfId="8"/>
    <tableColumn id="10" xr3:uid="{DD346644-87A1-4053-8AAE-F7B183343211}" name="Order Reason" dataDxfId="7"/>
    <tableColumn id="11" xr3:uid="{9209BE49-44E5-4AE4-B99F-38B5D87B048D}" name="Order Status" dataDxfId="6"/>
    <tableColumn id="12" xr3:uid="{7E995DDA-C8FB-4185-8DEE-39ED1FB4533E}" name="MES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BC66A0-FA92-49E3-925C-D9BC7AD9C202}" name="Tabela8" displayName="Tabela8" ref="A3:L89" totalsRowShown="0">
  <autoFilter ref="A3:L89" xr:uid="{1ABC66A0-FA92-49E3-925C-D9BC7AD9C202}"/>
  <tableColumns count="12">
    <tableColumn id="1" xr3:uid="{D20F9171-BD4F-4847-97C5-AEA6203C79B0}" name="Serial Number"/>
    <tableColumn id="2" xr3:uid="{918B7C5D-6E9D-4E84-8B16-88191D5FF715}" name="Order Date" dataDxfId="4"/>
    <tableColumn id="3" xr3:uid="{72DAB5D6-FF2C-4583-AE4C-D27DFA37CD63}" name="Customer Name"/>
    <tableColumn id="4" xr3:uid="{74D99A0F-B310-4AEE-9856-2851ECF647C2}" name="Item Number"/>
    <tableColumn id="5" xr3:uid="{07E06363-7355-49CF-82A6-97175F8A2ED0}" name="Part Description"/>
    <tableColumn id="6" xr3:uid="{F174B258-E77A-49E1-9536-05FA2675955C}" name="Quantity Ordered"/>
    <tableColumn id="7" xr3:uid="{E887B96B-19C8-4900-94B0-1E5195F30B90}" name="Quantity Supported"/>
    <tableColumn id="8" xr3:uid="{C83CF5BA-0095-4E22-9E9B-695515267EBB}" name="Order Urgency"/>
    <tableColumn id="9" xr3:uid="{51D8FED3-3A8C-4768-80AC-3DC071EB5A33}" name="Delivery Date" dataDxfId="3"/>
    <tableColumn id="10" xr3:uid="{94153EE1-8A26-4604-86CB-616C90C0620C}" name="Order Reason"/>
    <tableColumn id="11" xr3:uid="{FEB938C9-27FC-46DC-B932-89B90BA28997}" name="Order Status"/>
    <tableColumn id="12" xr3:uid="{8ECACB41-0DF5-4F38-A9AC-6EA436C09072}" name="M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0B05E9-F3C1-48BC-B37A-A2FF2F47442C}" name="Tabela9" displayName="Tabela9" ref="A3:Y88" totalsRowShown="0">
  <autoFilter ref="A3:Y88" xr:uid="{7A0B05E9-F3C1-48BC-B37A-A2FF2F47442C}"/>
  <tableColumns count="25">
    <tableColumn id="1" xr3:uid="{6A0F0084-63DD-46C3-926D-D0DA5EE2D086}" name="ORDEM"/>
    <tableColumn id="2" xr3:uid="{6AA8C5CA-1D87-42DF-8D0F-76CE7A307E8A}" name="DATA PEDIDO HP" dataDxfId="2"/>
    <tableColumn id="3" xr3:uid="{EAD01124-9B58-44BD-B30D-012E4B7CABCB}" name="DATA DO PEDIDO" dataDxfId="1"/>
    <tableColumn id="4" xr3:uid="{979C5492-CBF2-41F3-8FFA-82DC9002F263}" name="CASO HP"/>
    <tableColumn id="5" xr3:uid="{45AAC65A-9666-4017-9D9B-114BD95DD73D}" name="CLIENTE"/>
    <tableColumn id="6" xr3:uid="{1429EBD7-66A5-4D5C-8653-4F9D3A0B701E}" name="EQUIPAMENTO"/>
    <tableColumn id="7" xr3:uid="{99BB4D50-E1C9-4F62-A1E8-AAC08420F508}" name="NUM SÉRIE"/>
    <tableColumn id="8" xr3:uid="{AAC4B3B7-7398-4C2C-BB04-595F7928F209}" name="CÓDIGO "/>
    <tableColumn id="9" xr3:uid="{F57FD1A2-3A9A-40A5-9D47-0FD079E8F0A6}" name="DESCRIÇÃO"/>
    <tableColumn id="10" xr3:uid="{1C44CEE1-107E-43C9-A300-6E190E4F40F9}" name="QUANTIDADE"/>
    <tableColumn id="11" xr3:uid="{542B71EC-E109-4FD4-AA55-3B8DAA5BD0F7}" name="URGENTE"/>
    <tableColumn id="12" xr3:uid="{95710213-D512-45FF-8047-8B965F6962D2}" name="TÉCNICO"/>
    <tableColumn id="13" xr3:uid="{44C705CB-9A34-456F-9CA7-DFE31CD4666B}" name="MOTIVO REPOSIÇÃO"/>
    <tableColumn id="14" xr3:uid="{2C426099-0B16-4611-86BF-7B875046A4D0}" name="ORIGEM"/>
    <tableColumn id="15" xr3:uid="{F7755E79-9514-4B24-BC63-C7A09F92DB5C}" name="QTD ESTOQUE CP"/>
    <tableColumn id="16" xr3:uid="{44EDFE64-1574-4997-A1B0-5AC72FABB540}" name="COD ALTERNATIVO"/>
    <tableColumn id="17" xr3:uid="{EEED3CA4-EDD9-4099-8272-FA117899743C}" name="RMA"/>
    <tableColumn id="18" xr3:uid="{1DAAD751-B7CE-4935-B4F7-4E6DF30BAF9D}" name="DATA DE ENTREGA AO CLIENTE" dataDxfId="0"/>
    <tableColumn id="19" xr3:uid="{C86BA9A5-2080-48A0-B9A5-00AC8B888F0A}" name="DATA DE ENVIO HP"/>
    <tableColumn id="20" xr3:uid="{CD83714C-C97B-4CDD-8DDE-FB18125542CB}" name="DATA DE RECEBIMENTO CP"/>
    <tableColumn id="21" xr3:uid="{310DF9A2-F97B-43B0-8DDB-9ED98DB57ED0}" name="CONSOLIDADO"/>
    <tableColumn id="22" xr3:uid="{4F28E8FA-C172-4B88-8E49-CF8EBC25A9FD}" name="NOTA FISCAL"/>
    <tableColumn id="23" xr3:uid="{67CB5E45-D43C-4F7D-B357-E0EEBC5AE4A4}" name="PREÇO UNITARIO"/>
    <tableColumn id="24" xr3:uid="{9E9307A2-5ACB-464B-9268-D2D31916F8A7}" name="PREÇO TOTAL"/>
    <tableColumn id="25" xr3:uid="{75BF110A-9BA6-49DB-9AFE-6DF0ACA0DBC3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3" dT="2025-08-23T18:45:19.02" personId="{65CE6C4F-1634-45E9-9BA1-55F43EBCECFA}" id="{B972D5D7-B6A4-47DD-9904-A5614193FE57}">
    <text>Enviar 1 para Printi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PEDIDO_HP" xr10:uid="{3064F125-38B0-40B5-9821-9F60444D21AC}" sourceName="DATA PEDIDO HP">
  <pivotTables>
    <pivotTable tabId="6" name="LOF REAL"/>
  </pivotTables>
  <state minimalRefreshVersion="6" lastRefreshVersion="6" pivotCacheId="548993632" filterType="dateBetween">
    <selection startDate="2025-04-01T00:00:00" endDate="2025-05-31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E44C044D-AC51-4C85-A416-BA20B3AB06DF}" sourceName="Order Date">
  <pivotTables>
    <pivotTable tabId="6" name="LOF ELAINE"/>
  </pivotTables>
  <state minimalRefreshVersion="6" lastRefreshVersion="6" pivotCacheId="154653879" filterType="dateBetween">
    <selection startDate="2025-03-01T00:00:00" endDate="2025-03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PEDIDO HP" xr10:uid="{693E7312-8BA5-4BB7-9E1F-0786D3735F74}" cache="NativeTimeline_DATA_PEDIDO_HP" caption="DATA PEDIDO HP" level="2" selectionLevel="2" scrollPosition="2025-01-01T00:00:00"/>
  <timeline name="Order Date" xr10:uid="{1CEB8697-0348-4A1B-905A-43F99FB4569F}" cache="NativeTimeline_Order_Date" caption="Order 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aquinascomprint-my.sharepoint.com/:b:/r/personal/ricardo_almeida_comprint_com_br/Documents/Or%C3%A7amentos%20pe%C3%A7as%20Importa%C3%A7%C3%A3o/108324.pdf?csf=1&amp;web=1&amp;e=tzhBMS" TargetMode="External"/><Relationship Id="rId18" Type="http://schemas.openxmlformats.org/officeDocument/2006/relationships/hyperlink" Target="https://maquinascomprint-my.sharepoint.com/:b:/r/personal/ricardo_almeida_comprint_com_br/Documents/Or%C3%A7amentos%20pe%C3%A7as%20Importa%C3%A7%C3%A3o/108074.pdf?csf=1&amp;web=1&amp;e=Ab3mGc" TargetMode="External"/><Relationship Id="rId26" Type="http://schemas.openxmlformats.org/officeDocument/2006/relationships/hyperlink" Target="https://maquinascomprint-my.sharepoint.com/:b:/r/personal/ricardo_almeida_comprint_com_br/Documents/Or%C3%A7amentos%20pe%C3%A7as%20Importa%C3%A7%C3%A3o/108249.pdf?csf=1&amp;web=1&amp;e=DaGcm1" TargetMode="External"/><Relationship Id="rId3" Type="http://schemas.openxmlformats.org/officeDocument/2006/relationships/hyperlink" Target="https://maquinascomprint-my.sharepoint.com/:b:/r/personal/ricardo_almeida_comprint_com_br/Documents/Or%C3%A7amentos%20pe%C3%A7as%20Importa%C3%A7%C3%A3o/108088.pdf?csf=1&amp;web=1&amp;e=vnwkLR" TargetMode="External"/><Relationship Id="rId21" Type="http://schemas.openxmlformats.org/officeDocument/2006/relationships/hyperlink" Target="https://maquinascomprint-my.sharepoint.com/:b:/r/personal/ricardo_almeida_comprint_com_br/Documents/Or%C3%A7amentos%20pe%C3%A7as%20Importa%C3%A7%C3%A3o/108362.pdf?csf=1&amp;web=1&amp;e=4umURA" TargetMode="External"/><Relationship Id="rId34" Type="http://schemas.openxmlformats.org/officeDocument/2006/relationships/comments" Target="../comments1.xml"/><Relationship Id="rId7" Type="http://schemas.openxmlformats.org/officeDocument/2006/relationships/hyperlink" Target="https://maquinascomprint-my.sharepoint.com/:b:/r/personal/ricardo_almeida_comprint_com_br/Documents/Or%C3%A7amentos%20pe%C3%A7as%20Importa%C3%A7%C3%A3o/108209.pdf?csf=1&amp;web=1&amp;e=vzhjWD" TargetMode="External"/><Relationship Id="rId12" Type="http://schemas.openxmlformats.org/officeDocument/2006/relationships/hyperlink" Target="https://maquinascomprint-my.sharepoint.com/:b:/r/personal/ricardo_almeida_comprint_com_br/Documents/Or%C3%A7amentos%20pe%C3%A7as%20Importa%C3%A7%C3%A3o/108314.pdf?csf=1&amp;web=1&amp;e=bUHi7m" TargetMode="External"/><Relationship Id="rId17" Type="http://schemas.openxmlformats.org/officeDocument/2006/relationships/hyperlink" Target="https://maquinascomprint-my.sharepoint.com/:b:/r/personal/ricardo_almeida_comprint_com_br/Documents/Or%C3%A7amentos%20pe%C3%A7as%20Importa%C3%A7%C3%A3o/108217.pdf?csf=1&amp;web=1&amp;e=Xutzgi" TargetMode="External"/><Relationship Id="rId25" Type="http://schemas.openxmlformats.org/officeDocument/2006/relationships/hyperlink" Target="https://maquinascomprint-my.sharepoint.com/:b:/r/personal/ricardo_almeida_comprint_com_br/Documents/Or%C3%A7amentos%20pe%C3%A7as%20Importa%C3%A7%C3%A3o/108362.pdf?csf=1&amp;web=1&amp;e=q6McFa" TargetMode="External"/><Relationship Id="rId33" Type="http://schemas.openxmlformats.org/officeDocument/2006/relationships/table" Target="../tables/table2.xml"/><Relationship Id="rId2" Type="http://schemas.openxmlformats.org/officeDocument/2006/relationships/hyperlink" Target="https://maquinascomprint-my.sharepoint.com/:b:/r/personal/ricardo_almeida_comprint_com_br/Documents/Or%C3%A7amentos%20pe%C3%A7as%20Importa%C3%A7%C3%A3o/108332.pdf?csf=1&amp;web=1&amp;e=3PI546" TargetMode="External"/><Relationship Id="rId16" Type="http://schemas.openxmlformats.org/officeDocument/2006/relationships/hyperlink" Target="https://maquinascomprint-my.sharepoint.com/:b:/r/personal/ricardo_almeida_comprint_com_br/Documents/Or%C3%A7amentos%20pe%C3%A7as%20Importa%C3%A7%C3%A3o/108441.pdf?csf=1&amp;web=1&amp;e=jYQIVx" TargetMode="External"/><Relationship Id="rId20" Type="http://schemas.openxmlformats.org/officeDocument/2006/relationships/hyperlink" Target="https://maquinascomprint-my.sharepoint.com/:b:/r/personal/ricardo_almeida_comprint_com_br/Documents/Or%C3%A7amentos%20pe%C3%A7as%20Importa%C3%A7%C3%A3o/108408.pdf?csf=1&amp;web=1&amp;e=4Kde0t" TargetMode="External"/><Relationship Id="rId29" Type="http://schemas.openxmlformats.org/officeDocument/2006/relationships/hyperlink" Target="https://maquinascomprint-my.sharepoint.com/:b:/r/personal/ricardo_almeida_comprint_com_br/Documents/Or%C3%A7amentos%20pe%C3%A7as%20Importa%C3%A7%C3%A3o/108441.pdf?csf=1&amp;web=1&amp;e=jYQIVx" TargetMode="External"/><Relationship Id="rId1" Type="http://schemas.openxmlformats.org/officeDocument/2006/relationships/hyperlink" Target="https://maquinascomprint-my.sharepoint.com/:b:/r/personal/ricardo_almeida_comprint_com_br/Documents/Or%C3%A7amentos%20pe%C3%A7as%20Importa%C3%A7%C3%A3o/108484.pdf?csf=1&amp;web=1&amp;e=eh3MKy" TargetMode="External"/><Relationship Id="rId6" Type="http://schemas.openxmlformats.org/officeDocument/2006/relationships/hyperlink" Target="https://maquinascomprint-my.sharepoint.com/:b:/r/personal/ricardo_almeida_comprint_com_br/Documents/Or%C3%A7amentos%20pe%C3%A7as%20Importa%C3%A7%C3%A3o/108391.pdf?csf=1&amp;web=1&amp;e=ly3y7d" TargetMode="External"/><Relationship Id="rId11" Type="http://schemas.openxmlformats.org/officeDocument/2006/relationships/hyperlink" Target="https://maquinascomprint-my.sharepoint.com/:b:/r/personal/ricardo_almeida_comprint_com_br/Documents/Or%C3%A7amentos%20pe%C3%A7as%20Importa%C3%A7%C3%A3o/108291.pdf?csf=1&amp;web=1&amp;e=Eg3ROS" TargetMode="External"/><Relationship Id="rId24" Type="http://schemas.openxmlformats.org/officeDocument/2006/relationships/hyperlink" Target="https://maquinascomprint-my.sharepoint.com/:b:/r/personal/ricardo_almeida_comprint_com_br/Documents/Or%C3%A7amentos%20pe%C3%A7as%20Importa%C3%A7%C3%A3o/108416.pdf?csf=1&amp;web=1&amp;e=PdOufc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maquinascomprint-my.sharepoint.com/:b:/r/personal/ricardo_almeida_comprint_com_br/Documents/Or%C3%A7amentos%20pe%C3%A7as%20Importa%C3%A7%C3%A3o/108292.pdf?csf=1&amp;web=1&amp;e=B8Vmj6" TargetMode="External"/><Relationship Id="rId15" Type="http://schemas.openxmlformats.org/officeDocument/2006/relationships/hyperlink" Target="https://maquinascomprint-my.sharepoint.com/:b:/r/personal/ricardo_almeida_comprint_com_br/Documents/Or%C3%A7amentos%20pe%C3%A7as%20Importa%C3%A7%C3%A3o/108362.pdf?csf=1&amp;web=1&amp;e=gQuJbr" TargetMode="External"/><Relationship Id="rId23" Type="http://schemas.openxmlformats.org/officeDocument/2006/relationships/hyperlink" Target="https://maquinascomprint-my.sharepoint.com/:b:/r/personal/ricardo_almeida_comprint_com_br/Documents/Or%C3%A7amentos%20pe%C3%A7as%20Importa%C3%A7%C3%A3o/108400.pdf?csf=1&amp;web=1&amp;e=pMneFh" TargetMode="External"/><Relationship Id="rId28" Type="http://schemas.openxmlformats.org/officeDocument/2006/relationships/hyperlink" Target="https://maquinascomprint-my.sharepoint.com/:b:/r/personal/ricardo_almeida_comprint_com_br/Documents/Or%C3%A7amentos%20pe%C3%A7as%20Importa%C3%A7%C3%A3o/108390.pdf?csf=1&amp;web=1&amp;e=uoZrrf" TargetMode="External"/><Relationship Id="rId10" Type="http://schemas.openxmlformats.org/officeDocument/2006/relationships/hyperlink" Target="https://maquinascomprint-my.sharepoint.com/:b:/r/personal/ricardo_almeida_comprint_com_br/Documents/Or%C3%A7amentos%20pe%C3%A7as%20Importa%C3%A7%C3%A3o/108287.pdf?csf=1&amp;web=1&amp;e=majfRq" TargetMode="External"/><Relationship Id="rId19" Type="http://schemas.openxmlformats.org/officeDocument/2006/relationships/hyperlink" Target="https://maquinascomprint-my.sharepoint.com/:b:/r/personal/ricardo_almeida_comprint_com_br/Documents/Or%C3%A7amentos%20pe%C3%A7as%20Importa%C3%A7%C3%A3o/108356.pdf?csf=1&amp;web=1&amp;e=9DazfS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maquinascomprint-my.sharepoint.com/:b:/r/personal/ricardo_almeida_comprint_com_br/Documents/Or%C3%A7amentos%20pe%C3%A7as%20Importa%C3%A7%C3%A3o/108249.pdf?csf=1&amp;web=1&amp;e=DaGcm1" TargetMode="External"/><Relationship Id="rId9" Type="http://schemas.openxmlformats.org/officeDocument/2006/relationships/hyperlink" Target="https://maquinascomprint-my.sharepoint.com/:b:/r/personal/ricardo_almeida_comprint_com_br/Documents/Or%C3%A7amentos%20pe%C3%A7as%20Importa%C3%A7%C3%A3o/108247.pdf?csf=1&amp;web=1&amp;e=uOvbxW" TargetMode="External"/><Relationship Id="rId14" Type="http://schemas.openxmlformats.org/officeDocument/2006/relationships/hyperlink" Target="https://maquinascomprint-my.sharepoint.com/:b:/r/personal/ricardo_almeida_comprint_com_br/Documents/Or%C3%A7amentos%20pe%C3%A7as%20Importa%C3%A7%C3%A3o/108274.pdf?csf=1&amp;web=1&amp;e=Ic2jxE" TargetMode="External"/><Relationship Id="rId22" Type="http://schemas.openxmlformats.org/officeDocument/2006/relationships/hyperlink" Target="https://maquinascomprint-my.sharepoint.com/:b:/r/personal/ricardo_almeida_comprint_com_br/Documents/Or%C3%A7amentos%20pe%C3%A7as%20Importa%C3%A7%C3%A3o/108154.pdf?csf=1&amp;web=1&amp;e=a3WQBE" TargetMode="External"/><Relationship Id="rId27" Type="http://schemas.openxmlformats.org/officeDocument/2006/relationships/hyperlink" Target="https://maquinascomprint-my.sharepoint.com/:b:/r/personal/ricardo_almeida_comprint_com_br/Documents/Or%C3%A7amentos%20pe%C3%A7as%20Importa%C3%A7%C3%A3o/108362.pdf?csf=1&amp;web=1&amp;e=q6McFa" TargetMode="External"/><Relationship Id="rId30" Type="http://schemas.openxmlformats.org/officeDocument/2006/relationships/hyperlink" Target="https://maquinascomprint-my.sharepoint.com/:b:/r/personal/ricardo_almeida_comprint_com_br/Documents/Or%C3%A7amentos%20pe%C3%A7as%20Importa%C3%A7%C3%A3o/108292.pdf?csf=1&amp;web=1&amp;e=n8G40b" TargetMode="External"/><Relationship Id="rId35" Type="http://schemas.microsoft.com/office/2017/10/relationships/threadedComment" Target="../threadedComments/threadedComment1.xml"/><Relationship Id="rId8" Type="http://schemas.openxmlformats.org/officeDocument/2006/relationships/hyperlink" Target="https://maquinascomprint-my.sharepoint.com/:b:/r/personal/ricardo_almeida_comprint_com_br/Documents/Or%C3%A7amentos%20pe%C3%A7as%20Importa%C3%A7%C3%A3o/108088.pdf?csf=1&amp;web=1&amp;e=9D6mp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05"/>
  <sheetViews>
    <sheetView tabSelected="1" zoomScaleNormal="100" workbookViewId="0">
      <pane xSplit="9" topLeftCell="J1" activePane="topRight" state="frozen"/>
      <selection pane="topRight" activeCell="I1008" sqref="I1008"/>
      <selection activeCell="A901" sqref="A901"/>
    </sheetView>
  </sheetViews>
  <sheetFormatPr defaultColWidth="9.140625" defaultRowHeight="15" customHeight="1"/>
  <cols>
    <col min="1" max="1" width="12" style="292" customWidth="1"/>
    <col min="2" max="2" width="14.28515625" style="292" customWidth="1"/>
    <col min="3" max="3" width="14.42578125" style="292" customWidth="1"/>
    <col min="4" max="4" width="14.7109375" style="292" customWidth="1"/>
    <col min="5" max="5" width="15.85546875" style="292" customWidth="1"/>
    <col min="6" max="6" width="18.140625" style="292" customWidth="1"/>
    <col min="7" max="7" width="14" style="292" customWidth="1"/>
    <col min="8" max="8" width="14.7109375" style="292" bestFit="1" customWidth="1"/>
    <col min="9" max="9" width="58" style="292" customWidth="1"/>
    <col min="10" max="10" width="15.7109375" style="292" customWidth="1"/>
    <col min="11" max="11" width="14.140625" style="292" customWidth="1"/>
    <col min="12" max="12" width="21.140625" style="292" bestFit="1" customWidth="1"/>
    <col min="13" max="13" width="23.140625" style="292" customWidth="1"/>
    <col min="14" max="14" width="15.140625" style="292" customWidth="1"/>
    <col min="15" max="15" width="12.5703125" style="292" customWidth="1"/>
    <col min="16" max="16" width="10.28515625" style="292" customWidth="1"/>
    <col min="17" max="17" width="9.140625" style="292" customWidth="1"/>
    <col min="18" max="18" width="16" style="292" customWidth="1"/>
    <col min="19" max="19" width="29.140625" style="292" customWidth="1"/>
    <col min="20" max="20" width="19.7109375" style="292" customWidth="1"/>
    <col min="21" max="21" width="23.42578125" style="292" customWidth="1"/>
    <col min="22" max="22" width="23.7109375" style="292" customWidth="1"/>
    <col min="23" max="23" width="57" style="292" customWidth="1"/>
    <col min="24" max="24" width="15.7109375" style="293" customWidth="1"/>
    <col min="25" max="25" width="19.5703125" style="293" customWidth="1"/>
    <col min="26" max="26" width="75" style="292" bestFit="1" customWidth="1"/>
    <col min="27" max="27" width="9.140625" style="292"/>
    <col min="28" max="28" width="10.28515625" style="292" customWidth="1"/>
    <col min="29" max="29" width="12.85546875" style="328" customWidth="1"/>
    <col min="30" max="31" width="12.85546875" style="334" customWidth="1"/>
    <col min="32" max="32" width="17" style="1" customWidth="1"/>
    <col min="33" max="33" width="9.140625" style="1"/>
    <col min="34" max="34" width="23.28515625" style="1" customWidth="1"/>
    <col min="35" max="16384" width="9.140625" style="1"/>
  </cols>
  <sheetData>
    <row r="1" spans="1:34" s="3" customFormat="1" ht="38.450000000000003" customHeight="1">
      <c r="A1" s="223" t="s">
        <v>0</v>
      </c>
      <c r="B1" s="212" t="s">
        <v>1</v>
      </c>
      <c r="C1" s="224" t="s">
        <v>2</v>
      </c>
      <c r="D1" s="225" t="s">
        <v>3</v>
      </c>
      <c r="E1" s="226" t="s">
        <v>4</v>
      </c>
      <c r="F1" s="227" t="s">
        <v>5</v>
      </c>
      <c r="G1" s="223" t="s">
        <v>6</v>
      </c>
      <c r="H1" s="226" t="s">
        <v>7</v>
      </c>
      <c r="I1" s="226" t="s">
        <v>8</v>
      </c>
      <c r="J1" s="226" t="s">
        <v>9</v>
      </c>
      <c r="K1" s="226" t="s">
        <v>10</v>
      </c>
      <c r="L1" s="226" t="s">
        <v>11</v>
      </c>
      <c r="M1" s="227" t="s">
        <v>12</v>
      </c>
      <c r="N1" s="217" t="s">
        <v>13</v>
      </c>
      <c r="O1" s="218" t="s">
        <v>14</v>
      </c>
      <c r="P1" s="216" t="s">
        <v>15</v>
      </c>
      <c r="Q1" s="215" t="s">
        <v>16</v>
      </c>
      <c r="R1" s="23" t="s">
        <v>17</v>
      </c>
      <c r="S1" s="24" t="s">
        <v>18</v>
      </c>
      <c r="T1" s="212" t="s">
        <v>19</v>
      </c>
      <c r="U1" s="221" t="s">
        <v>20</v>
      </c>
      <c r="V1" s="219" t="s">
        <v>21</v>
      </c>
      <c r="W1" s="24" t="s">
        <v>22</v>
      </c>
      <c r="X1" s="212" t="s">
        <v>23</v>
      </c>
      <c r="Y1" s="221" t="s">
        <v>24</v>
      </c>
      <c r="Z1" s="215" t="s">
        <v>25</v>
      </c>
      <c r="AA1" s="24" t="s">
        <v>26</v>
      </c>
      <c r="AB1" s="217" t="s">
        <v>27</v>
      </c>
      <c r="AC1" s="327" t="s">
        <v>28</v>
      </c>
      <c r="AD1" s="330" t="s">
        <v>29</v>
      </c>
      <c r="AE1" s="335" t="s">
        <v>30</v>
      </c>
      <c r="AH1" s="285">
        <f>SUBTOTAL(9, Y2:Y875)</f>
        <v>45651.81</v>
      </c>
    </row>
    <row r="2" spans="1:34" ht="18" hidden="1">
      <c r="A2" s="269" t="s">
        <v>31</v>
      </c>
      <c r="B2" s="213">
        <v>45715</v>
      </c>
      <c r="C2" s="26">
        <v>45715</v>
      </c>
      <c r="D2" s="26" t="s">
        <v>32</v>
      </c>
      <c r="E2" s="214" t="s">
        <v>33</v>
      </c>
      <c r="F2" s="214" t="s">
        <v>34</v>
      </c>
      <c r="G2" s="14">
        <v>50110193</v>
      </c>
      <c r="H2" s="214" t="s">
        <v>35</v>
      </c>
      <c r="I2" s="214" t="s">
        <v>36</v>
      </c>
      <c r="J2" s="214">
        <v>1</v>
      </c>
      <c r="K2" s="214" t="s">
        <v>37</v>
      </c>
      <c r="L2" s="214" t="s">
        <v>38</v>
      </c>
      <c r="M2" s="214" t="s">
        <v>39</v>
      </c>
      <c r="N2" s="15" t="s">
        <v>39</v>
      </c>
      <c r="O2" s="156">
        <v>1</v>
      </c>
      <c r="P2" s="156"/>
      <c r="Q2" s="15"/>
      <c r="R2" s="15"/>
      <c r="S2" s="25">
        <v>45663</v>
      </c>
      <c r="T2" s="220">
        <v>45755</v>
      </c>
      <c r="U2" s="220">
        <v>45772</v>
      </c>
      <c r="V2" s="15" t="s">
        <v>40</v>
      </c>
      <c r="W2" s="15" t="s">
        <v>41</v>
      </c>
      <c r="X2" s="222">
        <v>790.42</v>
      </c>
      <c r="Y2" s="222">
        <f>Table2[[#This Row],[PREÇO UNITARIO]]*Table2[[#This Row],[QUANTIDADE]]</f>
        <v>790.42</v>
      </c>
      <c r="Z2" s="15"/>
      <c r="AA2" s="28">
        <f>MONTH(Table2[[#This Row],[DATA PEDIDO HP]])</f>
        <v>2</v>
      </c>
      <c r="AB2" s="32" t="s">
        <v>42</v>
      </c>
      <c r="AC2" s="5">
        <f t="shared" ref="AC2:AC65" ca="1" si="0">TODAY()</f>
        <v>46232</v>
      </c>
      <c r="AD2" s="331">
        <f ca="1">_xlfn.DAYS(Table2[[#This Row],[HOJE]],Table2[[#This Row],[DATA PEDIDO HP]])</f>
        <v>517</v>
      </c>
      <c r="AE2" s="336" t="s">
        <v>43</v>
      </c>
      <c r="AH2" s="284"/>
    </row>
    <row r="3" spans="1:34" s="4" customFormat="1" ht="14.45" hidden="1">
      <c r="A3" s="269" t="s">
        <v>44</v>
      </c>
      <c r="B3" s="25">
        <v>45667</v>
      </c>
      <c r="C3" s="26">
        <v>45667</v>
      </c>
      <c r="D3" s="26" t="s">
        <v>45</v>
      </c>
      <c r="E3" s="14" t="s">
        <v>33</v>
      </c>
      <c r="F3" s="214" t="s">
        <v>34</v>
      </c>
      <c r="G3" s="14">
        <v>50110193</v>
      </c>
      <c r="H3" s="14" t="s">
        <v>46</v>
      </c>
      <c r="I3" s="14" t="s">
        <v>47</v>
      </c>
      <c r="J3" s="14">
        <v>1</v>
      </c>
      <c r="K3" s="14" t="s">
        <v>37</v>
      </c>
      <c r="L3" s="14" t="s">
        <v>48</v>
      </c>
      <c r="M3" s="14" t="s">
        <v>39</v>
      </c>
      <c r="N3" s="15" t="s">
        <v>39</v>
      </c>
      <c r="O3" s="15">
        <v>1</v>
      </c>
      <c r="P3" s="15"/>
      <c r="Q3" s="15"/>
      <c r="R3" s="15"/>
      <c r="S3" s="25"/>
      <c r="T3" s="25">
        <v>45725</v>
      </c>
      <c r="U3" s="25">
        <v>45735</v>
      </c>
      <c r="V3" s="15" t="s">
        <v>49</v>
      </c>
      <c r="W3" s="15" t="s">
        <v>41</v>
      </c>
      <c r="X3" s="27">
        <v>25.9</v>
      </c>
      <c r="Y3" s="27">
        <f>Table2[[#This Row],[PREÇO UNITARIO]]*Table2[[#This Row],[QUANTIDADE]]</f>
        <v>25.9</v>
      </c>
      <c r="Z3" s="15"/>
      <c r="AA3" s="28">
        <f>MONTH(Table2[[#This Row],[DATA PEDIDO HP]])</f>
        <v>1</v>
      </c>
      <c r="AB3" s="32" t="s">
        <v>42</v>
      </c>
      <c r="AC3" s="5">
        <f t="shared" ca="1" si="0"/>
        <v>46232</v>
      </c>
      <c r="AD3" s="331">
        <f ca="1">_xlfn.DAYS(Table2[[#This Row],[HOJE]],Table2[[#This Row],[DATA PEDIDO HP]])</f>
        <v>565</v>
      </c>
      <c r="AE3" s="5" t="s">
        <v>43</v>
      </c>
    </row>
    <row r="4" spans="1:34" ht="14.45" hidden="1">
      <c r="A4" s="269" t="s">
        <v>44</v>
      </c>
      <c r="B4" s="25">
        <v>45667</v>
      </c>
      <c r="C4" s="26">
        <v>45667</v>
      </c>
      <c r="D4" s="26" t="s">
        <v>45</v>
      </c>
      <c r="E4" s="14" t="s">
        <v>33</v>
      </c>
      <c r="F4" s="214" t="s">
        <v>34</v>
      </c>
      <c r="G4" s="14">
        <v>50110193</v>
      </c>
      <c r="H4" s="14" t="s">
        <v>50</v>
      </c>
      <c r="I4" s="14" t="s">
        <v>51</v>
      </c>
      <c r="J4" s="14">
        <v>1</v>
      </c>
      <c r="K4" s="14" t="s">
        <v>37</v>
      </c>
      <c r="L4" s="14" t="s">
        <v>48</v>
      </c>
      <c r="M4" s="14" t="s">
        <v>39</v>
      </c>
      <c r="N4" s="15" t="s">
        <v>39</v>
      </c>
      <c r="O4" s="15">
        <v>1</v>
      </c>
      <c r="P4" s="15"/>
      <c r="Q4" s="15"/>
      <c r="R4" s="15"/>
      <c r="S4" s="25"/>
      <c r="T4" s="25">
        <v>45725</v>
      </c>
      <c r="U4" s="25">
        <v>45735</v>
      </c>
      <c r="V4" s="15" t="s">
        <v>49</v>
      </c>
      <c r="W4" s="15" t="s">
        <v>41</v>
      </c>
      <c r="X4" s="27">
        <v>59.94</v>
      </c>
      <c r="Y4" s="27">
        <f>Table2[[#This Row],[PREÇO UNITARIO]]*Table2[[#This Row],[QUANTIDADE]]</f>
        <v>59.94</v>
      </c>
      <c r="Z4" s="15"/>
      <c r="AA4" s="28">
        <f>MONTH(Table2[[#This Row],[DATA PEDIDO HP]])</f>
        <v>1</v>
      </c>
      <c r="AB4" s="32" t="s">
        <v>42</v>
      </c>
      <c r="AC4" s="5">
        <f t="shared" ca="1" si="0"/>
        <v>46232</v>
      </c>
      <c r="AD4" s="331">
        <f ca="1">_xlfn.DAYS(Table2[[#This Row],[HOJE]],Table2[[#This Row],[DATA PEDIDO HP]])</f>
        <v>565</v>
      </c>
      <c r="AE4" s="5" t="s">
        <v>43</v>
      </c>
    </row>
    <row r="5" spans="1:34" ht="14.45" hidden="1">
      <c r="A5" s="269" t="s">
        <v>52</v>
      </c>
      <c r="B5" s="25">
        <v>45667</v>
      </c>
      <c r="C5" s="26">
        <v>45667</v>
      </c>
      <c r="D5" s="14" t="s">
        <v>53</v>
      </c>
      <c r="E5" s="14" t="s">
        <v>54</v>
      </c>
      <c r="F5" s="14" t="s">
        <v>55</v>
      </c>
      <c r="G5" s="14">
        <v>44000216</v>
      </c>
      <c r="H5" s="14" t="s">
        <v>56</v>
      </c>
      <c r="I5" s="14" t="s">
        <v>57</v>
      </c>
      <c r="J5" s="14">
        <v>1</v>
      </c>
      <c r="K5" s="14" t="s">
        <v>37</v>
      </c>
      <c r="L5" s="14" t="s">
        <v>48</v>
      </c>
      <c r="M5" s="14" t="s">
        <v>58</v>
      </c>
      <c r="N5" s="15" t="s">
        <v>58</v>
      </c>
      <c r="O5" s="15">
        <v>1</v>
      </c>
      <c r="P5" s="15"/>
      <c r="Q5" s="15"/>
      <c r="R5" s="15"/>
      <c r="S5" s="25">
        <v>45667</v>
      </c>
      <c r="T5" s="25">
        <v>45725</v>
      </c>
      <c r="U5" s="25">
        <v>45735</v>
      </c>
      <c r="V5" s="15" t="s">
        <v>49</v>
      </c>
      <c r="W5" s="15" t="s">
        <v>59</v>
      </c>
      <c r="X5" s="27">
        <v>14.72</v>
      </c>
      <c r="Y5" s="27">
        <f>Table2[[#This Row],[PREÇO UNITARIO]]*Table2[[#This Row],[QUANTIDADE]]</f>
        <v>14.72</v>
      </c>
      <c r="Z5" s="15"/>
      <c r="AA5" s="28">
        <f>MONTH(Table2[[#This Row],[DATA PEDIDO HP]])</f>
        <v>1</v>
      </c>
      <c r="AB5" s="32" t="s">
        <v>60</v>
      </c>
      <c r="AC5" s="5">
        <f t="shared" ca="1" si="0"/>
        <v>46232</v>
      </c>
      <c r="AD5" s="331">
        <f ca="1">_xlfn.DAYS(Table2[[#This Row],[HOJE]],Table2[[#This Row],[DATA PEDIDO HP]])</f>
        <v>565</v>
      </c>
      <c r="AE5" s="336" t="s">
        <v>43</v>
      </c>
    </row>
    <row r="6" spans="1:34" ht="14.45" hidden="1">
      <c r="A6" s="269" t="s">
        <v>61</v>
      </c>
      <c r="B6" s="25">
        <v>45673</v>
      </c>
      <c r="C6" s="26">
        <v>45672</v>
      </c>
      <c r="D6" s="14" t="s">
        <v>62</v>
      </c>
      <c r="E6" s="14" t="s">
        <v>63</v>
      </c>
      <c r="F6" s="14" t="s">
        <v>64</v>
      </c>
      <c r="G6" s="14">
        <v>48000432</v>
      </c>
      <c r="H6" s="14" t="s">
        <v>65</v>
      </c>
      <c r="I6" s="14" t="s">
        <v>66</v>
      </c>
      <c r="J6" s="14">
        <v>1</v>
      </c>
      <c r="K6" s="14" t="s">
        <v>67</v>
      </c>
      <c r="L6" s="14" t="s">
        <v>68</v>
      </c>
      <c r="M6" s="14" t="s">
        <v>58</v>
      </c>
      <c r="N6" s="15" t="s">
        <v>58</v>
      </c>
      <c r="O6" s="15">
        <v>1</v>
      </c>
      <c r="P6" s="15"/>
      <c r="Q6" s="15"/>
      <c r="R6" s="15"/>
      <c r="S6" s="25">
        <v>45673</v>
      </c>
      <c r="T6" s="25">
        <v>45679</v>
      </c>
      <c r="U6" s="25">
        <v>45687</v>
      </c>
      <c r="V6" s="15" t="s">
        <v>69</v>
      </c>
      <c r="W6" s="15" t="s">
        <v>70</v>
      </c>
      <c r="X6" s="27">
        <v>1579.42</v>
      </c>
      <c r="Y6" s="27">
        <f>Table2[[#This Row],[PREÇO UNITARIO]]*Table2[[#This Row],[QUANTIDADE]]</f>
        <v>1579.42</v>
      </c>
      <c r="Z6" s="15"/>
      <c r="AA6" s="28">
        <f>MONTH(Table2[[#This Row],[DATA PEDIDO HP]])</f>
        <v>1</v>
      </c>
      <c r="AB6" s="32" t="s">
        <v>60</v>
      </c>
      <c r="AC6" s="5">
        <f t="shared" ca="1" si="0"/>
        <v>46232</v>
      </c>
      <c r="AD6" s="331">
        <f ca="1">_xlfn.DAYS(Table2[[#This Row],[HOJE]],Table2[[#This Row],[DATA PEDIDO HP]])</f>
        <v>559</v>
      </c>
      <c r="AE6" s="336" t="s">
        <v>43</v>
      </c>
    </row>
    <row r="7" spans="1:34" ht="14.45" hidden="1">
      <c r="A7" s="269" t="s">
        <v>71</v>
      </c>
      <c r="B7" s="25">
        <v>45678</v>
      </c>
      <c r="C7" s="26">
        <v>45667</v>
      </c>
      <c r="D7" s="14" t="s">
        <v>72</v>
      </c>
      <c r="E7" s="14" t="s">
        <v>73</v>
      </c>
      <c r="F7" s="14" t="s">
        <v>74</v>
      </c>
      <c r="G7" s="14">
        <v>50000343</v>
      </c>
      <c r="H7" s="14" t="s">
        <v>75</v>
      </c>
      <c r="I7" s="14" t="s">
        <v>76</v>
      </c>
      <c r="J7" s="14">
        <v>1</v>
      </c>
      <c r="K7" s="14" t="s">
        <v>37</v>
      </c>
      <c r="L7" s="14" t="s">
        <v>48</v>
      </c>
      <c r="M7" s="14" t="s">
        <v>58</v>
      </c>
      <c r="N7" s="15" t="s">
        <v>58</v>
      </c>
      <c r="O7" s="15">
        <v>1</v>
      </c>
      <c r="P7" s="15"/>
      <c r="Q7" s="15"/>
      <c r="R7" s="15"/>
      <c r="S7" s="25">
        <v>45663</v>
      </c>
      <c r="T7" s="25">
        <v>45725</v>
      </c>
      <c r="U7" s="25">
        <v>45735</v>
      </c>
      <c r="V7" s="15" t="s">
        <v>49</v>
      </c>
      <c r="W7" s="15" t="s">
        <v>41</v>
      </c>
      <c r="X7" s="27">
        <v>976.79</v>
      </c>
      <c r="Y7" s="27">
        <f>Table2[[#This Row],[PREÇO UNITARIO]]*Table2[[#This Row],[QUANTIDADE]]</f>
        <v>976.79</v>
      </c>
      <c r="Z7" s="15"/>
      <c r="AA7" s="28">
        <f>MONTH(Table2[[#This Row],[DATA PEDIDO HP]])</f>
        <v>1</v>
      </c>
      <c r="AB7" s="32" t="s">
        <v>42</v>
      </c>
      <c r="AC7" s="5">
        <f t="shared" ca="1" si="0"/>
        <v>46232</v>
      </c>
      <c r="AD7" s="331">
        <f ca="1">_xlfn.DAYS(Table2[[#This Row],[HOJE]],Table2[[#This Row],[DATA PEDIDO HP]])</f>
        <v>554</v>
      </c>
      <c r="AE7" s="336" t="s">
        <v>43</v>
      </c>
    </row>
    <row r="8" spans="1:34" ht="14.45" hidden="1">
      <c r="A8" s="269" t="s">
        <v>77</v>
      </c>
      <c r="B8" s="25">
        <v>45667</v>
      </c>
      <c r="C8" s="26">
        <v>45667</v>
      </c>
      <c r="D8" s="14" t="s">
        <v>78</v>
      </c>
      <c r="E8" s="14" t="s">
        <v>79</v>
      </c>
      <c r="F8" s="14" t="s">
        <v>74</v>
      </c>
      <c r="G8" s="14">
        <v>50000530</v>
      </c>
      <c r="H8" s="14" t="s">
        <v>80</v>
      </c>
      <c r="I8" s="14" t="s">
        <v>81</v>
      </c>
      <c r="J8" s="14">
        <v>1</v>
      </c>
      <c r="K8" s="14" t="s">
        <v>37</v>
      </c>
      <c r="L8" s="14" t="s">
        <v>48</v>
      </c>
      <c r="M8" s="14" t="s">
        <v>58</v>
      </c>
      <c r="N8" s="15" t="s">
        <v>58</v>
      </c>
      <c r="O8" s="15">
        <v>1</v>
      </c>
      <c r="P8" s="15"/>
      <c r="Q8" s="15"/>
      <c r="R8" s="15"/>
      <c r="S8" s="25">
        <v>45667</v>
      </c>
      <c r="T8" s="25">
        <v>45725</v>
      </c>
      <c r="U8" s="25">
        <v>45735</v>
      </c>
      <c r="V8" s="15" t="s">
        <v>49</v>
      </c>
      <c r="W8" s="15" t="s">
        <v>82</v>
      </c>
      <c r="X8" s="27">
        <v>49.07</v>
      </c>
      <c r="Y8" s="27">
        <f>Table2[[#This Row],[PREÇO UNITARIO]]*Table2[[#This Row],[QUANTIDADE]]</f>
        <v>49.07</v>
      </c>
      <c r="Z8" s="15"/>
      <c r="AA8" s="28">
        <f>MONTH(Table2[[#This Row],[DATA PEDIDO HP]])</f>
        <v>1</v>
      </c>
      <c r="AB8" s="32" t="s">
        <v>60</v>
      </c>
      <c r="AC8" s="5">
        <f t="shared" ca="1" si="0"/>
        <v>46232</v>
      </c>
      <c r="AD8" s="331">
        <f ca="1">_xlfn.DAYS(Table2[[#This Row],[HOJE]],Table2[[#This Row],[DATA PEDIDO HP]])</f>
        <v>565</v>
      </c>
      <c r="AE8" s="336" t="s">
        <v>43</v>
      </c>
    </row>
    <row r="9" spans="1:34" ht="14.45" hidden="1">
      <c r="A9" s="269" t="s">
        <v>83</v>
      </c>
      <c r="B9" s="25">
        <v>45667</v>
      </c>
      <c r="C9" s="26">
        <v>45667</v>
      </c>
      <c r="D9" s="14" t="s">
        <v>84</v>
      </c>
      <c r="E9" s="14" t="s">
        <v>85</v>
      </c>
      <c r="F9" s="14" t="s">
        <v>74</v>
      </c>
      <c r="G9" s="14">
        <v>50000260</v>
      </c>
      <c r="H9" s="14" t="s">
        <v>86</v>
      </c>
      <c r="I9" s="14" t="s">
        <v>87</v>
      </c>
      <c r="J9" s="14">
        <v>1</v>
      </c>
      <c r="K9" s="14" t="s">
        <v>37</v>
      </c>
      <c r="L9" s="14" t="s">
        <v>48</v>
      </c>
      <c r="M9" s="14" t="s">
        <v>88</v>
      </c>
      <c r="N9" s="15" t="s">
        <v>89</v>
      </c>
      <c r="O9" s="15">
        <v>0</v>
      </c>
      <c r="P9" s="15"/>
      <c r="Q9" s="15"/>
      <c r="R9" s="15" t="s">
        <v>90</v>
      </c>
      <c r="S9" s="25"/>
      <c r="T9" s="25">
        <v>45725</v>
      </c>
      <c r="U9" s="25">
        <v>45735</v>
      </c>
      <c r="V9" s="15" t="s">
        <v>49</v>
      </c>
      <c r="W9" s="15" t="s">
        <v>41</v>
      </c>
      <c r="X9" s="27">
        <v>98.6</v>
      </c>
      <c r="Y9" s="27">
        <f>Table2[[#This Row],[PREÇO UNITARIO]]*Table2[[#This Row],[QUANTIDADE]]</f>
        <v>98.6</v>
      </c>
      <c r="Z9" s="15"/>
      <c r="AA9" s="28">
        <f>MONTH(Table2[[#This Row],[DATA PEDIDO HP]])</f>
        <v>1</v>
      </c>
      <c r="AB9" s="32" t="s">
        <v>42</v>
      </c>
      <c r="AC9" s="5">
        <f t="shared" ca="1" si="0"/>
        <v>46232</v>
      </c>
      <c r="AD9" s="331">
        <f ca="1">_xlfn.DAYS(Table2[[#This Row],[HOJE]],Table2[[#This Row],[DATA PEDIDO HP]])</f>
        <v>565</v>
      </c>
      <c r="AE9" s="5" t="s">
        <v>43</v>
      </c>
    </row>
    <row r="10" spans="1:34" ht="14.45" hidden="1">
      <c r="A10" s="269" t="s">
        <v>91</v>
      </c>
      <c r="B10" s="25">
        <v>45670</v>
      </c>
      <c r="C10" s="26">
        <v>45670</v>
      </c>
      <c r="D10" s="14" t="s">
        <v>92</v>
      </c>
      <c r="E10" s="14" t="s">
        <v>93</v>
      </c>
      <c r="F10" s="14" t="s">
        <v>74</v>
      </c>
      <c r="G10" s="14">
        <v>50000202</v>
      </c>
      <c r="H10" s="14" t="s">
        <v>94</v>
      </c>
      <c r="I10" s="14" t="s">
        <v>95</v>
      </c>
      <c r="J10" s="14">
        <v>1</v>
      </c>
      <c r="K10" s="14" t="s">
        <v>37</v>
      </c>
      <c r="L10" s="14" t="s">
        <v>96</v>
      </c>
      <c r="M10" s="14" t="s">
        <v>58</v>
      </c>
      <c r="N10" s="15" t="s">
        <v>58</v>
      </c>
      <c r="O10" s="15">
        <v>1</v>
      </c>
      <c r="P10" s="15"/>
      <c r="Q10" s="15"/>
      <c r="R10" s="15"/>
      <c r="S10" s="25">
        <v>45670</v>
      </c>
      <c r="T10" s="25">
        <v>45725</v>
      </c>
      <c r="U10" s="25">
        <v>45735</v>
      </c>
      <c r="V10" s="15" t="s">
        <v>49</v>
      </c>
      <c r="W10" s="15" t="s">
        <v>97</v>
      </c>
      <c r="X10" s="27">
        <v>177.88</v>
      </c>
      <c r="Y10" s="27">
        <f>Table2[[#This Row],[PREÇO UNITARIO]]*Table2[[#This Row],[QUANTIDADE]]</f>
        <v>177.88</v>
      </c>
      <c r="Z10" s="15"/>
      <c r="AA10" s="28">
        <f>MONTH(Table2[[#This Row],[DATA PEDIDO HP]])</f>
        <v>1</v>
      </c>
      <c r="AB10" s="32" t="s">
        <v>60</v>
      </c>
      <c r="AC10" s="5">
        <f t="shared" ca="1" si="0"/>
        <v>46232</v>
      </c>
      <c r="AD10" s="331">
        <f ca="1">_xlfn.DAYS(Table2[[#This Row],[HOJE]],Table2[[#This Row],[DATA PEDIDO HP]])</f>
        <v>562</v>
      </c>
      <c r="AE10" s="336" t="s">
        <v>43</v>
      </c>
    </row>
    <row r="11" spans="1:34" ht="14.45" hidden="1">
      <c r="A11" s="269" t="s">
        <v>91</v>
      </c>
      <c r="B11" s="25">
        <v>45670</v>
      </c>
      <c r="C11" s="26">
        <v>45670</v>
      </c>
      <c r="D11" s="14" t="s">
        <v>92</v>
      </c>
      <c r="E11" s="14" t="s">
        <v>93</v>
      </c>
      <c r="F11" s="14" t="s">
        <v>74</v>
      </c>
      <c r="G11" s="14">
        <v>50000202</v>
      </c>
      <c r="H11" s="14" t="s">
        <v>98</v>
      </c>
      <c r="I11" s="14" t="s">
        <v>99</v>
      </c>
      <c r="J11" s="14">
        <v>1</v>
      </c>
      <c r="K11" s="14" t="s">
        <v>37</v>
      </c>
      <c r="L11" s="14" t="s">
        <v>96</v>
      </c>
      <c r="M11" s="14" t="s">
        <v>58</v>
      </c>
      <c r="N11" s="15" t="s">
        <v>58</v>
      </c>
      <c r="O11" s="15">
        <v>1</v>
      </c>
      <c r="P11" s="15"/>
      <c r="Q11" s="15"/>
      <c r="R11" s="15" t="s">
        <v>100</v>
      </c>
      <c r="S11" s="25">
        <v>45670</v>
      </c>
      <c r="T11" s="25">
        <v>45725</v>
      </c>
      <c r="U11" s="25">
        <v>45735</v>
      </c>
      <c r="V11" s="15" t="s">
        <v>49</v>
      </c>
      <c r="W11" s="15" t="s">
        <v>97</v>
      </c>
      <c r="X11" s="27">
        <v>309.75</v>
      </c>
      <c r="Y11" s="27">
        <f>Table2[[#This Row],[PREÇO UNITARIO]]*Table2[[#This Row],[QUANTIDADE]]</f>
        <v>309.75</v>
      </c>
      <c r="Z11" s="15"/>
      <c r="AA11" s="28">
        <f>MONTH(Table2[[#This Row],[DATA PEDIDO HP]])</f>
        <v>1</v>
      </c>
      <c r="AB11" s="32" t="s">
        <v>60</v>
      </c>
      <c r="AC11" s="5">
        <f t="shared" ca="1" si="0"/>
        <v>46232</v>
      </c>
      <c r="AD11" s="331">
        <f ca="1">_xlfn.DAYS(Table2[[#This Row],[HOJE]],Table2[[#This Row],[DATA PEDIDO HP]])</f>
        <v>562</v>
      </c>
      <c r="AE11" s="336" t="s">
        <v>43</v>
      </c>
    </row>
    <row r="12" spans="1:34" ht="14.45" hidden="1">
      <c r="A12" s="269" t="s">
        <v>101</v>
      </c>
      <c r="B12" s="25">
        <v>45673</v>
      </c>
      <c r="C12" s="26">
        <v>45671</v>
      </c>
      <c r="D12" s="14" t="s">
        <v>102</v>
      </c>
      <c r="E12" s="14" t="s">
        <v>103</v>
      </c>
      <c r="F12" s="14" t="s">
        <v>104</v>
      </c>
      <c r="G12" s="14">
        <v>51000323</v>
      </c>
      <c r="H12" s="14" t="s">
        <v>105</v>
      </c>
      <c r="I12" s="14" t="s">
        <v>106</v>
      </c>
      <c r="J12" s="14">
        <v>1</v>
      </c>
      <c r="K12" s="14" t="s">
        <v>37</v>
      </c>
      <c r="L12" s="14" t="s">
        <v>48</v>
      </c>
      <c r="M12" s="14" t="s">
        <v>88</v>
      </c>
      <c r="N12" s="15" t="s">
        <v>89</v>
      </c>
      <c r="O12" s="15">
        <v>0</v>
      </c>
      <c r="P12" s="15"/>
      <c r="Q12" s="15"/>
      <c r="R12" s="15"/>
      <c r="S12" s="25"/>
      <c r="T12" s="25">
        <v>45725</v>
      </c>
      <c r="U12" s="25">
        <v>45735</v>
      </c>
      <c r="V12" s="15" t="s">
        <v>49</v>
      </c>
      <c r="W12" s="15" t="s">
        <v>41</v>
      </c>
      <c r="X12" s="27">
        <v>92.01</v>
      </c>
      <c r="Y12" s="27">
        <f>Table2[[#This Row],[PREÇO UNITARIO]]*Table2[[#This Row],[QUANTIDADE]]</f>
        <v>92.01</v>
      </c>
      <c r="Z12" s="15"/>
      <c r="AA12" s="28">
        <f>MONTH(Table2[[#This Row],[DATA PEDIDO HP]])</f>
        <v>1</v>
      </c>
      <c r="AB12" s="32" t="s">
        <v>42</v>
      </c>
      <c r="AC12" s="5">
        <f t="shared" ca="1" si="0"/>
        <v>46232</v>
      </c>
      <c r="AD12" s="331">
        <f ca="1">_xlfn.DAYS(Table2[[#This Row],[HOJE]],Table2[[#This Row],[DATA PEDIDO HP]])</f>
        <v>559</v>
      </c>
      <c r="AE12" s="5" t="s">
        <v>43</v>
      </c>
    </row>
    <row r="13" spans="1:34" ht="14.45" hidden="1">
      <c r="A13" s="269" t="s">
        <v>107</v>
      </c>
      <c r="B13" s="25">
        <v>45673</v>
      </c>
      <c r="C13" s="26">
        <v>45671</v>
      </c>
      <c r="D13" s="14" t="s">
        <v>108</v>
      </c>
      <c r="E13" s="14" t="s">
        <v>109</v>
      </c>
      <c r="F13" s="14" t="s">
        <v>74</v>
      </c>
      <c r="G13" s="14">
        <v>50110229</v>
      </c>
      <c r="H13" s="14" t="s">
        <v>110</v>
      </c>
      <c r="I13" s="14" t="s">
        <v>111</v>
      </c>
      <c r="J13" s="14">
        <v>1</v>
      </c>
      <c r="K13" s="14" t="s">
        <v>37</v>
      </c>
      <c r="L13" s="14" t="s">
        <v>48</v>
      </c>
      <c r="M13" s="14" t="s">
        <v>39</v>
      </c>
      <c r="N13" s="15" t="s">
        <v>39</v>
      </c>
      <c r="O13" s="15">
        <v>1</v>
      </c>
      <c r="P13" s="15"/>
      <c r="Q13" s="15"/>
      <c r="R13" s="15"/>
      <c r="S13" s="25"/>
      <c r="T13" s="25">
        <v>45725</v>
      </c>
      <c r="U13" s="25">
        <v>45735</v>
      </c>
      <c r="V13" s="15" t="s">
        <v>49</v>
      </c>
      <c r="W13" s="15" t="s">
        <v>41</v>
      </c>
      <c r="X13" s="27">
        <v>53.67</v>
      </c>
      <c r="Y13" s="27">
        <f>Table2[[#This Row],[PREÇO UNITARIO]]*Table2[[#This Row],[QUANTIDADE]]</f>
        <v>53.67</v>
      </c>
      <c r="Z13" s="15"/>
      <c r="AA13" s="28">
        <f>MONTH(Table2[[#This Row],[DATA PEDIDO HP]])</f>
        <v>1</v>
      </c>
      <c r="AB13" s="32" t="s">
        <v>42</v>
      </c>
      <c r="AC13" s="5">
        <f t="shared" ca="1" si="0"/>
        <v>46232</v>
      </c>
      <c r="AD13" s="331">
        <f ca="1">_xlfn.DAYS(Table2[[#This Row],[HOJE]],Table2[[#This Row],[DATA PEDIDO HP]])</f>
        <v>559</v>
      </c>
      <c r="AE13" s="5" t="s">
        <v>43</v>
      </c>
    </row>
    <row r="14" spans="1:34" ht="14.45" hidden="1">
      <c r="A14" s="269" t="s">
        <v>112</v>
      </c>
      <c r="B14" s="25">
        <v>45673</v>
      </c>
      <c r="C14" s="26">
        <v>45671</v>
      </c>
      <c r="D14" s="14" t="s">
        <v>113</v>
      </c>
      <c r="E14" s="14" t="s">
        <v>93</v>
      </c>
      <c r="F14" s="14" t="s">
        <v>74</v>
      </c>
      <c r="G14" s="14">
        <v>50000202</v>
      </c>
      <c r="H14" s="14" t="s">
        <v>114</v>
      </c>
      <c r="I14" s="14" t="s">
        <v>115</v>
      </c>
      <c r="J14" s="14">
        <v>1</v>
      </c>
      <c r="K14" s="14" t="s">
        <v>37</v>
      </c>
      <c r="L14" s="14" t="s">
        <v>48</v>
      </c>
      <c r="M14" s="14" t="s">
        <v>58</v>
      </c>
      <c r="N14" s="15" t="s">
        <v>58</v>
      </c>
      <c r="O14" s="15">
        <v>1</v>
      </c>
      <c r="P14" s="15"/>
      <c r="Q14" s="15"/>
      <c r="R14" s="15"/>
      <c r="S14" s="25">
        <v>45673</v>
      </c>
      <c r="T14" s="25">
        <v>45725</v>
      </c>
      <c r="U14" s="25">
        <v>45735</v>
      </c>
      <c r="V14" s="15" t="s">
        <v>49</v>
      </c>
      <c r="W14" s="15" t="s">
        <v>97</v>
      </c>
      <c r="X14" s="27">
        <v>79.02</v>
      </c>
      <c r="Y14" s="27">
        <f>Table2[[#This Row],[PREÇO UNITARIO]]*Table2[[#This Row],[QUANTIDADE]]</f>
        <v>79.02</v>
      </c>
      <c r="Z14" s="15"/>
      <c r="AA14" s="28">
        <f>MONTH(Table2[[#This Row],[DATA PEDIDO HP]])</f>
        <v>1</v>
      </c>
      <c r="AB14" s="32" t="s">
        <v>60</v>
      </c>
      <c r="AC14" s="5">
        <f t="shared" ca="1" si="0"/>
        <v>46232</v>
      </c>
      <c r="AD14" s="331">
        <f ca="1">_xlfn.DAYS(Table2[[#This Row],[HOJE]],Table2[[#This Row],[DATA PEDIDO HP]])</f>
        <v>559</v>
      </c>
      <c r="AE14" s="336" t="s">
        <v>43</v>
      </c>
    </row>
    <row r="15" spans="1:34" ht="14.45" hidden="1">
      <c r="A15" s="269" t="s">
        <v>116</v>
      </c>
      <c r="B15" s="25">
        <v>45673</v>
      </c>
      <c r="C15" s="26">
        <v>45671</v>
      </c>
      <c r="D15" s="14" t="s">
        <v>117</v>
      </c>
      <c r="E15" s="14" t="s">
        <v>118</v>
      </c>
      <c r="F15" s="14" t="s">
        <v>64</v>
      </c>
      <c r="G15" s="14">
        <v>48000044</v>
      </c>
      <c r="H15" s="14" t="s">
        <v>119</v>
      </c>
      <c r="I15" s="14" t="s">
        <v>120</v>
      </c>
      <c r="J15" s="14">
        <v>2</v>
      </c>
      <c r="K15" s="14" t="s">
        <v>37</v>
      </c>
      <c r="L15" s="14" t="s">
        <v>48</v>
      </c>
      <c r="M15" s="14" t="s">
        <v>58</v>
      </c>
      <c r="N15" s="15" t="s">
        <v>58</v>
      </c>
      <c r="O15" s="15">
        <v>2</v>
      </c>
      <c r="P15" s="15"/>
      <c r="Q15" s="15"/>
      <c r="R15" s="15"/>
      <c r="S15" s="25">
        <v>45673</v>
      </c>
      <c r="T15" s="25">
        <v>45725</v>
      </c>
      <c r="U15" s="25">
        <v>45735</v>
      </c>
      <c r="V15" s="15" t="s">
        <v>49</v>
      </c>
      <c r="W15" s="15"/>
      <c r="X15" s="27">
        <v>21.47</v>
      </c>
      <c r="Y15" s="27">
        <f>Table2[[#This Row],[PREÇO UNITARIO]]*Table2[[#This Row],[QUANTIDADE]]</f>
        <v>42.94</v>
      </c>
      <c r="Z15" s="15" t="s">
        <v>121</v>
      </c>
      <c r="AA15" s="28">
        <f>MONTH(Table2[[#This Row],[DATA PEDIDO HP]])</f>
        <v>1</v>
      </c>
      <c r="AB15" s="32" t="s">
        <v>60</v>
      </c>
      <c r="AC15" s="5">
        <f t="shared" ca="1" si="0"/>
        <v>46232</v>
      </c>
      <c r="AD15" s="331">
        <f ca="1">_xlfn.DAYS(Table2[[#This Row],[HOJE]],Table2[[#This Row],[DATA PEDIDO HP]])</f>
        <v>559</v>
      </c>
      <c r="AE15" s="336" t="s">
        <v>43</v>
      </c>
    </row>
    <row r="16" spans="1:34" ht="14.45" hidden="1">
      <c r="A16" s="269" t="s">
        <v>122</v>
      </c>
      <c r="B16" s="25">
        <v>45673</v>
      </c>
      <c r="C16" s="26">
        <v>45671</v>
      </c>
      <c r="D16" s="14" t="s">
        <v>123</v>
      </c>
      <c r="E16" s="14" t="s">
        <v>109</v>
      </c>
      <c r="F16" s="14" t="s">
        <v>74</v>
      </c>
      <c r="G16" s="14">
        <v>50110229</v>
      </c>
      <c r="H16" s="14" t="s">
        <v>124</v>
      </c>
      <c r="I16" s="14" t="s">
        <v>125</v>
      </c>
      <c r="J16" s="14">
        <v>1</v>
      </c>
      <c r="K16" s="14" t="s">
        <v>37</v>
      </c>
      <c r="L16" s="14" t="s">
        <v>48</v>
      </c>
      <c r="M16" s="14" t="s">
        <v>39</v>
      </c>
      <c r="N16" s="15" t="s">
        <v>39</v>
      </c>
      <c r="O16" s="15">
        <v>1</v>
      </c>
      <c r="P16" s="15"/>
      <c r="Q16" s="15"/>
      <c r="R16" s="15"/>
      <c r="S16" s="25"/>
      <c r="T16" s="25">
        <v>45725</v>
      </c>
      <c r="U16" s="25">
        <v>45735</v>
      </c>
      <c r="V16" s="15" t="s">
        <v>49</v>
      </c>
      <c r="W16" s="15" t="s">
        <v>41</v>
      </c>
      <c r="X16" s="27">
        <v>28.81</v>
      </c>
      <c r="Y16" s="27">
        <f>Table2[[#This Row],[PREÇO UNITARIO]]*Table2[[#This Row],[QUANTIDADE]]</f>
        <v>28.81</v>
      </c>
      <c r="Z16" s="15"/>
      <c r="AA16" s="28">
        <f>MONTH(Table2[[#This Row],[DATA PEDIDO HP]])</f>
        <v>1</v>
      </c>
      <c r="AB16" s="32" t="s">
        <v>42</v>
      </c>
      <c r="AC16" s="5">
        <f t="shared" ca="1" si="0"/>
        <v>46232</v>
      </c>
      <c r="AD16" s="331">
        <f ca="1">_xlfn.DAYS(Table2[[#This Row],[HOJE]],Table2[[#This Row],[DATA PEDIDO HP]])</f>
        <v>559</v>
      </c>
      <c r="AE16" s="5" t="s">
        <v>43</v>
      </c>
    </row>
    <row r="17" spans="1:31" ht="14.45" hidden="1">
      <c r="A17" s="269" t="s">
        <v>122</v>
      </c>
      <c r="B17" s="25">
        <v>45673</v>
      </c>
      <c r="C17" s="26">
        <v>45671</v>
      </c>
      <c r="D17" s="14" t="s">
        <v>123</v>
      </c>
      <c r="E17" s="14" t="s">
        <v>109</v>
      </c>
      <c r="F17" s="14" t="s">
        <v>74</v>
      </c>
      <c r="G17" s="14">
        <v>50110229</v>
      </c>
      <c r="H17" s="14" t="s">
        <v>126</v>
      </c>
      <c r="I17" s="14" t="s">
        <v>127</v>
      </c>
      <c r="J17" s="14">
        <v>1</v>
      </c>
      <c r="K17" s="14" t="s">
        <v>37</v>
      </c>
      <c r="L17" s="14" t="s">
        <v>48</v>
      </c>
      <c r="M17" s="14" t="s">
        <v>39</v>
      </c>
      <c r="N17" s="15" t="s">
        <v>39</v>
      </c>
      <c r="O17" s="15">
        <v>1</v>
      </c>
      <c r="P17" s="15"/>
      <c r="Q17" s="15"/>
      <c r="R17" s="15"/>
      <c r="S17" s="25"/>
      <c r="T17" s="25">
        <v>45725</v>
      </c>
      <c r="U17" s="25">
        <v>45735</v>
      </c>
      <c r="V17" s="15" t="s">
        <v>49</v>
      </c>
      <c r="W17" s="15" t="s">
        <v>41</v>
      </c>
      <c r="X17" s="27">
        <v>434.22</v>
      </c>
      <c r="Y17" s="27">
        <f>Table2[[#This Row],[PREÇO UNITARIO]]*Table2[[#This Row],[QUANTIDADE]]</f>
        <v>434.22</v>
      </c>
      <c r="Z17" s="15"/>
      <c r="AA17" s="28">
        <f>MONTH(Table2[[#This Row],[DATA PEDIDO HP]])</f>
        <v>1</v>
      </c>
      <c r="AB17" s="32" t="s">
        <v>42</v>
      </c>
      <c r="AC17" s="5">
        <f t="shared" ca="1" si="0"/>
        <v>46232</v>
      </c>
      <c r="AD17" s="331">
        <f ca="1">_xlfn.DAYS(Table2[[#This Row],[HOJE]],Table2[[#This Row],[DATA PEDIDO HP]])</f>
        <v>559</v>
      </c>
      <c r="AE17" s="5" t="s">
        <v>43</v>
      </c>
    </row>
    <row r="18" spans="1:31" ht="14.45" hidden="1">
      <c r="A18" s="269" t="s">
        <v>128</v>
      </c>
      <c r="B18" s="25">
        <v>45673</v>
      </c>
      <c r="C18" s="26">
        <v>45671</v>
      </c>
      <c r="D18" s="14" t="s">
        <v>129</v>
      </c>
      <c r="E18" s="14" t="s">
        <v>63</v>
      </c>
      <c r="F18" s="14" t="s">
        <v>55</v>
      </c>
      <c r="G18" s="14">
        <v>44000059</v>
      </c>
      <c r="H18" s="14" t="s">
        <v>130</v>
      </c>
      <c r="I18" s="14" t="s">
        <v>131</v>
      </c>
      <c r="J18" s="14">
        <v>2</v>
      </c>
      <c r="K18" s="14" t="s">
        <v>37</v>
      </c>
      <c r="L18" s="14" t="s">
        <v>48</v>
      </c>
      <c r="M18" s="14" t="s">
        <v>58</v>
      </c>
      <c r="N18" s="15" t="s">
        <v>58</v>
      </c>
      <c r="O18" s="15">
        <v>2</v>
      </c>
      <c r="P18" s="15"/>
      <c r="Q18" s="15"/>
      <c r="R18" s="15"/>
      <c r="S18" s="25">
        <v>45673</v>
      </c>
      <c r="T18" s="25">
        <v>45725</v>
      </c>
      <c r="U18" s="25">
        <v>45735</v>
      </c>
      <c r="V18" s="15" t="s">
        <v>49</v>
      </c>
      <c r="W18" s="15" t="s">
        <v>70</v>
      </c>
      <c r="X18" s="27">
        <v>16.22</v>
      </c>
      <c r="Y18" s="27">
        <f>Table2[[#This Row],[PREÇO UNITARIO]]*Table2[[#This Row],[QUANTIDADE]]</f>
        <v>32.44</v>
      </c>
      <c r="Z18" s="15"/>
      <c r="AA18" s="28">
        <f>MONTH(Table2[[#This Row],[DATA PEDIDO HP]])</f>
        <v>1</v>
      </c>
      <c r="AB18" s="32" t="s">
        <v>60</v>
      </c>
      <c r="AC18" s="5">
        <f t="shared" ca="1" si="0"/>
        <v>46232</v>
      </c>
      <c r="AD18" s="331">
        <f ca="1">_xlfn.DAYS(Table2[[#This Row],[HOJE]],Table2[[#This Row],[DATA PEDIDO HP]])</f>
        <v>559</v>
      </c>
      <c r="AE18" s="336" t="s">
        <v>43</v>
      </c>
    </row>
    <row r="19" spans="1:31" ht="14.45" hidden="1">
      <c r="A19" s="269" t="s">
        <v>132</v>
      </c>
      <c r="B19" s="25">
        <v>45673</v>
      </c>
      <c r="C19" s="26">
        <v>45671</v>
      </c>
      <c r="D19" s="14" t="s">
        <v>133</v>
      </c>
      <c r="E19" s="14" t="s">
        <v>79</v>
      </c>
      <c r="F19" s="14" t="s">
        <v>74</v>
      </c>
      <c r="G19" s="14">
        <v>50000530</v>
      </c>
      <c r="H19" s="14" t="s">
        <v>134</v>
      </c>
      <c r="I19" s="14" t="s">
        <v>135</v>
      </c>
      <c r="J19" s="14">
        <v>1</v>
      </c>
      <c r="K19" s="14" t="s">
        <v>37</v>
      </c>
      <c r="L19" s="14" t="s">
        <v>48</v>
      </c>
      <c r="M19" s="14" t="s">
        <v>58</v>
      </c>
      <c r="N19" s="15" t="s">
        <v>58</v>
      </c>
      <c r="O19" s="15">
        <v>1</v>
      </c>
      <c r="P19" s="15"/>
      <c r="Q19" s="15"/>
      <c r="R19" s="15"/>
      <c r="S19" s="25">
        <v>45673</v>
      </c>
      <c r="T19" s="25">
        <v>45725</v>
      </c>
      <c r="U19" s="25">
        <v>45735</v>
      </c>
      <c r="V19" s="15" t="s">
        <v>49</v>
      </c>
      <c r="W19" s="15" t="s">
        <v>82</v>
      </c>
      <c r="X19" s="27">
        <v>52.14</v>
      </c>
      <c r="Y19" s="27">
        <f>Table2[[#This Row],[PREÇO UNITARIO]]*Table2[[#This Row],[QUANTIDADE]]</f>
        <v>52.14</v>
      </c>
      <c r="Z19" s="15"/>
      <c r="AA19" s="28">
        <f>MONTH(Table2[[#This Row],[DATA PEDIDO HP]])</f>
        <v>1</v>
      </c>
      <c r="AB19" s="32" t="s">
        <v>60</v>
      </c>
      <c r="AC19" s="5">
        <f t="shared" ca="1" si="0"/>
        <v>46232</v>
      </c>
      <c r="AD19" s="331">
        <f ca="1">_xlfn.DAYS(Table2[[#This Row],[HOJE]],Table2[[#This Row],[DATA PEDIDO HP]])</f>
        <v>559</v>
      </c>
      <c r="AE19" s="336" t="s">
        <v>43</v>
      </c>
    </row>
    <row r="20" spans="1:31" ht="14.45" hidden="1">
      <c r="A20" s="269" t="s">
        <v>132</v>
      </c>
      <c r="B20" s="25">
        <v>45673</v>
      </c>
      <c r="C20" s="26">
        <v>45671</v>
      </c>
      <c r="D20" s="14" t="s">
        <v>133</v>
      </c>
      <c r="E20" s="14" t="s">
        <v>79</v>
      </c>
      <c r="F20" s="14" t="s">
        <v>74</v>
      </c>
      <c r="G20" s="14">
        <v>50000530</v>
      </c>
      <c r="H20" s="14" t="s">
        <v>136</v>
      </c>
      <c r="I20" s="14" t="s">
        <v>137</v>
      </c>
      <c r="J20" s="14">
        <v>1</v>
      </c>
      <c r="K20" s="14" t="s">
        <v>37</v>
      </c>
      <c r="L20" s="14" t="s">
        <v>48</v>
      </c>
      <c r="M20" s="14" t="s">
        <v>58</v>
      </c>
      <c r="N20" s="15" t="s">
        <v>58</v>
      </c>
      <c r="O20" s="15">
        <v>1</v>
      </c>
      <c r="P20" s="15"/>
      <c r="Q20" s="15"/>
      <c r="R20" s="15"/>
      <c r="S20" s="25">
        <v>45673</v>
      </c>
      <c r="T20" s="25">
        <v>45725</v>
      </c>
      <c r="U20" s="25">
        <v>45735</v>
      </c>
      <c r="V20" s="15" t="s">
        <v>49</v>
      </c>
      <c r="W20" s="15" t="s">
        <v>82</v>
      </c>
      <c r="X20" s="27">
        <v>25.01</v>
      </c>
      <c r="Y20" s="27">
        <v>25.01</v>
      </c>
      <c r="Z20" s="15"/>
      <c r="AA20" s="28">
        <f>MONTH(Table2[[#This Row],[DATA PEDIDO HP]])</f>
        <v>1</v>
      </c>
      <c r="AB20" s="32" t="s">
        <v>60</v>
      </c>
      <c r="AC20" s="5">
        <f t="shared" ca="1" si="0"/>
        <v>46232</v>
      </c>
      <c r="AD20" s="331">
        <f ca="1">_xlfn.DAYS(Table2[[#This Row],[HOJE]],Table2[[#This Row],[DATA PEDIDO HP]])</f>
        <v>559</v>
      </c>
      <c r="AE20" s="336" t="s">
        <v>43</v>
      </c>
    </row>
    <row r="21" spans="1:31" ht="14.45" hidden="1">
      <c r="A21" s="269" t="s">
        <v>138</v>
      </c>
      <c r="B21" s="25">
        <v>45674</v>
      </c>
      <c r="C21" s="26">
        <v>45673</v>
      </c>
      <c r="D21" s="14" t="s">
        <v>139</v>
      </c>
      <c r="E21" s="14" t="s">
        <v>103</v>
      </c>
      <c r="F21" s="14" t="s">
        <v>104</v>
      </c>
      <c r="G21" s="14">
        <v>51000136</v>
      </c>
      <c r="H21" s="14" t="s">
        <v>140</v>
      </c>
      <c r="I21" s="14" t="s">
        <v>141</v>
      </c>
      <c r="J21" s="14">
        <v>1</v>
      </c>
      <c r="K21" s="14" t="s">
        <v>37</v>
      </c>
      <c r="L21" s="14" t="s">
        <v>96</v>
      </c>
      <c r="M21" s="14" t="s">
        <v>39</v>
      </c>
      <c r="N21" s="15" t="s">
        <v>39</v>
      </c>
      <c r="O21" s="15">
        <v>1</v>
      </c>
      <c r="P21" s="15"/>
      <c r="Q21" s="15"/>
      <c r="R21" s="15"/>
      <c r="S21" s="25">
        <v>45674</v>
      </c>
      <c r="T21" s="25">
        <v>45725</v>
      </c>
      <c r="U21" s="25">
        <v>45735</v>
      </c>
      <c r="V21" s="15" t="s">
        <v>49</v>
      </c>
      <c r="W21" s="15" t="s">
        <v>41</v>
      </c>
      <c r="X21" s="27">
        <v>84.15</v>
      </c>
      <c r="Y21" s="27">
        <f>Table2[[#This Row],[PREÇO UNITARIO]]*Table2[[#This Row],[QUANTIDADE]]</f>
        <v>84.15</v>
      </c>
      <c r="Z21" s="15"/>
      <c r="AA21" s="28">
        <f>MONTH(Table2[[#This Row],[DATA PEDIDO HP]])</f>
        <v>1</v>
      </c>
      <c r="AB21" s="32" t="s">
        <v>42</v>
      </c>
      <c r="AC21" s="5">
        <f t="shared" ca="1" si="0"/>
        <v>46232</v>
      </c>
      <c r="AD21" s="331">
        <f ca="1">_xlfn.DAYS(Table2[[#This Row],[HOJE]],Table2[[#This Row],[DATA PEDIDO HP]])</f>
        <v>558</v>
      </c>
      <c r="AE21" s="336" t="s">
        <v>43</v>
      </c>
    </row>
    <row r="22" spans="1:31" ht="14.45" hidden="1">
      <c r="A22" s="269" t="s">
        <v>138</v>
      </c>
      <c r="B22" s="25">
        <v>45674</v>
      </c>
      <c r="C22" s="26">
        <v>45673</v>
      </c>
      <c r="D22" s="14" t="s">
        <v>139</v>
      </c>
      <c r="E22" s="14" t="s">
        <v>103</v>
      </c>
      <c r="F22" s="14" t="s">
        <v>104</v>
      </c>
      <c r="G22" s="14">
        <v>51000136</v>
      </c>
      <c r="H22" s="14" t="s">
        <v>142</v>
      </c>
      <c r="I22" s="14" t="s">
        <v>143</v>
      </c>
      <c r="J22" s="14">
        <v>1</v>
      </c>
      <c r="K22" s="14" t="s">
        <v>37</v>
      </c>
      <c r="L22" s="14" t="s">
        <v>96</v>
      </c>
      <c r="M22" s="14" t="s">
        <v>39</v>
      </c>
      <c r="N22" s="15" t="s">
        <v>39</v>
      </c>
      <c r="O22" s="15">
        <v>1</v>
      </c>
      <c r="P22" s="15"/>
      <c r="Q22" s="15"/>
      <c r="R22" s="15"/>
      <c r="S22" s="26">
        <v>45677</v>
      </c>
      <c r="T22" s="25">
        <v>45725</v>
      </c>
      <c r="U22" s="25">
        <v>45735</v>
      </c>
      <c r="V22" s="15" t="s">
        <v>49</v>
      </c>
      <c r="W22" s="15" t="s">
        <v>41</v>
      </c>
      <c r="X22" s="27">
        <v>37.9</v>
      </c>
      <c r="Y22" s="27">
        <f>Table2[[#This Row],[PREÇO UNITARIO]]*Table2[[#This Row],[QUANTIDADE]]</f>
        <v>37.9</v>
      </c>
      <c r="Z22" s="15"/>
      <c r="AA22" s="28">
        <f>MONTH(Table2[[#This Row],[DATA PEDIDO HP]])</f>
        <v>1</v>
      </c>
      <c r="AB22" s="32" t="s">
        <v>42</v>
      </c>
      <c r="AC22" s="5">
        <f t="shared" ca="1" si="0"/>
        <v>46232</v>
      </c>
      <c r="AD22" s="331">
        <f ca="1">_xlfn.DAYS(Table2[[#This Row],[HOJE]],Table2[[#This Row],[DATA PEDIDO HP]])</f>
        <v>558</v>
      </c>
      <c r="AE22" s="336" t="s">
        <v>43</v>
      </c>
    </row>
    <row r="23" spans="1:31" ht="14.45" hidden="1">
      <c r="A23" s="269" t="s">
        <v>144</v>
      </c>
      <c r="B23" s="25">
        <v>45674</v>
      </c>
      <c r="C23" s="26">
        <v>45673</v>
      </c>
      <c r="D23" s="14" t="s">
        <v>145</v>
      </c>
      <c r="E23" s="14" t="s">
        <v>103</v>
      </c>
      <c r="F23" s="14" t="s">
        <v>104</v>
      </c>
      <c r="G23" s="14">
        <v>51000136</v>
      </c>
      <c r="H23" s="14" t="s">
        <v>146</v>
      </c>
      <c r="I23" s="14" t="s">
        <v>147</v>
      </c>
      <c r="J23" s="14">
        <v>1</v>
      </c>
      <c r="K23" s="14" t="s">
        <v>67</v>
      </c>
      <c r="L23" s="14" t="s">
        <v>96</v>
      </c>
      <c r="M23" s="14" t="s">
        <v>88</v>
      </c>
      <c r="N23" s="15" t="s">
        <v>89</v>
      </c>
      <c r="O23" s="15">
        <v>1</v>
      </c>
      <c r="P23" s="15"/>
      <c r="Q23" s="15"/>
      <c r="R23" s="15"/>
      <c r="S23" s="25">
        <v>45674</v>
      </c>
      <c r="T23" s="25">
        <v>45725</v>
      </c>
      <c r="U23" s="25">
        <v>45735</v>
      </c>
      <c r="V23" s="15" t="s">
        <v>49</v>
      </c>
      <c r="W23" s="15" t="s">
        <v>41</v>
      </c>
      <c r="X23" s="27">
        <v>280.89</v>
      </c>
      <c r="Y23" s="27">
        <f>Table2[[#This Row],[PREÇO UNITARIO]]*Table2[[#This Row],[QUANTIDADE]]</f>
        <v>280.89</v>
      </c>
      <c r="Z23" s="15"/>
      <c r="AA23" s="28">
        <f>MONTH(Table2[[#This Row],[DATA PEDIDO HP]])</f>
        <v>1</v>
      </c>
      <c r="AB23" s="32" t="s">
        <v>42</v>
      </c>
      <c r="AC23" s="5">
        <f t="shared" ca="1" si="0"/>
        <v>46232</v>
      </c>
      <c r="AD23" s="331">
        <f ca="1">_xlfn.DAYS(Table2[[#This Row],[HOJE]],Table2[[#This Row],[DATA PEDIDO HP]])</f>
        <v>558</v>
      </c>
      <c r="AE23" s="336" t="s">
        <v>43</v>
      </c>
    </row>
    <row r="24" spans="1:31" ht="14.45" hidden="1">
      <c r="A24" s="269" t="s">
        <v>144</v>
      </c>
      <c r="B24" s="25">
        <v>45674</v>
      </c>
      <c r="C24" s="26">
        <v>45673</v>
      </c>
      <c r="D24" s="14" t="s">
        <v>145</v>
      </c>
      <c r="E24" s="14" t="s">
        <v>103</v>
      </c>
      <c r="F24" s="14" t="s">
        <v>104</v>
      </c>
      <c r="G24" s="14">
        <v>51000136</v>
      </c>
      <c r="H24" s="14" t="s">
        <v>148</v>
      </c>
      <c r="I24" s="14" t="s">
        <v>149</v>
      </c>
      <c r="J24" s="14">
        <v>1</v>
      </c>
      <c r="K24" s="14" t="s">
        <v>67</v>
      </c>
      <c r="L24" s="14" t="s">
        <v>96</v>
      </c>
      <c r="M24" s="14" t="s">
        <v>88</v>
      </c>
      <c r="N24" s="15" t="s">
        <v>89</v>
      </c>
      <c r="O24" s="15">
        <v>1</v>
      </c>
      <c r="P24" s="15"/>
      <c r="Q24" s="15"/>
      <c r="R24" s="15"/>
      <c r="S24" s="25">
        <v>45674</v>
      </c>
      <c r="T24" s="25">
        <v>45725</v>
      </c>
      <c r="U24" s="25">
        <v>45735</v>
      </c>
      <c r="V24" s="15" t="s">
        <v>49</v>
      </c>
      <c r="W24" s="15" t="s">
        <v>41</v>
      </c>
      <c r="X24" s="27">
        <v>18.09</v>
      </c>
      <c r="Y24" s="27">
        <f>Table2[[#This Row],[PREÇO UNITARIO]]*Table2[[#This Row],[QUANTIDADE]]</f>
        <v>18.09</v>
      </c>
      <c r="Z24" s="15"/>
      <c r="AA24" s="28">
        <f>MONTH(Table2[[#This Row],[DATA PEDIDO HP]])</f>
        <v>1</v>
      </c>
      <c r="AB24" s="32" t="s">
        <v>42</v>
      </c>
      <c r="AC24" s="5">
        <f t="shared" ca="1" si="0"/>
        <v>46232</v>
      </c>
      <c r="AD24" s="331">
        <f ca="1">_xlfn.DAYS(Table2[[#This Row],[HOJE]],Table2[[#This Row],[DATA PEDIDO HP]])</f>
        <v>558</v>
      </c>
      <c r="AE24" s="336" t="s">
        <v>43</v>
      </c>
    </row>
    <row r="25" spans="1:31" ht="14.45" hidden="1">
      <c r="A25" s="269" t="s">
        <v>150</v>
      </c>
      <c r="B25" s="25">
        <v>45681</v>
      </c>
      <c r="C25" s="26">
        <v>45677</v>
      </c>
      <c r="D25" s="14" t="s">
        <v>151</v>
      </c>
      <c r="E25" s="14" t="s">
        <v>152</v>
      </c>
      <c r="F25" s="14" t="s">
        <v>64</v>
      </c>
      <c r="G25" s="14">
        <v>48000482</v>
      </c>
      <c r="H25" s="14" t="s">
        <v>153</v>
      </c>
      <c r="I25" s="14" t="s">
        <v>154</v>
      </c>
      <c r="J25" s="14">
        <v>1</v>
      </c>
      <c r="K25" s="14" t="s">
        <v>37</v>
      </c>
      <c r="L25" s="14" t="s">
        <v>48</v>
      </c>
      <c r="M25" s="14" t="s">
        <v>58</v>
      </c>
      <c r="N25" s="15" t="s">
        <v>58</v>
      </c>
      <c r="O25" s="15">
        <v>1</v>
      </c>
      <c r="P25" s="15"/>
      <c r="Q25" s="15"/>
      <c r="R25" s="15"/>
      <c r="S25" s="25">
        <v>45667</v>
      </c>
      <c r="T25" s="25">
        <v>45725</v>
      </c>
      <c r="U25" s="25">
        <v>45735</v>
      </c>
      <c r="V25" s="15" t="s">
        <v>49</v>
      </c>
      <c r="W25" s="15" t="s">
        <v>155</v>
      </c>
      <c r="X25" s="27">
        <v>146.5</v>
      </c>
      <c r="Y25" s="27">
        <f>Table2[[#This Row],[PREÇO UNITARIO]]*Table2[[#This Row],[QUANTIDADE]]</f>
        <v>146.5</v>
      </c>
      <c r="Z25" s="15"/>
      <c r="AA25" s="28">
        <f>MONTH(Table2[[#This Row],[DATA PEDIDO HP]])</f>
        <v>1</v>
      </c>
      <c r="AB25" s="32" t="s">
        <v>60</v>
      </c>
      <c r="AC25" s="5">
        <f t="shared" ca="1" si="0"/>
        <v>46232</v>
      </c>
      <c r="AD25" s="331">
        <f ca="1">_xlfn.DAYS(Table2[[#This Row],[HOJE]],Table2[[#This Row],[DATA PEDIDO HP]])</f>
        <v>551</v>
      </c>
      <c r="AE25" s="336" t="s">
        <v>43</v>
      </c>
    </row>
    <row r="26" spans="1:31" ht="14.45" hidden="1">
      <c r="A26" s="269" t="s">
        <v>156</v>
      </c>
      <c r="B26" s="26">
        <v>45677</v>
      </c>
      <c r="C26" s="26">
        <v>45677</v>
      </c>
      <c r="D26" s="14" t="s">
        <v>157</v>
      </c>
      <c r="E26" s="14" t="s">
        <v>33</v>
      </c>
      <c r="F26" s="14" t="s">
        <v>34</v>
      </c>
      <c r="G26" s="14">
        <v>50110193</v>
      </c>
      <c r="H26" s="14" t="s">
        <v>158</v>
      </c>
      <c r="I26" s="14" t="s">
        <v>159</v>
      </c>
      <c r="J26" s="14">
        <v>1</v>
      </c>
      <c r="K26" s="14" t="s">
        <v>37</v>
      </c>
      <c r="L26" s="14" t="s">
        <v>48</v>
      </c>
      <c r="M26" s="14" t="s">
        <v>58</v>
      </c>
      <c r="N26" s="15" t="s">
        <v>58</v>
      </c>
      <c r="O26" s="15">
        <v>1</v>
      </c>
      <c r="P26" s="15"/>
      <c r="Q26" s="15"/>
      <c r="R26" s="15"/>
      <c r="S26" s="26">
        <v>45677</v>
      </c>
      <c r="T26" s="25">
        <v>45725</v>
      </c>
      <c r="U26" s="25">
        <v>45735</v>
      </c>
      <c r="V26" s="15" t="s">
        <v>49</v>
      </c>
      <c r="W26" s="15" t="s">
        <v>41</v>
      </c>
      <c r="X26" s="27">
        <v>389.44</v>
      </c>
      <c r="Y26" s="27">
        <f>Table2[[#This Row],[PREÇO UNITARIO]]*Table2[[#This Row],[QUANTIDADE]]</f>
        <v>389.44</v>
      </c>
      <c r="Z26" s="15"/>
      <c r="AA26" s="28">
        <f>MONTH(Table2[[#This Row],[DATA PEDIDO HP]])</f>
        <v>1</v>
      </c>
      <c r="AB26" s="32" t="s">
        <v>42</v>
      </c>
      <c r="AC26" s="5">
        <f t="shared" ca="1" si="0"/>
        <v>46232</v>
      </c>
      <c r="AD26" s="331">
        <f ca="1">_xlfn.DAYS(Table2[[#This Row],[HOJE]],Table2[[#This Row],[DATA PEDIDO HP]])</f>
        <v>555</v>
      </c>
      <c r="AE26" s="336" t="s">
        <v>43</v>
      </c>
    </row>
    <row r="27" spans="1:31" ht="14.45" hidden="1">
      <c r="A27" s="269" t="s">
        <v>160</v>
      </c>
      <c r="B27" s="26">
        <v>45677</v>
      </c>
      <c r="C27" s="26">
        <v>45677</v>
      </c>
      <c r="D27" s="14" t="s">
        <v>161</v>
      </c>
      <c r="E27" s="14" t="s">
        <v>109</v>
      </c>
      <c r="F27" s="14" t="s">
        <v>34</v>
      </c>
      <c r="G27" s="14">
        <v>50110229</v>
      </c>
      <c r="H27" s="14" t="s">
        <v>94</v>
      </c>
      <c r="I27" s="14" t="s">
        <v>162</v>
      </c>
      <c r="J27" s="14">
        <v>2</v>
      </c>
      <c r="K27" s="14" t="s">
        <v>37</v>
      </c>
      <c r="L27" s="14" t="s">
        <v>48</v>
      </c>
      <c r="M27" s="14" t="s">
        <v>39</v>
      </c>
      <c r="N27" s="15" t="s">
        <v>39</v>
      </c>
      <c r="O27" s="15">
        <v>2</v>
      </c>
      <c r="P27" s="15"/>
      <c r="Q27" s="15"/>
      <c r="R27" s="15"/>
      <c r="S27" s="25"/>
      <c r="T27" s="25">
        <v>45725</v>
      </c>
      <c r="U27" s="25">
        <v>45735</v>
      </c>
      <c r="V27" s="15" t="s">
        <v>49</v>
      </c>
      <c r="W27" s="15" t="s">
        <v>41</v>
      </c>
      <c r="X27" s="27">
        <v>177.88</v>
      </c>
      <c r="Y27" s="27">
        <f>Table2[[#This Row],[PREÇO UNITARIO]]*Table2[[#This Row],[QUANTIDADE]]</f>
        <v>355.76</v>
      </c>
      <c r="Z27" s="15"/>
      <c r="AA27" s="28">
        <f>MONTH(Table2[[#This Row],[DATA PEDIDO HP]])</f>
        <v>1</v>
      </c>
      <c r="AB27" s="32" t="s">
        <v>42</v>
      </c>
      <c r="AC27" s="5">
        <f t="shared" ca="1" si="0"/>
        <v>46232</v>
      </c>
      <c r="AD27" s="331">
        <f ca="1">_xlfn.DAYS(Table2[[#This Row],[HOJE]],Table2[[#This Row],[DATA PEDIDO HP]])</f>
        <v>555</v>
      </c>
      <c r="AE27" s="5" t="s">
        <v>43</v>
      </c>
    </row>
    <row r="28" spans="1:31" ht="14.45" hidden="1">
      <c r="A28" s="269" t="s">
        <v>163</v>
      </c>
      <c r="B28" s="26">
        <v>45677</v>
      </c>
      <c r="C28" s="26">
        <v>45677</v>
      </c>
      <c r="D28" s="14" t="s">
        <v>164</v>
      </c>
      <c r="E28" s="14" t="s">
        <v>103</v>
      </c>
      <c r="F28" s="14" t="s">
        <v>104</v>
      </c>
      <c r="G28" s="14">
        <v>51000136</v>
      </c>
      <c r="H28" s="14" t="s">
        <v>165</v>
      </c>
      <c r="I28" s="14" t="s">
        <v>166</v>
      </c>
      <c r="J28" s="14">
        <v>1</v>
      </c>
      <c r="K28" s="14" t="s">
        <v>37</v>
      </c>
      <c r="L28" s="14" t="s">
        <v>48</v>
      </c>
      <c r="M28" s="14" t="s">
        <v>58</v>
      </c>
      <c r="N28" s="15" t="s">
        <v>58</v>
      </c>
      <c r="O28" s="15">
        <v>1</v>
      </c>
      <c r="P28" s="15"/>
      <c r="Q28" s="15"/>
      <c r="R28" s="15"/>
      <c r="S28" s="26">
        <v>45677</v>
      </c>
      <c r="T28" s="25">
        <v>45725</v>
      </c>
      <c r="U28" s="25">
        <v>45735</v>
      </c>
      <c r="V28" s="15" t="s">
        <v>49</v>
      </c>
      <c r="W28" s="15" t="s">
        <v>41</v>
      </c>
      <c r="X28" s="27">
        <v>555.25</v>
      </c>
      <c r="Y28" s="27">
        <f>Table2[[#This Row],[PREÇO UNITARIO]]*Table2[[#This Row],[QUANTIDADE]]</f>
        <v>555.25</v>
      </c>
      <c r="Z28" s="15"/>
      <c r="AA28" s="28">
        <f>MONTH(Table2[[#This Row],[DATA PEDIDO HP]])</f>
        <v>1</v>
      </c>
      <c r="AB28" s="32" t="s">
        <v>42</v>
      </c>
      <c r="AC28" s="5">
        <f t="shared" ca="1" si="0"/>
        <v>46232</v>
      </c>
      <c r="AD28" s="331">
        <f ca="1">_xlfn.DAYS(Table2[[#This Row],[HOJE]],Table2[[#This Row],[DATA PEDIDO HP]])</f>
        <v>555</v>
      </c>
      <c r="AE28" s="336" t="s">
        <v>43</v>
      </c>
    </row>
    <row r="29" spans="1:31" ht="14.45" hidden="1">
      <c r="A29" s="269" t="s">
        <v>167</v>
      </c>
      <c r="B29" s="26">
        <v>45677</v>
      </c>
      <c r="C29" s="26">
        <v>45677</v>
      </c>
      <c r="D29" s="14" t="s">
        <v>168</v>
      </c>
      <c r="E29" s="14" t="s">
        <v>54</v>
      </c>
      <c r="F29" s="14" t="s">
        <v>55</v>
      </c>
      <c r="G29" s="14">
        <v>44000216</v>
      </c>
      <c r="H29" s="14" t="s">
        <v>169</v>
      </c>
      <c r="I29" s="14" t="s">
        <v>170</v>
      </c>
      <c r="J29" s="14">
        <v>1</v>
      </c>
      <c r="K29" s="14" t="s">
        <v>37</v>
      </c>
      <c r="L29" s="14" t="s">
        <v>48</v>
      </c>
      <c r="M29" s="14" t="s">
        <v>58</v>
      </c>
      <c r="N29" s="15" t="s">
        <v>58</v>
      </c>
      <c r="O29" s="15">
        <v>1</v>
      </c>
      <c r="P29" s="15"/>
      <c r="Q29" s="15"/>
      <c r="R29" s="15"/>
      <c r="S29" s="25">
        <v>45672</v>
      </c>
      <c r="T29" s="25">
        <v>45725</v>
      </c>
      <c r="U29" s="25">
        <v>45735</v>
      </c>
      <c r="V29" s="15" t="s">
        <v>49</v>
      </c>
      <c r="W29" s="15" t="s">
        <v>59</v>
      </c>
      <c r="X29" s="27">
        <v>2651.71</v>
      </c>
      <c r="Y29" s="27">
        <f>Table2[[#This Row],[PREÇO UNITARIO]]*Table2[[#This Row],[QUANTIDADE]]</f>
        <v>2651.71</v>
      </c>
      <c r="Z29" s="15"/>
      <c r="AA29" s="28">
        <f>MONTH(Table2[[#This Row],[DATA PEDIDO HP]])</f>
        <v>1</v>
      </c>
      <c r="AB29" s="32" t="s">
        <v>60</v>
      </c>
      <c r="AC29" s="5">
        <f t="shared" ca="1" si="0"/>
        <v>46232</v>
      </c>
      <c r="AD29" s="331">
        <f ca="1">_xlfn.DAYS(Table2[[#This Row],[HOJE]],Table2[[#This Row],[DATA PEDIDO HP]])</f>
        <v>555</v>
      </c>
      <c r="AE29" s="336" t="s">
        <v>43</v>
      </c>
    </row>
    <row r="30" spans="1:31" ht="14.45" hidden="1">
      <c r="A30" s="269" t="s">
        <v>171</v>
      </c>
      <c r="B30" s="26">
        <v>45677</v>
      </c>
      <c r="C30" s="26">
        <v>45677</v>
      </c>
      <c r="D30" s="14" t="s">
        <v>172</v>
      </c>
      <c r="E30" s="14" t="s">
        <v>63</v>
      </c>
      <c r="F30" s="14" t="s">
        <v>173</v>
      </c>
      <c r="G30" s="14">
        <v>48300301</v>
      </c>
      <c r="H30" s="14" t="s">
        <v>174</v>
      </c>
      <c r="I30" s="14" t="s">
        <v>175</v>
      </c>
      <c r="J30" s="14">
        <v>1</v>
      </c>
      <c r="K30" s="14" t="s">
        <v>37</v>
      </c>
      <c r="L30" s="14" t="s">
        <v>48</v>
      </c>
      <c r="M30" s="14" t="s">
        <v>58</v>
      </c>
      <c r="N30" s="15" t="s">
        <v>58</v>
      </c>
      <c r="O30" s="15">
        <v>1</v>
      </c>
      <c r="P30" s="15"/>
      <c r="Q30" s="15"/>
      <c r="R30" s="15"/>
      <c r="S30" s="26">
        <v>45677</v>
      </c>
      <c r="T30" s="25">
        <v>45725</v>
      </c>
      <c r="U30" s="25">
        <v>45735</v>
      </c>
      <c r="V30" s="15" t="s">
        <v>49</v>
      </c>
      <c r="W30" s="15" t="s">
        <v>70</v>
      </c>
      <c r="X30" s="27">
        <v>98.91</v>
      </c>
      <c r="Y30" s="27">
        <f>Table2[[#This Row],[PREÇO UNITARIO]]*Table2[[#This Row],[QUANTIDADE]]</f>
        <v>98.91</v>
      </c>
      <c r="Z30" s="15"/>
      <c r="AA30" s="28">
        <f>MONTH(Table2[[#This Row],[DATA PEDIDO HP]])</f>
        <v>1</v>
      </c>
      <c r="AB30" s="32" t="s">
        <v>60</v>
      </c>
      <c r="AC30" s="5">
        <f t="shared" ca="1" si="0"/>
        <v>46232</v>
      </c>
      <c r="AD30" s="331">
        <f ca="1">_xlfn.DAYS(Table2[[#This Row],[HOJE]],Table2[[#This Row],[DATA PEDIDO HP]])</f>
        <v>555</v>
      </c>
      <c r="AE30" s="336" t="s">
        <v>43</v>
      </c>
    </row>
    <row r="31" spans="1:31" ht="14.45" hidden="1">
      <c r="A31" s="269" t="s">
        <v>176</v>
      </c>
      <c r="B31" s="26">
        <v>45677</v>
      </c>
      <c r="C31" s="26">
        <v>45677</v>
      </c>
      <c r="D31" s="14" t="s">
        <v>177</v>
      </c>
      <c r="E31" s="14" t="s">
        <v>33</v>
      </c>
      <c r="F31" s="14" t="s">
        <v>34</v>
      </c>
      <c r="G31" s="14">
        <v>50110193</v>
      </c>
      <c r="H31" s="14" t="s">
        <v>178</v>
      </c>
      <c r="I31" s="14" t="s">
        <v>99</v>
      </c>
      <c r="J31" s="14">
        <v>2</v>
      </c>
      <c r="K31" s="14" t="s">
        <v>37</v>
      </c>
      <c r="L31" s="14" t="s">
        <v>48</v>
      </c>
      <c r="M31" s="14" t="s">
        <v>39</v>
      </c>
      <c r="N31" s="15" t="s">
        <v>39</v>
      </c>
      <c r="O31" s="15">
        <v>2</v>
      </c>
      <c r="P31" s="15"/>
      <c r="Q31" s="15"/>
      <c r="R31" s="15"/>
      <c r="S31" s="25"/>
      <c r="T31" s="25">
        <v>45725</v>
      </c>
      <c r="U31" s="25">
        <v>45735</v>
      </c>
      <c r="V31" s="15" t="s">
        <v>49</v>
      </c>
      <c r="W31" s="15" t="s">
        <v>41</v>
      </c>
      <c r="X31" s="27">
        <v>309.75</v>
      </c>
      <c r="Y31" s="27">
        <f>Table2[[#This Row],[PREÇO UNITARIO]]*Table2[[#This Row],[QUANTIDADE]]</f>
        <v>619.5</v>
      </c>
      <c r="Z31" s="15"/>
      <c r="AA31" s="28">
        <f>MONTH(Table2[[#This Row],[DATA PEDIDO HP]])</f>
        <v>1</v>
      </c>
      <c r="AB31" s="32" t="s">
        <v>42</v>
      </c>
      <c r="AC31" s="5">
        <f t="shared" ca="1" si="0"/>
        <v>46232</v>
      </c>
      <c r="AD31" s="331">
        <f ca="1">_xlfn.DAYS(Table2[[#This Row],[HOJE]],Table2[[#This Row],[DATA PEDIDO HP]])</f>
        <v>555</v>
      </c>
      <c r="AE31" s="5" t="s">
        <v>43</v>
      </c>
    </row>
    <row r="32" spans="1:31" ht="14.45" hidden="1">
      <c r="A32" s="269" t="s">
        <v>179</v>
      </c>
      <c r="B32" s="26">
        <v>45678</v>
      </c>
      <c r="C32" s="26">
        <v>45678</v>
      </c>
      <c r="D32" s="14" t="s">
        <v>180</v>
      </c>
      <c r="E32" s="14" t="s">
        <v>181</v>
      </c>
      <c r="F32" s="14" t="s">
        <v>34</v>
      </c>
      <c r="G32" s="14" t="s">
        <v>182</v>
      </c>
      <c r="H32" s="14" t="s">
        <v>183</v>
      </c>
      <c r="I32" s="14" t="s">
        <v>184</v>
      </c>
      <c r="J32" s="14">
        <v>4</v>
      </c>
      <c r="K32" s="14" t="s">
        <v>67</v>
      </c>
      <c r="L32" s="14" t="s">
        <v>38</v>
      </c>
      <c r="M32" s="14" t="s">
        <v>88</v>
      </c>
      <c r="N32" s="15" t="s">
        <v>89</v>
      </c>
      <c r="O32" s="15">
        <v>0</v>
      </c>
      <c r="P32" s="15"/>
      <c r="Q32" s="15"/>
      <c r="R32" s="15" t="s">
        <v>185</v>
      </c>
      <c r="S32" s="25"/>
      <c r="T32" s="25">
        <v>45725</v>
      </c>
      <c r="U32" s="25">
        <v>45735</v>
      </c>
      <c r="V32" s="15" t="s">
        <v>49</v>
      </c>
      <c r="W32" s="15" t="s">
        <v>41</v>
      </c>
      <c r="X32" s="27">
        <v>62.22</v>
      </c>
      <c r="Y32" s="27">
        <f>Table2[[#This Row],[PREÇO UNITARIO]]*Table2[[#This Row],[QUANTIDADE]]</f>
        <v>248.88</v>
      </c>
      <c r="Z32" s="15"/>
      <c r="AA32" s="28">
        <f>MONTH(Table2[[#This Row],[DATA PEDIDO HP]])</f>
        <v>1</v>
      </c>
      <c r="AB32" s="32" t="s">
        <v>42</v>
      </c>
      <c r="AC32" s="5">
        <f t="shared" ca="1" si="0"/>
        <v>46232</v>
      </c>
      <c r="AD32" s="331">
        <f ca="1">_xlfn.DAYS(Table2[[#This Row],[HOJE]],Table2[[#This Row],[DATA PEDIDO HP]])</f>
        <v>554</v>
      </c>
      <c r="AE32" s="5" t="s">
        <v>43</v>
      </c>
    </row>
    <row r="33" spans="1:31" ht="14.45" hidden="1">
      <c r="A33" s="269" t="s">
        <v>179</v>
      </c>
      <c r="B33" s="26">
        <v>45678</v>
      </c>
      <c r="C33" s="26">
        <v>45678</v>
      </c>
      <c r="D33" s="14" t="s">
        <v>180</v>
      </c>
      <c r="E33" s="14" t="s">
        <v>181</v>
      </c>
      <c r="F33" s="14" t="s">
        <v>34</v>
      </c>
      <c r="G33" s="14" t="s">
        <v>182</v>
      </c>
      <c r="H33" s="14" t="s">
        <v>186</v>
      </c>
      <c r="I33" s="14" t="s">
        <v>187</v>
      </c>
      <c r="J33" s="14">
        <v>1</v>
      </c>
      <c r="K33" s="14" t="s">
        <v>67</v>
      </c>
      <c r="L33" s="14" t="s">
        <v>38</v>
      </c>
      <c r="M33" s="14" t="s">
        <v>58</v>
      </c>
      <c r="N33" s="15" t="s">
        <v>58</v>
      </c>
      <c r="O33" s="15">
        <v>1</v>
      </c>
      <c r="P33" s="15"/>
      <c r="Q33" s="15"/>
      <c r="R33" s="15"/>
      <c r="S33" s="25">
        <v>45672</v>
      </c>
      <c r="T33" s="25">
        <v>45755</v>
      </c>
      <c r="U33" s="25">
        <v>45772</v>
      </c>
      <c r="V33" s="15" t="s">
        <v>40</v>
      </c>
      <c r="W33" s="15" t="s">
        <v>41</v>
      </c>
      <c r="X33" s="27">
        <v>10.18</v>
      </c>
      <c r="Y33" s="27">
        <f>Table2[[#This Row],[PREÇO UNITARIO]]*Table2[[#This Row],[QUANTIDADE]]</f>
        <v>10.18</v>
      </c>
      <c r="Z33" s="15"/>
      <c r="AA33" s="28">
        <f>MONTH(Table2[[#This Row],[DATA PEDIDO HP]])</f>
        <v>1</v>
      </c>
      <c r="AB33" s="32" t="s">
        <v>42</v>
      </c>
      <c r="AC33" s="5">
        <f t="shared" ca="1" si="0"/>
        <v>46232</v>
      </c>
      <c r="AD33" s="331">
        <f ca="1">_xlfn.DAYS(Table2[[#This Row],[HOJE]],Table2[[#This Row],[DATA PEDIDO HP]])</f>
        <v>554</v>
      </c>
      <c r="AE33" s="336" t="s">
        <v>43</v>
      </c>
    </row>
    <row r="34" spans="1:31" ht="14.45" hidden="1">
      <c r="A34" s="269" t="s">
        <v>179</v>
      </c>
      <c r="B34" s="26">
        <v>45678</v>
      </c>
      <c r="C34" s="26">
        <v>45678</v>
      </c>
      <c r="D34" s="14" t="s">
        <v>180</v>
      </c>
      <c r="E34" s="14" t="s">
        <v>181</v>
      </c>
      <c r="F34" s="14" t="s">
        <v>34</v>
      </c>
      <c r="G34" s="14" t="s">
        <v>182</v>
      </c>
      <c r="H34" s="14" t="s">
        <v>188</v>
      </c>
      <c r="I34" s="14" t="s">
        <v>189</v>
      </c>
      <c r="J34" s="14">
        <v>4</v>
      </c>
      <c r="K34" s="14" t="s">
        <v>67</v>
      </c>
      <c r="L34" s="14" t="s">
        <v>38</v>
      </c>
      <c r="M34" s="14" t="s">
        <v>58</v>
      </c>
      <c r="N34" s="15" t="s">
        <v>58</v>
      </c>
      <c r="O34" s="15">
        <v>4</v>
      </c>
      <c r="P34" s="15"/>
      <c r="Q34" s="15"/>
      <c r="R34" s="15"/>
      <c r="S34" s="25">
        <v>45672</v>
      </c>
      <c r="T34" s="25">
        <v>45725</v>
      </c>
      <c r="U34" s="25">
        <v>45735</v>
      </c>
      <c r="V34" s="15" t="s">
        <v>49</v>
      </c>
      <c r="W34" s="15" t="s">
        <v>41</v>
      </c>
      <c r="X34" s="27">
        <v>80.180000000000007</v>
      </c>
      <c r="Y34" s="27">
        <f>Table2[[#This Row],[PREÇO UNITARIO]]*Table2[[#This Row],[QUANTIDADE]]</f>
        <v>320.72000000000003</v>
      </c>
      <c r="Z34" s="15"/>
      <c r="AA34" s="28">
        <f>MONTH(Table2[[#This Row],[DATA PEDIDO HP]])</f>
        <v>1</v>
      </c>
      <c r="AB34" s="32" t="s">
        <v>42</v>
      </c>
      <c r="AC34" s="5">
        <f t="shared" ca="1" si="0"/>
        <v>46232</v>
      </c>
      <c r="AD34" s="331">
        <f ca="1">_xlfn.DAYS(Table2[[#This Row],[HOJE]],Table2[[#This Row],[DATA PEDIDO HP]])</f>
        <v>554</v>
      </c>
      <c r="AE34" s="336" t="s">
        <v>43</v>
      </c>
    </row>
    <row r="35" spans="1:31" ht="14.45" hidden="1">
      <c r="A35" s="269" t="s">
        <v>190</v>
      </c>
      <c r="B35" s="25">
        <v>45686</v>
      </c>
      <c r="C35" s="26">
        <v>45629</v>
      </c>
      <c r="D35" s="14" t="s">
        <v>191</v>
      </c>
      <c r="E35" s="14" t="s">
        <v>192</v>
      </c>
      <c r="F35" s="14" t="s">
        <v>193</v>
      </c>
      <c r="G35" s="14">
        <v>41000142</v>
      </c>
      <c r="H35" s="14" t="s">
        <v>130</v>
      </c>
      <c r="I35" s="14" t="s">
        <v>194</v>
      </c>
      <c r="J35" s="14">
        <v>2</v>
      </c>
      <c r="K35" s="14" t="s">
        <v>67</v>
      </c>
      <c r="L35" s="14" t="s">
        <v>38</v>
      </c>
      <c r="M35" s="14" t="s">
        <v>58</v>
      </c>
      <c r="N35" s="15" t="s">
        <v>58</v>
      </c>
      <c r="O35" s="15">
        <v>2</v>
      </c>
      <c r="P35" s="15"/>
      <c r="Q35" s="15"/>
      <c r="R35" s="15"/>
      <c r="S35" s="25">
        <v>45663</v>
      </c>
      <c r="T35" s="25">
        <v>45725</v>
      </c>
      <c r="U35" s="25">
        <v>45735</v>
      </c>
      <c r="V35" s="15" t="s">
        <v>49</v>
      </c>
      <c r="W35" s="15" t="s">
        <v>195</v>
      </c>
      <c r="X35" s="27">
        <v>16.22</v>
      </c>
      <c r="Y35" s="27">
        <f>Table2[[#This Row],[PREÇO UNITARIO]]*Table2[[#This Row],[QUANTIDADE]]</f>
        <v>32.44</v>
      </c>
      <c r="Z35" s="15"/>
      <c r="AA35" s="28">
        <f>MONTH(Table2[[#This Row],[DATA PEDIDO HP]])</f>
        <v>1</v>
      </c>
      <c r="AB35" s="32" t="s">
        <v>60</v>
      </c>
      <c r="AC35" s="5">
        <f t="shared" ca="1" si="0"/>
        <v>46232</v>
      </c>
      <c r="AD35" s="331">
        <f ca="1">_xlfn.DAYS(Table2[[#This Row],[HOJE]],Table2[[#This Row],[DATA PEDIDO HP]])</f>
        <v>546</v>
      </c>
      <c r="AE35" s="336" t="s">
        <v>43</v>
      </c>
    </row>
    <row r="36" spans="1:31" ht="14.45" hidden="1">
      <c r="A36" s="269" t="s">
        <v>196</v>
      </c>
      <c r="B36" s="26">
        <v>45679</v>
      </c>
      <c r="C36" s="26">
        <v>45679</v>
      </c>
      <c r="D36" s="14" t="s">
        <v>197</v>
      </c>
      <c r="E36" s="14" t="s">
        <v>63</v>
      </c>
      <c r="F36" s="14" t="s">
        <v>173</v>
      </c>
      <c r="G36" s="14">
        <v>48300301</v>
      </c>
      <c r="H36" s="14" t="s">
        <v>198</v>
      </c>
      <c r="I36" s="14" t="s">
        <v>199</v>
      </c>
      <c r="J36" s="14">
        <v>1</v>
      </c>
      <c r="K36" s="14" t="s">
        <v>67</v>
      </c>
      <c r="L36" s="14" t="s">
        <v>48</v>
      </c>
      <c r="M36" s="14" t="s">
        <v>88</v>
      </c>
      <c r="N36" s="15" t="s">
        <v>89</v>
      </c>
      <c r="O36" s="15">
        <v>0</v>
      </c>
      <c r="P36" s="15"/>
      <c r="Q36" s="15"/>
      <c r="R36" s="15"/>
      <c r="S36" s="25"/>
      <c r="T36" s="25">
        <v>45725</v>
      </c>
      <c r="U36" s="25">
        <v>45735</v>
      </c>
      <c r="V36" s="15" t="s">
        <v>49</v>
      </c>
      <c r="W36" s="15"/>
      <c r="X36" s="27">
        <v>447.56</v>
      </c>
      <c r="Y36" s="27">
        <f>Table2[[#This Row],[PREÇO UNITARIO]]*Table2[[#This Row],[QUANTIDADE]]</f>
        <v>447.56</v>
      </c>
      <c r="Z36" s="15"/>
      <c r="AA36" s="28">
        <f>MONTH(Table2[[#This Row],[DATA PEDIDO HP]])</f>
        <v>1</v>
      </c>
      <c r="AB36" s="32" t="s">
        <v>60</v>
      </c>
      <c r="AC36" s="5">
        <f t="shared" ca="1" si="0"/>
        <v>46232</v>
      </c>
      <c r="AD36" s="331">
        <f ca="1">_xlfn.DAYS(Table2[[#This Row],[HOJE]],Table2[[#This Row],[DATA PEDIDO HP]])</f>
        <v>553</v>
      </c>
      <c r="AE36" s="5" t="s">
        <v>43</v>
      </c>
    </row>
    <row r="37" spans="1:31" ht="14.45" hidden="1">
      <c r="A37" s="269" t="s">
        <v>200</v>
      </c>
      <c r="B37" s="26">
        <v>45679</v>
      </c>
      <c r="C37" s="26">
        <v>45679</v>
      </c>
      <c r="D37" s="14" t="s">
        <v>201</v>
      </c>
      <c r="E37" s="14" t="s">
        <v>202</v>
      </c>
      <c r="F37" s="14" t="s">
        <v>203</v>
      </c>
      <c r="G37" s="14">
        <v>60002072</v>
      </c>
      <c r="H37" s="14" t="s">
        <v>204</v>
      </c>
      <c r="I37" s="14" t="s">
        <v>205</v>
      </c>
      <c r="J37" s="14">
        <v>1</v>
      </c>
      <c r="K37" s="14" t="s">
        <v>37</v>
      </c>
      <c r="L37" s="14" t="s">
        <v>96</v>
      </c>
      <c r="M37" s="14" t="s">
        <v>58</v>
      </c>
      <c r="N37" s="15" t="s">
        <v>58</v>
      </c>
      <c r="O37" s="15">
        <v>1</v>
      </c>
      <c r="P37" s="15"/>
      <c r="Q37" s="15"/>
      <c r="R37" s="15"/>
      <c r="S37" s="25">
        <v>45673</v>
      </c>
      <c r="T37" s="25">
        <v>45725</v>
      </c>
      <c r="U37" s="25">
        <v>45735</v>
      </c>
      <c r="V37" s="15" t="s">
        <v>49</v>
      </c>
      <c r="W37" s="15" t="s">
        <v>206</v>
      </c>
      <c r="X37" s="27">
        <v>5.64</v>
      </c>
      <c r="Y37" s="27">
        <f>Table2[[#This Row],[PREÇO UNITARIO]]*Table2[[#This Row],[QUANTIDADE]]</f>
        <v>5.64</v>
      </c>
      <c r="Z37" s="15"/>
      <c r="AA37" s="28">
        <f>MONTH(Table2[[#This Row],[DATA PEDIDO HP]])</f>
        <v>1</v>
      </c>
      <c r="AB37" s="32" t="s">
        <v>60</v>
      </c>
      <c r="AC37" s="5">
        <f t="shared" ca="1" si="0"/>
        <v>46232</v>
      </c>
      <c r="AD37" s="331">
        <f ca="1">_xlfn.DAYS(Table2[[#This Row],[HOJE]],Table2[[#This Row],[DATA PEDIDO HP]])</f>
        <v>553</v>
      </c>
      <c r="AE37" s="336" t="s">
        <v>43</v>
      </c>
    </row>
    <row r="38" spans="1:31" ht="14.45" hidden="1">
      <c r="A38" s="269" t="s">
        <v>200</v>
      </c>
      <c r="B38" s="26">
        <v>45679</v>
      </c>
      <c r="C38" s="26">
        <v>45679</v>
      </c>
      <c r="D38" s="14" t="s">
        <v>201</v>
      </c>
      <c r="E38" s="14" t="s">
        <v>202</v>
      </c>
      <c r="F38" s="14" t="s">
        <v>203</v>
      </c>
      <c r="G38" s="14">
        <v>60002072</v>
      </c>
      <c r="H38" s="14" t="s">
        <v>207</v>
      </c>
      <c r="I38" s="14" t="s">
        <v>208</v>
      </c>
      <c r="J38" s="14">
        <v>1</v>
      </c>
      <c r="K38" s="14" t="s">
        <v>37</v>
      </c>
      <c r="L38" s="14" t="s">
        <v>96</v>
      </c>
      <c r="M38" s="14" t="s">
        <v>58</v>
      </c>
      <c r="N38" s="15" t="s">
        <v>58</v>
      </c>
      <c r="O38" s="15">
        <v>1</v>
      </c>
      <c r="P38" s="15"/>
      <c r="Q38" s="15"/>
      <c r="R38" s="15"/>
      <c r="S38" s="25">
        <v>45673</v>
      </c>
      <c r="T38" s="25">
        <v>45725</v>
      </c>
      <c r="U38" s="25">
        <v>45735</v>
      </c>
      <c r="V38" s="15" t="s">
        <v>49</v>
      </c>
      <c r="W38" s="15" t="s">
        <v>206</v>
      </c>
      <c r="X38" s="27">
        <v>96.35</v>
      </c>
      <c r="Y38" s="27">
        <f>Table2[[#This Row],[PREÇO UNITARIO]]*Table2[[#This Row],[QUANTIDADE]]</f>
        <v>96.35</v>
      </c>
      <c r="Z38" s="15"/>
      <c r="AA38" s="28">
        <f>MONTH(Table2[[#This Row],[DATA PEDIDO HP]])</f>
        <v>1</v>
      </c>
      <c r="AB38" s="32" t="s">
        <v>60</v>
      </c>
      <c r="AC38" s="5">
        <f t="shared" ca="1" si="0"/>
        <v>46232</v>
      </c>
      <c r="AD38" s="331">
        <f ca="1">_xlfn.DAYS(Table2[[#This Row],[HOJE]],Table2[[#This Row],[DATA PEDIDO HP]])</f>
        <v>553</v>
      </c>
      <c r="AE38" s="336" t="s">
        <v>43</v>
      </c>
    </row>
    <row r="39" spans="1:31" ht="14.45" hidden="1">
      <c r="A39" s="269" t="s">
        <v>209</v>
      </c>
      <c r="B39" s="26">
        <v>45681</v>
      </c>
      <c r="C39" s="26">
        <v>45679</v>
      </c>
      <c r="D39" s="14" t="s">
        <v>210</v>
      </c>
      <c r="E39" s="14" t="s">
        <v>202</v>
      </c>
      <c r="F39" s="14" t="s">
        <v>203</v>
      </c>
      <c r="G39" s="14">
        <v>60002072</v>
      </c>
      <c r="H39" s="14" t="s">
        <v>211</v>
      </c>
      <c r="I39" s="14" t="s">
        <v>212</v>
      </c>
      <c r="J39" s="14">
        <v>1</v>
      </c>
      <c r="K39" s="14" t="s">
        <v>37</v>
      </c>
      <c r="L39" s="14" t="s">
        <v>48</v>
      </c>
      <c r="M39" s="14" t="s">
        <v>39</v>
      </c>
      <c r="N39" s="15" t="s">
        <v>39</v>
      </c>
      <c r="O39" s="15">
        <v>1</v>
      </c>
      <c r="P39" s="15"/>
      <c r="Q39" s="15"/>
      <c r="R39" s="15"/>
      <c r="S39" s="25"/>
      <c r="T39" s="25">
        <v>45725</v>
      </c>
      <c r="U39" s="25">
        <v>45735</v>
      </c>
      <c r="V39" s="15" t="s">
        <v>49</v>
      </c>
      <c r="W39" s="15"/>
      <c r="X39" s="27">
        <v>45.24</v>
      </c>
      <c r="Y39" s="27">
        <f>Table2[[#This Row],[PREÇO UNITARIO]]*Table2[[#This Row],[QUANTIDADE]]</f>
        <v>45.24</v>
      </c>
      <c r="Z39" s="15"/>
      <c r="AA39" s="28">
        <f>MONTH(Table2[[#This Row],[DATA PEDIDO HP]])</f>
        <v>1</v>
      </c>
      <c r="AB39" s="32" t="s">
        <v>60</v>
      </c>
      <c r="AC39" s="5">
        <f t="shared" ca="1" si="0"/>
        <v>46232</v>
      </c>
      <c r="AD39" s="331">
        <f ca="1">_xlfn.DAYS(Table2[[#This Row],[HOJE]],Table2[[#This Row],[DATA PEDIDO HP]])</f>
        <v>551</v>
      </c>
      <c r="AE39" s="5" t="s">
        <v>43</v>
      </c>
    </row>
    <row r="40" spans="1:31" ht="14.45" hidden="1">
      <c r="A40" s="269" t="s">
        <v>213</v>
      </c>
      <c r="B40" s="26">
        <v>45681</v>
      </c>
      <c r="C40" s="26">
        <v>45680</v>
      </c>
      <c r="D40" s="14" t="s">
        <v>214</v>
      </c>
      <c r="E40" s="14" t="s">
        <v>109</v>
      </c>
      <c r="F40" s="14" t="s">
        <v>34</v>
      </c>
      <c r="G40" s="14">
        <v>50110229</v>
      </c>
      <c r="H40" s="14" t="s">
        <v>215</v>
      </c>
      <c r="I40" s="14" t="s">
        <v>216</v>
      </c>
      <c r="J40" s="14">
        <v>1</v>
      </c>
      <c r="K40" s="14" t="s">
        <v>37</v>
      </c>
      <c r="L40" s="14" t="s">
        <v>217</v>
      </c>
      <c r="M40" s="14" t="s">
        <v>88</v>
      </c>
      <c r="N40" s="15" t="s">
        <v>89</v>
      </c>
      <c r="O40" s="15">
        <v>1</v>
      </c>
      <c r="P40" s="14">
        <v>1</v>
      </c>
      <c r="Q40" s="15"/>
      <c r="R40" s="15" t="s">
        <v>218</v>
      </c>
      <c r="S40" s="25">
        <v>45705</v>
      </c>
      <c r="T40" s="25">
        <v>45755</v>
      </c>
      <c r="U40" s="25">
        <v>45772</v>
      </c>
      <c r="V40" s="15" t="s">
        <v>40</v>
      </c>
      <c r="W40" s="15" t="s">
        <v>41</v>
      </c>
      <c r="X40" s="27">
        <v>22.54</v>
      </c>
      <c r="Y40" s="27">
        <f>Table2[[#This Row],[PREÇO UNITARIO]]*Table2[[#This Row],[QUANTIDADE]]</f>
        <v>22.54</v>
      </c>
      <c r="Z40" s="15"/>
      <c r="AA40" s="28">
        <f>MONTH(Table2[[#This Row],[DATA PEDIDO HP]])</f>
        <v>1</v>
      </c>
      <c r="AB40" s="32" t="s">
        <v>42</v>
      </c>
      <c r="AC40" s="5">
        <f t="shared" ca="1" si="0"/>
        <v>46232</v>
      </c>
      <c r="AD40" s="331">
        <f ca="1">_xlfn.DAYS(Table2[[#This Row],[HOJE]],Table2[[#This Row],[DATA PEDIDO HP]])</f>
        <v>551</v>
      </c>
      <c r="AE40" s="336" t="s">
        <v>43</v>
      </c>
    </row>
    <row r="41" spans="1:31" ht="14.45" hidden="1">
      <c r="A41" s="269" t="s">
        <v>219</v>
      </c>
      <c r="B41" s="26">
        <v>45681</v>
      </c>
      <c r="C41" s="26">
        <v>45680</v>
      </c>
      <c r="D41" s="14" t="s">
        <v>220</v>
      </c>
      <c r="E41" s="14" t="s">
        <v>93</v>
      </c>
      <c r="F41" s="14" t="s">
        <v>74</v>
      </c>
      <c r="G41" s="14">
        <v>50000202</v>
      </c>
      <c r="H41" s="14" t="s">
        <v>158</v>
      </c>
      <c r="I41" s="14" t="s">
        <v>221</v>
      </c>
      <c r="J41" s="14">
        <v>1</v>
      </c>
      <c r="K41" s="14" t="s">
        <v>37</v>
      </c>
      <c r="L41" s="14" t="s">
        <v>48</v>
      </c>
      <c r="M41" s="14" t="s">
        <v>58</v>
      </c>
      <c r="N41" s="15" t="s">
        <v>58</v>
      </c>
      <c r="O41" s="15">
        <v>1</v>
      </c>
      <c r="P41" s="14">
        <v>4</v>
      </c>
      <c r="Q41" s="15"/>
      <c r="R41" s="15" t="s">
        <v>222</v>
      </c>
      <c r="S41" s="25">
        <v>45671</v>
      </c>
      <c r="T41" s="25">
        <v>45755</v>
      </c>
      <c r="U41" s="25">
        <v>45772</v>
      </c>
      <c r="V41" s="15" t="s">
        <v>40</v>
      </c>
      <c r="W41" s="15" t="s">
        <v>97</v>
      </c>
      <c r="X41" s="27">
        <v>389.44</v>
      </c>
      <c r="Y41" s="27">
        <f>Table2[[#This Row],[PREÇO UNITARIO]]*Table2[[#This Row],[QUANTIDADE]]</f>
        <v>389.44</v>
      </c>
      <c r="Z41" s="15"/>
      <c r="AA41" s="28">
        <f>MONTH(Table2[[#This Row],[DATA PEDIDO HP]])</f>
        <v>1</v>
      </c>
      <c r="AB41" s="32" t="s">
        <v>60</v>
      </c>
      <c r="AC41" s="5">
        <f t="shared" ca="1" si="0"/>
        <v>46232</v>
      </c>
      <c r="AD41" s="331">
        <f ca="1">_xlfn.DAYS(Table2[[#This Row],[HOJE]],Table2[[#This Row],[DATA PEDIDO HP]])</f>
        <v>551</v>
      </c>
      <c r="AE41" s="336" t="s">
        <v>43</v>
      </c>
    </row>
    <row r="42" spans="1:31" ht="14.45" hidden="1">
      <c r="A42" s="269" t="s">
        <v>223</v>
      </c>
      <c r="B42" s="26">
        <v>45681</v>
      </c>
      <c r="C42" s="26">
        <v>45680</v>
      </c>
      <c r="D42" s="14" t="s">
        <v>224</v>
      </c>
      <c r="E42" s="14" t="s">
        <v>225</v>
      </c>
      <c r="F42" s="14" t="s">
        <v>226</v>
      </c>
      <c r="G42" s="14">
        <v>43000422</v>
      </c>
      <c r="H42" s="14" t="s">
        <v>227</v>
      </c>
      <c r="I42" s="14" t="s">
        <v>228</v>
      </c>
      <c r="J42" s="14">
        <v>1</v>
      </c>
      <c r="K42" s="14" t="s">
        <v>37</v>
      </c>
      <c r="L42" s="14" t="s">
        <v>217</v>
      </c>
      <c r="M42" s="14" t="s">
        <v>58</v>
      </c>
      <c r="N42" s="15" t="s">
        <v>58</v>
      </c>
      <c r="O42" s="15">
        <v>1</v>
      </c>
      <c r="P42" s="14">
        <v>1</v>
      </c>
      <c r="Q42" s="15"/>
      <c r="R42" s="15"/>
      <c r="S42" s="25">
        <v>45672</v>
      </c>
      <c r="T42" s="25">
        <v>45755</v>
      </c>
      <c r="U42" s="25">
        <v>45772</v>
      </c>
      <c r="V42" s="15" t="s">
        <v>40</v>
      </c>
      <c r="W42" s="15" t="s">
        <v>229</v>
      </c>
      <c r="X42" s="27">
        <v>27.6</v>
      </c>
      <c r="Y42" s="27">
        <f>Table2[[#This Row],[PREÇO UNITARIO]]*Table2[[#This Row],[QUANTIDADE]]</f>
        <v>27.6</v>
      </c>
      <c r="Z42" s="15" t="s">
        <v>230</v>
      </c>
      <c r="AA42" s="28">
        <f>MONTH(Table2[[#This Row],[DATA PEDIDO HP]])</f>
        <v>1</v>
      </c>
      <c r="AB42" s="32" t="s">
        <v>60</v>
      </c>
      <c r="AC42" s="5">
        <f t="shared" ca="1" si="0"/>
        <v>46232</v>
      </c>
      <c r="AD42" s="331">
        <f ca="1">_xlfn.DAYS(Table2[[#This Row],[HOJE]],Table2[[#This Row],[DATA PEDIDO HP]])</f>
        <v>551</v>
      </c>
      <c r="AE42" s="336" t="s">
        <v>43</v>
      </c>
    </row>
    <row r="43" spans="1:31" ht="14.45" hidden="1">
      <c r="A43" s="269" t="s">
        <v>231</v>
      </c>
      <c r="B43" s="26">
        <v>45681</v>
      </c>
      <c r="C43" s="26">
        <v>45680</v>
      </c>
      <c r="D43" s="14" t="s">
        <v>232</v>
      </c>
      <c r="E43" s="14" t="s">
        <v>233</v>
      </c>
      <c r="F43" s="14" t="s">
        <v>234</v>
      </c>
      <c r="G43" s="14">
        <v>47100399</v>
      </c>
      <c r="H43" s="14" t="s">
        <v>235</v>
      </c>
      <c r="I43" s="14" t="s">
        <v>236</v>
      </c>
      <c r="J43" s="14">
        <v>1</v>
      </c>
      <c r="K43" s="14" t="s">
        <v>37</v>
      </c>
      <c r="L43" s="14" t="s">
        <v>217</v>
      </c>
      <c r="M43" s="14" t="s">
        <v>88</v>
      </c>
      <c r="N43" s="15" t="s">
        <v>89</v>
      </c>
      <c r="O43" s="15">
        <v>0</v>
      </c>
      <c r="P43" s="14">
        <v>1</v>
      </c>
      <c r="Q43" s="15"/>
      <c r="R43" s="15"/>
      <c r="S43" s="25">
        <v>45785</v>
      </c>
      <c r="T43" s="25">
        <v>45755</v>
      </c>
      <c r="U43" s="25">
        <v>45772</v>
      </c>
      <c r="V43" s="15" t="s">
        <v>40</v>
      </c>
      <c r="W43" s="15"/>
      <c r="X43" s="27">
        <v>121.14</v>
      </c>
      <c r="Y43" s="27">
        <f>Table2[[#This Row],[PREÇO UNITARIO]]*Table2[[#This Row],[QUANTIDADE]]</f>
        <v>121.14</v>
      </c>
      <c r="Z43" s="15" t="s">
        <v>237</v>
      </c>
      <c r="AA43" s="28">
        <f>MONTH(Table2[[#This Row],[DATA PEDIDO HP]])</f>
        <v>1</v>
      </c>
      <c r="AB43" s="32" t="s">
        <v>60</v>
      </c>
      <c r="AC43" s="5">
        <f t="shared" ca="1" si="0"/>
        <v>46232</v>
      </c>
      <c r="AD43" s="331">
        <f ca="1">_xlfn.DAYS(Table2[[#This Row],[HOJE]],Table2[[#This Row],[DATA PEDIDO HP]])</f>
        <v>551</v>
      </c>
      <c r="AE43" s="336" t="s">
        <v>43</v>
      </c>
    </row>
    <row r="44" spans="1:31" ht="14.45" hidden="1">
      <c r="A44" s="269" t="s">
        <v>231</v>
      </c>
      <c r="B44" s="26">
        <v>45681</v>
      </c>
      <c r="C44" s="26">
        <v>45680</v>
      </c>
      <c r="D44" s="14" t="s">
        <v>232</v>
      </c>
      <c r="E44" s="14" t="s">
        <v>233</v>
      </c>
      <c r="F44" s="14" t="s">
        <v>234</v>
      </c>
      <c r="G44" s="14">
        <v>47100399</v>
      </c>
      <c r="H44" s="14" t="s">
        <v>238</v>
      </c>
      <c r="I44" s="14" t="s">
        <v>239</v>
      </c>
      <c r="J44" s="14">
        <v>1</v>
      </c>
      <c r="K44" s="14" t="s">
        <v>37</v>
      </c>
      <c r="L44" s="14" t="s">
        <v>217</v>
      </c>
      <c r="M44" s="14" t="s">
        <v>58</v>
      </c>
      <c r="N44" s="15" t="s">
        <v>58</v>
      </c>
      <c r="O44" s="15">
        <v>1</v>
      </c>
      <c r="P44" s="14">
        <v>3</v>
      </c>
      <c r="Q44" s="15"/>
      <c r="R44" s="15"/>
      <c r="S44" s="25">
        <v>45664</v>
      </c>
      <c r="T44" s="25">
        <v>45725</v>
      </c>
      <c r="U44" s="25">
        <v>45735</v>
      </c>
      <c r="V44" s="15" t="s">
        <v>49</v>
      </c>
      <c r="W44" s="15" t="s">
        <v>240</v>
      </c>
      <c r="X44" s="27">
        <v>186.16</v>
      </c>
      <c r="Y44" s="27">
        <f>Table2[[#This Row],[PREÇO UNITARIO]]*Table2[[#This Row],[QUANTIDADE]]</f>
        <v>186.16</v>
      </c>
      <c r="Z44" s="15"/>
      <c r="AA44" s="28">
        <f>MONTH(Table2[[#This Row],[DATA PEDIDO HP]])</f>
        <v>1</v>
      </c>
      <c r="AB44" s="32" t="s">
        <v>60</v>
      </c>
      <c r="AC44" s="5">
        <f t="shared" ca="1" si="0"/>
        <v>46232</v>
      </c>
      <c r="AD44" s="331">
        <f ca="1">_xlfn.DAYS(Table2[[#This Row],[HOJE]],Table2[[#This Row],[DATA PEDIDO HP]])</f>
        <v>551</v>
      </c>
      <c r="AE44" s="336" t="s">
        <v>43</v>
      </c>
    </row>
    <row r="45" spans="1:31" ht="14.45" hidden="1">
      <c r="A45" s="269" t="s">
        <v>231</v>
      </c>
      <c r="B45" s="26">
        <v>45681</v>
      </c>
      <c r="C45" s="26">
        <v>45680</v>
      </c>
      <c r="D45" s="14" t="s">
        <v>232</v>
      </c>
      <c r="E45" s="14" t="s">
        <v>233</v>
      </c>
      <c r="F45" s="14" t="s">
        <v>234</v>
      </c>
      <c r="G45" s="14">
        <v>47100399</v>
      </c>
      <c r="H45" s="14" t="s">
        <v>241</v>
      </c>
      <c r="I45" s="14" t="s">
        <v>242</v>
      </c>
      <c r="J45" s="14">
        <v>1</v>
      </c>
      <c r="K45" s="14" t="s">
        <v>37</v>
      </c>
      <c r="L45" s="14" t="s">
        <v>217</v>
      </c>
      <c r="M45" s="14" t="s">
        <v>58</v>
      </c>
      <c r="N45" s="15" t="s">
        <v>58</v>
      </c>
      <c r="O45" s="15">
        <v>1</v>
      </c>
      <c r="P45" s="14">
        <v>1</v>
      </c>
      <c r="Q45" s="15"/>
      <c r="R45" s="15"/>
      <c r="S45" s="25">
        <v>45664</v>
      </c>
      <c r="T45" s="25">
        <v>45725</v>
      </c>
      <c r="U45" s="25">
        <v>45735</v>
      </c>
      <c r="V45" s="15" t="s">
        <v>49</v>
      </c>
      <c r="W45" s="15" t="s">
        <v>240</v>
      </c>
      <c r="X45" s="27">
        <v>170.21</v>
      </c>
      <c r="Y45" s="27">
        <f>Table2[[#This Row],[PREÇO UNITARIO]]*Table2[[#This Row],[QUANTIDADE]]</f>
        <v>170.21</v>
      </c>
      <c r="Z45" s="15"/>
      <c r="AA45" s="28">
        <f>MONTH(Table2[[#This Row],[DATA PEDIDO HP]])</f>
        <v>1</v>
      </c>
      <c r="AB45" s="32" t="s">
        <v>60</v>
      </c>
      <c r="AC45" s="5">
        <f t="shared" ca="1" si="0"/>
        <v>46232</v>
      </c>
      <c r="AD45" s="331">
        <f ca="1">_xlfn.DAYS(Table2[[#This Row],[HOJE]],Table2[[#This Row],[DATA PEDIDO HP]])</f>
        <v>551</v>
      </c>
      <c r="AE45" s="336" t="s">
        <v>43</v>
      </c>
    </row>
    <row r="46" spans="1:31" ht="14.45" hidden="1">
      <c r="A46" s="269" t="s">
        <v>243</v>
      </c>
      <c r="B46" s="26">
        <v>45681</v>
      </c>
      <c r="C46" s="26">
        <v>45680</v>
      </c>
      <c r="D46" s="14" t="s">
        <v>244</v>
      </c>
      <c r="E46" s="14" t="s">
        <v>181</v>
      </c>
      <c r="F46" s="14" t="s">
        <v>34</v>
      </c>
      <c r="G46" s="14">
        <v>50110057</v>
      </c>
      <c r="H46" s="14" t="s">
        <v>245</v>
      </c>
      <c r="I46" s="14" t="s">
        <v>246</v>
      </c>
      <c r="J46" s="14">
        <v>4</v>
      </c>
      <c r="K46" s="14" t="s">
        <v>37</v>
      </c>
      <c r="L46" s="14" t="s">
        <v>48</v>
      </c>
      <c r="M46" s="14" t="s">
        <v>88</v>
      </c>
      <c r="N46" s="15" t="s">
        <v>89</v>
      </c>
      <c r="O46" s="15">
        <v>0</v>
      </c>
      <c r="P46" s="14">
        <v>4</v>
      </c>
      <c r="Q46" s="15"/>
      <c r="R46" s="15" t="s">
        <v>247</v>
      </c>
      <c r="S46" s="25"/>
      <c r="T46" s="25">
        <v>45725</v>
      </c>
      <c r="U46" s="25">
        <v>45735</v>
      </c>
      <c r="V46" s="15" t="s">
        <v>49</v>
      </c>
      <c r="W46" s="15" t="s">
        <v>41</v>
      </c>
      <c r="X46" s="27">
        <v>80.180000000000007</v>
      </c>
      <c r="Y46" s="27">
        <f>Table2[[#This Row],[PREÇO UNITARIO]]*Table2[[#This Row],[QUANTIDADE]]</f>
        <v>320.72000000000003</v>
      </c>
      <c r="Z46" s="15"/>
      <c r="AA46" s="28">
        <f>MONTH(Table2[[#This Row],[DATA PEDIDO HP]])</f>
        <v>1</v>
      </c>
      <c r="AB46" s="32" t="s">
        <v>42</v>
      </c>
      <c r="AC46" s="5">
        <f t="shared" ca="1" si="0"/>
        <v>46232</v>
      </c>
      <c r="AD46" s="331">
        <f ca="1">_xlfn.DAYS(Table2[[#This Row],[HOJE]],Table2[[#This Row],[DATA PEDIDO HP]])</f>
        <v>551</v>
      </c>
      <c r="AE46" s="5" t="s">
        <v>43</v>
      </c>
    </row>
    <row r="47" spans="1:31" ht="14.45" hidden="1">
      <c r="A47" s="269" t="s">
        <v>248</v>
      </c>
      <c r="B47" s="26">
        <v>45681</v>
      </c>
      <c r="C47" s="26">
        <v>45680</v>
      </c>
      <c r="D47" s="14" t="s">
        <v>249</v>
      </c>
      <c r="E47" s="14" t="s">
        <v>33</v>
      </c>
      <c r="F47" s="14" t="s">
        <v>34</v>
      </c>
      <c r="G47" s="14">
        <v>50110193</v>
      </c>
      <c r="H47" s="14" t="s">
        <v>134</v>
      </c>
      <c r="I47" s="14" t="s">
        <v>250</v>
      </c>
      <c r="J47" s="14">
        <v>1</v>
      </c>
      <c r="K47" s="14" t="s">
        <v>37</v>
      </c>
      <c r="L47" s="14" t="s">
        <v>48</v>
      </c>
      <c r="M47" s="14" t="s">
        <v>39</v>
      </c>
      <c r="N47" s="15" t="s">
        <v>39</v>
      </c>
      <c r="O47" s="15">
        <v>1</v>
      </c>
      <c r="P47" s="14">
        <v>1</v>
      </c>
      <c r="Q47" s="15"/>
      <c r="R47" s="15"/>
      <c r="S47" s="25">
        <v>45681</v>
      </c>
      <c r="T47" s="25">
        <v>45725</v>
      </c>
      <c r="U47" s="25">
        <v>45735</v>
      </c>
      <c r="V47" s="15" t="s">
        <v>49</v>
      </c>
      <c r="W47" s="15" t="s">
        <v>41</v>
      </c>
      <c r="X47" s="27">
        <v>52.14</v>
      </c>
      <c r="Y47" s="27">
        <f>Table2[[#This Row],[PREÇO UNITARIO]]*Table2[[#This Row],[QUANTIDADE]]</f>
        <v>52.14</v>
      </c>
      <c r="Z47" s="15"/>
      <c r="AA47" s="28">
        <f>MONTH(Table2[[#This Row],[DATA PEDIDO HP]])</f>
        <v>1</v>
      </c>
      <c r="AB47" s="32" t="s">
        <v>42</v>
      </c>
      <c r="AC47" s="5">
        <f t="shared" ca="1" si="0"/>
        <v>46232</v>
      </c>
      <c r="AD47" s="331">
        <f ca="1">_xlfn.DAYS(Table2[[#This Row],[HOJE]],Table2[[#This Row],[DATA PEDIDO HP]])</f>
        <v>551</v>
      </c>
      <c r="AE47" s="336" t="s">
        <v>43</v>
      </c>
    </row>
    <row r="48" spans="1:31" ht="14.45" hidden="1">
      <c r="A48" s="269" t="s">
        <v>248</v>
      </c>
      <c r="B48" s="26">
        <v>45681</v>
      </c>
      <c r="C48" s="26">
        <v>45680</v>
      </c>
      <c r="D48" s="14" t="s">
        <v>249</v>
      </c>
      <c r="E48" s="14" t="s">
        <v>33</v>
      </c>
      <c r="F48" s="14" t="s">
        <v>34</v>
      </c>
      <c r="G48" s="14">
        <v>50110193</v>
      </c>
      <c r="H48" s="14" t="s">
        <v>136</v>
      </c>
      <c r="I48" s="14" t="s">
        <v>137</v>
      </c>
      <c r="J48" s="14">
        <v>1</v>
      </c>
      <c r="K48" s="14" t="s">
        <v>37</v>
      </c>
      <c r="L48" s="14" t="s">
        <v>48</v>
      </c>
      <c r="M48" s="14" t="s">
        <v>39</v>
      </c>
      <c r="N48" s="15" t="s">
        <v>39</v>
      </c>
      <c r="O48" s="15">
        <v>1</v>
      </c>
      <c r="P48" s="14">
        <v>1</v>
      </c>
      <c r="Q48" s="15"/>
      <c r="R48" s="15"/>
      <c r="S48" s="25">
        <v>45681</v>
      </c>
      <c r="T48" s="25">
        <v>45725</v>
      </c>
      <c r="U48" s="25">
        <v>45735</v>
      </c>
      <c r="V48" s="15" t="s">
        <v>49</v>
      </c>
      <c r="W48" s="15" t="s">
        <v>41</v>
      </c>
      <c r="X48" s="27">
        <v>25.01</v>
      </c>
      <c r="Y48" s="27">
        <f>Table2[[#This Row],[PREÇO UNITARIO]]*Table2[[#This Row],[QUANTIDADE]]</f>
        <v>25.01</v>
      </c>
      <c r="Z48" s="15"/>
      <c r="AA48" s="28">
        <f>MONTH(Table2[[#This Row],[DATA PEDIDO HP]])</f>
        <v>1</v>
      </c>
      <c r="AB48" s="32" t="s">
        <v>42</v>
      </c>
      <c r="AC48" s="5">
        <f t="shared" ca="1" si="0"/>
        <v>46232</v>
      </c>
      <c r="AD48" s="331">
        <f ca="1">_xlfn.DAYS(Table2[[#This Row],[HOJE]],Table2[[#This Row],[DATA PEDIDO HP]])</f>
        <v>551</v>
      </c>
      <c r="AE48" s="336" t="s">
        <v>43</v>
      </c>
    </row>
    <row r="49" spans="1:31" ht="14.45" hidden="1">
      <c r="A49" s="269" t="s">
        <v>251</v>
      </c>
      <c r="B49" s="26">
        <v>45681</v>
      </c>
      <c r="C49" s="26">
        <v>45680</v>
      </c>
      <c r="D49" s="14" t="s">
        <v>252</v>
      </c>
      <c r="E49" s="14" t="s">
        <v>63</v>
      </c>
      <c r="F49" s="14" t="s">
        <v>64</v>
      </c>
      <c r="G49" s="14">
        <v>48000432</v>
      </c>
      <c r="H49" s="14" t="s">
        <v>253</v>
      </c>
      <c r="I49" s="14" t="s">
        <v>254</v>
      </c>
      <c r="J49" s="14">
        <v>1</v>
      </c>
      <c r="K49" s="14" t="s">
        <v>37</v>
      </c>
      <c r="L49" s="14" t="s">
        <v>48</v>
      </c>
      <c r="M49" s="14" t="s">
        <v>58</v>
      </c>
      <c r="N49" s="15" t="s">
        <v>58</v>
      </c>
      <c r="O49" s="15">
        <v>1</v>
      </c>
      <c r="P49" s="14">
        <v>1</v>
      </c>
      <c r="Q49" s="15"/>
      <c r="R49" s="15"/>
      <c r="S49" s="25">
        <v>45681</v>
      </c>
      <c r="T49" s="25">
        <v>45725</v>
      </c>
      <c r="U49" s="25">
        <v>45735</v>
      </c>
      <c r="V49" s="15" t="s">
        <v>49</v>
      </c>
      <c r="W49" s="15" t="s">
        <v>255</v>
      </c>
      <c r="X49" s="27">
        <v>594.38</v>
      </c>
      <c r="Y49" s="27">
        <f>Table2[[#This Row],[PREÇO UNITARIO]]*Table2[[#This Row],[QUANTIDADE]]</f>
        <v>594.38</v>
      </c>
      <c r="Z49" s="15" t="s">
        <v>256</v>
      </c>
      <c r="AA49" s="28">
        <f>MONTH(Table2[[#This Row],[DATA PEDIDO HP]])</f>
        <v>1</v>
      </c>
      <c r="AB49" s="32" t="s">
        <v>60</v>
      </c>
      <c r="AC49" s="5">
        <f t="shared" ca="1" si="0"/>
        <v>46232</v>
      </c>
      <c r="AD49" s="331">
        <f ca="1">_xlfn.DAYS(Table2[[#This Row],[HOJE]],Table2[[#This Row],[DATA PEDIDO HP]])</f>
        <v>551</v>
      </c>
      <c r="AE49" s="336" t="s">
        <v>43</v>
      </c>
    </row>
    <row r="50" spans="1:31" ht="14.45" hidden="1">
      <c r="A50" s="269" t="s">
        <v>257</v>
      </c>
      <c r="B50" s="26">
        <v>45681</v>
      </c>
      <c r="C50" s="26">
        <v>45680</v>
      </c>
      <c r="D50" s="14" t="s">
        <v>258</v>
      </c>
      <c r="E50" s="14" t="s">
        <v>33</v>
      </c>
      <c r="F50" s="14" t="s">
        <v>34</v>
      </c>
      <c r="G50" s="14">
        <v>50110193</v>
      </c>
      <c r="H50" s="14" t="s">
        <v>259</v>
      </c>
      <c r="I50" s="14" t="s">
        <v>260</v>
      </c>
      <c r="J50" s="14">
        <v>1</v>
      </c>
      <c r="K50" s="14" t="s">
        <v>37</v>
      </c>
      <c r="L50" s="14" t="s">
        <v>48</v>
      </c>
      <c r="M50" s="14" t="s">
        <v>39</v>
      </c>
      <c r="N50" s="15" t="s">
        <v>39</v>
      </c>
      <c r="O50" s="15">
        <v>1</v>
      </c>
      <c r="P50" s="14">
        <v>1</v>
      </c>
      <c r="Q50" s="15"/>
      <c r="R50" s="15"/>
      <c r="S50" s="25"/>
      <c r="T50" s="25">
        <v>45725</v>
      </c>
      <c r="U50" s="25">
        <v>45735</v>
      </c>
      <c r="V50" s="15" t="s">
        <v>49</v>
      </c>
      <c r="W50" s="15" t="s">
        <v>41</v>
      </c>
      <c r="X50" s="27">
        <v>136.91999999999999</v>
      </c>
      <c r="Y50" s="27">
        <f>Table2[[#This Row],[PREÇO UNITARIO]]*Table2[[#This Row],[QUANTIDADE]]</f>
        <v>136.91999999999999</v>
      </c>
      <c r="Z50" s="15"/>
      <c r="AA50" s="28">
        <f>MONTH(Table2[[#This Row],[DATA PEDIDO HP]])</f>
        <v>1</v>
      </c>
      <c r="AB50" s="32" t="s">
        <v>42</v>
      </c>
      <c r="AC50" s="5">
        <f t="shared" ca="1" si="0"/>
        <v>46232</v>
      </c>
      <c r="AD50" s="331">
        <f ca="1">_xlfn.DAYS(Table2[[#This Row],[HOJE]],Table2[[#This Row],[DATA PEDIDO HP]])</f>
        <v>551</v>
      </c>
      <c r="AE50" s="5" t="s">
        <v>43</v>
      </c>
    </row>
    <row r="51" spans="1:31" ht="14.45" hidden="1">
      <c r="A51" s="269" t="s">
        <v>257</v>
      </c>
      <c r="B51" s="26">
        <v>45681</v>
      </c>
      <c r="C51" s="26">
        <v>45680</v>
      </c>
      <c r="D51" s="14" t="s">
        <v>258</v>
      </c>
      <c r="E51" s="14" t="s">
        <v>33</v>
      </c>
      <c r="F51" s="14" t="s">
        <v>34</v>
      </c>
      <c r="G51" s="14">
        <v>50110193</v>
      </c>
      <c r="H51" s="14" t="s">
        <v>261</v>
      </c>
      <c r="I51" s="14" t="s">
        <v>262</v>
      </c>
      <c r="J51" s="14">
        <v>1</v>
      </c>
      <c r="K51" s="14" t="s">
        <v>37</v>
      </c>
      <c r="L51" s="14" t="s">
        <v>48</v>
      </c>
      <c r="M51" s="14" t="s">
        <v>39</v>
      </c>
      <c r="N51" s="15" t="s">
        <v>39</v>
      </c>
      <c r="O51" s="15">
        <v>1</v>
      </c>
      <c r="P51" s="14">
        <v>1</v>
      </c>
      <c r="Q51" s="15"/>
      <c r="R51" s="15" t="s">
        <v>263</v>
      </c>
      <c r="S51" s="25">
        <v>45783</v>
      </c>
      <c r="T51" s="25">
        <v>45755</v>
      </c>
      <c r="U51" s="25">
        <v>45772</v>
      </c>
      <c r="V51" s="15" t="s">
        <v>40</v>
      </c>
      <c r="W51" s="15" t="s">
        <v>41</v>
      </c>
      <c r="X51" s="27">
        <v>78.67</v>
      </c>
      <c r="Y51" s="27">
        <f>Table2[[#This Row],[PREÇO UNITARIO]]*Table2[[#This Row],[QUANTIDADE]]</f>
        <v>78.67</v>
      </c>
      <c r="Z51" s="15" t="s">
        <v>264</v>
      </c>
      <c r="AA51" s="28">
        <f>MONTH(Table2[[#This Row],[DATA PEDIDO HP]])</f>
        <v>1</v>
      </c>
      <c r="AB51" s="32" t="s">
        <v>42</v>
      </c>
      <c r="AC51" s="5">
        <f t="shared" ca="1" si="0"/>
        <v>46232</v>
      </c>
      <c r="AD51" s="331">
        <f ca="1">_xlfn.DAYS(Table2[[#This Row],[HOJE]],Table2[[#This Row],[DATA PEDIDO HP]])</f>
        <v>551</v>
      </c>
      <c r="AE51" s="336" t="s">
        <v>43</v>
      </c>
    </row>
    <row r="52" spans="1:31" ht="14.45" hidden="1">
      <c r="A52" s="269" t="s">
        <v>257</v>
      </c>
      <c r="B52" s="26">
        <v>45681</v>
      </c>
      <c r="C52" s="26">
        <v>45680</v>
      </c>
      <c r="D52" s="14" t="s">
        <v>258</v>
      </c>
      <c r="E52" s="14" t="s">
        <v>33</v>
      </c>
      <c r="F52" s="14" t="s">
        <v>34</v>
      </c>
      <c r="G52" s="14">
        <v>50110193</v>
      </c>
      <c r="H52" s="14" t="s">
        <v>265</v>
      </c>
      <c r="I52" s="14" t="s">
        <v>266</v>
      </c>
      <c r="J52" s="14">
        <v>1</v>
      </c>
      <c r="K52" s="14" t="s">
        <v>37</v>
      </c>
      <c r="L52" s="14" t="s">
        <v>48</v>
      </c>
      <c r="M52" s="14" t="s">
        <v>39</v>
      </c>
      <c r="N52" s="15" t="s">
        <v>39</v>
      </c>
      <c r="O52" s="15">
        <v>1</v>
      </c>
      <c r="P52" s="14">
        <v>1</v>
      </c>
      <c r="Q52" s="15"/>
      <c r="R52" s="15"/>
      <c r="S52" s="25"/>
      <c r="T52" s="25">
        <v>45725</v>
      </c>
      <c r="U52" s="25">
        <v>45735</v>
      </c>
      <c r="V52" s="15" t="s">
        <v>49</v>
      </c>
      <c r="W52" s="15" t="s">
        <v>41</v>
      </c>
      <c r="X52" s="27">
        <v>73.42</v>
      </c>
      <c r="Y52" s="27">
        <f>Table2[[#This Row],[PREÇO UNITARIO]]*Table2[[#This Row],[QUANTIDADE]]</f>
        <v>73.42</v>
      </c>
      <c r="Z52" s="15"/>
      <c r="AA52" s="28">
        <f>MONTH(Table2[[#This Row],[DATA PEDIDO HP]])</f>
        <v>1</v>
      </c>
      <c r="AB52" s="32" t="s">
        <v>42</v>
      </c>
      <c r="AC52" s="5">
        <f t="shared" ca="1" si="0"/>
        <v>46232</v>
      </c>
      <c r="AD52" s="331">
        <f ca="1">_xlfn.DAYS(Table2[[#This Row],[HOJE]],Table2[[#This Row],[DATA PEDIDO HP]])</f>
        <v>551</v>
      </c>
      <c r="AE52" s="5" t="s">
        <v>43</v>
      </c>
    </row>
    <row r="53" spans="1:31" ht="14.45" hidden="1">
      <c r="A53" s="269" t="s">
        <v>267</v>
      </c>
      <c r="B53" s="26">
        <v>45681</v>
      </c>
      <c r="C53" s="26">
        <v>45680</v>
      </c>
      <c r="D53" s="14" t="s">
        <v>268</v>
      </c>
      <c r="E53" s="14" t="s">
        <v>79</v>
      </c>
      <c r="F53" s="14" t="s">
        <v>34</v>
      </c>
      <c r="G53" s="14">
        <v>50000530</v>
      </c>
      <c r="H53" s="14" t="s">
        <v>269</v>
      </c>
      <c r="I53" s="14" t="s">
        <v>270</v>
      </c>
      <c r="J53" s="14">
        <v>1</v>
      </c>
      <c r="K53" s="14" t="s">
        <v>37</v>
      </c>
      <c r="L53" s="14" t="s">
        <v>217</v>
      </c>
      <c r="M53" s="14" t="s">
        <v>58</v>
      </c>
      <c r="N53" s="15" t="s">
        <v>58</v>
      </c>
      <c r="O53" s="15">
        <v>1</v>
      </c>
      <c r="P53" s="14">
        <v>1</v>
      </c>
      <c r="Q53" s="15"/>
      <c r="R53" s="15"/>
      <c r="S53" s="25">
        <v>45673</v>
      </c>
      <c r="T53" s="25">
        <v>45725</v>
      </c>
      <c r="U53" s="25">
        <v>45735</v>
      </c>
      <c r="V53" s="15" t="s">
        <v>49</v>
      </c>
      <c r="W53" s="15" t="s">
        <v>82</v>
      </c>
      <c r="X53" s="27">
        <v>79.02</v>
      </c>
      <c r="Y53" s="27">
        <f>Table2[[#This Row],[PREÇO UNITARIO]]*Table2[[#This Row],[QUANTIDADE]]</f>
        <v>79.02</v>
      </c>
      <c r="Z53" s="15"/>
      <c r="AA53" s="28">
        <f>MONTH(Table2[[#This Row],[DATA PEDIDO HP]])</f>
        <v>1</v>
      </c>
      <c r="AB53" s="32" t="s">
        <v>60</v>
      </c>
      <c r="AC53" s="5">
        <f t="shared" ca="1" si="0"/>
        <v>46232</v>
      </c>
      <c r="AD53" s="331">
        <f ca="1">_xlfn.DAYS(Table2[[#This Row],[HOJE]],Table2[[#This Row],[DATA PEDIDO HP]])</f>
        <v>551</v>
      </c>
      <c r="AE53" s="336" t="s">
        <v>43</v>
      </c>
    </row>
    <row r="54" spans="1:31" ht="14.45" hidden="1">
      <c r="A54" s="269" t="s">
        <v>267</v>
      </c>
      <c r="B54" s="26">
        <v>45681</v>
      </c>
      <c r="C54" s="26">
        <v>45680</v>
      </c>
      <c r="D54" s="14" t="s">
        <v>268</v>
      </c>
      <c r="E54" s="14" t="s">
        <v>79</v>
      </c>
      <c r="F54" s="14" t="s">
        <v>34</v>
      </c>
      <c r="G54" s="14">
        <v>50000530</v>
      </c>
      <c r="H54" s="14" t="s">
        <v>271</v>
      </c>
      <c r="I54" s="14" t="s">
        <v>272</v>
      </c>
      <c r="J54" s="14">
        <v>1</v>
      </c>
      <c r="K54" s="14" t="s">
        <v>37</v>
      </c>
      <c r="L54" s="14" t="s">
        <v>217</v>
      </c>
      <c r="M54" s="14" t="s">
        <v>58</v>
      </c>
      <c r="N54" s="15" t="s">
        <v>58</v>
      </c>
      <c r="O54" s="15">
        <v>1</v>
      </c>
      <c r="P54" s="14">
        <v>2</v>
      </c>
      <c r="Q54" s="15"/>
      <c r="R54" s="15" t="s">
        <v>273</v>
      </c>
      <c r="S54" s="25">
        <v>45673</v>
      </c>
      <c r="T54" s="25">
        <v>45725</v>
      </c>
      <c r="U54" s="25">
        <v>45735</v>
      </c>
      <c r="V54" s="15" t="s">
        <v>49</v>
      </c>
      <c r="W54" s="15" t="s">
        <v>82</v>
      </c>
      <c r="X54" s="27">
        <v>395.76</v>
      </c>
      <c r="Y54" s="27">
        <f>Table2[[#This Row],[PREÇO UNITARIO]]*Table2[[#This Row],[QUANTIDADE]]</f>
        <v>395.76</v>
      </c>
      <c r="Z54" s="15"/>
      <c r="AA54" s="28">
        <f>MONTH(Table2[[#This Row],[DATA PEDIDO HP]])</f>
        <v>1</v>
      </c>
      <c r="AB54" s="32" t="s">
        <v>60</v>
      </c>
      <c r="AC54" s="5">
        <f t="shared" ca="1" si="0"/>
        <v>46232</v>
      </c>
      <c r="AD54" s="331">
        <f ca="1">_xlfn.DAYS(Table2[[#This Row],[HOJE]],Table2[[#This Row],[DATA PEDIDO HP]])</f>
        <v>551</v>
      </c>
      <c r="AE54" s="336" t="s">
        <v>43</v>
      </c>
    </row>
    <row r="55" spans="1:31" ht="14.45" hidden="1">
      <c r="A55" s="269" t="s">
        <v>274</v>
      </c>
      <c r="B55" s="26">
        <v>45681</v>
      </c>
      <c r="C55" s="26">
        <v>45680</v>
      </c>
      <c r="D55" s="14" t="s">
        <v>275</v>
      </c>
      <c r="E55" s="14" t="s">
        <v>118</v>
      </c>
      <c r="F55" s="14" t="s">
        <v>64</v>
      </c>
      <c r="G55" s="14">
        <v>48000044</v>
      </c>
      <c r="H55" s="14" t="s">
        <v>153</v>
      </c>
      <c r="I55" s="14" t="s">
        <v>276</v>
      </c>
      <c r="J55" s="14">
        <v>1</v>
      </c>
      <c r="K55" s="14" t="s">
        <v>37</v>
      </c>
      <c r="L55" s="14" t="s">
        <v>217</v>
      </c>
      <c r="M55" s="14" t="s">
        <v>58</v>
      </c>
      <c r="N55" s="15" t="s">
        <v>58</v>
      </c>
      <c r="O55" s="15">
        <v>1</v>
      </c>
      <c r="P55" s="14">
        <v>2</v>
      </c>
      <c r="Q55" s="15"/>
      <c r="R55" s="15"/>
      <c r="S55" s="25">
        <v>45678</v>
      </c>
      <c r="T55" s="25">
        <v>45725</v>
      </c>
      <c r="U55" s="25">
        <v>45735</v>
      </c>
      <c r="V55" s="15" t="s">
        <v>49</v>
      </c>
      <c r="W55" s="15" t="s">
        <v>277</v>
      </c>
      <c r="X55" s="27">
        <v>146.5</v>
      </c>
      <c r="Y55" s="27">
        <f>Table2[[#This Row],[PREÇO UNITARIO]]*Table2[[#This Row],[QUANTIDADE]]</f>
        <v>146.5</v>
      </c>
      <c r="Z55" s="15"/>
      <c r="AA55" s="28">
        <f>MONTH(Table2[[#This Row],[DATA PEDIDO HP]])</f>
        <v>1</v>
      </c>
      <c r="AB55" s="32" t="s">
        <v>60</v>
      </c>
      <c r="AC55" s="5">
        <f t="shared" ca="1" si="0"/>
        <v>46232</v>
      </c>
      <c r="AD55" s="331">
        <f ca="1">_xlfn.DAYS(Table2[[#This Row],[HOJE]],Table2[[#This Row],[DATA PEDIDO HP]])</f>
        <v>551</v>
      </c>
      <c r="AE55" s="336" t="s">
        <v>43</v>
      </c>
    </row>
    <row r="56" spans="1:31" ht="14.45" hidden="1">
      <c r="A56" s="269" t="s">
        <v>278</v>
      </c>
      <c r="B56" s="26">
        <v>45681</v>
      </c>
      <c r="C56" s="26">
        <v>45680</v>
      </c>
      <c r="D56" s="14" t="s">
        <v>279</v>
      </c>
      <c r="E56" s="14" t="s">
        <v>118</v>
      </c>
      <c r="F56" s="14" t="s">
        <v>64</v>
      </c>
      <c r="G56" s="14">
        <v>48000044</v>
      </c>
      <c r="H56" s="14" t="s">
        <v>280</v>
      </c>
      <c r="I56" s="14" t="s">
        <v>281</v>
      </c>
      <c r="J56" s="14">
        <v>1</v>
      </c>
      <c r="K56" s="14" t="s">
        <v>37</v>
      </c>
      <c r="L56" s="14" t="s">
        <v>48</v>
      </c>
      <c r="M56" s="14" t="s">
        <v>58</v>
      </c>
      <c r="N56" s="15" t="s">
        <v>58</v>
      </c>
      <c r="O56" s="15">
        <v>1</v>
      </c>
      <c r="P56" s="14">
        <v>2</v>
      </c>
      <c r="Q56" s="15"/>
      <c r="R56" s="15"/>
      <c r="S56" s="25">
        <v>45665</v>
      </c>
      <c r="T56" s="25">
        <v>45725</v>
      </c>
      <c r="U56" s="25">
        <v>45735</v>
      </c>
      <c r="V56" s="15" t="s">
        <v>49</v>
      </c>
      <c r="W56" s="15" t="s">
        <v>277</v>
      </c>
      <c r="X56" s="27">
        <v>182.54</v>
      </c>
      <c r="Y56" s="27">
        <f>Table2[[#This Row],[PREÇO UNITARIO]]*Table2[[#This Row],[QUANTIDADE]]</f>
        <v>182.54</v>
      </c>
      <c r="Z56" s="15"/>
      <c r="AA56" s="28">
        <f>MONTH(Table2[[#This Row],[DATA PEDIDO HP]])</f>
        <v>1</v>
      </c>
      <c r="AB56" s="32" t="s">
        <v>60</v>
      </c>
      <c r="AC56" s="5">
        <f t="shared" ca="1" si="0"/>
        <v>46232</v>
      </c>
      <c r="AD56" s="331">
        <f ca="1">_xlfn.DAYS(Table2[[#This Row],[HOJE]],Table2[[#This Row],[DATA PEDIDO HP]])</f>
        <v>551</v>
      </c>
      <c r="AE56" s="336" t="s">
        <v>43</v>
      </c>
    </row>
    <row r="57" spans="1:31" ht="14.45" hidden="1">
      <c r="A57" s="269" t="s">
        <v>282</v>
      </c>
      <c r="B57" s="26">
        <v>45686</v>
      </c>
      <c r="C57" s="26">
        <v>45686</v>
      </c>
      <c r="D57" s="14" t="s">
        <v>283</v>
      </c>
      <c r="E57" s="14" t="s">
        <v>181</v>
      </c>
      <c r="F57" s="14" t="s">
        <v>34</v>
      </c>
      <c r="G57" s="14">
        <v>50110057</v>
      </c>
      <c r="H57" s="14" t="s">
        <v>284</v>
      </c>
      <c r="I57" s="14" t="s">
        <v>285</v>
      </c>
      <c r="J57" s="14">
        <v>1</v>
      </c>
      <c r="K57" s="14" t="s">
        <v>37</v>
      </c>
      <c r="L57" s="14" t="s">
        <v>96</v>
      </c>
      <c r="M57" s="14" t="s">
        <v>88</v>
      </c>
      <c r="N57" s="15" t="s">
        <v>89</v>
      </c>
      <c r="O57" s="15">
        <v>0</v>
      </c>
      <c r="P57" s="14">
        <v>2</v>
      </c>
      <c r="Q57" s="15"/>
      <c r="R57" s="15"/>
      <c r="S57" s="25">
        <v>45706</v>
      </c>
      <c r="T57" s="25">
        <v>45696</v>
      </c>
      <c r="U57" s="25">
        <v>45705</v>
      </c>
      <c r="V57" s="15" t="s">
        <v>282</v>
      </c>
      <c r="W57" s="15" t="s">
        <v>41</v>
      </c>
      <c r="X57" s="27">
        <v>28824.73</v>
      </c>
      <c r="Y57" s="27">
        <f>Table2[[#This Row],[PREÇO UNITARIO]]*Table2[[#This Row],[QUANTIDADE]]</f>
        <v>28824.73</v>
      </c>
      <c r="Z57" s="15"/>
      <c r="AA57" s="28">
        <f>MONTH(Table2[[#This Row],[DATA PEDIDO HP]])</f>
        <v>1</v>
      </c>
      <c r="AB57" s="32" t="s">
        <v>42</v>
      </c>
      <c r="AC57" s="5">
        <f t="shared" ca="1" si="0"/>
        <v>46232</v>
      </c>
      <c r="AD57" s="331">
        <f ca="1">_xlfn.DAYS(Table2[[#This Row],[HOJE]],Table2[[#This Row],[DATA PEDIDO HP]])</f>
        <v>546</v>
      </c>
      <c r="AE57" s="336" t="s">
        <v>43</v>
      </c>
    </row>
    <row r="58" spans="1:31" ht="14.45" hidden="1">
      <c r="A58" s="269" t="s">
        <v>282</v>
      </c>
      <c r="B58" s="26">
        <v>45686</v>
      </c>
      <c r="C58" s="26">
        <v>45686</v>
      </c>
      <c r="D58" s="14" t="s">
        <v>283</v>
      </c>
      <c r="E58" s="14" t="s">
        <v>181</v>
      </c>
      <c r="F58" s="14" t="s">
        <v>34</v>
      </c>
      <c r="G58" s="14">
        <v>50110057</v>
      </c>
      <c r="H58" s="14" t="s">
        <v>286</v>
      </c>
      <c r="I58" s="14" t="s">
        <v>287</v>
      </c>
      <c r="J58" s="14">
        <v>1</v>
      </c>
      <c r="K58" s="14" t="s">
        <v>37</v>
      </c>
      <c r="L58" s="14" t="s">
        <v>96</v>
      </c>
      <c r="M58" s="14" t="s">
        <v>88</v>
      </c>
      <c r="N58" s="15" t="s">
        <v>89</v>
      </c>
      <c r="O58" s="15">
        <v>0</v>
      </c>
      <c r="P58" s="14">
        <v>1</v>
      </c>
      <c r="Q58" s="15"/>
      <c r="R58" s="15"/>
      <c r="S58" s="25">
        <v>45706</v>
      </c>
      <c r="T58" s="25">
        <v>45696</v>
      </c>
      <c r="U58" s="25">
        <v>45705</v>
      </c>
      <c r="V58" s="15" t="s">
        <v>282</v>
      </c>
      <c r="W58" s="15" t="s">
        <v>41</v>
      </c>
      <c r="X58" s="27">
        <v>1542.6</v>
      </c>
      <c r="Y58" s="27">
        <f>Table2[[#This Row],[PREÇO UNITARIO]]*Table2[[#This Row],[QUANTIDADE]]</f>
        <v>1542.6</v>
      </c>
      <c r="Z58" s="15"/>
      <c r="AA58" s="28">
        <f>MONTH(Table2[[#This Row],[DATA PEDIDO HP]])</f>
        <v>1</v>
      </c>
      <c r="AB58" s="32" t="s">
        <v>42</v>
      </c>
      <c r="AC58" s="5">
        <f t="shared" ca="1" si="0"/>
        <v>46232</v>
      </c>
      <c r="AD58" s="331">
        <f ca="1">_xlfn.DAYS(Table2[[#This Row],[HOJE]],Table2[[#This Row],[DATA PEDIDO HP]])</f>
        <v>546</v>
      </c>
      <c r="AE58" s="336" t="s">
        <v>43</v>
      </c>
    </row>
    <row r="59" spans="1:31" ht="14.45" hidden="1">
      <c r="A59" s="269" t="s">
        <v>282</v>
      </c>
      <c r="B59" s="26">
        <v>45686</v>
      </c>
      <c r="C59" s="26">
        <v>45686</v>
      </c>
      <c r="D59" s="14" t="s">
        <v>283</v>
      </c>
      <c r="E59" s="14" t="s">
        <v>181</v>
      </c>
      <c r="F59" s="14" t="s">
        <v>34</v>
      </c>
      <c r="G59" s="14">
        <v>50110057</v>
      </c>
      <c r="H59" s="14" t="s">
        <v>288</v>
      </c>
      <c r="I59" s="14" t="s">
        <v>289</v>
      </c>
      <c r="J59" s="14">
        <v>1</v>
      </c>
      <c r="K59" s="14" t="s">
        <v>37</v>
      </c>
      <c r="L59" s="14" t="s">
        <v>96</v>
      </c>
      <c r="M59" s="14" t="s">
        <v>88</v>
      </c>
      <c r="N59" s="15" t="s">
        <v>89</v>
      </c>
      <c r="O59" s="15">
        <v>0</v>
      </c>
      <c r="P59" s="14">
        <v>2</v>
      </c>
      <c r="Q59" s="15"/>
      <c r="R59" s="15"/>
      <c r="S59" s="25">
        <v>45706</v>
      </c>
      <c r="T59" s="25">
        <v>45696</v>
      </c>
      <c r="U59" s="25">
        <v>45705</v>
      </c>
      <c r="V59" s="15" t="s">
        <v>282</v>
      </c>
      <c r="W59" s="15" t="s">
        <v>41</v>
      </c>
      <c r="X59" s="27">
        <v>2308.5</v>
      </c>
      <c r="Y59" s="27">
        <f>Table2[[#This Row],[PREÇO UNITARIO]]*Table2[[#This Row],[QUANTIDADE]]</f>
        <v>2308.5</v>
      </c>
      <c r="Z59" s="15"/>
      <c r="AA59" s="28">
        <f>MONTH(Table2[[#This Row],[DATA PEDIDO HP]])</f>
        <v>1</v>
      </c>
      <c r="AB59" s="32" t="s">
        <v>42</v>
      </c>
      <c r="AC59" s="5">
        <f t="shared" ca="1" si="0"/>
        <v>46232</v>
      </c>
      <c r="AD59" s="331">
        <f ca="1">_xlfn.DAYS(Table2[[#This Row],[HOJE]],Table2[[#This Row],[DATA PEDIDO HP]])</f>
        <v>546</v>
      </c>
      <c r="AE59" s="336" t="s">
        <v>43</v>
      </c>
    </row>
    <row r="60" spans="1:31" ht="14.45" hidden="1">
      <c r="A60" s="269" t="s">
        <v>290</v>
      </c>
      <c r="B60" s="26">
        <v>45687</v>
      </c>
      <c r="C60" s="26">
        <v>45681</v>
      </c>
      <c r="D60" s="14" t="s">
        <v>291</v>
      </c>
      <c r="E60" s="14" t="s">
        <v>73</v>
      </c>
      <c r="F60" s="14" t="s">
        <v>34</v>
      </c>
      <c r="G60" s="14">
        <v>50110372</v>
      </c>
      <c r="H60" s="14" t="s">
        <v>292</v>
      </c>
      <c r="I60" s="14" t="s">
        <v>293</v>
      </c>
      <c r="J60" s="14">
        <v>1</v>
      </c>
      <c r="K60" s="14" t="s">
        <v>67</v>
      </c>
      <c r="L60" s="14" t="s">
        <v>294</v>
      </c>
      <c r="M60" s="14" t="s">
        <v>58</v>
      </c>
      <c r="N60" s="15" t="s">
        <v>58</v>
      </c>
      <c r="O60" s="15">
        <v>1</v>
      </c>
      <c r="P60" s="14">
        <v>1</v>
      </c>
      <c r="Q60" s="15"/>
      <c r="R60" s="15"/>
      <c r="S60" s="25">
        <v>45705</v>
      </c>
      <c r="T60" s="25">
        <v>45755</v>
      </c>
      <c r="U60" s="25">
        <v>45772</v>
      </c>
      <c r="V60" s="15" t="s">
        <v>40</v>
      </c>
      <c r="W60" s="15" t="s">
        <v>41</v>
      </c>
      <c r="X60" s="27">
        <v>76.67</v>
      </c>
      <c r="Y60" s="27">
        <f>Table2[[#This Row],[PREÇO UNITARIO]]*Table2[[#This Row],[QUANTIDADE]]</f>
        <v>76.67</v>
      </c>
      <c r="Z60" s="15"/>
      <c r="AA60" s="28">
        <f>MONTH(Table2[[#This Row],[DATA PEDIDO HP]])</f>
        <v>1</v>
      </c>
      <c r="AB60" s="32" t="s">
        <v>42</v>
      </c>
      <c r="AC60" s="5">
        <f t="shared" ca="1" si="0"/>
        <v>46232</v>
      </c>
      <c r="AD60" s="331">
        <f ca="1">_xlfn.DAYS(Table2[[#This Row],[HOJE]],Table2[[#This Row],[DATA PEDIDO HP]])</f>
        <v>545</v>
      </c>
      <c r="AE60" s="336" t="s">
        <v>43</v>
      </c>
    </row>
    <row r="61" spans="1:31" ht="14.45" hidden="1">
      <c r="A61" s="269" t="s">
        <v>295</v>
      </c>
      <c r="B61" s="26">
        <v>45691</v>
      </c>
      <c r="C61" s="26">
        <v>45688</v>
      </c>
      <c r="D61" s="14" t="s">
        <v>296</v>
      </c>
      <c r="E61" s="14" t="s">
        <v>181</v>
      </c>
      <c r="F61" s="14" t="s">
        <v>34</v>
      </c>
      <c r="G61" s="14">
        <v>50110057</v>
      </c>
      <c r="H61" s="14" t="s">
        <v>297</v>
      </c>
      <c r="I61" s="14" t="s">
        <v>298</v>
      </c>
      <c r="J61" s="14">
        <v>1</v>
      </c>
      <c r="K61" s="14" t="s">
        <v>37</v>
      </c>
      <c r="L61" s="14" t="s">
        <v>96</v>
      </c>
      <c r="M61" s="14" t="s">
        <v>39</v>
      </c>
      <c r="N61" s="15" t="s">
        <v>39</v>
      </c>
      <c r="O61" s="15">
        <v>1</v>
      </c>
      <c r="P61" s="14">
        <v>2</v>
      </c>
      <c r="Q61" s="15"/>
      <c r="R61" s="15" t="s">
        <v>299</v>
      </c>
      <c r="S61" s="25">
        <v>45785</v>
      </c>
      <c r="T61" s="25">
        <v>45755</v>
      </c>
      <c r="U61" s="25">
        <v>45772</v>
      </c>
      <c r="V61" s="15" t="s">
        <v>40</v>
      </c>
      <c r="W61" s="15" t="s">
        <v>41</v>
      </c>
      <c r="X61" s="27">
        <v>15.33</v>
      </c>
      <c r="Y61" s="27">
        <f>Table2[[#This Row],[PREÇO UNITARIO]]*Table2[[#This Row],[QUANTIDADE]]</f>
        <v>15.33</v>
      </c>
      <c r="Z61" s="15"/>
      <c r="AA61" s="28">
        <f>MONTH(Table2[[#This Row],[DATA PEDIDO HP]])</f>
        <v>2</v>
      </c>
      <c r="AB61" s="32" t="s">
        <v>42</v>
      </c>
      <c r="AC61" s="5">
        <f t="shared" ca="1" si="0"/>
        <v>46232</v>
      </c>
      <c r="AD61" s="331">
        <f ca="1">_xlfn.DAYS(Table2[[#This Row],[HOJE]],Table2[[#This Row],[DATA PEDIDO HP]])</f>
        <v>541</v>
      </c>
      <c r="AE61" s="336" t="s">
        <v>43</v>
      </c>
    </row>
    <row r="62" spans="1:31" ht="14.45" hidden="1">
      <c r="A62" s="269" t="s">
        <v>300</v>
      </c>
      <c r="B62" s="26">
        <v>45691</v>
      </c>
      <c r="C62" s="26">
        <v>45688</v>
      </c>
      <c r="D62" s="14" t="s">
        <v>301</v>
      </c>
      <c r="E62" s="14" t="s">
        <v>225</v>
      </c>
      <c r="F62" s="14" t="s">
        <v>226</v>
      </c>
      <c r="G62" s="14">
        <v>43000422</v>
      </c>
      <c r="H62" s="14" t="s">
        <v>302</v>
      </c>
      <c r="I62" s="14" t="s">
        <v>303</v>
      </c>
      <c r="J62" s="14">
        <v>1</v>
      </c>
      <c r="K62" s="14" t="s">
        <v>37</v>
      </c>
      <c r="L62" s="14" t="s">
        <v>48</v>
      </c>
      <c r="M62" s="14" t="s">
        <v>58</v>
      </c>
      <c r="N62" s="15" t="s">
        <v>58</v>
      </c>
      <c r="O62" s="15">
        <v>1</v>
      </c>
      <c r="P62" s="14">
        <v>2</v>
      </c>
      <c r="Q62" s="15"/>
      <c r="R62" s="15" t="s">
        <v>304</v>
      </c>
      <c r="S62" s="25">
        <v>45681</v>
      </c>
      <c r="T62" s="25">
        <v>45755</v>
      </c>
      <c r="U62" s="25">
        <v>45772</v>
      </c>
      <c r="V62" s="15" t="s">
        <v>40</v>
      </c>
      <c r="W62" s="15" t="s">
        <v>305</v>
      </c>
      <c r="X62" s="27">
        <v>654.77</v>
      </c>
      <c r="Y62" s="27">
        <f>Table2[[#This Row],[PREÇO UNITARIO]]*Table2[[#This Row],[QUANTIDADE]]</f>
        <v>654.77</v>
      </c>
      <c r="Z62" s="15"/>
      <c r="AA62" s="28">
        <f>MONTH(Table2[[#This Row],[DATA PEDIDO HP]])</f>
        <v>2</v>
      </c>
      <c r="AB62" s="32" t="s">
        <v>60</v>
      </c>
      <c r="AC62" s="5">
        <f t="shared" ca="1" si="0"/>
        <v>46232</v>
      </c>
      <c r="AD62" s="331">
        <f ca="1">_xlfn.DAYS(Table2[[#This Row],[HOJE]],Table2[[#This Row],[DATA PEDIDO HP]])</f>
        <v>541</v>
      </c>
      <c r="AE62" s="336" t="s">
        <v>43</v>
      </c>
    </row>
    <row r="63" spans="1:31" ht="15.6" hidden="1">
      <c r="A63" s="269" t="s">
        <v>306</v>
      </c>
      <c r="B63" s="26">
        <v>45693</v>
      </c>
      <c r="C63" s="26">
        <v>45691</v>
      </c>
      <c r="D63" s="14" t="s">
        <v>307</v>
      </c>
      <c r="E63" s="14" t="s">
        <v>103</v>
      </c>
      <c r="F63" s="14" t="s">
        <v>104</v>
      </c>
      <c r="G63" s="14">
        <v>51000136</v>
      </c>
      <c r="H63" s="14" t="s">
        <v>308</v>
      </c>
      <c r="I63" s="14" t="s">
        <v>309</v>
      </c>
      <c r="J63" s="14">
        <v>1</v>
      </c>
      <c r="K63" s="14" t="s">
        <v>37</v>
      </c>
      <c r="L63" s="14" t="s">
        <v>48</v>
      </c>
      <c r="M63" s="14" t="s">
        <v>88</v>
      </c>
      <c r="N63" s="15" t="s">
        <v>89</v>
      </c>
      <c r="O63" s="15">
        <v>0</v>
      </c>
      <c r="P63" s="14">
        <v>1</v>
      </c>
      <c r="Q63" s="15"/>
      <c r="R63" s="15"/>
      <c r="S63" s="25">
        <v>45783</v>
      </c>
      <c r="T63" s="25">
        <v>45755</v>
      </c>
      <c r="U63" s="25">
        <v>45772</v>
      </c>
      <c r="V63" s="270" t="s">
        <v>40</v>
      </c>
      <c r="W63" s="15" t="s">
        <v>41</v>
      </c>
      <c r="X63" s="27">
        <v>20.87</v>
      </c>
      <c r="Y63" s="27">
        <f>Table2[[#This Row],[PREÇO UNITARIO]]*Table2[[#This Row],[QUANTIDADE]]</f>
        <v>20.87</v>
      </c>
      <c r="Z63" s="15"/>
      <c r="AA63" s="28">
        <f>MONTH(Table2[[#This Row],[DATA PEDIDO HP]])</f>
        <v>2</v>
      </c>
      <c r="AB63" s="32" t="s">
        <v>42</v>
      </c>
      <c r="AC63" s="5">
        <f t="shared" ca="1" si="0"/>
        <v>46232</v>
      </c>
      <c r="AD63" s="331">
        <f ca="1">_xlfn.DAYS(Table2[[#This Row],[HOJE]],Table2[[#This Row],[DATA PEDIDO HP]])</f>
        <v>539</v>
      </c>
      <c r="AE63" s="336" t="s">
        <v>43</v>
      </c>
    </row>
    <row r="64" spans="1:31" ht="14.45" hidden="1">
      <c r="A64" s="269" t="s">
        <v>310</v>
      </c>
      <c r="B64" s="26">
        <v>45691</v>
      </c>
      <c r="C64" s="26">
        <v>45691</v>
      </c>
      <c r="D64" s="14" t="s">
        <v>311</v>
      </c>
      <c r="E64" s="14" t="s">
        <v>152</v>
      </c>
      <c r="F64" s="14" t="s">
        <v>64</v>
      </c>
      <c r="G64" s="14">
        <v>48000482</v>
      </c>
      <c r="H64" s="14" t="s">
        <v>312</v>
      </c>
      <c r="I64" s="14" t="s">
        <v>313</v>
      </c>
      <c r="J64" s="14">
        <v>1</v>
      </c>
      <c r="K64" s="14" t="s">
        <v>37</v>
      </c>
      <c r="L64" s="14" t="s">
        <v>48</v>
      </c>
      <c r="M64" s="14" t="s">
        <v>58</v>
      </c>
      <c r="N64" s="15" t="s">
        <v>58</v>
      </c>
      <c r="O64" s="15">
        <v>1</v>
      </c>
      <c r="P64" s="14">
        <v>1</v>
      </c>
      <c r="Q64" s="15"/>
      <c r="R64" s="15" t="s">
        <v>314</v>
      </c>
      <c r="S64" s="25">
        <v>45691</v>
      </c>
      <c r="T64" s="25">
        <v>45755</v>
      </c>
      <c r="U64" s="25">
        <v>45772</v>
      </c>
      <c r="V64" s="15" t="s">
        <v>40</v>
      </c>
      <c r="W64" s="15" t="s">
        <v>315</v>
      </c>
      <c r="X64" s="27">
        <v>159.5</v>
      </c>
      <c r="Y64" s="27">
        <f>Table2[[#This Row],[PREÇO UNITARIO]]*Table2[[#This Row],[QUANTIDADE]]</f>
        <v>159.5</v>
      </c>
      <c r="Z64" s="15"/>
      <c r="AA64" s="28">
        <f>MONTH(Table2[[#This Row],[DATA PEDIDO HP]])</f>
        <v>2</v>
      </c>
      <c r="AB64" s="32" t="s">
        <v>60</v>
      </c>
      <c r="AC64" s="5">
        <f t="shared" ca="1" si="0"/>
        <v>46232</v>
      </c>
      <c r="AD64" s="331">
        <f ca="1">_xlfn.DAYS(Table2[[#This Row],[HOJE]],Table2[[#This Row],[DATA PEDIDO HP]])</f>
        <v>541</v>
      </c>
      <c r="AE64" s="336" t="s">
        <v>43</v>
      </c>
    </row>
    <row r="65" spans="1:31" ht="14.45" hidden="1">
      <c r="A65" s="269" t="s">
        <v>316</v>
      </c>
      <c r="B65" s="26">
        <v>45691</v>
      </c>
      <c r="C65" s="26">
        <v>45691</v>
      </c>
      <c r="D65" s="14" t="s">
        <v>317</v>
      </c>
      <c r="E65" s="14" t="s">
        <v>152</v>
      </c>
      <c r="F65" s="14" t="s">
        <v>64</v>
      </c>
      <c r="G65" s="14">
        <v>48000482</v>
      </c>
      <c r="H65" s="14" t="s">
        <v>280</v>
      </c>
      <c r="I65" s="14" t="s">
        <v>318</v>
      </c>
      <c r="J65" s="14">
        <v>1</v>
      </c>
      <c r="K65" s="14" t="s">
        <v>37</v>
      </c>
      <c r="L65" s="14" t="s">
        <v>48</v>
      </c>
      <c r="M65" s="14" t="s">
        <v>58</v>
      </c>
      <c r="N65" s="15" t="s">
        <v>58</v>
      </c>
      <c r="O65" s="15">
        <v>1</v>
      </c>
      <c r="P65" s="14">
        <v>2</v>
      </c>
      <c r="Q65" s="15"/>
      <c r="R65" s="15"/>
      <c r="S65" s="25">
        <v>45672</v>
      </c>
      <c r="T65" s="25">
        <v>45755</v>
      </c>
      <c r="U65" s="25">
        <v>45772</v>
      </c>
      <c r="V65" s="15" t="s">
        <v>40</v>
      </c>
      <c r="W65" s="15" t="s">
        <v>155</v>
      </c>
      <c r="X65" s="27">
        <v>431.82</v>
      </c>
      <c r="Y65" s="27">
        <f>Table2[[#This Row],[PREÇO UNITARIO]]*Table2[[#This Row],[QUANTIDADE]]</f>
        <v>431.82</v>
      </c>
      <c r="Z65" s="15"/>
      <c r="AA65" s="28">
        <f>MONTH(Table2[[#This Row],[DATA PEDIDO HP]])</f>
        <v>2</v>
      </c>
      <c r="AB65" s="32" t="s">
        <v>60</v>
      </c>
      <c r="AC65" s="5">
        <f t="shared" ca="1" si="0"/>
        <v>46232</v>
      </c>
      <c r="AD65" s="331">
        <f ca="1">_xlfn.DAYS(Table2[[#This Row],[HOJE]],Table2[[#This Row],[DATA PEDIDO HP]])</f>
        <v>541</v>
      </c>
      <c r="AE65" s="336" t="s">
        <v>43</v>
      </c>
    </row>
    <row r="66" spans="1:31" ht="14.45" hidden="1">
      <c r="A66" s="269" t="s">
        <v>319</v>
      </c>
      <c r="B66" s="26">
        <v>45691</v>
      </c>
      <c r="C66" s="26">
        <v>45691</v>
      </c>
      <c r="D66" s="14" t="s">
        <v>320</v>
      </c>
      <c r="E66" s="14" t="s">
        <v>79</v>
      </c>
      <c r="F66" s="14" t="s">
        <v>74</v>
      </c>
      <c r="G66" s="14">
        <v>50000530</v>
      </c>
      <c r="H66" s="14" t="s">
        <v>321</v>
      </c>
      <c r="I66" s="14" t="s">
        <v>322</v>
      </c>
      <c r="J66" s="14">
        <v>1</v>
      </c>
      <c r="K66" s="14" t="s">
        <v>67</v>
      </c>
      <c r="L66" s="14" t="s">
        <v>294</v>
      </c>
      <c r="M66" s="14" t="s">
        <v>58</v>
      </c>
      <c r="N66" s="15" t="s">
        <v>58</v>
      </c>
      <c r="O66" s="15">
        <v>1</v>
      </c>
      <c r="P66" s="15"/>
      <c r="Q66" s="15"/>
      <c r="R66" s="15"/>
      <c r="S66" s="25">
        <v>45688</v>
      </c>
      <c r="T66" s="25">
        <v>45755</v>
      </c>
      <c r="U66" s="25">
        <v>45772</v>
      </c>
      <c r="V66" s="15" t="s">
        <v>40</v>
      </c>
      <c r="W66" s="15" t="s">
        <v>323</v>
      </c>
      <c r="X66" s="27">
        <v>396.84</v>
      </c>
      <c r="Y66" s="27">
        <f>Table2[[#This Row],[PREÇO UNITARIO]]*Table2[[#This Row],[QUANTIDADE]]</f>
        <v>396.84</v>
      </c>
      <c r="Z66" s="15"/>
      <c r="AA66" s="28">
        <f>MONTH(Table2[[#This Row],[DATA PEDIDO HP]])</f>
        <v>2</v>
      </c>
      <c r="AB66" s="32" t="s">
        <v>60</v>
      </c>
      <c r="AC66" s="5">
        <f t="shared" ref="AC66:AC129" ca="1" si="1">TODAY()</f>
        <v>46232</v>
      </c>
      <c r="AD66" s="331">
        <f ca="1">_xlfn.DAYS(Table2[[#This Row],[HOJE]],Table2[[#This Row],[DATA PEDIDO HP]])</f>
        <v>541</v>
      </c>
      <c r="AE66" s="336" t="s">
        <v>43</v>
      </c>
    </row>
    <row r="67" spans="1:31" ht="14.45" hidden="1">
      <c r="A67" s="269" t="s">
        <v>324</v>
      </c>
      <c r="B67" s="26">
        <v>45692</v>
      </c>
      <c r="C67" s="26">
        <v>45691</v>
      </c>
      <c r="D67" s="14" t="s">
        <v>325</v>
      </c>
      <c r="E67" s="14" t="s">
        <v>63</v>
      </c>
      <c r="F67" s="14" t="s">
        <v>173</v>
      </c>
      <c r="G67" s="14">
        <v>48300301</v>
      </c>
      <c r="H67" s="14" t="s">
        <v>326</v>
      </c>
      <c r="I67" s="14" t="s">
        <v>327</v>
      </c>
      <c r="J67" s="14">
        <v>1</v>
      </c>
      <c r="K67" s="14" t="s">
        <v>37</v>
      </c>
      <c r="L67" s="14" t="s">
        <v>48</v>
      </c>
      <c r="M67" s="14" t="s">
        <v>58</v>
      </c>
      <c r="N67" s="15" t="s">
        <v>58</v>
      </c>
      <c r="O67" s="15">
        <v>1</v>
      </c>
      <c r="P67" s="15"/>
      <c r="Q67" s="15"/>
      <c r="R67" s="15"/>
      <c r="S67" s="25">
        <v>45679</v>
      </c>
      <c r="T67" s="25">
        <v>45755</v>
      </c>
      <c r="U67" s="25">
        <v>45772</v>
      </c>
      <c r="V67" s="15" t="s">
        <v>40</v>
      </c>
      <c r="W67" s="15" t="s">
        <v>70</v>
      </c>
      <c r="X67" s="27">
        <v>882.69</v>
      </c>
      <c r="Y67" s="27">
        <f>Table2[[#This Row],[PREÇO UNITARIO]]*Table2[[#This Row],[QUANTIDADE]]</f>
        <v>882.69</v>
      </c>
      <c r="Z67" s="15"/>
      <c r="AA67" s="28">
        <f>MONTH(Table2[[#This Row],[DATA PEDIDO HP]])</f>
        <v>2</v>
      </c>
      <c r="AB67" s="32" t="s">
        <v>60</v>
      </c>
      <c r="AC67" s="5">
        <f t="shared" ca="1" si="1"/>
        <v>46232</v>
      </c>
      <c r="AD67" s="331">
        <f ca="1">_xlfn.DAYS(Table2[[#This Row],[HOJE]],Table2[[#This Row],[DATA PEDIDO HP]])</f>
        <v>540</v>
      </c>
      <c r="AE67" s="336" t="s">
        <v>43</v>
      </c>
    </row>
    <row r="68" spans="1:31" ht="14.45" hidden="1">
      <c r="A68" s="269" t="s">
        <v>328</v>
      </c>
      <c r="B68" s="26">
        <v>45691</v>
      </c>
      <c r="C68" s="26">
        <v>45691</v>
      </c>
      <c r="D68" s="14" t="s">
        <v>329</v>
      </c>
      <c r="E68" s="14" t="s">
        <v>79</v>
      </c>
      <c r="F68" s="14" t="s">
        <v>74</v>
      </c>
      <c r="G68" s="14">
        <v>50000530</v>
      </c>
      <c r="H68" s="14" t="s">
        <v>330</v>
      </c>
      <c r="I68" s="14" t="s">
        <v>331</v>
      </c>
      <c r="J68" s="14">
        <v>1</v>
      </c>
      <c r="K68" s="14" t="s">
        <v>37</v>
      </c>
      <c r="L68" s="14" t="s">
        <v>48</v>
      </c>
      <c r="M68" s="14" t="s">
        <v>58</v>
      </c>
      <c r="N68" s="15" t="s">
        <v>58</v>
      </c>
      <c r="O68" s="15">
        <v>1</v>
      </c>
      <c r="P68" s="15"/>
      <c r="Q68" s="15"/>
      <c r="R68" s="15"/>
      <c r="S68" s="25">
        <v>45688</v>
      </c>
      <c r="T68" s="25">
        <v>45755</v>
      </c>
      <c r="U68" s="25">
        <v>45772</v>
      </c>
      <c r="V68" s="15" t="s">
        <v>40</v>
      </c>
      <c r="W68" s="15" t="s">
        <v>323</v>
      </c>
      <c r="X68" s="27">
        <v>35.19</v>
      </c>
      <c r="Y68" s="27">
        <f>Table2[[#This Row],[PREÇO UNITARIO]]*Table2[[#This Row],[QUANTIDADE]]</f>
        <v>35.19</v>
      </c>
      <c r="Z68" s="15"/>
      <c r="AA68" s="28">
        <f>MONTH(Table2[[#This Row],[DATA PEDIDO HP]])</f>
        <v>2</v>
      </c>
      <c r="AB68" s="32" t="s">
        <v>60</v>
      </c>
      <c r="AC68" s="5">
        <f t="shared" ca="1" si="1"/>
        <v>46232</v>
      </c>
      <c r="AD68" s="331">
        <f ca="1">_xlfn.DAYS(Table2[[#This Row],[HOJE]],Table2[[#This Row],[DATA PEDIDO HP]])</f>
        <v>541</v>
      </c>
      <c r="AE68" s="336" t="s">
        <v>43</v>
      </c>
    </row>
    <row r="69" spans="1:31" ht="14.45" hidden="1">
      <c r="A69" s="269" t="s">
        <v>332</v>
      </c>
      <c r="B69" s="26">
        <v>45691</v>
      </c>
      <c r="C69" s="26">
        <v>45691</v>
      </c>
      <c r="D69" s="14" t="s">
        <v>333</v>
      </c>
      <c r="E69" s="14" t="s">
        <v>334</v>
      </c>
      <c r="F69" s="14" t="s">
        <v>55</v>
      </c>
      <c r="G69" s="14">
        <v>44000010</v>
      </c>
      <c r="H69" s="14" t="s">
        <v>335</v>
      </c>
      <c r="I69" s="14" t="s">
        <v>336</v>
      </c>
      <c r="J69" s="14">
        <v>1</v>
      </c>
      <c r="K69" s="14" t="s">
        <v>37</v>
      </c>
      <c r="L69" s="14" t="s">
        <v>48</v>
      </c>
      <c r="M69" s="14" t="s">
        <v>58</v>
      </c>
      <c r="N69" s="15" t="s">
        <v>58</v>
      </c>
      <c r="O69" s="15">
        <v>1</v>
      </c>
      <c r="P69" s="15"/>
      <c r="Q69" s="15"/>
      <c r="R69" s="15"/>
      <c r="S69" s="25">
        <v>45705</v>
      </c>
      <c r="T69" s="25">
        <v>45755</v>
      </c>
      <c r="U69" s="25">
        <v>45772</v>
      </c>
      <c r="V69" s="15" t="s">
        <v>40</v>
      </c>
      <c r="W69" s="15" t="s">
        <v>337</v>
      </c>
      <c r="X69" s="27">
        <v>79.989999999999995</v>
      </c>
      <c r="Y69" s="27">
        <f>Table2[[#This Row],[PREÇO UNITARIO]]*Table2[[#This Row],[QUANTIDADE]]</f>
        <v>79.989999999999995</v>
      </c>
      <c r="Z69" s="15"/>
      <c r="AA69" s="28">
        <f>MONTH(Table2[[#This Row],[DATA PEDIDO HP]])</f>
        <v>2</v>
      </c>
      <c r="AB69" s="32" t="s">
        <v>60</v>
      </c>
      <c r="AC69" s="5">
        <f t="shared" ca="1" si="1"/>
        <v>46232</v>
      </c>
      <c r="AD69" s="331">
        <f ca="1">_xlfn.DAYS(Table2[[#This Row],[HOJE]],Table2[[#This Row],[DATA PEDIDO HP]])</f>
        <v>541</v>
      </c>
      <c r="AE69" s="336" t="s">
        <v>43</v>
      </c>
    </row>
    <row r="70" spans="1:31" ht="14.45" hidden="1">
      <c r="A70" s="269" t="s">
        <v>338</v>
      </c>
      <c r="B70" s="26">
        <v>45691</v>
      </c>
      <c r="C70" s="26">
        <v>45691</v>
      </c>
      <c r="D70" s="14" t="s">
        <v>339</v>
      </c>
      <c r="E70" s="14" t="s">
        <v>33</v>
      </c>
      <c r="F70" s="14" t="s">
        <v>34</v>
      </c>
      <c r="G70" s="14">
        <v>50110193</v>
      </c>
      <c r="H70" s="14" t="s">
        <v>340</v>
      </c>
      <c r="I70" s="14" t="s">
        <v>341</v>
      </c>
      <c r="J70" s="14">
        <v>1</v>
      </c>
      <c r="K70" s="14" t="s">
        <v>37</v>
      </c>
      <c r="L70" s="14" t="s">
        <v>48</v>
      </c>
      <c r="M70" s="14" t="s">
        <v>39</v>
      </c>
      <c r="N70" s="15" t="s">
        <v>39</v>
      </c>
      <c r="O70" s="15">
        <v>1</v>
      </c>
      <c r="P70" s="15"/>
      <c r="Q70" s="15"/>
      <c r="R70" s="15"/>
      <c r="S70" s="25">
        <v>45783</v>
      </c>
      <c r="T70" s="25">
        <v>45755</v>
      </c>
      <c r="U70" s="25">
        <v>45772</v>
      </c>
      <c r="V70" s="15" t="s">
        <v>40</v>
      </c>
      <c r="W70" s="15" t="s">
        <v>41</v>
      </c>
      <c r="X70" s="27">
        <v>37.229999999999997</v>
      </c>
      <c r="Y70" s="27">
        <f>Table2[[#This Row],[PREÇO UNITARIO]]*Table2[[#This Row],[QUANTIDADE]]</f>
        <v>37.229999999999997</v>
      </c>
      <c r="Z70" s="15" t="s">
        <v>264</v>
      </c>
      <c r="AA70" s="28">
        <f>MONTH(Table2[[#This Row],[DATA PEDIDO HP]])</f>
        <v>2</v>
      </c>
      <c r="AB70" s="32" t="s">
        <v>42</v>
      </c>
      <c r="AC70" s="5">
        <f t="shared" ca="1" si="1"/>
        <v>46232</v>
      </c>
      <c r="AD70" s="331">
        <f ca="1">_xlfn.DAYS(Table2[[#This Row],[HOJE]],Table2[[#This Row],[DATA PEDIDO HP]])</f>
        <v>541</v>
      </c>
      <c r="AE70" s="336" t="s">
        <v>43</v>
      </c>
    </row>
    <row r="71" spans="1:31" ht="14.45" hidden="1">
      <c r="A71" s="269" t="s">
        <v>342</v>
      </c>
      <c r="B71" s="25">
        <v>45694</v>
      </c>
      <c r="C71" s="26">
        <v>45687</v>
      </c>
      <c r="D71" s="14" t="s">
        <v>343</v>
      </c>
      <c r="E71" s="14" t="s">
        <v>73</v>
      </c>
      <c r="F71" s="14" t="s">
        <v>203</v>
      </c>
      <c r="G71" s="14">
        <v>60002095</v>
      </c>
      <c r="H71" s="14" t="s">
        <v>344</v>
      </c>
      <c r="I71" s="14" t="s">
        <v>345</v>
      </c>
      <c r="J71" s="14">
        <v>1</v>
      </c>
      <c r="K71" s="14" t="s">
        <v>37</v>
      </c>
      <c r="L71" s="14" t="s">
        <v>346</v>
      </c>
      <c r="M71" s="14" t="s">
        <v>88</v>
      </c>
      <c r="N71" s="15" t="s">
        <v>89</v>
      </c>
      <c r="O71" s="15">
        <v>1</v>
      </c>
      <c r="P71" s="15">
        <v>1</v>
      </c>
      <c r="Q71" s="15"/>
      <c r="R71" s="15" t="s">
        <v>42</v>
      </c>
      <c r="S71" s="25">
        <v>45693</v>
      </c>
      <c r="T71" s="25">
        <v>46042</v>
      </c>
      <c r="U71" s="25">
        <v>46055</v>
      </c>
      <c r="V71" s="15" t="s">
        <v>347</v>
      </c>
      <c r="W71" s="15" t="s">
        <v>41</v>
      </c>
      <c r="X71" s="159">
        <v>986.75</v>
      </c>
      <c r="Y71" s="159">
        <f>Table2[[#This Row],[PREÇO UNITARIO]]*Table2[[#This Row],[QUANTIDADE]]</f>
        <v>986.75</v>
      </c>
      <c r="Z71" s="201">
        <v>45888</v>
      </c>
      <c r="AA71" s="32">
        <f>MONTH(Table2[[#This Row],[DATA PEDIDO HP]])</f>
        <v>2</v>
      </c>
      <c r="AB71" s="32" t="s">
        <v>42</v>
      </c>
      <c r="AC71" s="5">
        <f t="shared" ca="1" si="1"/>
        <v>46232</v>
      </c>
      <c r="AD71" s="331">
        <f ca="1">_xlfn.DAYS(Table2[[#This Row],[HOJE]],Table2[[#This Row],[DATA PEDIDO HP]])</f>
        <v>538</v>
      </c>
      <c r="AE71" s="331" t="s">
        <v>43</v>
      </c>
    </row>
    <row r="72" spans="1:31" ht="14.45" hidden="1">
      <c r="A72" s="269" t="s">
        <v>348</v>
      </c>
      <c r="B72" s="26">
        <v>45692</v>
      </c>
      <c r="C72" s="26">
        <v>45691</v>
      </c>
      <c r="D72" s="14" t="s">
        <v>349</v>
      </c>
      <c r="E72" s="14" t="s">
        <v>202</v>
      </c>
      <c r="F72" s="14" t="s">
        <v>203</v>
      </c>
      <c r="G72" s="14">
        <v>60002072</v>
      </c>
      <c r="H72" s="14" t="s">
        <v>350</v>
      </c>
      <c r="I72" s="14" t="s">
        <v>351</v>
      </c>
      <c r="J72" s="14">
        <v>1</v>
      </c>
      <c r="K72" s="14" t="s">
        <v>37</v>
      </c>
      <c r="L72" s="14" t="s">
        <v>346</v>
      </c>
      <c r="M72" s="14" t="s">
        <v>58</v>
      </c>
      <c r="N72" s="15" t="s">
        <v>58</v>
      </c>
      <c r="O72" s="15">
        <v>1</v>
      </c>
      <c r="P72" s="15">
        <v>1</v>
      </c>
      <c r="Q72" s="15"/>
      <c r="R72" s="15"/>
      <c r="S72" s="25">
        <v>45692</v>
      </c>
      <c r="T72" s="25">
        <v>45755</v>
      </c>
      <c r="U72" s="25">
        <v>45772</v>
      </c>
      <c r="V72" s="15" t="s">
        <v>40</v>
      </c>
      <c r="W72" s="15"/>
      <c r="X72" s="27">
        <v>886.36</v>
      </c>
      <c r="Y72" s="27">
        <f>Table2[[#This Row],[PREÇO UNITARIO]]*Table2[[#This Row],[QUANTIDADE]]</f>
        <v>886.36</v>
      </c>
      <c r="Z72" s="15"/>
      <c r="AA72" s="28">
        <f>MONTH(Table2[[#This Row],[DATA PEDIDO HP]])</f>
        <v>2</v>
      </c>
      <c r="AB72" s="32" t="s">
        <v>60</v>
      </c>
      <c r="AC72" s="5">
        <f t="shared" ca="1" si="1"/>
        <v>46232</v>
      </c>
      <c r="AD72" s="331">
        <f ca="1">_xlfn.DAYS(Table2[[#This Row],[HOJE]],Table2[[#This Row],[DATA PEDIDO HP]])</f>
        <v>540</v>
      </c>
      <c r="AE72" s="336" t="s">
        <v>43</v>
      </c>
    </row>
    <row r="73" spans="1:31" ht="14.45" hidden="1">
      <c r="A73" s="269" t="s">
        <v>352</v>
      </c>
      <c r="B73" s="26">
        <v>45692</v>
      </c>
      <c r="C73" s="26">
        <v>45688</v>
      </c>
      <c r="D73" s="14" t="s">
        <v>353</v>
      </c>
      <c r="E73" s="14" t="s">
        <v>73</v>
      </c>
      <c r="F73" s="14" t="s">
        <v>74</v>
      </c>
      <c r="G73" s="14">
        <v>50000343</v>
      </c>
      <c r="H73" s="14" t="s">
        <v>354</v>
      </c>
      <c r="I73" s="14" t="s">
        <v>355</v>
      </c>
      <c r="J73" s="14">
        <v>1</v>
      </c>
      <c r="K73" s="14" t="s">
        <v>37</v>
      </c>
      <c r="L73" s="14" t="s">
        <v>48</v>
      </c>
      <c r="M73" s="14" t="s">
        <v>39</v>
      </c>
      <c r="N73" s="15" t="s">
        <v>39</v>
      </c>
      <c r="O73" s="15">
        <v>1</v>
      </c>
      <c r="P73" s="15">
        <v>1</v>
      </c>
      <c r="Q73" s="15"/>
      <c r="R73" s="15"/>
      <c r="S73" s="25">
        <v>45693</v>
      </c>
      <c r="T73" s="25">
        <v>45755</v>
      </c>
      <c r="U73" s="25">
        <v>45772</v>
      </c>
      <c r="V73" s="15" t="s">
        <v>40</v>
      </c>
      <c r="W73" s="15" t="s">
        <v>41</v>
      </c>
      <c r="X73" s="27">
        <v>274.36</v>
      </c>
      <c r="Y73" s="27">
        <f>Table2[[#This Row],[PREÇO UNITARIO]]*Table2[[#This Row],[QUANTIDADE]]</f>
        <v>274.36</v>
      </c>
      <c r="Z73" s="15"/>
      <c r="AA73" s="28">
        <f>MONTH(Table2[[#This Row],[DATA PEDIDO HP]])</f>
        <v>2</v>
      </c>
      <c r="AB73" s="32" t="s">
        <v>42</v>
      </c>
      <c r="AC73" s="5">
        <f t="shared" ca="1" si="1"/>
        <v>46232</v>
      </c>
      <c r="AD73" s="331">
        <f ca="1">_xlfn.DAYS(Table2[[#This Row],[HOJE]],Table2[[#This Row],[DATA PEDIDO HP]])</f>
        <v>540</v>
      </c>
      <c r="AE73" s="336" t="s">
        <v>43</v>
      </c>
    </row>
    <row r="74" spans="1:31" ht="14.45" hidden="1">
      <c r="A74" s="269" t="s">
        <v>356</v>
      </c>
      <c r="B74" s="26">
        <v>45695</v>
      </c>
      <c r="C74" s="26">
        <v>45695</v>
      </c>
      <c r="D74" s="14" t="s">
        <v>357</v>
      </c>
      <c r="E74" s="14" t="s">
        <v>73</v>
      </c>
      <c r="F74" s="14" t="s">
        <v>203</v>
      </c>
      <c r="G74" s="14">
        <v>60002095</v>
      </c>
      <c r="H74" s="14" t="s">
        <v>358</v>
      </c>
      <c r="I74" s="14" t="s">
        <v>359</v>
      </c>
      <c r="J74" s="14">
        <v>1</v>
      </c>
      <c r="K74" s="14" t="s">
        <v>67</v>
      </c>
      <c r="L74" s="14" t="s">
        <v>96</v>
      </c>
      <c r="M74" s="14" t="s">
        <v>88</v>
      </c>
      <c r="N74" s="15" t="s">
        <v>89</v>
      </c>
      <c r="O74" s="15">
        <v>1</v>
      </c>
      <c r="P74" s="15">
        <v>1</v>
      </c>
      <c r="Q74" s="15"/>
      <c r="R74" s="15"/>
      <c r="S74" s="25"/>
      <c r="T74" s="25">
        <v>45725</v>
      </c>
      <c r="U74" s="25">
        <v>45743</v>
      </c>
      <c r="V74" s="15" t="s">
        <v>69</v>
      </c>
      <c r="W74" s="15" t="s">
        <v>41</v>
      </c>
      <c r="X74" s="27">
        <v>1407.73</v>
      </c>
      <c r="Y74" s="27">
        <f>Table2[[#This Row],[PREÇO UNITARIO]]*Table2[[#This Row],[QUANTIDADE]]</f>
        <v>1407.73</v>
      </c>
      <c r="Z74" s="15"/>
      <c r="AA74" s="28">
        <f>MONTH(Table2[[#This Row],[DATA PEDIDO HP]])</f>
        <v>2</v>
      </c>
      <c r="AB74" s="32" t="s">
        <v>42</v>
      </c>
      <c r="AC74" s="5">
        <f t="shared" ca="1" si="1"/>
        <v>46232</v>
      </c>
      <c r="AD74" s="331">
        <f ca="1">_xlfn.DAYS(Table2[[#This Row],[HOJE]],Table2[[#This Row],[DATA PEDIDO HP]])</f>
        <v>537</v>
      </c>
      <c r="AE74" s="5" t="s">
        <v>43</v>
      </c>
    </row>
    <row r="75" spans="1:31" ht="14.45" hidden="1">
      <c r="A75" s="269" t="s">
        <v>360</v>
      </c>
      <c r="B75" s="26">
        <v>45692</v>
      </c>
      <c r="C75" s="26">
        <v>45691</v>
      </c>
      <c r="D75" s="14" t="s">
        <v>361</v>
      </c>
      <c r="E75" s="14" t="s">
        <v>93</v>
      </c>
      <c r="F75" s="14" t="s">
        <v>74</v>
      </c>
      <c r="G75" s="14">
        <v>50000202</v>
      </c>
      <c r="H75" s="14" t="s">
        <v>65</v>
      </c>
      <c r="I75" s="14" t="s">
        <v>362</v>
      </c>
      <c r="J75" s="14">
        <v>1</v>
      </c>
      <c r="K75" s="14" t="s">
        <v>37</v>
      </c>
      <c r="L75" s="14" t="s">
        <v>363</v>
      </c>
      <c r="M75" s="14" t="s">
        <v>58</v>
      </c>
      <c r="N75" s="15" t="s">
        <v>58</v>
      </c>
      <c r="O75" s="15">
        <v>1</v>
      </c>
      <c r="P75" s="15">
        <v>1</v>
      </c>
      <c r="Q75" s="15"/>
      <c r="R75" s="15"/>
      <c r="S75" s="25">
        <v>45663</v>
      </c>
      <c r="T75" s="25">
        <v>45755</v>
      </c>
      <c r="U75" s="25">
        <v>45772</v>
      </c>
      <c r="V75" s="15" t="s">
        <v>40</v>
      </c>
      <c r="W75" s="15" t="s">
        <v>97</v>
      </c>
      <c r="X75" s="27">
        <v>1427.32</v>
      </c>
      <c r="Y75" s="27">
        <f>Table2[[#This Row],[PREÇO UNITARIO]]*Table2[[#This Row],[QUANTIDADE]]</f>
        <v>1427.32</v>
      </c>
      <c r="Z75" s="15"/>
      <c r="AA75" s="28">
        <f>MONTH(Table2[[#This Row],[DATA PEDIDO HP]])</f>
        <v>2</v>
      </c>
      <c r="AB75" s="32" t="s">
        <v>60</v>
      </c>
      <c r="AC75" s="5">
        <f t="shared" ca="1" si="1"/>
        <v>46232</v>
      </c>
      <c r="AD75" s="331">
        <f ca="1">_xlfn.DAYS(Table2[[#This Row],[HOJE]],Table2[[#This Row],[DATA PEDIDO HP]])</f>
        <v>540</v>
      </c>
      <c r="AE75" s="336" t="s">
        <v>43</v>
      </c>
    </row>
    <row r="76" spans="1:31" ht="14.45" hidden="1">
      <c r="A76" s="269" t="s">
        <v>364</v>
      </c>
      <c r="B76" s="26">
        <v>45692</v>
      </c>
      <c r="C76" s="26">
        <v>45692</v>
      </c>
      <c r="D76" s="14" t="s">
        <v>365</v>
      </c>
      <c r="E76" s="14" t="s">
        <v>152</v>
      </c>
      <c r="F76" s="14" t="s">
        <v>64</v>
      </c>
      <c r="G76" s="14">
        <v>48000482</v>
      </c>
      <c r="H76" s="14" t="s">
        <v>335</v>
      </c>
      <c r="I76" s="14" t="s">
        <v>366</v>
      </c>
      <c r="J76" s="14">
        <v>1</v>
      </c>
      <c r="K76" s="14" t="s">
        <v>37</v>
      </c>
      <c r="L76" s="14" t="s">
        <v>48</v>
      </c>
      <c r="M76" s="14" t="s">
        <v>88</v>
      </c>
      <c r="N76" s="15" t="s">
        <v>89</v>
      </c>
      <c r="O76" s="15">
        <v>1</v>
      </c>
      <c r="P76" s="15">
        <v>1</v>
      </c>
      <c r="Q76" s="15"/>
      <c r="R76" s="15"/>
      <c r="S76" s="25">
        <v>45705</v>
      </c>
      <c r="T76" s="25">
        <v>45755</v>
      </c>
      <c r="U76" s="25">
        <v>45772</v>
      </c>
      <c r="V76" s="15" t="s">
        <v>40</v>
      </c>
      <c r="W76" s="15" t="s">
        <v>315</v>
      </c>
      <c r="X76" s="27">
        <v>79.989999999999995</v>
      </c>
      <c r="Y76" s="27">
        <f>Table2[[#This Row],[PREÇO UNITARIO]]*Table2[[#This Row],[QUANTIDADE]]</f>
        <v>79.989999999999995</v>
      </c>
      <c r="Z76" s="15"/>
      <c r="AA76" s="28">
        <f>MONTH(Table2[[#This Row],[DATA PEDIDO HP]])</f>
        <v>2</v>
      </c>
      <c r="AB76" s="32" t="s">
        <v>60</v>
      </c>
      <c r="AC76" s="5">
        <f t="shared" ca="1" si="1"/>
        <v>46232</v>
      </c>
      <c r="AD76" s="331">
        <f ca="1">_xlfn.DAYS(Table2[[#This Row],[HOJE]],Table2[[#This Row],[DATA PEDIDO HP]])</f>
        <v>540</v>
      </c>
      <c r="AE76" s="336" t="s">
        <v>43</v>
      </c>
    </row>
    <row r="77" spans="1:31" ht="14.45" hidden="1">
      <c r="A77" s="269" t="s">
        <v>367</v>
      </c>
      <c r="B77" s="26">
        <v>45692</v>
      </c>
      <c r="C77" s="26">
        <v>45692</v>
      </c>
      <c r="D77" s="14" t="s">
        <v>368</v>
      </c>
      <c r="E77" s="14" t="s">
        <v>63</v>
      </c>
      <c r="F77" s="14" t="s">
        <v>55</v>
      </c>
      <c r="G77" s="14">
        <v>44000059</v>
      </c>
      <c r="H77" s="14" t="s">
        <v>369</v>
      </c>
      <c r="I77" s="14" t="s">
        <v>370</v>
      </c>
      <c r="J77" s="14">
        <v>1</v>
      </c>
      <c r="K77" s="14" t="s">
        <v>37</v>
      </c>
      <c r="L77" s="14" t="s">
        <v>48</v>
      </c>
      <c r="M77" s="14" t="s">
        <v>58</v>
      </c>
      <c r="N77" s="15" t="s">
        <v>58</v>
      </c>
      <c r="O77" s="15">
        <v>1</v>
      </c>
      <c r="P77" s="15">
        <v>1</v>
      </c>
      <c r="Q77" s="15"/>
      <c r="R77" s="15"/>
      <c r="S77" s="25">
        <v>45681</v>
      </c>
      <c r="T77" s="25">
        <v>45755</v>
      </c>
      <c r="U77" s="25">
        <v>45772</v>
      </c>
      <c r="V77" s="15" t="s">
        <v>40</v>
      </c>
      <c r="W77" s="15" t="s">
        <v>70</v>
      </c>
      <c r="X77" s="27">
        <v>98.36</v>
      </c>
      <c r="Y77" s="27">
        <f>Table2[[#This Row],[PREÇO UNITARIO]]*Table2[[#This Row],[QUANTIDADE]]</f>
        <v>98.36</v>
      </c>
      <c r="Z77" s="15"/>
      <c r="AA77" s="28">
        <f>MONTH(Table2[[#This Row],[DATA PEDIDO HP]])</f>
        <v>2</v>
      </c>
      <c r="AB77" s="32" t="s">
        <v>60</v>
      </c>
      <c r="AC77" s="5">
        <f t="shared" ca="1" si="1"/>
        <v>46232</v>
      </c>
      <c r="AD77" s="331">
        <f ca="1">_xlfn.DAYS(Table2[[#This Row],[HOJE]],Table2[[#This Row],[DATA PEDIDO HP]])</f>
        <v>540</v>
      </c>
      <c r="AE77" s="336" t="s">
        <v>43</v>
      </c>
    </row>
    <row r="78" spans="1:31" ht="14.45" hidden="1">
      <c r="A78" s="269" t="s">
        <v>367</v>
      </c>
      <c r="B78" s="26">
        <v>45692</v>
      </c>
      <c r="C78" s="26">
        <v>45692</v>
      </c>
      <c r="D78" s="14" t="s">
        <v>368</v>
      </c>
      <c r="E78" s="14" t="s">
        <v>63</v>
      </c>
      <c r="F78" s="14" t="s">
        <v>55</v>
      </c>
      <c r="G78" s="14">
        <v>44000059</v>
      </c>
      <c r="H78" s="14" t="s">
        <v>371</v>
      </c>
      <c r="I78" s="14" t="s">
        <v>372</v>
      </c>
      <c r="J78" s="14">
        <v>1</v>
      </c>
      <c r="K78" s="14" t="s">
        <v>37</v>
      </c>
      <c r="L78" s="14" t="s">
        <v>48</v>
      </c>
      <c r="M78" s="14" t="s">
        <v>88</v>
      </c>
      <c r="N78" s="15" t="s">
        <v>89</v>
      </c>
      <c r="O78" s="15">
        <v>0</v>
      </c>
      <c r="P78" s="15">
        <v>1</v>
      </c>
      <c r="Q78" s="15"/>
      <c r="R78" s="15"/>
      <c r="S78" s="25">
        <v>45785</v>
      </c>
      <c r="T78" s="25">
        <v>45755</v>
      </c>
      <c r="U78" s="25">
        <v>45772</v>
      </c>
      <c r="V78" s="15" t="s">
        <v>40</v>
      </c>
      <c r="W78" s="15"/>
      <c r="X78" s="27">
        <v>11.91</v>
      </c>
      <c r="Y78" s="27">
        <f>Table2[[#This Row],[PREÇO UNITARIO]]*Table2[[#This Row],[QUANTIDADE]]</f>
        <v>11.91</v>
      </c>
      <c r="Z78" s="15"/>
      <c r="AA78" s="28">
        <f>MONTH(Table2[[#This Row],[DATA PEDIDO HP]])</f>
        <v>2</v>
      </c>
      <c r="AB78" s="32" t="s">
        <v>60</v>
      </c>
      <c r="AC78" s="5">
        <f t="shared" ca="1" si="1"/>
        <v>46232</v>
      </c>
      <c r="AD78" s="331">
        <f ca="1">_xlfn.DAYS(Table2[[#This Row],[HOJE]],Table2[[#This Row],[DATA PEDIDO HP]])</f>
        <v>540</v>
      </c>
      <c r="AE78" s="336" t="s">
        <v>43</v>
      </c>
    </row>
    <row r="79" spans="1:31" ht="14.45" hidden="1">
      <c r="A79" s="269" t="s">
        <v>373</v>
      </c>
      <c r="B79" s="26">
        <v>45692</v>
      </c>
      <c r="C79" s="26">
        <v>45692</v>
      </c>
      <c r="D79" s="14" t="s">
        <v>374</v>
      </c>
      <c r="E79" s="14" t="s">
        <v>73</v>
      </c>
      <c r="F79" s="14" t="s">
        <v>34</v>
      </c>
      <c r="G79" s="14">
        <v>50110372</v>
      </c>
      <c r="H79" s="14" t="s">
        <v>375</v>
      </c>
      <c r="I79" s="14" t="s">
        <v>376</v>
      </c>
      <c r="J79" s="14">
        <v>1</v>
      </c>
      <c r="K79" s="14" t="s">
        <v>67</v>
      </c>
      <c r="L79" s="14" t="s">
        <v>217</v>
      </c>
      <c r="M79" s="14" t="s">
        <v>88</v>
      </c>
      <c r="N79" s="15" t="s">
        <v>89</v>
      </c>
      <c r="O79" s="15">
        <v>1</v>
      </c>
      <c r="P79" s="15">
        <v>1</v>
      </c>
      <c r="Q79" s="15"/>
      <c r="R79" s="15"/>
      <c r="S79" s="25"/>
      <c r="T79" s="25">
        <v>45702</v>
      </c>
      <c r="U79" s="25">
        <v>45723</v>
      </c>
      <c r="V79" s="15" t="s">
        <v>377</v>
      </c>
      <c r="W79" s="15" t="s">
        <v>41</v>
      </c>
      <c r="X79" s="27">
        <v>4764.91</v>
      </c>
      <c r="Y79" s="27">
        <f>Table2[[#This Row],[PREÇO UNITARIO]]*Table2[[#This Row],[QUANTIDADE]]</f>
        <v>4764.91</v>
      </c>
      <c r="Z79" s="15"/>
      <c r="AA79" s="28">
        <f>MONTH(Table2[[#This Row],[DATA PEDIDO HP]])</f>
        <v>2</v>
      </c>
      <c r="AB79" s="32" t="s">
        <v>42</v>
      </c>
      <c r="AC79" s="5">
        <f t="shared" ca="1" si="1"/>
        <v>46232</v>
      </c>
      <c r="AD79" s="331">
        <f ca="1">_xlfn.DAYS(Table2[[#This Row],[HOJE]],Table2[[#This Row],[DATA PEDIDO HP]])</f>
        <v>540</v>
      </c>
      <c r="AE79" s="5" t="s">
        <v>43</v>
      </c>
    </row>
    <row r="80" spans="1:31" ht="14.45" hidden="1">
      <c r="A80" s="269" t="s">
        <v>373</v>
      </c>
      <c r="B80" s="26">
        <v>45692</v>
      </c>
      <c r="C80" s="26">
        <v>45326</v>
      </c>
      <c r="D80" s="14" t="s">
        <v>374</v>
      </c>
      <c r="E80" s="14" t="s">
        <v>73</v>
      </c>
      <c r="F80" s="14" t="s">
        <v>34</v>
      </c>
      <c r="G80" s="14">
        <v>50110372</v>
      </c>
      <c r="H80" s="14" t="s">
        <v>378</v>
      </c>
      <c r="I80" s="14" t="s">
        <v>379</v>
      </c>
      <c r="J80" s="14">
        <v>1</v>
      </c>
      <c r="K80" s="14" t="s">
        <v>67</v>
      </c>
      <c r="L80" s="14" t="s">
        <v>217</v>
      </c>
      <c r="M80" s="14" t="s">
        <v>58</v>
      </c>
      <c r="N80" s="15" t="s">
        <v>58</v>
      </c>
      <c r="O80" s="15">
        <v>1</v>
      </c>
      <c r="P80" s="15"/>
      <c r="Q80" s="15"/>
      <c r="R80" s="15"/>
      <c r="S80" s="25">
        <v>45692</v>
      </c>
      <c r="T80" s="25">
        <v>45702</v>
      </c>
      <c r="U80" s="25">
        <v>45723</v>
      </c>
      <c r="V80" s="15" t="s">
        <v>377</v>
      </c>
      <c r="W80" s="15" t="s">
        <v>41</v>
      </c>
      <c r="X80" s="27">
        <v>254.87</v>
      </c>
      <c r="Y80" s="27">
        <f>Table2[[#This Row],[PREÇO UNITARIO]]*Table2[[#This Row],[QUANTIDADE]]</f>
        <v>254.87</v>
      </c>
      <c r="Z80" s="15"/>
      <c r="AA80" s="28">
        <f>MONTH(Table2[[#This Row],[DATA PEDIDO HP]])</f>
        <v>2</v>
      </c>
      <c r="AB80" s="32" t="s">
        <v>42</v>
      </c>
      <c r="AC80" s="5">
        <f t="shared" ca="1" si="1"/>
        <v>46232</v>
      </c>
      <c r="AD80" s="331">
        <f ca="1">_xlfn.DAYS(Table2[[#This Row],[HOJE]],Table2[[#This Row],[DATA PEDIDO HP]])</f>
        <v>540</v>
      </c>
      <c r="AE80" s="336" t="s">
        <v>43</v>
      </c>
    </row>
    <row r="81" spans="1:31" ht="14.45" hidden="1">
      <c r="A81" s="269" t="s">
        <v>380</v>
      </c>
      <c r="B81" s="26">
        <v>45693</v>
      </c>
      <c r="C81" s="26">
        <v>45326</v>
      </c>
      <c r="D81" s="14"/>
      <c r="E81" s="14" t="s">
        <v>381</v>
      </c>
      <c r="F81" s="14"/>
      <c r="G81" s="14"/>
      <c r="H81" s="14" t="s">
        <v>382</v>
      </c>
      <c r="I81" s="279" t="s">
        <v>383</v>
      </c>
      <c r="J81" s="14">
        <v>17</v>
      </c>
      <c r="K81" s="14" t="s">
        <v>67</v>
      </c>
      <c r="L81" s="14" t="s">
        <v>217</v>
      </c>
      <c r="M81" s="14" t="s">
        <v>384</v>
      </c>
      <c r="N81" s="14" t="s">
        <v>384</v>
      </c>
      <c r="O81" s="15">
        <v>0</v>
      </c>
      <c r="P81" s="15"/>
      <c r="Q81" s="15"/>
      <c r="R81" s="15"/>
      <c r="S81" s="25"/>
      <c r="T81" s="25">
        <v>45755</v>
      </c>
      <c r="U81" s="25">
        <v>45772</v>
      </c>
      <c r="V81" s="15" t="s">
        <v>40</v>
      </c>
      <c r="W81" s="15"/>
      <c r="X81" s="27" t="s">
        <v>385</v>
      </c>
      <c r="Y81" s="27"/>
      <c r="Z81" s="14" t="s">
        <v>386</v>
      </c>
      <c r="AA81" s="28">
        <f>MONTH(Table2[[#This Row],[DATA PEDIDO HP]])</f>
        <v>2</v>
      </c>
      <c r="AB81" s="32"/>
      <c r="AC81" s="5">
        <f t="shared" ca="1" si="1"/>
        <v>46232</v>
      </c>
      <c r="AD81" s="331">
        <f ca="1">_xlfn.DAYS(Table2[[#This Row],[HOJE]],Table2[[#This Row],[DATA PEDIDO HP]])</f>
        <v>539</v>
      </c>
      <c r="AE81" s="5" t="s">
        <v>43</v>
      </c>
    </row>
    <row r="82" spans="1:31" ht="14.45" hidden="1">
      <c r="A82" s="269" t="s">
        <v>387</v>
      </c>
      <c r="B82" s="26">
        <v>45693</v>
      </c>
      <c r="C82" s="26">
        <v>45327</v>
      </c>
      <c r="D82" s="14"/>
      <c r="E82" s="14" t="s">
        <v>381</v>
      </c>
      <c r="F82" s="14"/>
      <c r="G82" s="14"/>
      <c r="H82" s="14" t="s">
        <v>388</v>
      </c>
      <c r="I82" s="279" t="s">
        <v>389</v>
      </c>
      <c r="J82" s="14">
        <v>5</v>
      </c>
      <c r="K82" s="14" t="s">
        <v>67</v>
      </c>
      <c r="L82" s="14" t="s">
        <v>217</v>
      </c>
      <c r="M82" s="14" t="s">
        <v>384</v>
      </c>
      <c r="N82" s="14" t="s">
        <v>384</v>
      </c>
      <c r="O82" s="15">
        <v>0</v>
      </c>
      <c r="P82" s="15"/>
      <c r="Q82" s="15"/>
      <c r="R82" s="15"/>
      <c r="S82" s="25"/>
      <c r="T82" s="25">
        <v>45702</v>
      </c>
      <c r="U82" s="25">
        <v>45723</v>
      </c>
      <c r="V82" s="15" t="s">
        <v>377</v>
      </c>
      <c r="W82" s="15"/>
      <c r="X82" s="27"/>
      <c r="Y82" s="27"/>
      <c r="Z82" s="14" t="s">
        <v>390</v>
      </c>
      <c r="AA82" s="28">
        <f>MONTH(Table2[[#This Row],[DATA PEDIDO HP]])</f>
        <v>2</v>
      </c>
      <c r="AB82" s="32"/>
      <c r="AC82" s="5">
        <f t="shared" ca="1" si="1"/>
        <v>46232</v>
      </c>
      <c r="AD82" s="331">
        <f ca="1">_xlfn.DAYS(Table2[[#This Row],[HOJE]],Table2[[#This Row],[DATA PEDIDO HP]])</f>
        <v>539</v>
      </c>
      <c r="AE82" s="5" t="s">
        <v>43</v>
      </c>
    </row>
    <row r="83" spans="1:31" ht="14.45" hidden="1">
      <c r="A83" s="269" t="s">
        <v>391</v>
      </c>
      <c r="B83" s="26">
        <v>45693</v>
      </c>
      <c r="C83" s="26">
        <v>45327</v>
      </c>
      <c r="D83" s="14"/>
      <c r="E83" s="14" t="s">
        <v>381</v>
      </c>
      <c r="F83" s="14"/>
      <c r="G83" s="14"/>
      <c r="H83" s="14" t="s">
        <v>392</v>
      </c>
      <c r="I83" s="279" t="s">
        <v>393</v>
      </c>
      <c r="J83" s="14">
        <v>3</v>
      </c>
      <c r="K83" s="14" t="s">
        <v>67</v>
      </c>
      <c r="L83" s="14" t="s">
        <v>217</v>
      </c>
      <c r="M83" s="14" t="s">
        <v>384</v>
      </c>
      <c r="N83" s="14" t="s">
        <v>384</v>
      </c>
      <c r="O83" s="15">
        <v>0</v>
      </c>
      <c r="P83" s="15"/>
      <c r="Q83" s="15"/>
      <c r="R83" s="15"/>
      <c r="S83" s="25"/>
      <c r="T83" s="25">
        <v>45755</v>
      </c>
      <c r="U83" s="25">
        <v>45772</v>
      </c>
      <c r="V83" s="15" t="s">
        <v>40</v>
      </c>
      <c r="W83" s="15"/>
      <c r="X83" s="27"/>
      <c r="Y83" s="27"/>
      <c r="Z83" s="14" t="s">
        <v>394</v>
      </c>
      <c r="AA83" s="32">
        <f>MONTH(Table2[[#This Row],[DATA PEDIDO HP]])</f>
        <v>2</v>
      </c>
      <c r="AB83" s="32"/>
      <c r="AC83" s="5">
        <f t="shared" ca="1" si="1"/>
        <v>46232</v>
      </c>
      <c r="AD83" s="331">
        <f ca="1">_xlfn.DAYS(Table2[[#This Row],[HOJE]],Table2[[#This Row],[DATA PEDIDO HP]])</f>
        <v>539</v>
      </c>
      <c r="AE83" s="5" t="s">
        <v>43</v>
      </c>
    </row>
    <row r="84" spans="1:31" ht="14.45" hidden="1">
      <c r="A84" s="269" t="s">
        <v>395</v>
      </c>
      <c r="B84" s="26">
        <v>45694</v>
      </c>
      <c r="C84" s="26">
        <v>45692</v>
      </c>
      <c r="D84" s="14" t="s">
        <v>396</v>
      </c>
      <c r="E84" s="14" t="s">
        <v>73</v>
      </c>
      <c r="F84" s="14" t="s">
        <v>74</v>
      </c>
      <c r="G84" s="14">
        <v>50000343</v>
      </c>
      <c r="H84" s="14" t="s">
        <v>397</v>
      </c>
      <c r="I84" s="14" t="s">
        <v>398</v>
      </c>
      <c r="J84" s="14">
        <v>1</v>
      </c>
      <c r="K84" s="14" t="s">
        <v>37</v>
      </c>
      <c r="L84" s="14" t="s">
        <v>96</v>
      </c>
      <c r="M84" s="14" t="s">
        <v>58</v>
      </c>
      <c r="N84" s="15" t="s">
        <v>58</v>
      </c>
      <c r="O84" s="15">
        <v>1</v>
      </c>
      <c r="P84" s="15"/>
      <c r="Q84" s="15"/>
      <c r="R84" s="15"/>
      <c r="S84" s="25">
        <v>45692</v>
      </c>
      <c r="T84" s="25">
        <v>45755</v>
      </c>
      <c r="U84" s="25">
        <v>45772</v>
      </c>
      <c r="V84" s="15" t="s">
        <v>40</v>
      </c>
      <c r="W84" s="15" t="s">
        <v>399</v>
      </c>
      <c r="X84" s="27">
        <v>601.41999999999996</v>
      </c>
      <c r="Y84" s="27">
        <f>Table2[[#This Row],[PREÇO UNITARIO]]*Table2[[#This Row],[QUANTIDADE]]</f>
        <v>601.41999999999996</v>
      </c>
      <c r="Z84" s="15"/>
      <c r="AA84" s="28">
        <f>MONTH(Table2[[#This Row],[DATA PEDIDO HP]])</f>
        <v>2</v>
      </c>
      <c r="AB84" s="32" t="s">
        <v>42</v>
      </c>
      <c r="AC84" s="5">
        <f t="shared" ca="1" si="1"/>
        <v>46232</v>
      </c>
      <c r="AD84" s="331">
        <f ca="1">_xlfn.DAYS(Table2[[#This Row],[HOJE]],Table2[[#This Row],[DATA PEDIDO HP]])</f>
        <v>538</v>
      </c>
      <c r="AE84" s="336" t="s">
        <v>43</v>
      </c>
    </row>
    <row r="85" spans="1:31" ht="14.45" hidden="1">
      <c r="A85" s="269" t="s">
        <v>400</v>
      </c>
      <c r="B85" s="26">
        <v>45694</v>
      </c>
      <c r="C85" s="26">
        <v>45693</v>
      </c>
      <c r="D85" s="14" t="s">
        <v>401</v>
      </c>
      <c r="E85" s="14" t="s">
        <v>402</v>
      </c>
      <c r="F85" s="14" t="s">
        <v>403</v>
      </c>
      <c r="G85" s="14" t="s">
        <v>404</v>
      </c>
      <c r="H85" s="14" t="s">
        <v>405</v>
      </c>
      <c r="I85" s="14" t="s">
        <v>406</v>
      </c>
      <c r="J85" s="14">
        <v>1</v>
      </c>
      <c r="K85" s="14" t="s">
        <v>37</v>
      </c>
      <c r="L85" s="14" t="s">
        <v>363</v>
      </c>
      <c r="M85" s="14" t="s">
        <v>58</v>
      </c>
      <c r="N85" s="15" t="s">
        <v>58</v>
      </c>
      <c r="O85" s="15">
        <v>1</v>
      </c>
      <c r="P85" s="15"/>
      <c r="Q85" s="15"/>
      <c r="R85" s="15"/>
      <c r="S85" s="25">
        <v>45693</v>
      </c>
      <c r="T85" s="25">
        <v>45755</v>
      </c>
      <c r="U85" s="25">
        <v>45772</v>
      </c>
      <c r="V85" s="15" t="s">
        <v>40</v>
      </c>
      <c r="W85" s="15" t="s">
        <v>229</v>
      </c>
      <c r="X85" s="27">
        <v>20</v>
      </c>
      <c r="Y85" s="27">
        <f>Table2[[#This Row],[PREÇO UNITARIO]]*Table2[[#This Row],[QUANTIDADE]]</f>
        <v>20</v>
      </c>
      <c r="Z85" s="15"/>
      <c r="AA85" s="28">
        <f>MONTH(Table2[[#This Row],[DATA PEDIDO HP]])</f>
        <v>2</v>
      </c>
      <c r="AB85" s="32" t="s">
        <v>60</v>
      </c>
      <c r="AC85" s="5">
        <f t="shared" ca="1" si="1"/>
        <v>46232</v>
      </c>
      <c r="AD85" s="331">
        <f ca="1">_xlfn.DAYS(Table2[[#This Row],[HOJE]],Table2[[#This Row],[DATA PEDIDO HP]])</f>
        <v>538</v>
      </c>
      <c r="AE85" s="336" t="s">
        <v>43</v>
      </c>
    </row>
    <row r="86" spans="1:31" ht="14.45" hidden="1">
      <c r="A86" s="269" t="s">
        <v>407</v>
      </c>
      <c r="B86" s="26">
        <v>45695</v>
      </c>
      <c r="C86" s="26">
        <v>45694</v>
      </c>
      <c r="D86" s="14" t="s">
        <v>408</v>
      </c>
      <c r="E86" s="14" t="s">
        <v>334</v>
      </c>
      <c r="F86" s="14" t="s">
        <v>55</v>
      </c>
      <c r="G86" s="14" t="s">
        <v>409</v>
      </c>
      <c r="H86" s="14" t="s">
        <v>410</v>
      </c>
      <c r="I86" s="14" t="s">
        <v>411</v>
      </c>
      <c r="J86" s="14">
        <v>1</v>
      </c>
      <c r="K86" s="14" t="s">
        <v>37</v>
      </c>
      <c r="L86" s="14" t="s">
        <v>412</v>
      </c>
      <c r="M86" s="14" t="s">
        <v>58</v>
      </c>
      <c r="N86" s="15" t="s">
        <v>58</v>
      </c>
      <c r="O86" s="15">
        <v>1</v>
      </c>
      <c r="P86" s="15"/>
      <c r="Q86" s="15"/>
      <c r="R86" s="15" t="s">
        <v>413</v>
      </c>
      <c r="S86" s="25">
        <v>45677</v>
      </c>
      <c r="T86" s="25">
        <v>45755</v>
      </c>
      <c r="U86" s="25">
        <v>45772</v>
      </c>
      <c r="V86" s="15" t="s">
        <v>40</v>
      </c>
      <c r="W86" s="15" t="s">
        <v>414</v>
      </c>
      <c r="X86" s="27">
        <v>2377.7800000000002</v>
      </c>
      <c r="Y86" s="27">
        <f>Table2[[#This Row],[PREÇO UNITARIO]]*Table2[[#This Row],[QUANTIDADE]]</f>
        <v>2377.7800000000002</v>
      </c>
      <c r="Z86" s="15"/>
      <c r="AA86" s="28">
        <f>MONTH(Table2[[#This Row],[DATA PEDIDO HP]])</f>
        <v>2</v>
      </c>
      <c r="AB86" s="32" t="s">
        <v>60</v>
      </c>
      <c r="AC86" s="5">
        <f t="shared" ca="1" si="1"/>
        <v>46232</v>
      </c>
      <c r="AD86" s="331">
        <f ca="1">_xlfn.DAYS(Table2[[#This Row],[HOJE]],Table2[[#This Row],[DATA PEDIDO HP]])</f>
        <v>537</v>
      </c>
      <c r="AE86" s="336" t="s">
        <v>43</v>
      </c>
    </row>
    <row r="87" spans="1:31" ht="14.45" hidden="1">
      <c r="A87" s="269" t="s">
        <v>415</v>
      </c>
      <c r="B87" s="26">
        <v>45695</v>
      </c>
      <c r="C87" s="26">
        <v>45694</v>
      </c>
      <c r="D87" s="14" t="s">
        <v>416</v>
      </c>
      <c r="E87" s="14" t="s">
        <v>417</v>
      </c>
      <c r="F87" s="14" t="s">
        <v>55</v>
      </c>
      <c r="G87" s="14">
        <v>44000321</v>
      </c>
      <c r="H87" s="14" t="s">
        <v>418</v>
      </c>
      <c r="I87" s="14" t="s">
        <v>419</v>
      </c>
      <c r="J87" s="14">
        <v>1</v>
      </c>
      <c r="K87" s="14" t="s">
        <v>37</v>
      </c>
      <c r="L87" s="14" t="s">
        <v>412</v>
      </c>
      <c r="M87" s="14" t="s">
        <v>58</v>
      </c>
      <c r="N87" s="15" t="s">
        <v>58</v>
      </c>
      <c r="O87" s="15">
        <v>1</v>
      </c>
      <c r="P87" s="15"/>
      <c r="Q87" s="15"/>
      <c r="R87" s="15"/>
      <c r="S87" s="25">
        <v>45672</v>
      </c>
      <c r="T87" s="25">
        <v>45888</v>
      </c>
      <c r="U87" s="25">
        <v>45898</v>
      </c>
      <c r="V87" s="15" t="s">
        <v>420</v>
      </c>
      <c r="W87" s="15" t="s">
        <v>421</v>
      </c>
      <c r="X87" s="27">
        <v>449.1</v>
      </c>
      <c r="Y87" s="27">
        <f>Table2[[#This Row],[PREÇO UNITARIO]]*Table2[[#This Row],[QUANTIDADE]]</f>
        <v>449.1</v>
      </c>
      <c r="Z87" s="15"/>
      <c r="AA87" s="28">
        <f>MONTH(Table2[[#This Row],[DATA PEDIDO HP]])</f>
        <v>2</v>
      </c>
      <c r="AB87" s="32" t="s">
        <v>60</v>
      </c>
      <c r="AC87" s="5">
        <f t="shared" ca="1" si="1"/>
        <v>46232</v>
      </c>
      <c r="AD87" s="331">
        <f ca="1">_xlfn.DAYS(Table2[[#This Row],[HOJE]],Table2[[#This Row],[DATA PEDIDO HP]])</f>
        <v>537</v>
      </c>
      <c r="AE87" s="336" t="s">
        <v>43</v>
      </c>
    </row>
    <row r="88" spans="1:31" ht="14.45" hidden="1">
      <c r="A88" s="269" t="s">
        <v>415</v>
      </c>
      <c r="B88" s="26">
        <v>45695</v>
      </c>
      <c r="C88" s="26">
        <v>45694</v>
      </c>
      <c r="D88" s="14" t="s">
        <v>416</v>
      </c>
      <c r="E88" s="14" t="s">
        <v>417</v>
      </c>
      <c r="F88" s="14" t="s">
        <v>55</v>
      </c>
      <c r="G88" s="14">
        <v>44000321</v>
      </c>
      <c r="H88" s="14" t="s">
        <v>422</v>
      </c>
      <c r="I88" s="14" t="s">
        <v>423</v>
      </c>
      <c r="J88" s="14">
        <v>1</v>
      </c>
      <c r="K88" s="14" t="s">
        <v>37</v>
      </c>
      <c r="L88" s="14" t="s">
        <v>412</v>
      </c>
      <c r="M88" s="14" t="s">
        <v>58</v>
      </c>
      <c r="N88" s="15" t="s">
        <v>58</v>
      </c>
      <c r="O88" s="15">
        <v>1</v>
      </c>
      <c r="P88" s="15"/>
      <c r="Q88" s="15"/>
      <c r="R88" s="15"/>
      <c r="S88" s="25">
        <v>45672</v>
      </c>
      <c r="T88" s="25">
        <v>45755</v>
      </c>
      <c r="U88" s="25">
        <v>45772</v>
      </c>
      <c r="V88" s="15" t="s">
        <v>40</v>
      </c>
      <c r="W88" s="15" t="s">
        <v>421</v>
      </c>
      <c r="X88" s="27">
        <v>769.19</v>
      </c>
      <c r="Y88" s="27">
        <f>Table2[[#This Row],[PREÇO UNITARIO]]*Table2[[#This Row],[QUANTIDADE]]</f>
        <v>769.19</v>
      </c>
      <c r="Z88" s="15"/>
      <c r="AA88" s="28">
        <f>MONTH(Table2[[#This Row],[DATA PEDIDO HP]])</f>
        <v>2</v>
      </c>
      <c r="AB88" s="32" t="s">
        <v>60</v>
      </c>
      <c r="AC88" s="5">
        <f t="shared" ca="1" si="1"/>
        <v>46232</v>
      </c>
      <c r="AD88" s="331">
        <f ca="1">_xlfn.DAYS(Table2[[#This Row],[HOJE]],Table2[[#This Row],[DATA PEDIDO HP]])</f>
        <v>537</v>
      </c>
      <c r="AE88" s="336" t="s">
        <v>43</v>
      </c>
    </row>
    <row r="89" spans="1:31" ht="14.45" hidden="1">
      <c r="A89" s="269" t="s">
        <v>424</v>
      </c>
      <c r="B89" s="26">
        <v>45698</v>
      </c>
      <c r="C89" s="26">
        <v>45692</v>
      </c>
      <c r="D89" s="14" t="s">
        <v>425</v>
      </c>
      <c r="E89" s="14" t="s">
        <v>73</v>
      </c>
      <c r="F89" s="14" t="s">
        <v>74</v>
      </c>
      <c r="G89" s="14">
        <v>50000343</v>
      </c>
      <c r="H89" s="14" t="s">
        <v>330</v>
      </c>
      <c r="I89" s="14" t="s">
        <v>331</v>
      </c>
      <c r="J89" s="14">
        <v>1</v>
      </c>
      <c r="K89" s="14" t="s">
        <v>37</v>
      </c>
      <c r="L89" s="14" t="s">
        <v>48</v>
      </c>
      <c r="M89" s="14" t="s">
        <v>39</v>
      </c>
      <c r="N89" s="15" t="s">
        <v>39</v>
      </c>
      <c r="O89" s="15">
        <v>1</v>
      </c>
      <c r="P89" s="15"/>
      <c r="Q89" s="15"/>
      <c r="R89" s="15"/>
      <c r="S89" s="25">
        <v>45698</v>
      </c>
      <c r="T89" s="25">
        <v>45755</v>
      </c>
      <c r="U89" s="25">
        <v>45772</v>
      </c>
      <c r="V89" s="15" t="s">
        <v>40</v>
      </c>
      <c r="W89" s="15" t="s">
        <v>41</v>
      </c>
      <c r="X89" s="27">
        <v>35.19</v>
      </c>
      <c r="Y89" s="27">
        <f>Table2[[#This Row],[PREÇO UNITARIO]]*Table2[[#This Row],[QUANTIDADE]]</f>
        <v>35.19</v>
      </c>
      <c r="Z89" s="15"/>
      <c r="AA89" s="28">
        <f>MONTH(Table2[[#This Row],[DATA PEDIDO HP]])</f>
        <v>2</v>
      </c>
      <c r="AB89" s="32" t="s">
        <v>42</v>
      </c>
      <c r="AC89" s="5">
        <f t="shared" ca="1" si="1"/>
        <v>46232</v>
      </c>
      <c r="AD89" s="331">
        <f ca="1">_xlfn.DAYS(Table2[[#This Row],[HOJE]],Table2[[#This Row],[DATA PEDIDO HP]])</f>
        <v>534</v>
      </c>
      <c r="AE89" s="336" t="s">
        <v>43</v>
      </c>
    </row>
    <row r="90" spans="1:31" ht="14.45" hidden="1">
      <c r="A90" s="269" t="s">
        <v>426</v>
      </c>
      <c r="B90" s="26">
        <v>45698</v>
      </c>
      <c r="C90" s="26">
        <v>45698</v>
      </c>
      <c r="D90" s="14" t="s">
        <v>427</v>
      </c>
      <c r="E90" s="14" t="s">
        <v>428</v>
      </c>
      <c r="F90" s="14" t="s">
        <v>173</v>
      </c>
      <c r="G90" s="14">
        <v>48300375</v>
      </c>
      <c r="H90" s="14" t="s">
        <v>429</v>
      </c>
      <c r="I90" s="14" t="s">
        <v>430</v>
      </c>
      <c r="J90" s="14">
        <v>1</v>
      </c>
      <c r="K90" s="14" t="s">
        <v>37</v>
      </c>
      <c r="L90" s="14" t="s">
        <v>48</v>
      </c>
      <c r="M90" s="14" t="s">
        <v>88</v>
      </c>
      <c r="N90" s="15" t="s">
        <v>89</v>
      </c>
      <c r="O90" s="15">
        <v>0</v>
      </c>
      <c r="P90" s="15"/>
      <c r="Q90" s="15"/>
      <c r="R90" s="15"/>
      <c r="S90" s="25">
        <v>45785</v>
      </c>
      <c r="T90" s="25">
        <v>45755</v>
      </c>
      <c r="U90" s="25">
        <v>45772</v>
      </c>
      <c r="V90" s="15" t="s">
        <v>40</v>
      </c>
      <c r="W90" s="15"/>
      <c r="X90" s="27">
        <v>16.329999999999998</v>
      </c>
      <c r="Y90" s="27">
        <f>Table2[[#This Row],[PREÇO UNITARIO]]*Table2[[#This Row],[QUANTIDADE]]</f>
        <v>16.329999999999998</v>
      </c>
      <c r="Z90" s="15"/>
      <c r="AA90" s="28">
        <f>MONTH(Table2[[#This Row],[DATA PEDIDO HP]])</f>
        <v>2</v>
      </c>
      <c r="AB90" s="32" t="s">
        <v>60</v>
      </c>
      <c r="AC90" s="5">
        <f t="shared" ca="1" si="1"/>
        <v>46232</v>
      </c>
      <c r="AD90" s="331">
        <f ca="1">_xlfn.DAYS(Table2[[#This Row],[HOJE]],Table2[[#This Row],[DATA PEDIDO HP]])</f>
        <v>534</v>
      </c>
      <c r="AE90" s="336" t="s">
        <v>43</v>
      </c>
    </row>
    <row r="91" spans="1:31" ht="14.45" hidden="1">
      <c r="A91" s="269" t="s">
        <v>431</v>
      </c>
      <c r="B91" s="26">
        <v>45698</v>
      </c>
      <c r="C91" s="26">
        <v>45698</v>
      </c>
      <c r="D91" s="14" t="s">
        <v>432</v>
      </c>
      <c r="E91" s="14" t="s">
        <v>73</v>
      </c>
      <c r="F91" s="14" t="s">
        <v>34</v>
      </c>
      <c r="G91" s="14">
        <v>50110372</v>
      </c>
      <c r="H91" s="14" t="s">
        <v>80</v>
      </c>
      <c r="I91" s="14" t="s">
        <v>433</v>
      </c>
      <c r="J91" s="14">
        <v>1</v>
      </c>
      <c r="K91" s="14" t="s">
        <v>37</v>
      </c>
      <c r="L91" s="14" t="s">
        <v>48</v>
      </c>
      <c r="M91" s="14" t="s">
        <v>58</v>
      </c>
      <c r="N91" s="15" t="s">
        <v>58</v>
      </c>
      <c r="O91" s="15">
        <v>1</v>
      </c>
      <c r="P91" s="15"/>
      <c r="Q91" s="15"/>
      <c r="R91" s="15"/>
      <c r="S91" s="25">
        <v>45695</v>
      </c>
      <c r="T91" s="25">
        <v>45755</v>
      </c>
      <c r="U91" s="25">
        <v>45772</v>
      </c>
      <c r="V91" s="15" t="s">
        <v>40</v>
      </c>
      <c r="W91" s="15" t="s">
        <v>41</v>
      </c>
      <c r="X91" s="27">
        <v>49.81</v>
      </c>
      <c r="Y91" s="27">
        <f>Table2[[#This Row],[PREÇO UNITARIO]]*Table2[[#This Row],[QUANTIDADE]]</f>
        <v>49.81</v>
      </c>
      <c r="Z91" s="15"/>
      <c r="AA91" s="28">
        <f>MONTH(Table2[[#This Row],[DATA PEDIDO HP]])</f>
        <v>2</v>
      </c>
      <c r="AB91" s="32" t="s">
        <v>42</v>
      </c>
      <c r="AC91" s="5">
        <f t="shared" ca="1" si="1"/>
        <v>46232</v>
      </c>
      <c r="AD91" s="331">
        <f ca="1">_xlfn.DAYS(Table2[[#This Row],[HOJE]],Table2[[#This Row],[DATA PEDIDO HP]])</f>
        <v>534</v>
      </c>
      <c r="AE91" s="336" t="s">
        <v>43</v>
      </c>
    </row>
    <row r="92" spans="1:31" ht="14.45" hidden="1">
      <c r="A92" s="269" t="s">
        <v>434</v>
      </c>
      <c r="B92" s="26">
        <v>45698</v>
      </c>
      <c r="C92" s="26">
        <v>45698</v>
      </c>
      <c r="D92" s="14" t="s">
        <v>435</v>
      </c>
      <c r="E92" s="14" t="s">
        <v>109</v>
      </c>
      <c r="F92" s="14" t="s">
        <v>34</v>
      </c>
      <c r="G92" s="14">
        <v>50110229</v>
      </c>
      <c r="H92" s="14" t="s">
        <v>436</v>
      </c>
      <c r="I92" s="14" t="s">
        <v>437</v>
      </c>
      <c r="J92" s="14">
        <v>1</v>
      </c>
      <c r="K92" s="14" t="s">
        <v>67</v>
      </c>
      <c r="L92" s="14" t="s">
        <v>48</v>
      </c>
      <c r="M92" s="14" t="s">
        <v>88</v>
      </c>
      <c r="N92" s="15" t="s">
        <v>89</v>
      </c>
      <c r="O92" s="15">
        <v>0</v>
      </c>
      <c r="P92" s="15"/>
      <c r="Q92" s="15"/>
      <c r="R92" s="15"/>
      <c r="S92" s="25">
        <v>45785</v>
      </c>
      <c r="T92" s="25">
        <v>45755</v>
      </c>
      <c r="U92" s="25">
        <v>45772</v>
      </c>
      <c r="V92" s="15" t="s">
        <v>40</v>
      </c>
      <c r="W92" s="15" t="s">
        <v>41</v>
      </c>
      <c r="X92" s="27">
        <v>248.73</v>
      </c>
      <c r="Y92" s="27">
        <f>Table2[[#This Row],[PREÇO UNITARIO]]*Table2[[#This Row],[QUANTIDADE]]</f>
        <v>248.73</v>
      </c>
      <c r="Z92" s="15"/>
      <c r="AA92" s="28">
        <f>MONTH(Table2[[#This Row],[DATA PEDIDO HP]])</f>
        <v>2</v>
      </c>
      <c r="AB92" s="32" t="s">
        <v>42</v>
      </c>
      <c r="AC92" s="5">
        <f t="shared" ca="1" si="1"/>
        <v>46232</v>
      </c>
      <c r="AD92" s="331">
        <f ca="1">_xlfn.DAYS(Table2[[#This Row],[HOJE]],Table2[[#This Row],[DATA PEDIDO HP]])</f>
        <v>534</v>
      </c>
      <c r="AE92" s="336" t="s">
        <v>43</v>
      </c>
    </row>
    <row r="93" spans="1:31" ht="14.45" hidden="1">
      <c r="A93" s="269" t="s">
        <v>438</v>
      </c>
      <c r="B93" s="26">
        <v>45708</v>
      </c>
      <c r="C93" s="26">
        <v>45708</v>
      </c>
      <c r="D93" s="14" t="s">
        <v>439</v>
      </c>
      <c r="E93" s="14" t="s">
        <v>225</v>
      </c>
      <c r="F93" s="14" t="s">
        <v>226</v>
      </c>
      <c r="G93" s="14">
        <v>43000422</v>
      </c>
      <c r="H93" s="14" t="s">
        <v>440</v>
      </c>
      <c r="I93" s="14" t="s">
        <v>441</v>
      </c>
      <c r="J93" s="14">
        <v>1</v>
      </c>
      <c r="K93" s="14" t="s">
        <v>37</v>
      </c>
      <c r="L93" s="14" t="s">
        <v>48</v>
      </c>
      <c r="M93" s="14" t="s">
        <v>58</v>
      </c>
      <c r="N93" s="15" t="s">
        <v>58</v>
      </c>
      <c r="O93" s="15">
        <v>1</v>
      </c>
      <c r="P93" s="15"/>
      <c r="Q93" s="15"/>
      <c r="R93" s="15" t="s">
        <v>335</v>
      </c>
      <c r="S93" s="25">
        <v>45693</v>
      </c>
      <c r="T93" s="25">
        <v>45755</v>
      </c>
      <c r="U93" s="25">
        <v>45772</v>
      </c>
      <c r="V93" s="15" t="s">
        <v>40</v>
      </c>
      <c r="W93" s="15" t="s">
        <v>442</v>
      </c>
      <c r="X93" s="27">
        <v>79.989999999999995</v>
      </c>
      <c r="Y93" s="27">
        <f>Table2[[#This Row],[PREÇO UNITARIO]]*Table2[[#This Row],[QUANTIDADE]]</f>
        <v>79.989999999999995</v>
      </c>
      <c r="Z93" s="15"/>
      <c r="AA93" s="32">
        <f>MONTH(Table2[[#This Row],[DATA PEDIDO HP]])</f>
        <v>2</v>
      </c>
      <c r="AB93" s="32" t="s">
        <v>60</v>
      </c>
      <c r="AC93" s="5">
        <f t="shared" ca="1" si="1"/>
        <v>46232</v>
      </c>
      <c r="AD93" s="331">
        <f ca="1">_xlfn.DAYS(Table2[[#This Row],[HOJE]],Table2[[#This Row],[DATA PEDIDO HP]])</f>
        <v>524</v>
      </c>
      <c r="AE93" s="336" t="s">
        <v>43</v>
      </c>
    </row>
    <row r="94" spans="1:31" ht="14.45" hidden="1">
      <c r="A94" s="269" t="s">
        <v>443</v>
      </c>
      <c r="B94" s="26">
        <v>45699</v>
      </c>
      <c r="C94" s="26">
        <v>45691</v>
      </c>
      <c r="D94" s="14" t="s">
        <v>444</v>
      </c>
      <c r="E94" s="14" t="s">
        <v>445</v>
      </c>
      <c r="F94" s="14" t="s">
        <v>403</v>
      </c>
      <c r="G94" s="14">
        <v>50300097</v>
      </c>
      <c r="H94" s="14" t="s">
        <v>446</v>
      </c>
      <c r="I94" s="14" t="s">
        <v>447</v>
      </c>
      <c r="J94" s="14">
        <v>1</v>
      </c>
      <c r="K94" s="14" t="s">
        <v>37</v>
      </c>
      <c r="L94" s="14" t="s">
        <v>294</v>
      </c>
      <c r="M94" s="14" t="s">
        <v>88</v>
      </c>
      <c r="N94" s="15" t="s">
        <v>89</v>
      </c>
      <c r="O94" s="15">
        <v>1</v>
      </c>
      <c r="P94" s="15">
        <v>1</v>
      </c>
      <c r="Q94" s="15"/>
      <c r="R94" s="15"/>
      <c r="S94" s="25">
        <v>45691</v>
      </c>
      <c r="T94" s="25">
        <v>45755</v>
      </c>
      <c r="U94" s="25">
        <v>45772</v>
      </c>
      <c r="V94" s="15" t="s">
        <v>40</v>
      </c>
      <c r="W94" s="15" t="s">
        <v>448</v>
      </c>
      <c r="X94" s="27">
        <v>83.29</v>
      </c>
      <c r="Y94" s="27">
        <f>Table2[[#This Row],[PREÇO UNITARIO]]*Table2[[#This Row],[QUANTIDADE]]</f>
        <v>83.29</v>
      </c>
      <c r="Z94" s="15"/>
      <c r="AA94" s="28">
        <f>MONTH(Table2[[#This Row],[DATA PEDIDO HP]])</f>
        <v>2</v>
      </c>
      <c r="AB94" s="32" t="s">
        <v>60</v>
      </c>
      <c r="AC94" s="5">
        <f t="shared" ca="1" si="1"/>
        <v>46232</v>
      </c>
      <c r="AD94" s="331">
        <f ca="1">_xlfn.DAYS(Table2[[#This Row],[HOJE]],Table2[[#This Row],[DATA PEDIDO HP]])</f>
        <v>533</v>
      </c>
      <c r="AE94" s="336" t="s">
        <v>43</v>
      </c>
    </row>
    <row r="95" spans="1:31" ht="14.45" hidden="1">
      <c r="A95" s="269" t="s">
        <v>449</v>
      </c>
      <c r="B95" s="26">
        <v>45701</v>
      </c>
      <c r="C95" s="26">
        <v>45700</v>
      </c>
      <c r="D95" s="14" t="s">
        <v>450</v>
      </c>
      <c r="E95" s="14" t="s">
        <v>73</v>
      </c>
      <c r="F95" s="14" t="s">
        <v>203</v>
      </c>
      <c r="G95" s="14">
        <v>60002095</v>
      </c>
      <c r="H95" s="14" t="s">
        <v>451</v>
      </c>
      <c r="I95" s="14" t="s">
        <v>452</v>
      </c>
      <c r="J95" s="14">
        <v>1</v>
      </c>
      <c r="K95" s="14" t="s">
        <v>37</v>
      </c>
      <c r="L95" s="14" t="s">
        <v>96</v>
      </c>
      <c r="M95" s="14" t="s">
        <v>58</v>
      </c>
      <c r="N95" s="15" t="s">
        <v>58</v>
      </c>
      <c r="O95" s="15">
        <v>1</v>
      </c>
      <c r="P95" s="15"/>
      <c r="Q95" s="15"/>
      <c r="R95" s="15"/>
      <c r="S95" s="25">
        <v>45701</v>
      </c>
      <c r="T95" s="25">
        <v>45755</v>
      </c>
      <c r="U95" s="25">
        <v>45772</v>
      </c>
      <c r="V95" s="15" t="s">
        <v>40</v>
      </c>
      <c r="W95" s="15" t="s">
        <v>41</v>
      </c>
      <c r="X95" s="27">
        <v>1172.56</v>
      </c>
      <c r="Y95" s="27">
        <f>Table2[[#This Row],[PREÇO UNITARIO]]*Table2[[#This Row],[QUANTIDADE]]</f>
        <v>1172.56</v>
      </c>
      <c r="Z95" s="15"/>
      <c r="AA95" s="28">
        <f>MONTH(Table2[[#This Row],[DATA PEDIDO HP]])</f>
        <v>2</v>
      </c>
      <c r="AB95" s="32" t="s">
        <v>42</v>
      </c>
      <c r="AC95" s="5">
        <f t="shared" ca="1" si="1"/>
        <v>46232</v>
      </c>
      <c r="AD95" s="331">
        <f ca="1">_xlfn.DAYS(Table2[[#This Row],[HOJE]],Table2[[#This Row],[DATA PEDIDO HP]])</f>
        <v>531</v>
      </c>
      <c r="AE95" s="336" t="s">
        <v>43</v>
      </c>
    </row>
    <row r="96" spans="1:31" ht="14.45" hidden="1">
      <c r="A96" s="269" t="s">
        <v>453</v>
      </c>
      <c r="B96" s="26">
        <v>45706</v>
      </c>
      <c r="C96" s="26">
        <v>45698</v>
      </c>
      <c r="D96" s="14" t="s">
        <v>454</v>
      </c>
      <c r="E96" s="14" t="s">
        <v>455</v>
      </c>
      <c r="F96" s="14" t="s">
        <v>456</v>
      </c>
      <c r="G96" s="14">
        <v>47200115</v>
      </c>
      <c r="H96" s="14" t="s">
        <v>457</v>
      </c>
      <c r="I96" s="14" t="s">
        <v>458</v>
      </c>
      <c r="J96" s="14">
        <v>1</v>
      </c>
      <c r="K96" s="14" t="s">
        <v>37</v>
      </c>
      <c r="L96" s="14" t="s">
        <v>459</v>
      </c>
      <c r="M96" s="14" t="s">
        <v>58</v>
      </c>
      <c r="N96" s="15" t="s">
        <v>58</v>
      </c>
      <c r="O96" s="15">
        <v>1</v>
      </c>
      <c r="P96" s="15"/>
      <c r="Q96" s="15"/>
      <c r="R96" s="15"/>
      <c r="S96" s="25">
        <v>45642</v>
      </c>
      <c r="T96" s="25">
        <v>45755</v>
      </c>
      <c r="U96" s="25">
        <v>45772</v>
      </c>
      <c r="V96" s="15" t="s">
        <v>40</v>
      </c>
      <c r="W96" s="15" t="s">
        <v>460</v>
      </c>
      <c r="X96" s="27">
        <v>1317.91</v>
      </c>
      <c r="Y96" s="27">
        <f>Table2[[#This Row],[PREÇO UNITARIO]]*Table2[[#This Row],[QUANTIDADE]]</f>
        <v>1317.91</v>
      </c>
      <c r="Z96" s="15"/>
      <c r="AA96" s="28">
        <f>MONTH(Table2[[#This Row],[DATA PEDIDO HP]])</f>
        <v>2</v>
      </c>
      <c r="AB96" s="32" t="s">
        <v>60</v>
      </c>
      <c r="AC96" s="5">
        <f t="shared" ca="1" si="1"/>
        <v>46232</v>
      </c>
      <c r="AD96" s="331">
        <f ca="1">_xlfn.DAYS(Table2[[#This Row],[HOJE]],Table2[[#This Row],[DATA PEDIDO HP]])</f>
        <v>526</v>
      </c>
      <c r="AE96" s="336" t="s">
        <v>43</v>
      </c>
    </row>
    <row r="97" spans="1:31" ht="14.45" hidden="1">
      <c r="A97" s="269" t="s">
        <v>461</v>
      </c>
      <c r="B97" s="26">
        <v>45707</v>
      </c>
      <c r="C97" s="26">
        <v>45705</v>
      </c>
      <c r="D97" s="14" t="s">
        <v>462</v>
      </c>
      <c r="E97" s="14" t="s">
        <v>202</v>
      </c>
      <c r="F97" s="14" t="s">
        <v>203</v>
      </c>
      <c r="G97" s="14">
        <v>60002072</v>
      </c>
      <c r="H97" s="14" t="s">
        <v>114</v>
      </c>
      <c r="I97" s="14" t="s">
        <v>463</v>
      </c>
      <c r="J97" s="14">
        <v>1</v>
      </c>
      <c r="K97" s="14" t="s">
        <v>37</v>
      </c>
      <c r="L97" s="14" t="s">
        <v>346</v>
      </c>
      <c r="M97" s="14" t="s">
        <v>58</v>
      </c>
      <c r="N97" s="15" t="s">
        <v>58</v>
      </c>
      <c r="O97" s="15">
        <v>1</v>
      </c>
      <c r="P97" s="15"/>
      <c r="Q97" s="15"/>
      <c r="R97" s="15"/>
      <c r="S97" s="25">
        <v>45693</v>
      </c>
      <c r="T97" s="25">
        <v>45755</v>
      </c>
      <c r="U97" s="25">
        <v>45772</v>
      </c>
      <c r="V97" s="15" t="s">
        <v>40</v>
      </c>
      <c r="W97" s="15"/>
      <c r="X97" s="27">
        <v>77.98</v>
      </c>
      <c r="Y97" s="27">
        <f>Table2[[#This Row],[PREÇO UNITARIO]]*Table2[[#This Row],[QUANTIDADE]]</f>
        <v>77.98</v>
      </c>
      <c r="Z97" s="15"/>
      <c r="AA97" s="28">
        <f>MONTH(Table2[[#This Row],[DATA PEDIDO HP]])</f>
        <v>2</v>
      </c>
      <c r="AB97" s="32" t="s">
        <v>60</v>
      </c>
      <c r="AC97" s="5">
        <f t="shared" ca="1" si="1"/>
        <v>46232</v>
      </c>
      <c r="AD97" s="331">
        <f ca="1">_xlfn.DAYS(Table2[[#This Row],[HOJE]],Table2[[#This Row],[DATA PEDIDO HP]])</f>
        <v>525</v>
      </c>
      <c r="AE97" s="336" t="s">
        <v>43</v>
      </c>
    </row>
    <row r="98" spans="1:31" ht="14.45" hidden="1">
      <c r="A98" s="269" t="s">
        <v>461</v>
      </c>
      <c r="B98" s="26">
        <v>45707</v>
      </c>
      <c r="C98" s="26">
        <v>45705</v>
      </c>
      <c r="D98" s="14" t="s">
        <v>462</v>
      </c>
      <c r="E98" s="14" t="s">
        <v>202</v>
      </c>
      <c r="F98" s="14" t="s">
        <v>203</v>
      </c>
      <c r="G98" s="14">
        <v>60002072</v>
      </c>
      <c r="H98" s="14" t="s">
        <v>464</v>
      </c>
      <c r="I98" s="14" t="s">
        <v>465</v>
      </c>
      <c r="J98" s="14">
        <v>1</v>
      </c>
      <c r="K98" s="14" t="s">
        <v>37</v>
      </c>
      <c r="L98" s="14" t="s">
        <v>346</v>
      </c>
      <c r="M98" s="14" t="s">
        <v>58</v>
      </c>
      <c r="N98" s="15" t="s">
        <v>58</v>
      </c>
      <c r="O98" s="15">
        <v>1</v>
      </c>
      <c r="P98" s="15"/>
      <c r="Q98" s="15"/>
      <c r="R98" s="15"/>
      <c r="S98" s="25">
        <v>45693</v>
      </c>
      <c r="T98" s="25">
        <v>45755</v>
      </c>
      <c r="U98" s="25">
        <v>45772</v>
      </c>
      <c r="V98" s="15" t="s">
        <v>40</v>
      </c>
      <c r="W98" s="15"/>
      <c r="X98" s="27">
        <v>359.28</v>
      </c>
      <c r="Y98" s="27">
        <f>Table2[[#This Row],[PREÇO UNITARIO]]*Table2[[#This Row],[QUANTIDADE]]</f>
        <v>359.28</v>
      </c>
      <c r="Z98" s="15"/>
      <c r="AA98" s="28">
        <f>MONTH(Table2[[#This Row],[DATA PEDIDO HP]])</f>
        <v>2</v>
      </c>
      <c r="AB98" s="32" t="s">
        <v>60</v>
      </c>
      <c r="AC98" s="5">
        <f t="shared" ca="1" si="1"/>
        <v>46232</v>
      </c>
      <c r="AD98" s="331">
        <f ca="1">_xlfn.DAYS(Table2[[#This Row],[HOJE]],Table2[[#This Row],[DATA PEDIDO HP]])</f>
        <v>525</v>
      </c>
      <c r="AE98" s="336" t="s">
        <v>43</v>
      </c>
    </row>
    <row r="99" spans="1:31" ht="14.45" hidden="1">
      <c r="A99" s="269" t="s">
        <v>466</v>
      </c>
      <c r="B99" s="26">
        <v>45706</v>
      </c>
      <c r="C99" s="26"/>
      <c r="D99" s="14"/>
      <c r="E99" s="14" t="s">
        <v>192</v>
      </c>
      <c r="F99" s="14" t="s">
        <v>104</v>
      </c>
      <c r="G99" s="14">
        <v>51000129</v>
      </c>
      <c r="H99" s="14"/>
      <c r="I99" s="14"/>
      <c r="J99" s="14">
        <v>1</v>
      </c>
      <c r="K99" s="14"/>
      <c r="L99" s="14"/>
      <c r="M99" s="14" t="s">
        <v>384</v>
      </c>
      <c r="N99" s="14" t="s">
        <v>384</v>
      </c>
      <c r="O99" s="15">
        <v>0</v>
      </c>
      <c r="P99" s="15"/>
      <c r="Q99" s="15"/>
      <c r="R99" s="15"/>
      <c r="S99" s="25">
        <v>45785</v>
      </c>
      <c r="T99" s="25">
        <v>45755</v>
      </c>
      <c r="U99" s="25">
        <v>45772</v>
      </c>
      <c r="V99" s="15" t="s">
        <v>40</v>
      </c>
      <c r="W99" s="15" t="s">
        <v>41</v>
      </c>
      <c r="X99" s="27"/>
      <c r="Y99" s="27"/>
      <c r="Z99" s="14" t="s">
        <v>467</v>
      </c>
      <c r="AA99" s="28">
        <f>MONTH(Table2[[#This Row],[DATA PEDIDO HP]])</f>
        <v>2</v>
      </c>
      <c r="AB99" s="32"/>
      <c r="AC99" s="5">
        <f t="shared" ca="1" si="1"/>
        <v>46232</v>
      </c>
      <c r="AD99" s="331">
        <f ca="1">_xlfn.DAYS(Table2[[#This Row],[HOJE]],Table2[[#This Row],[DATA PEDIDO HP]])</f>
        <v>526</v>
      </c>
      <c r="AE99" s="336" t="s">
        <v>43</v>
      </c>
    </row>
    <row r="100" spans="1:31" ht="14.45" hidden="1">
      <c r="A100" s="269" t="s">
        <v>468</v>
      </c>
      <c r="B100" s="26">
        <v>45707</v>
      </c>
      <c r="C100" s="26">
        <v>45705</v>
      </c>
      <c r="D100" s="14" t="s">
        <v>469</v>
      </c>
      <c r="E100" s="14" t="s">
        <v>93</v>
      </c>
      <c r="F100" s="14" t="s">
        <v>74</v>
      </c>
      <c r="G100" s="14">
        <v>50000202</v>
      </c>
      <c r="H100" s="14" t="s">
        <v>470</v>
      </c>
      <c r="I100" s="14" t="s">
        <v>471</v>
      </c>
      <c r="J100" s="14">
        <v>1</v>
      </c>
      <c r="K100" s="14" t="s">
        <v>37</v>
      </c>
      <c r="L100" s="14" t="s">
        <v>96</v>
      </c>
      <c r="M100" s="14" t="s">
        <v>58</v>
      </c>
      <c r="N100" s="15" t="s">
        <v>58</v>
      </c>
      <c r="O100" s="15">
        <v>1</v>
      </c>
      <c r="P100" s="15"/>
      <c r="Q100" s="15"/>
      <c r="R100" s="15" t="s">
        <v>472</v>
      </c>
      <c r="S100" s="25">
        <v>45705</v>
      </c>
      <c r="T100" s="25">
        <v>45755</v>
      </c>
      <c r="U100" s="25">
        <v>45772</v>
      </c>
      <c r="V100" s="15" t="s">
        <v>40</v>
      </c>
      <c r="W100" s="15" t="s">
        <v>473</v>
      </c>
      <c r="X100" s="27">
        <v>826.34</v>
      </c>
      <c r="Y100" s="27">
        <f>Table2[[#This Row],[PREÇO UNITARIO]]*Table2[[#This Row],[QUANTIDADE]]</f>
        <v>826.34</v>
      </c>
      <c r="Z100" s="15"/>
      <c r="AA100" s="28">
        <f>MONTH(Table2[[#This Row],[DATA PEDIDO HP]])</f>
        <v>2</v>
      </c>
      <c r="AB100" s="32" t="s">
        <v>60</v>
      </c>
      <c r="AC100" s="5">
        <f t="shared" ca="1" si="1"/>
        <v>46232</v>
      </c>
      <c r="AD100" s="331">
        <f ca="1">_xlfn.DAYS(Table2[[#This Row],[HOJE]],Table2[[#This Row],[DATA PEDIDO HP]])</f>
        <v>525</v>
      </c>
      <c r="AE100" s="336" t="s">
        <v>43</v>
      </c>
    </row>
    <row r="101" spans="1:31" ht="14.45" hidden="1">
      <c r="A101" s="269" t="s">
        <v>474</v>
      </c>
      <c r="B101" s="26">
        <v>45707</v>
      </c>
      <c r="C101" s="26">
        <v>45705</v>
      </c>
      <c r="D101" s="14" t="s">
        <v>475</v>
      </c>
      <c r="E101" s="14" t="s">
        <v>428</v>
      </c>
      <c r="F101" s="14" t="s">
        <v>173</v>
      </c>
      <c r="G101" s="14">
        <v>48300375</v>
      </c>
      <c r="H101" s="14" t="s">
        <v>280</v>
      </c>
      <c r="I101" s="14" t="s">
        <v>318</v>
      </c>
      <c r="J101" s="14">
        <v>1</v>
      </c>
      <c r="K101" s="14" t="s">
        <v>37</v>
      </c>
      <c r="L101" s="14" t="s">
        <v>217</v>
      </c>
      <c r="M101" s="14" t="s">
        <v>58</v>
      </c>
      <c r="N101" s="15" t="s">
        <v>58</v>
      </c>
      <c r="O101" s="15">
        <v>1</v>
      </c>
      <c r="P101" s="15"/>
      <c r="Q101" s="15"/>
      <c r="R101" s="15"/>
      <c r="S101" s="25">
        <v>45636</v>
      </c>
      <c r="T101" s="25">
        <v>45755</v>
      </c>
      <c r="U101" s="25">
        <v>45772</v>
      </c>
      <c r="V101" s="15" t="s">
        <v>40</v>
      </c>
      <c r="W101" s="15" t="s">
        <v>476</v>
      </c>
      <c r="X101" s="27">
        <v>431.82</v>
      </c>
      <c r="Y101" s="27">
        <f>Table2[[#This Row],[PREÇO UNITARIO]]*Table2[[#This Row],[QUANTIDADE]]</f>
        <v>431.82</v>
      </c>
      <c r="Z101" s="15"/>
      <c r="AA101" s="28">
        <f>MONTH(Table2[[#This Row],[DATA PEDIDO HP]])</f>
        <v>2</v>
      </c>
      <c r="AB101" s="32" t="s">
        <v>60</v>
      </c>
      <c r="AC101" s="5">
        <f t="shared" ca="1" si="1"/>
        <v>46232</v>
      </c>
      <c r="AD101" s="331">
        <f ca="1">_xlfn.DAYS(Table2[[#This Row],[HOJE]],Table2[[#This Row],[DATA PEDIDO HP]])</f>
        <v>525</v>
      </c>
      <c r="AE101" s="336" t="s">
        <v>43</v>
      </c>
    </row>
    <row r="102" spans="1:31" ht="14.45" hidden="1">
      <c r="A102" s="269" t="s">
        <v>477</v>
      </c>
      <c r="B102" s="26">
        <v>45707</v>
      </c>
      <c r="C102" s="26">
        <v>45339</v>
      </c>
      <c r="D102" s="14" t="s">
        <v>478</v>
      </c>
      <c r="E102" s="14" t="s">
        <v>181</v>
      </c>
      <c r="F102" s="14" t="s">
        <v>34</v>
      </c>
      <c r="G102" s="14" t="s">
        <v>182</v>
      </c>
      <c r="H102" s="14" t="s">
        <v>479</v>
      </c>
      <c r="I102" s="14" t="s">
        <v>480</v>
      </c>
      <c r="J102" s="14">
        <v>1</v>
      </c>
      <c r="K102" s="14" t="s">
        <v>37</v>
      </c>
      <c r="L102" s="14" t="s">
        <v>38</v>
      </c>
      <c r="M102" s="14" t="s">
        <v>58</v>
      </c>
      <c r="N102" s="15" t="s">
        <v>58</v>
      </c>
      <c r="O102" s="15">
        <v>1</v>
      </c>
      <c r="P102" s="15"/>
      <c r="Q102" s="15"/>
      <c r="R102" s="15" t="s">
        <v>481</v>
      </c>
      <c r="S102" s="25">
        <v>45692</v>
      </c>
      <c r="T102" s="25">
        <v>45755</v>
      </c>
      <c r="U102" s="25">
        <v>45772</v>
      </c>
      <c r="V102" s="15" t="s">
        <v>40</v>
      </c>
      <c r="W102" s="15" t="s">
        <v>41</v>
      </c>
      <c r="X102" s="27">
        <v>6075.1</v>
      </c>
      <c r="Y102" s="27">
        <f>Table2[[#This Row],[PREÇO UNITARIO]]*Table2[[#This Row],[QUANTIDADE]]</f>
        <v>6075.1</v>
      </c>
      <c r="Z102" s="15"/>
      <c r="AA102" s="28">
        <f>MONTH(Table2[[#This Row],[DATA PEDIDO HP]])</f>
        <v>2</v>
      </c>
      <c r="AB102" s="32" t="s">
        <v>42</v>
      </c>
      <c r="AC102" s="5">
        <f t="shared" ca="1" si="1"/>
        <v>46232</v>
      </c>
      <c r="AD102" s="331">
        <f ca="1">_xlfn.DAYS(Table2[[#This Row],[HOJE]],Table2[[#This Row],[DATA PEDIDO HP]])</f>
        <v>525</v>
      </c>
      <c r="AE102" s="336" t="s">
        <v>43</v>
      </c>
    </row>
    <row r="103" spans="1:31" ht="14.45" hidden="1">
      <c r="A103" s="269" t="s">
        <v>482</v>
      </c>
      <c r="B103" s="26">
        <v>45707</v>
      </c>
      <c r="C103" s="26">
        <v>45707</v>
      </c>
      <c r="D103" s="14" t="s">
        <v>483</v>
      </c>
      <c r="E103" s="14" t="s">
        <v>33</v>
      </c>
      <c r="F103" s="14" t="s">
        <v>34</v>
      </c>
      <c r="G103" s="14">
        <v>50110193</v>
      </c>
      <c r="H103" s="14" t="s">
        <v>484</v>
      </c>
      <c r="I103" s="14" t="s">
        <v>485</v>
      </c>
      <c r="J103" s="14">
        <v>1</v>
      </c>
      <c r="K103" s="14" t="s">
        <v>37</v>
      </c>
      <c r="L103" s="14" t="s">
        <v>48</v>
      </c>
      <c r="M103" s="14" t="s">
        <v>58</v>
      </c>
      <c r="N103" s="15" t="s">
        <v>58</v>
      </c>
      <c r="O103" s="15">
        <v>1</v>
      </c>
      <c r="P103" s="15"/>
      <c r="Q103" s="15"/>
      <c r="R103" s="15"/>
      <c r="S103" s="25">
        <v>45701</v>
      </c>
      <c r="T103" s="25">
        <v>45755</v>
      </c>
      <c r="U103" s="25">
        <v>45772</v>
      </c>
      <c r="V103" s="15" t="s">
        <v>40</v>
      </c>
      <c r="W103" s="15" t="s">
        <v>41</v>
      </c>
      <c r="X103" s="27">
        <v>125.99</v>
      </c>
      <c r="Y103" s="27">
        <f>Table2[[#This Row],[PREÇO UNITARIO]]*Table2[[#This Row],[QUANTIDADE]]</f>
        <v>125.99</v>
      </c>
      <c r="Z103" s="15"/>
      <c r="AA103" s="28">
        <f>MONTH(Table2[[#This Row],[DATA PEDIDO HP]])</f>
        <v>2</v>
      </c>
      <c r="AB103" s="32" t="s">
        <v>42</v>
      </c>
      <c r="AC103" s="5">
        <f t="shared" ca="1" si="1"/>
        <v>46232</v>
      </c>
      <c r="AD103" s="331">
        <f ca="1">_xlfn.DAYS(Table2[[#This Row],[HOJE]],Table2[[#This Row],[DATA PEDIDO HP]])</f>
        <v>525</v>
      </c>
      <c r="AE103" s="336" t="s">
        <v>43</v>
      </c>
    </row>
    <row r="104" spans="1:31" ht="14.45" hidden="1">
      <c r="A104" s="269" t="s">
        <v>486</v>
      </c>
      <c r="B104" s="26">
        <v>45707</v>
      </c>
      <c r="C104" s="26">
        <v>45707</v>
      </c>
      <c r="D104" s="14" t="s">
        <v>487</v>
      </c>
      <c r="E104" s="14" t="s">
        <v>63</v>
      </c>
      <c r="F104" s="14" t="s">
        <v>64</v>
      </c>
      <c r="G104" s="14">
        <v>48000432</v>
      </c>
      <c r="H104" s="14" t="s">
        <v>488</v>
      </c>
      <c r="I104" s="14" t="s">
        <v>489</v>
      </c>
      <c r="J104" s="14">
        <v>1</v>
      </c>
      <c r="K104" s="14" t="s">
        <v>37</v>
      </c>
      <c r="L104" s="14" t="s">
        <v>48</v>
      </c>
      <c r="M104" s="14" t="s">
        <v>58</v>
      </c>
      <c r="N104" s="15" t="s">
        <v>58</v>
      </c>
      <c r="O104" s="15">
        <v>1</v>
      </c>
      <c r="P104" s="15"/>
      <c r="Q104" s="15"/>
      <c r="R104" s="15"/>
      <c r="S104" s="25">
        <v>45700</v>
      </c>
      <c r="T104" s="25">
        <v>45755</v>
      </c>
      <c r="U104" s="25">
        <v>45772</v>
      </c>
      <c r="V104" s="15" t="s">
        <v>40</v>
      </c>
      <c r="W104" s="15" t="s">
        <v>490</v>
      </c>
      <c r="X104" s="27">
        <v>453.02</v>
      </c>
      <c r="Y104" s="27">
        <f>Table2[[#This Row],[PREÇO UNITARIO]]*Table2[[#This Row],[QUANTIDADE]]</f>
        <v>453.02</v>
      </c>
      <c r="Z104" s="15"/>
      <c r="AA104" s="28">
        <f>MONTH(Table2[[#This Row],[DATA PEDIDO HP]])</f>
        <v>2</v>
      </c>
      <c r="AB104" s="32" t="s">
        <v>60</v>
      </c>
      <c r="AC104" s="5">
        <f t="shared" ca="1" si="1"/>
        <v>46232</v>
      </c>
      <c r="AD104" s="331">
        <f ca="1">_xlfn.DAYS(Table2[[#This Row],[HOJE]],Table2[[#This Row],[DATA PEDIDO HP]])</f>
        <v>525</v>
      </c>
      <c r="AE104" s="336" t="s">
        <v>43</v>
      </c>
    </row>
    <row r="105" spans="1:31" ht="14.45" hidden="1">
      <c r="A105" s="269" t="s">
        <v>491</v>
      </c>
      <c r="B105" s="26">
        <v>45707</v>
      </c>
      <c r="C105" s="26"/>
      <c r="D105" s="14"/>
      <c r="E105" s="14" t="s">
        <v>33</v>
      </c>
      <c r="F105" s="14" t="s">
        <v>34</v>
      </c>
      <c r="G105" s="14">
        <v>50110193</v>
      </c>
      <c r="H105" s="14"/>
      <c r="I105" s="14"/>
      <c r="J105" s="14">
        <v>1</v>
      </c>
      <c r="K105" s="14"/>
      <c r="L105" s="14"/>
      <c r="M105" s="14" t="s">
        <v>384</v>
      </c>
      <c r="N105" s="14" t="s">
        <v>384</v>
      </c>
      <c r="O105" s="15">
        <v>0</v>
      </c>
      <c r="P105" s="15"/>
      <c r="Q105" s="15"/>
      <c r="R105" s="15"/>
      <c r="S105" s="25">
        <v>45783</v>
      </c>
      <c r="T105" s="25">
        <v>45755</v>
      </c>
      <c r="U105" s="25">
        <v>45772</v>
      </c>
      <c r="V105" s="15" t="s">
        <v>40</v>
      </c>
      <c r="W105" s="15" t="s">
        <v>41</v>
      </c>
      <c r="X105" s="27"/>
      <c r="Y105" s="27"/>
      <c r="Z105" s="15" t="s">
        <v>492</v>
      </c>
      <c r="AA105" s="28">
        <f>MONTH(Table2[[#This Row],[DATA PEDIDO HP]])</f>
        <v>2</v>
      </c>
      <c r="AB105" s="32"/>
      <c r="AC105" s="5">
        <f t="shared" ca="1" si="1"/>
        <v>46232</v>
      </c>
      <c r="AD105" s="331">
        <f ca="1">_xlfn.DAYS(Table2[[#This Row],[HOJE]],Table2[[#This Row],[DATA PEDIDO HP]])</f>
        <v>525</v>
      </c>
      <c r="AE105" s="336" t="s">
        <v>43</v>
      </c>
    </row>
    <row r="106" spans="1:31" ht="14.45" hidden="1">
      <c r="A106" s="269" t="s">
        <v>493</v>
      </c>
      <c r="B106" s="26">
        <v>45708</v>
      </c>
      <c r="C106" s="26">
        <v>45707</v>
      </c>
      <c r="D106" s="14" t="s">
        <v>494</v>
      </c>
      <c r="E106" s="14" t="s">
        <v>103</v>
      </c>
      <c r="F106" s="14" t="s">
        <v>104</v>
      </c>
      <c r="G106" s="14">
        <v>51000323</v>
      </c>
      <c r="H106" s="14" t="s">
        <v>495</v>
      </c>
      <c r="I106" s="14" t="s">
        <v>496</v>
      </c>
      <c r="J106" s="14">
        <v>1</v>
      </c>
      <c r="K106" s="14" t="s">
        <v>37</v>
      </c>
      <c r="L106" s="14" t="s">
        <v>48</v>
      </c>
      <c r="M106" s="14" t="s">
        <v>88</v>
      </c>
      <c r="N106" s="15" t="s">
        <v>89</v>
      </c>
      <c r="O106" s="15">
        <v>0</v>
      </c>
      <c r="P106" s="15">
        <v>1</v>
      </c>
      <c r="Q106" s="15"/>
      <c r="R106" s="15"/>
      <c r="S106" s="25">
        <v>45783</v>
      </c>
      <c r="T106" s="25">
        <v>45755</v>
      </c>
      <c r="U106" s="25">
        <v>45772</v>
      </c>
      <c r="V106" s="15" t="s">
        <v>40</v>
      </c>
      <c r="W106" s="15" t="s">
        <v>41</v>
      </c>
      <c r="X106" s="27">
        <v>7.35</v>
      </c>
      <c r="Y106" s="27">
        <f>Table2[[#This Row],[PREÇO UNITARIO]]*Table2[[#This Row],[QUANTIDADE]]</f>
        <v>7.35</v>
      </c>
      <c r="Z106" s="15"/>
      <c r="AA106" s="28">
        <f>MONTH(Table2[[#This Row],[DATA PEDIDO HP]])</f>
        <v>2</v>
      </c>
      <c r="AB106" s="32" t="s">
        <v>42</v>
      </c>
      <c r="AC106" s="5">
        <f t="shared" ca="1" si="1"/>
        <v>46232</v>
      </c>
      <c r="AD106" s="331">
        <f ca="1">_xlfn.DAYS(Table2[[#This Row],[HOJE]],Table2[[#This Row],[DATA PEDIDO HP]])</f>
        <v>524</v>
      </c>
      <c r="AE106" s="336" t="s">
        <v>43</v>
      </c>
    </row>
    <row r="107" spans="1:31" ht="14.45" hidden="1">
      <c r="A107" s="269" t="s">
        <v>493</v>
      </c>
      <c r="B107" s="26">
        <v>45708</v>
      </c>
      <c r="C107" s="26">
        <v>45707</v>
      </c>
      <c r="D107" s="14" t="s">
        <v>494</v>
      </c>
      <c r="E107" s="14" t="s">
        <v>103</v>
      </c>
      <c r="F107" s="14" t="s">
        <v>104</v>
      </c>
      <c r="G107" s="14">
        <v>51000323</v>
      </c>
      <c r="H107" s="14" t="s">
        <v>130</v>
      </c>
      <c r="I107" s="14" t="s">
        <v>497</v>
      </c>
      <c r="J107" s="14">
        <v>2</v>
      </c>
      <c r="K107" s="14" t="s">
        <v>37</v>
      </c>
      <c r="L107" s="14" t="s">
        <v>48</v>
      </c>
      <c r="M107" s="14" t="s">
        <v>39</v>
      </c>
      <c r="N107" s="14" t="s">
        <v>39</v>
      </c>
      <c r="O107" s="15">
        <v>2</v>
      </c>
      <c r="P107" s="15"/>
      <c r="Q107" s="15"/>
      <c r="R107" s="15"/>
      <c r="S107" s="25">
        <v>45707</v>
      </c>
      <c r="T107" s="25">
        <v>45755</v>
      </c>
      <c r="U107" s="25">
        <v>45772</v>
      </c>
      <c r="V107" s="15" t="s">
        <v>40</v>
      </c>
      <c r="W107" s="15" t="s">
        <v>41</v>
      </c>
      <c r="X107" s="27">
        <v>17.28</v>
      </c>
      <c r="Y107" s="27">
        <f>Table2[[#This Row],[PREÇO UNITARIO]]*Table2[[#This Row],[QUANTIDADE]]</f>
        <v>34.56</v>
      </c>
      <c r="Z107" s="15"/>
      <c r="AA107" s="28">
        <f>MONTH(Table2[[#This Row],[DATA PEDIDO HP]])</f>
        <v>2</v>
      </c>
      <c r="AB107" s="32" t="s">
        <v>42</v>
      </c>
      <c r="AC107" s="5">
        <f t="shared" ca="1" si="1"/>
        <v>46232</v>
      </c>
      <c r="AD107" s="331">
        <f ca="1">_xlfn.DAYS(Table2[[#This Row],[HOJE]],Table2[[#This Row],[DATA PEDIDO HP]])</f>
        <v>524</v>
      </c>
      <c r="AE107" s="336" t="s">
        <v>43</v>
      </c>
    </row>
    <row r="108" spans="1:31" ht="14.45" hidden="1">
      <c r="A108" s="269" t="s">
        <v>498</v>
      </c>
      <c r="B108" s="26">
        <v>45708</v>
      </c>
      <c r="C108" s="26">
        <v>45707</v>
      </c>
      <c r="D108" s="14" t="s">
        <v>499</v>
      </c>
      <c r="E108" s="14" t="s">
        <v>33</v>
      </c>
      <c r="F108" s="14" t="s">
        <v>34</v>
      </c>
      <c r="G108" s="14">
        <v>50110193</v>
      </c>
      <c r="H108" s="14" t="s">
        <v>500</v>
      </c>
      <c r="I108" s="14" t="s">
        <v>501</v>
      </c>
      <c r="J108" s="14">
        <v>1</v>
      </c>
      <c r="K108" s="14" t="s">
        <v>37</v>
      </c>
      <c r="L108" s="14" t="s">
        <v>48</v>
      </c>
      <c r="M108" s="14" t="s">
        <v>39</v>
      </c>
      <c r="N108" s="14" t="s">
        <v>39</v>
      </c>
      <c r="O108" s="15">
        <v>1</v>
      </c>
      <c r="P108" s="15"/>
      <c r="Q108" s="15"/>
      <c r="R108" s="15"/>
      <c r="S108" s="25">
        <v>45708</v>
      </c>
      <c r="T108" s="25">
        <v>45755</v>
      </c>
      <c r="U108" s="25">
        <v>45772</v>
      </c>
      <c r="V108" s="15" t="s">
        <v>40</v>
      </c>
      <c r="W108" s="15" t="s">
        <v>41</v>
      </c>
      <c r="X108" s="27">
        <v>10.19</v>
      </c>
      <c r="Y108" s="27">
        <f>Table2[[#This Row],[PREÇO UNITARIO]]*Table2[[#This Row],[QUANTIDADE]]</f>
        <v>10.19</v>
      </c>
      <c r="Z108" s="15"/>
      <c r="AA108" s="28">
        <f>MONTH(Table2[[#This Row],[DATA PEDIDO HP]])</f>
        <v>2</v>
      </c>
      <c r="AB108" s="32" t="s">
        <v>42</v>
      </c>
      <c r="AC108" s="5">
        <f t="shared" ca="1" si="1"/>
        <v>46232</v>
      </c>
      <c r="AD108" s="331">
        <f ca="1">_xlfn.DAYS(Table2[[#This Row],[HOJE]],Table2[[#This Row],[DATA PEDIDO HP]])</f>
        <v>524</v>
      </c>
      <c r="AE108" s="336" t="s">
        <v>43</v>
      </c>
    </row>
    <row r="109" spans="1:31" ht="14.45" hidden="1">
      <c r="A109" s="269" t="s">
        <v>502</v>
      </c>
      <c r="B109" s="26">
        <v>45708</v>
      </c>
      <c r="C109" s="26">
        <v>45707</v>
      </c>
      <c r="D109" s="14" t="s">
        <v>503</v>
      </c>
      <c r="E109" s="14" t="s">
        <v>33</v>
      </c>
      <c r="F109" s="14" t="s">
        <v>34</v>
      </c>
      <c r="G109" s="14">
        <v>50110193</v>
      </c>
      <c r="H109" s="14" t="s">
        <v>504</v>
      </c>
      <c r="I109" s="14" t="s">
        <v>505</v>
      </c>
      <c r="J109" s="14">
        <v>1</v>
      </c>
      <c r="K109" s="14" t="s">
        <v>37</v>
      </c>
      <c r="L109" s="14" t="s">
        <v>48</v>
      </c>
      <c r="M109" s="14" t="s">
        <v>88</v>
      </c>
      <c r="N109" s="15" t="s">
        <v>89</v>
      </c>
      <c r="O109" s="15">
        <v>0</v>
      </c>
      <c r="P109" s="15"/>
      <c r="Q109" s="15"/>
      <c r="R109" s="15"/>
      <c r="S109" s="25">
        <v>45806</v>
      </c>
      <c r="T109" s="25">
        <v>45788</v>
      </c>
      <c r="U109" s="25">
        <v>45799</v>
      </c>
      <c r="V109" s="15" t="s">
        <v>506</v>
      </c>
      <c r="W109" s="15" t="s">
        <v>41</v>
      </c>
      <c r="X109" s="27">
        <v>511.16</v>
      </c>
      <c r="Y109" s="27">
        <f>Table2[[#This Row],[PREÇO UNITARIO]]*Table2[[#This Row],[QUANTIDADE]]</f>
        <v>511.16</v>
      </c>
      <c r="Z109" s="15"/>
      <c r="AA109" s="28">
        <f>MONTH(Table2[[#This Row],[DATA PEDIDO HP]])</f>
        <v>2</v>
      </c>
      <c r="AB109" s="32" t="s">
        <v>42</v>
      </c>
      <c r="AC109" s="5">
        <f t="shared" ca="1" si="1"/>
        <v>46232</v>
      </c>
      <c r="AD109" s="331">
        <f ca="1">_xlfn.DAYS(Table2[[#This Row],[HOJE]],Table2[[#This Row],[DATA PEDIDO HP]])</f>
        <v>524</v>
      </c>
      <c r="AE109" s="336" t="s">
        <v>43</v>
      </c>
    </row>
    <row r="110" spans="1:31" ht="14.45" hidden="1">
      <c r="A110" s="269" t="s">
        <v>502</v>
      </c>
      <c r="B110" s="26">
        <v>45708</v>
      </c>
      <c r="C110" s="26">
        <v>45707</v>
      </c>
      <c r="D110" s="14" t="s">
        <v>503</v>
      </c>
      <c r="E110" s="14" t="s">
        <v>33</v>
      </c>
      <c r="F110" s="14" t="s">
        <v>34</v>
      </c>
      <c r="G110" s="14">
        <v>50110193</v>
      </c>
      <c r="H110" s="14" t="s">
        <v>507</v>
      </c>
      <c r="I110" s="14" t="s">
        <v>508</v>
      </c>
      <c r="J110" s="14">
        <v>1</v>
      </c>
      <c r="K110" s="14" t="s">
        <v>37</v>
      </c>
      <c r="L110" s="14" t="s">
        <v>48</v>
      </c>
      <c r="M110" s="14" t="s">
        <v>58</v>
      </c>
      <c r="N110" s="15" t="s">
        <v>58</v>
      </c>
      <c r="O110" s="15">
        <v>1</v>
      </c>
      <c r="P110" s="15"/>
      <c r="Q110" s="15"/>
      <c r="R110" s="15"/>
      <c r="S110" s="25">
        <v>45708</v>
      </c>
      <c r="T110" s="25">
        <v>45755</v>
      </c>
      <c r="U110" s="25">
        <v>45772</v>
      </c>
      <c r="V110" s="15" t="s">
        <v>40</v>
      </c>
      <c r="W110" s="15" t="s">
        <v>41</v>
      </c>
      <c r="X110" s="27">
        <v>85.17</v>
      </c>
      <c r="Y110" s="27">
        <f>Table2[[#This Row],[PREÇO UNITARIO]]*Table2[[#This Row],[QUANTIDADE]]</f>
        <v>85.17</v>
      </c>
      <c r="Z110" s="15"/>
      <c r="AA110" s="28">
        <f>MONTH(Table2[[#This Row],[DATA PEDIDO HP]])</f>
        <v>2</v>
      </c>
      <c r="AB110" s="32" t="s">
        <v>42</v>
      </c>
      <c r="AC110" s="5">
        <f t="shared" ca="1" si="1"/>
        <v>46232</v>
      </c>
      <c r="AD110" s="331">
        <f ca="1">_xlfn.DAYS(Table2[[#This Row],[HOJE]],Table2[[#This Row],[DATA PEDIDO HP]])</f>
        <v>524</v>
      </c>
      <c r="AE110" s="336" t="s">
        <v>43</v>
      </c>
    </row>
    <row r="111" spans="1:31" ht="14.45" hidden="1">
      <c r="A111" s="269" t="s">
        <v>509</v>
      </c>
      <c r="B111" s="26">
        <v>45708</v>
      </c>
      <c r="C111" s="26">
        <v>45707</v>
      </c>
      <c r="D111" s="14" t="s">
        <v>510</v>
      </c>
      <c r="E111" s="14" t="s">
        <v>93</v>
      </c>
      <c r="F111" s="14" t="s">
        <v>74</v>
      </c>
      <c r="G111" s="14">
        <v>50000202</v>
      </c>
      <c r="H111" s="14" t="s">
        <v>511</v>
      </c>
      <c r="I111" s="14" t="s">
        <v>512</v>
      </c>
      <c r="J111" s="14">
        <v>1</v>
      </c>
      <c r="K111" s="14" t="s">
        <v>37</v>
      </c>
      <c r="L111" s="14" t="s">
        <v>48</v>
      </c>
      <c r="M111" s="14" t="s">
        <v>58</v>
      </c>
      <c r="N111" s="15" t="s">
        <v>58</v>
      </c>
      <c r="O111" s="15">
        <v>1</v>
      </c>
      <c r="P111" s="15"/>
      <c r="Q111" s="15"/>
      <c r="R111" s="15"/>
      <c r="S111" s="25">
        <v>45699</v>
      </c>
      <c r="T111" s="25">
        <v>45755</v>
      </c>
      <c r="U111" s="25">
        <v>45772</v>
      </c>
      <c r="V111" s="15" t="s">
        <v>40</v>
      </c>
      <c r="W111" s="15" t="s">
        <v>473</v>
      </c>
      <c r="X111" s="27">
        <v>1721.28</v>
      </c>
      <c r="Y111" s="27">
        <f>Table2[[#This Row],[PREÇO UNITARIO]]*Table2[[#This Row],[QUANTIDADE]]</f>
        <v>1721.28</v>
      </c>
      <c r="Z111" s="15"/>
      <c r="AA111" s="28">
        <f>MONTH(Table2[[#This Row],[DATA PEDIDO HP]])</f>
        <v>2</v>
      </c>
      <c r="AB111" s="32" t="s">
        <v>60</v>
      </c>
      <c r="AC111" s="5">
        <f t="shared" ca="1" si="1"/>
        <v>46232</v>
      </c>
      <c r="AD111" s="331">
        <f ca="1">_xlfn.DAYS(Table2[[#This Row],[HOJE]],Table2[[#This Row],[DATA PEDIDO HP]])</f>
        <v>524</v>
      </c>
      <c r="AE111" s="336" t="s">
        <v>43</v>
      </c>
    </row>
    <row r="112" spans="1:31" ht="14.45" hidden="1">
      <c r="A112" s="269" t="s">
        <v>513</v>
      </c>
      <c r="B112" s="26">
        <v>45708</v>
      </c>
      <c r="C112" s="26">
        <v>45708</v>
      </c>
      <c r="D112" s="14" t="s">
        <v>514</v>
      </c>
      <c r="E112" s="14" t="s">
        <v>515</v>
      </c>
      <c r="F112" s="14" t="s">
        <v>516</v>
      </c>
      <c r="G112" s="14">
        <v>61000037</v>
      </c>
      <c r="H112" s="14" t="s">
        <v>517</v>
      </c>
      <c r="I112" s="14" t="s">
        <v>518</v>
      </c>
      <c r="J112" s="14">
        <v>1</v>
      </c>
      <c r="K112" s="14" t="s">
        <v>67</v>
      </c>
      <c r="L112" s="14" t="s">
        <v>48</v>
      </c>
      <c r="M112" s="14" t="s">
        <v>88</v>
      </c>
      <c r="N112" s="15" t="s">
        <v>89</v>
      </c>
      <c r="O112" s="15">
        <v>0</v>
      </c>
      <c r="P112" s="15"/>
      <c r="Q112" s="15"/>
      <c r="R112" s="15"/>
      <c r="S112" s="25"/>
      <c r="T112" s="25">
        <v>45727</v>
      </c>
      <c r="U112" s="25">
        <v>45735</v>
      </c>
      <c r="V112" s="15" t="s">
        <v>513</v>
      </c>
      <c r="W112" s="15"/>
      <c r="X112" s="27">
        <v>60590.21</v>
      </c>
      <c r="Y112" s="27">
        <f>Table2[[#This Row],[PREÇO UNITARIO]]*Table2[[#This Row],[QUANTIDADE]]</f>
        <v>60590.21</v>
      </c>
      <c r="Z112" s="15"/>
      <c r="AA112" s="32">
        <f>MONTH(Table2[[#This Row],[DATA PEDIDO HP]])</f>
        <v>2</v>
      </c>
      <c r="AB112" s="32" t="s">
        <v>60</v>
      </c>
      <c r="AC112" s="5">
        <f t="shared" ca="1" si="1"/>
        <v>46232</v>
      </c>
      <c r="AD112" s="331">
        <f ca="1">_xlfn.DAYS(Table2[[#This Row],[HOJE]],Table2[[#This Row],[DATA PEDIDO HP]])</f>
        <v>524</v>
      </c>
      <c r="AE112" s="5" t="s">
        <v>43</v>
      </c>
    </row>
    <row r="113" spans="1:31" ht="14.45" hidden="1">
      <c r="A113" s="269" t="s">
        <v>519</v>
      </c>
      <c r="B113" s="26">
        <v>45709</v>
      </c>
      <c r="C113" s="26">
        <v>45708</v>
      </c>
      <c r="D113" s="14" t="s">
        <v>520</v>
      </c>
      <c r="E113" s="14" t="s">
        <v>202</v>
      </c>
      <c r="F113" s="14" t="s">
        <v>203</v>
      </c>
      <c r="G113" s="14">
        <v>60002072</v>
      </c>
      <c r="H113" s="14" t="s">
        <v>521</v>
      </c>
      <c r="I113" s="14" t="s">
        <v>522</v>
      </c>
      <c r="J113" s="14">
        <v>1</v>
      </c>
      <c r="K113" s="14" t="s">
        <v>67</v>
      </c>
      <c r="L113" s="14" t="s">
        <v>346</v>
      </c>
      <c r="M113" s="15" t="s">
        <v>384</v>
      </c>
      <c r="N113" s="15" t="s">
        <v>384</v>
      </c>
      <c r="O113" s="15">
        <v>0</v>
      </c>
      <c r="P113" s="15"/>
      <c r="Q113" s="15"/>
      <c r="R113" s="15"/>
      <c r="S113" s="25"/>
      <c r="T113" s="25">
        <v>45729</v>
      </c>
      <c r="U113" s="25">
        <v>45735</v>
      </c>
      <c r="V113" s="15" t="s">
        <v>523</v>
      </c>
      <c r="W113" s="15"/>
      <c r="X113" s="27">
        <v>2531.29</v>
      </c>
      <c r="Y113" s="27">
        <f>Table2[[#This Row],[PREÇO UNITARIO]]*Table2[[#This Row],[QUANTIDADE]]</f>
        <v>2531.29</v>
      </c>
      <c r="Z113" s="15"/>
      <c r="AA113" s="32">
        <f>MONTH(Table2[[#This Row],[DATA PEDIDO HP]])</f>
        <v>2</v>
      </c>
      <c r="AB113" s="32"/>
      <c r="AC113" s="5">
        <f t="shared" ca="1" si="1"/>
        <v>46232</v>
      </c>
      <c r="AD113" s="331">
        <f ca="1">_xlfn.DAYS(Table2[[#This Row],[HOJE]],Table2[[#This Row],[DATA PEDIDO HP]])</f>
        <v>523</v>
      </c>
      <c r="AE113" s="5" t="s">
        <v>43</v>
      </c>
    </row>
    <row r="114" spans="1:31" ht="14.45" hidden="1">
      <c r="A114" s="269" t="s">
        <v>524</v>
      </c>
      <c r="B114" s="26">
        <v>45709</v>
      </c>
      <c r="C114" s="26">
        <v>45708</v>
      </c>
      <c r="D114" s="14" t="s">
        <v>525</v>
      </c>
      <c r="E114" s="14" t="s">
        <v>85</v>
      </c>
      <c r="F114" s="14" t="s">
        <v>74</v>
      </c>
      <c r="G114" s="14">
        <v>50000260</v>
      </c>
      <c r="H114" s="14" t="s">
        <v>245</v>
      </c>
      <c r="I114" s="14" t="s">
        <v>526</v>
      </c>
      <c r="J114" s="14">
        <v>3</v>
      </c>
      <c r="K114" s="14" t="s">
        <v>67</v>
      </c>
      <c r="L114" s="14" t="s">
        <v>68</v>
      </c>
      <c r="M114" s="14" t="s">
        <v>88</v>
      </c>
      <c r="N114" s="15" t="s">
        <v>89</v>
      </c>
      <c r="O114" s="15">
        <v>0</v>
      </c>
      <c r="P114" s="15">
        <v>3</v>
      </c>
      <c r="Q114" s="15"/>
      <c r="R114" s="15" t="s">
        <v>247</v>
      </c>
      <c r="S114" s="25">
        <v>45785</v>
      </c>
      <c r="T114" s="25">
        <v>45755</v>
      </c>
      <c r="U114" s="25">
        <v>45772</v>
      </c>
      <c r="V114" s="15" t="s">
        <v>40</v>
      </c>
      <c r="W114" s="15" t="s">
        <v>41</v>
      </c>
      <c r="X114" s="27">
        <v>80.180000000000007</v>
      </c>
      <c r="Y114" s="27">
        <f>Table2[[#This Row],[PREÇO UNITARIO]]*Table2[[#This Row],[QUANTIDADE]]</f>
        <v>240.54000000000002</v>
      </c>
      <c r="Z114" s="15"/>
      <c r="AA114" s="28">
        <f>MONTH(Table2[[#This Row],[DATA PEDIDO HP]])</f>
        <v>2</v>
      </c>
      <c r="AB114" s="32" t="s">
        <v>42</v>
      </c>
      <c r="AC114" s="5">
        <f t="shared" ca="1" si="1"/>
        <v>46232</v>
      </c>
      <c r="AD114" s="331">
        <f ca="1">_xlfn.DAYS(Table2[[#This Row],[HOJE]],Table2[[#This Row],[DATA PEDIDO HP]])</f>
        <v>523</v>
      </c>
      <c r="AE114" s="336" t="s">
        <v>43</v>
      </c>
    </row>
    <row r="115" spans="1:31" ht="14.45" hidden="1">
      <c r="A115" s="269" t="s">
        <v>524</v>
      </c>
      <c r="B115" s="26">
        <v>45709</v>
      </c>
      <c r="C115" s="26">
        <v>45708</v>
      </c>
      <c r="D115" s="14" t="s">
        <v>525</v>
      </c>
      <c r="E115" s="14" t="s">
        <v>85</v>
      </c>
      <c r="F115" s="14" t="s">
        <v>74</v>
      </c>
      <c r="G115" s="14">
        <v>50000260</v>
      </c>
      <c r="H115" s="14" t="s">
        <v>527</v>
      </c>
      <c r="I115" s="14" t="s">
        <v>528</v>
      </c>
      <c r="J115" s="14">
        <v>1</v>
      </c>
      <c r="K115" s="14" t="s">
        <v>37</v>
      </c>
      <c r="L115" s="14" t="s">
        <v>68</v>
      </c>
      <c r="M115" s="14" t="s">
        <v>58</v>
      </c>
      <c r="N115" s="15" t="s">
        <v>58</v>
      </c>
      <c r="O115" s="15">
        <v>1</v>
      </c>
      <c r="P115" s="15"/>
      <c r="Q115" s="15"/>
      <c r="R115" s="15"/>
      <c r="S115" s="25">
        <v>45707</v>
      </c>
      <c r="T115" s="25">
        <v>45755</v>
      </c>
      <c r="U115" s="25">
        <v>45772</v>
      </c>
      <c r="V115" s="15" t="s">
        <v>40</v>
      </c>
      <c r="W115" s="15" t="s">
        <v>41</v>
      </c>
      <c r="X115" s="27">
        <v>273.58</v>
      </c>
      <c r="Y115" s="27">
        <f>Table2[[#This Row],[PREÇO UNITARIO]]*Table2[[#This Row],[QUANTIDADE]]</f>
        <v>273.58</v>
      </c>
      <c r="Z115" s="15"/>
      <c r="AA115" s="28">
        <f>MONTH(Table2[[#This Row],[DATA PEDIDO HP]])</f>
        <v>2</v>
      </c>
      <c r="AB115" s="32" t="s">
        <v>42</v>
      </c>
      <c r="AC115" s="5">
        <f t="shared" ca="1" si="1"/>
        <v>46232</v>
      </c>
      <c r="AD115" s="331">
        <f ca="1">_xlfn.DAYS(Table2[[#This Row],[HOJE]],Table2[[#This Row],[DATA PEDIDO HP]])</f>
        <v>523</v>
      </c>
      <c r="AE115" s="336" t="s">
        <v>43</v>
      </c>
    </row>
    <row r="116" spans="1:31" ht="14.45" hidden="1">
      <c r="A116" s="269" t="s">
        <v>524</v>
      </c>
      <c r="B116" s="26">
        <v>45709</v>
      </c>
      <c r="C116" s="26">
        <v>45708</v>
      </c>
      <c r="D116" s="14" t="s">
        <v>525</v>
      </c>
      <c r="E116" s="14" t="s">
        <v>85</v>
      </c>
      <c r="F116" s="14" t="s">
        <v>74</v>
      </c>
      <c r="G116" s="14">
        <v>50000260</v>
      </c>
      <c r="H116" s="14" t="s">
        <v>529</v>
      </c>
      <c r="I116" s="14" t="s">
        <v>187</v>
      </c>
      <c r="J116" s="14">
        <v>1</v>
      </c>
      <c r="K116" s="14" t="s">
        <v>37</v>
      </c>
      <c r="L116" s="14" t="s">
        <v>68</v>
      </c>
      <c r="M116" s="14" t="s">
        <v>58</v>
      </c>
      <c r="N116" s="15" t="s">
        <v>58</v>
      </c>
      <c r="O116" s="15">
        <v>1</v>
      </c>
      <c r="P116" s="15"/>
      <c r="Q116" s="15"/>
      <c r="R116" s="15"/>
      <c r="S116" s="25">
        <v>45707</v>
      </c>
      <c r="T116" s="25">
        <v>45755</v>
      </c>
      <c r="U116" s="25">
        <v>45772</v>
      </c>
      <c r="V116" s="15" t="s">
        <v>40</v>
      </c>
      <c r="W116" s="15" t="s">
        <v>41</v>
      </c>
      <c r="X116" s="27">
        <v>11.43</v>
      </c>
      <c r="Y116" s="27">
        <f>Table2[[#This Row],[PREÇO UNITARIO]]*Table2[[#This Row],[QUANTIDADE]]</f>
        <v>11.43</v>
      </c>
      <c r="Z116" s="15"/>
      <c r="AA116" s="28">
        <f>MONTH(Table2[[#This Row],[DATA PEDIDO HP]])</f>
        <v>2</v>
      </c>
      <c r="AB116" s="32" t="s">
        <v>42</v>
      </c>
      <c r="AC116" s="5">
        <f t="shared" ca="1" si="1"/>
        <v>46232</v>
      </c>
      <c r="AD116" s="331">
        <f ca="1">_xlfn.DAYS(Table2[[#This Row],[HOJE]],Table2[[#This Row],[DATA PEDIDO HP]])</f>
        <v>523</v>
      </c>
      <c r="AE116" s="336" t="s">
        <v>43</v>
      </c>
    </row>
    <row r="117" spans="1:31" ht="14.45" hidden="1">
      <c r="A117" s="269" t="s">
        <v>524</v>
      </c>
      <c r="B117" s="26">
        <v>45709</v>
      </c>
      <c r="C117" s="26">
        <v>45708</v>
      </c>
      <c r="D117" s="14" t="s">
        <v>525</v>
      </c>
      <c r="E117" s="14" t="s">
        <v>85</v>
      </c>
      <c r="F117" s="14" t="s">
        <v>74</v>
      </c>
      <c r="G117" s="14">
        <v>50000260</v>
      </c>
      <c r="H117" s="14" t="s">
        <v>94</v>
      </c>
      <c r="I117" s="14" t="s">
        <v>530</v>
      </c>
      <c r="J117" s="14">
        <v>3</v>
      </c>
      <c r="K117" s="14" t="s">
        <v>37</v>
      </c>
      <c r="L117" s="14" t="s">
        <v>68</v>
      </c>
      <c r="M117" s="14" t="s">
        <v>58</v>
      </c>
      <c r="N117" s="15" t="s">
        <v>58</v>
      </c>
      <c r="O117" s="15">
        <v>3</v>
      </c>
      <c r="P117" s="15"/>
      <c r="Q117" s="15"/>
      <c r="R117" s="15"/>
      <c r="S117" s="25">
        <v>45707</v>
      </c>
      <c r="T117" s="25">
        <v>45755</v>
      </c>
      <c r="U117" s="25">
        <v>45772</v>
      </c>
      <c r="V117" s="15" t="s">
        <v>40</v>
      </c>
      <c r="W117" s="15" t="s">
        <v>41</v>
      </c>
      <c r="X117" s="27">
        <v>177.88</v>
      </c>
      <c r="Y117" s="27">
        <f>Table2[[#This Row],[PREÇO UNITARIO]]*Table2[[#This Row],[QUANTIDADE]]</f>
        <v>533.64</v>
      </c>
      <c r="Z117" s="15"/>
      <c r="AA117" s="28">
        <f>MONTH(Table2[[#This Row],[DATA PEDIDO HP]])</f>
        <v>2</v>
      </c>
      <c r="AB117" s="32" t="s">
        <v>42</v>
      </c>
      <c r="AC117" s="5">
        <f t="shared" ca="1" si="1"/>
        <v>46232</v>
      </c>
      <c r="AD117" s="331">
        <f ca="1">_xlfn.DAYS(Table2[[#This Row],[HOJE]],Table2[[#This Row],[DATA PEDIDO HP]])</f>
        <v>523</v>
      </c>
      <c r="AE117" s="336" t="s">
        <v>43</v>
      </c>
    </row>
    <row r="118" spans="1:31" ht="14.45" hidden="1">
      <c r="A118" s="269" t="s">
        <v>524</v>
      </c>
      <c r="B118" s="26">
        <v>45709</v>
      </c>
      <c r="C118" s="26">
        <v>45708</v>
      </c>
      <c r="D118" s="14" t="s">
        <v>525</v>
      </c>
      <c r="E118" s="14" t="s">
        <v>85</v>
      </c>
      <c r="F118" s="14" t="s">
        <v>74</v>
      </c>
      <c r="G118" s="14">
        <v>50000260</v>
      </c>
      <c r="H118" s="14" t="s">
        <v>531</v>
      </c>
      <c r="I118" s="14" t="s">
        <v>532</v>
      </c>
      <c r="J118" s="14">
        <v>1</v>
      </c>
      <c r="K118" s="14" t="s">
        <v>67</v>
      </c>
      <c r="L118" s="14" t="s">
        <v>68</v>
      </c>
      <c r="M118" s="14" t="s">
        <v>88</v>
      </c>
      <c r="N118" s="15" t="s">
        <v>89</v>
      </c>
      <c r="O118" s="15">
        <v>0</v>
      </c>
      <c r="P118" s="15"/>
      <c r="Q118" s="15"/>
      <c r="R118" s="15"/>
      <c r="S118" s="25">
        <v>45861</v>
      </c>
      <c r="T118" s="25">
        <v>45838</v>
      </c>
      <c r="U118" s="25">
        <v>45859</v>
      </c>
      <c r="V118" s="15" t="s">
        <v>533</v>
      </c>
      <c r="W118" s="15" t="s">
        <v>41</v>
      </c>
      <c r="X118" s="27">
        <v>24.61</v>
      </c>
      <c r="Y118" s="27">
        <f>Table2[[#This Row],[PREÇO UNITARIO]]*Table2[[#This Row],[QUANTIDADE]]</f>
        <v>24.61</v>
      </c>
      <c r="Z118" s="15"/>
      <c r="AA118" s="28">
        <f>MONTH(Table2[[#This Row],[DATA PEDIDO HP]])</f>
        <v>2</v>
      </c>
      <c r="AB118" s="32" t="s">
        <v>42</v>
      </c>
      <c r="AC118" s="5">
        <f t="shared" ca="1" si="1"/>
        <v>46232</v>
      </c>
      <c r="AD118" s="331">
        <f ca="1">_xlfn.DAYS(Table2[[#This Row],[HOJE]],Table2[[#This Row],[DATA PEDIDO HP]])</f>
        <v>523</v>
      </c>
      <c r="AE118" s="336" t="s">
        <v>43</v>
      </c>
    </row>
    <row r="119" spans="1:31" ht="14.45" hidden="1">
      <c r="A119" s="269" t="s">
        <v>534</v>
      </c>
      <c r="B119" s="25">
        <v>45712</v>
      </c>
      <c r="C119" s="26">
        <v>45709</v>
      </c>
      <c r="D119" s="14" t="s">
        <v>535</v>
      </c>
      <c r="E119" s="14" t="s">
        <v>73</v>
      </c>
      <c r="F119" s="14" t="s">
        <v>34</v>
      </c>
      <c r="G119" s="14">
        <v>50110372</v>
      </c>
      <c r="H119" s="14" t="s">
        <v>536</v>
      </c>
      <c r="I119" s="14" t="s">
        <v>537</v>
      </c>
      <c r="J119" s="14">
        <v>1</v>
      </c>
      <c r="K119" s="14" t="s">
        <v>67</v>
      </c>
      <c r="L119" s="14" t="s">
        <v>68</v>
      </c>
      <c r="M119" s="14" t="s">
        <v>88</v>
      </c>
      <c r="N119" s="15" t="s">
        <v>89</v>
      </c>
      <c r="O119" s="15">
        <v>1</v>
      </c>
      <c r="P119" s="15">
        <v>1</v>
      </c>
      <c r="Q119" s="15"/>
      <c r="R119" s="15"/>
      <c r="S119" s="25"/>
      <c r="T119" s="25">
        <v>45790</v>
      </c>
      <c r="U119" s="25">
        <v>45803</v>
      </c>
      <c r="V119" s="15" t="s">
        <v>69</v>
      </c>
      <c r="W119" s="15" t="s">
        <v>41</v>
      </c>
      <c r="X119" s="27">
        <v>96.11</v>
      </c>
      <c r="Y119" s="27">
        <f>Table2[[#This Row],[PREÇO UNITARIO]]*Table2[[#This Row],[QUANTIDADE]]</f>
        <v>96.11</v>
      </c>
      <c r="Z119" s="15"/>
      <c r="AA119" s="32">
        <f>MONTH(Table2[[#This Row],[DATA PEDIDO HP]])</f>
        <v>2</v>
      </c>
      <c r="AB119" s="32" t="s">
        <v>42</v>
      </c>
      <c r="AC119" s="5">
        <f t="shared" ca="1" si="1"/>
        <v>46232</v>
      </c>
      <c r="AD119" s="331">
        <f ca="1">_xlfn.DAYS(Table2[[#This Row],[HOJE]],Table2[[#This Row],[DATA PEDIDO HP]])</f>
        <v>520</v>
      </c>
      <c r="AE119" s="5" t="s">
        <v>43</v>
      </c>
    </row>
    <row r="120" spans="1:31" ht="14.45" hidden="1">
      <c r="A120" s="269" t="s">
        <v>538</v>
      </c>
      <c r="B120" s="25">
        <v>45712</v>
      </c>
      <c r="C120" s="26">
        <v>45709</v>
      </c>
      <c r="D120" s="14" t="s">
        <v>539</v>
      </c>
      <c r="E120" s="14" t="s">
        <v>63</v>
      </c>
      <c r="F120" s="14" t="s">
        <v>173</v>
      </c>
      <c r="G120" s="14">
        <v>48300301</v>
      </c>
      <c r="H120" s="14" t="s">
        <v>540</v>
      </c>
      <c r="I120" s="14" t="s">
        <v>541</v>
      </c>
      <c r="J120" s="14">
        <v>1</v>
      </c>
      <c r="K120" s="14" t="s">
        <v>37</v>
      </c>
      <c r="L120" s="14" t="s">
        <v>48</v>
      </c>
      <c r="M120" s="14" t="s">
        <v>58</v>
      </c>
      <c r="N120" s="15" t="s">
        <v>58</v>
      </c>
      <c r="O120" s="15">
        <v>1</v>
      </c>
      <c r="P120" s="15"/>
      <c r="Q120" s="15"/>
      <c r="R120" s="15" t="s">
        <v>542</v>
      </c>
      <c r="S120" s="25">
        <v>45680</v>
      </c>
      <c r="T120" s="25">
        <v>45788</v>
      </c>
      <c r="U120" s="25">
        <v>45799</v>
      </c>
      <c r="V120" s="15" t="s">
        <v>506</v>
      </c>
      <c r="W120" s="15" t="s">
        <v>70</v>
      </c>
      <c r="X120" s="27">
        <v>1240.6400000000001</v>
      </c>
      <c r="Y120" s="27">
        <f>Table2[[#This Row],[PREÇO UNITARIO]]*Table2[[#This Row],[QUANTIDADE]]</f>
        <v>1240.6400000000001</v>
      </c>
      <c r="Z120" s="15"/>
      <c r="AA120" s="32">
        <f>MONTH(Table2[[#This Row],[DATA PEDIDO HP]])</f>
        <v>2</v>
      </c>
      <c r="AB120" s="32" t="s">
        <v>60</v>
      </c>
      <c r="AC120" s="5">
        <f t="shared" ca="1" si="1"/>
        <v>46232</v>
      </c>
      <c r="AD120" s="331">
        <f ca="1">_xlfn.DAYS(Table2[[#This Row],[HOJE]],Table2[[#This Row],[DATA PEDIDO HP]])</f>
        <v>520</v>
      </c>
      <c r="AE120" s="336" t="s">
        <v>43</v>
      </c>
    </row>
    <row r="121" spans="1:31" ht="14.45" hidden="1">
      <c r="A121" s="269" t="s">
        <v>543</v>
      </c>
      <c r="B121" s="26">
        <v>45709</v>
      </c>
      <c r="C121" s="26">
        <v>45709</v>
      </c>
      <c r="D121" s="14" t="s">
        <v>544</v>
      </c>
      <c r="E121" s="14" t="s">
        <v>118</v>
      </c>
      <c r="F121" s="14" t="s">
        <v>104</v>
      </c>
      <c r="G121" s="14">
        <v>51000174</v>
      </c>
      <c r="H121" s="14" t="s">
        <v>158</v>
      </c>
      <c r="I121" s="14" t="s">
        <v>159</v>
      </c>
      <c r="J121" s="14">
        <v>1</v>
      </c>
      <c r="K121" s="14" t="s">
        <v>37</v>
      </c>
      <c r="L121" s="14" t="s">
        <v>48</v>
      </c>
      <c r="M121" s="14" t="s">
        <v>58</v>
      </c>
      <c r="N121" s="15" t="s">
        <v>58</v>
      </c>
      <c r="O121" s="15">
        <v>1</v>
      </c>
      <c r="P121" s="15"/>
      <c r="Q121" s="15"/>
      <c r="R121" s="15" t="s">
        <v>545</v>
      </c>
      <c r="S121" s="25">
        <v>45705</v>
      </c>
      <c r="T121" s="25">
        <v>45755</v>
      </c>
      <c r="U121" s="25">
        <v>45772</v>
      </c>
      <c r="V121" s="15" t="s">
        <v>40</v>
      </c>
      <c r="W121" s="15" t="s">
        <v>546</v>
      </c>
      <c r="X121" s="27">
        <v>475.51</v>
      </c>
      <c r="Y121" s="27">
        <f>Table2[[#This Row],[PREÇO UNITARIO]]*Table2[[#This Row],[QUANTIDADE]]</f>
        <v>475.51</v>
      </c>
      <c r="Z121" s="15"/>
      <c r="AA121" s="28">
        <f>MONTH(Table2[[#This Row],[DATA PEDIDO HP]])</f>
        <v>2</v>
      </c>
      <c r="AB121" s="32" t="s">
        <v>60</v>
      </c>
      <c r="AC121" s="5">
        <f t="shared" ca="1" si="1"/>
        <v>46232</v>
      </c>
      <c r="AD121" s="331">
        <f ca="1">_xlfn.DAYS(Table2[[#This Row],[HOJE]],Table2[[#This Row],[DATA PEDIDO HP]])</f>
        <v>523</v>
      </c>
      <c r="AE121" s="336" t="s">
        <v>43</v>
      </c>
    </row>
    <row r="122" spans="1:31" ht="14.45" hidden="1">
      <c r="A122" s="269" t="s">
        <v>547</v>
      </c>
      <c r="B122" s="26">
        <v>45713</v>
      </c>
      <c r="C122" s="26">
        <v>45713</v>
      </c>
      <c r="D122" s="14"/>
      <c r="E122" s="14" t="s">
        <v>192</v>
      </c>
      <c r="F122" s="14" t="s">
        <v>104</v>
      </c>
      <c r="G122" s="14">
        <v>51000129</v>
      </c>
      <c r="H122" s="14"/>
      <c r="I122" s="14"/>
      <c r="J122" s="14">
        <v>1</v>
      </c>
      <c r="K122" s="14"/>
      <c r="L122" s="14"/>
      <c r="M122" s="15" t="s">
        <v>384</v>
      </c>
      <c r="N122" s="15" t="s">
        <v>384</v>
      </c>
      <c r="O122" s="15">
        <v>0</v>
      </c>
      <c r="P122" s="15"/>
      <c r="Q122" s="15"/>
      <c r="R122" s="15"/>
      <c r="S122" s="25"/>
      <c r="T122" s="25"/>
      <c r="U122" s="25"/>
      <c r="V122" s="15"/>
      <c r="W122" s="15"/>
      <c r="X122" s="27"/>
      <c r="Y122" s="27"/>
      <c r="Z122" s="14" t="s">
        <v>548</v>
      </c>
      <c r="AA122" s="28">
        <f>MONTH(Table2[[#This Row],[DATA PEDIDO HP]])</f>
        <v>2</v>
      </c>
      <c r="AB122" s="32"/>
      <c r="AC122" s="5">
        <f t="shared" ca="1" si="1"/>
        <v>46232</v>
      </c>
      <c r="AD122" s="331">
        <f ca="1">_xlfn.DAYS(Table2[[#This Row],[HOJE]],Table2[[#This Row],[DATA PEDIDO HP]])</f>
        <v>519</v>
      </c>
      <c r="AE122" s="5" t="s">
        <v>549</v>
      </c>
    </row>
    <row r="123" spans="1:31" ht="14.45" hidden="1">
      <c r="A123" s="269" t="s">
        <v>550</v>
      </c>
      <c r="B123" s="26">
        <v>45713</v>
      </c>
      <c r="C123" s="26">
        <v>45713</v>
      </c>
      <c r="D123" s="14"/>
      <c r="E123" s="14" t="s">
        <v>381</v>
      </c>
      <c r="F123" s="14"/>
      <c r="G123" s="14"/>
      <c r="H123" s="14"/>
      <c r="I123" s="14"/>
      <c r="J123" s="14">
        <v>2</v>
      </c>
      <c r="K123" s="14"/>
      <c r="L123" s="14"/>
      <c r="M123" s="14" t="s">
        <v>384</v>
      </c>
      <c r="N123" s="14" t="s">
        <v>384</v>
      </c>
      <c r="O123" s="15">
        <v>0</v>
      </c>
      <c r="P123" s="15"/>
      <c r="Q123" s="15"/>
      <c r="R123" s="15"/>
      <c r="S123" s="25"/>
      <c r="T123" s="25">
        <v>45755</v>
      </c>
      <c r="U123" s="25">
        <v>45772</v>
      </c>
      <c r="V123" s="15" t="s">
        <v>40</v>
      </c>
      <c r="W123" s="15"/>
      <c r="X123" s="27"/>
      <c r="Y123" s="27"/>
      <c r="Z123" s="14" t="s">
        <v>551</v>
      </c>
      <c r="AA123" s="28">
        <f>MONTH(Table2[[#This Row],[DATA PEDIDO HP]])</f>
        <v>2</v>
      </c>
      <c r="AB123" s="32"/>
      <c r="AC123" s="5">
        <f t="shared" ca="1" si="1"/>
        <v>46232</v>
      </c>
      <c r="AD123" s="331">
        <f ca="1">_xlfn.DAYS(Table2[[#This Row],[HOJE]],Table2[[#This Row],[DATA PEDIDO HP]])</f>
        <v>519</v>
      </c>
      <c r="AE123" s="5" t="s">
        <v>43</v>
      </c>
    </row>
    <row r="124" spans="1:31" ht="14.45" hidden="1">
      <c r="A124" s="269" t="s">
        <v>552</v>
      </c>
      <c r="B124" s="26">
        <v>45714</v>
      </c>
      <c r="C124" s="26">
        <v>45713</v>
      </c>
      <c r="D124" s="14" t="s">
        <v>553</v>
      </c>
      <c r="E124" s="14" t="s">
        <v>79</v>
      </c>
      <c r="F124" s="14" t="s">
        <v>74</v>
      </c>
      <c r="G124" s="14">
        <v>50000530</v>
      </c>
      <c r="H124" s="14" t="s">
        <v>75</v>
      </c>
      <c r="I124" s="14" t="s">
        <v>76</v>
      </c>
      <c r="J124" s="14">
        <v>1</v>
      </c>
      <c r="K124" s="14" t="s">
        <v>37</v>
      </c>
      <c r="L124" s="14" t="s">
        <v>217</v>
      </c>
      <c r="M124" s="14" t="s">
        <v>58</v>
      </c>
      <c r="N124" s="15" t="s">
        <v>58</v>
      </c>
      <c r="O124" s="15">
        <v>1</v>
      </c>
      <c r="P124" s="15"/>
      <c r="Q124" s="15"/>
      <c r="R124" s="15"/>
      <c r="S124" s="25">
        <v>45712</v>
      </c>
      <c r="T124" s="25">
        <v>45755</v>
      </c>
      <c r="U124" s="25">
        <v>45772</v>
      </c>
      <c r="V124" s="15" t="s">
        <v>40</v>
      </c>
      <c r="W124" s="15" t="s">
        <v>554</v>
      </c>
      <c r="X124" s="27">
        <v>1187.4100000000001</v>
      </c>
      <c r="Y124" s="27">
        <f>Table2[[#This Row],[PREÇO UNITARIO]]*Table2[[#This Row],[QUANTIDADE]]</f>
        <v>1187.4100000000001</v>
      </c>
      <c r="Z124" s="15"/>
      <c r="AA124" s="28">
        <f>MONTH(Table2[[#This Row],[DATA PEDIDO HP]])</f>
        <v>2</v>
      </c>
      <c r="AB124" s="32" t="s">
        <v>60</v>
      </c>
      <c r="AC124" s="5">
        <f t="shared" ca="1" si="1"/>
        <v>46232</v>
      </c>
      <c r="AD124" s="331">
        <f ca="1">_xlfn.DAYS(Table2[[#This Row],[HOJE]],Table2[[#This Row],[DATA PEDIDO HP]])</f>
        <v>518</v>
      </c>
      <c r="AE124" s="336" t="s">
        <v>43</v>
      </c>
    </row>
    <row r="125" spans="1:31" ht="14.45" hidden="1">
      <c r="A125" s="269" t="s">
        <v>555</v>
      </c>
      <c r="B125" s="26">
        <v>45714</v>
      </c>
      <c r="C125" s="26">
        <v>45713</v>
      </c>
      <c r="D125" s="14" t="s">
        <v>556</v>
      </c>
      <c r="E125" s="14" t="s">
        <v>33</v>
      </c>
      <c r="F125" s="14" t="s">
        <v>34</v>
      </c>
      <c r="G125" s="14">
        <v>50110193</v>
      </c>
      <c r="H125" s="14" t="s">
        <v>215</v>
      </c>
      <c r="I125" s="14" t="s">
        <v>557</v>
      </c>
      <c r="J125" s="14">
        <v>1</v>
      </c>
      <c r="K125" s="14" t="s">
        <v>37</v>
      </c>
      <c r="L125" s="14" t="s">
        <v>217</v>
      </c>
      <c r="M125" s="14" t="s">
        <v>39</v>
      </c>
      <c r="N125" s="14" t="s">
        <v>39</v>
      </c>
      <c r="O125" s="15">
        <v>1</v>
      </c>
      <c r="P125" s="15"/>
      <c r="Q125" s="15"/>
      <c r="R125" s="15" t="s">
        <v>218</v>
      </c>
      <c r="S125" s="25">
        <v>45783</v>
      </c>
      <c r="T125" s="25">
        <v>45755</v>
      </c>
      <c r="U125" s="25">
        <v>45772</v>
      </c>
      <c r="V125" s="15" t="s">
        <v>40</v>
      </c>
      <c r="W125" s="15" t="s">
        <v>41</v>
      </c>
      <c r="X125" s="27">
        <v>22.54</v>
      </c>
      <c r="Y125" s="27">
        <f>Table2[[#This Row],[PREÇO UNITARIO]]*Table2[[#This Row],[QUANTIDADE]]</f>
        <v>22.54</v>
      </c>
      <c r="Z125" s="15" t="s">
        <v>264</v>
      </c>
      <c r="AA125" s="28">
        <f>MONTH(Table2[[#This Row],[DATA PEDIDO HP]])</f>
        <v>2</v>
      </c>
      <c r="AB125" s="32" t="s">
        <v>42</v>
      </c>
      <c r="AC125" s="5">
        <f t="shared" ca="1" si="1"/>
        <v>46232</v>
      </c>
      <c r="AD125" s="331">
        <f ca="1">_xlfn.DAYS(Table2[[#This Row],[HOJE]],Table2[[#This Row],[DATA PEDIDO HP]])</f>
        <v>518</v>
      </c>
      <c r="AE125" s="336" t="s">
        <v>43</v>
      </c>
    </row>
    <row r="126" spans="1:31" ht="14.45" hidden="1">
      <c r="A126" s="269" t="s">
        <v>558</v>
      </c>
      <c r="B126" s="26">
        <v>45714</v>
      </c>
      <c r="C126" s="26">
        <v>45713</v>
      </c>
      <c r="D126" s="14" t="s">
        <v>559</v>
      </c>
      <c r="E126" s="14" t="s">
        <v>109</v>
      </c>
      <c r="F126" s="14" t="s">
        <v>34</v>
      </c>
      <c r="G126" s="14">
        <v>50110229</v>
      </c>
      <c r="H126" s="14" t="s">
        <v>215</v>
      </c>
      <c r="I126" s="14" t="s">
        <v>557</v>
      </c>
      <c r="J126" s="14">
        <v>1</v>
      </c>
      <c r="K126" s="14" t="s">
        <v>37</v>
      </c>
      <c r="L126" s="14" t="s">
        <v>217</v>
      </c>
      <c r="M126" s="14" t="s">
        <v>39</v>
      </c>
      <c r="N126" s="14" t="s">
        <v>39</v>
      </c>
      <c r="O126" s="15">
        <v>1</v>
      </c>
      <c r="P126" s="15"/>
      <c r="Q126" s="15"/>
      <c r="R126" s="15" t="s">
        <v>218</v>
      </c>
      <c r="S126" s="25">
        <v>45785</v>
      </c>
      <c r="T126" s="25">
        <v>45755</v>
      </c>
      <c r="U126" s="25">
        <v>45772</v>
      </c>
      <c r="V126" s="15" t="s">
        <v>40</v>
      </c>
      <c r="W126" s="15" t="s">
        <v>41</v>
      </c>
      <c r="X126" s="27">
        <v>22.54</v>
      </c>
      <c r="Y126" s="27">
        <f>Table2[[#This Row],[PREÇO UNITARIO]]*Table2[[#This Row],[QUANTIDADE]]</f>
        <v>22.54</v>
      </c>
      <c r="Z126" s="15"/>
      <c r="AA126" s="28">
        <f>MONTH(Table2[[#This Row],[DATA PEDIDO HP]])</f>
        <v>2</v>
      </c>
      <c r="AB126" s="32" t="s">
        <v>42</v>
      </c>
      <c r="AC126" s="5">
        <f t="shared" ca="1" si="1"/>
        <v>46232</v>
      </c>
      <c r="AD126" s="331">
        <f ca="1">_xlfn.DAYS(Table2[[#This Row],[HOJE]],Table2[[#This Row],[DATA PEDIDO HP]])</f>
        <v>518</v>
      </c>
      <c r="AE126" s="336" t="s">
        <v>43</v>
      </c>
    </row>
    <row r="127" spans="1:31" ht="14.45" hidden="1">
      <c r="A127" s="269" t="s">
        <v>560</v>
      </c>
      <c r="B127" s="26">
        <v>45714</v>
      </c>
      <c r="C127" s="26">
        <v>45713</v>
      </c>
      <c r="D127" s="14" t="s">
        <v>561</v>
      </c>
      <c r="E127" s="14" t="s">
        <v>73</v>
      </c>
      <c r="F127" s="14" t="s">
        <v>203</v>
      </c>
      <c r="G127" s="14" t="s">
        <v>562</v>
      </c>
      <c r="H127" s="14" t="s">
        <v>521</v>
      </c>
      <c r="I127" s="14" t="s">
        <v>522</v>
      </c>
      <c r="J127" s="14">
        <v>1</v>
      </c>
      <c r="K127" s="14" t="s">
        <v>67</v>
      </c>
      <c r="L127" s="14" t="s">
        <v>346</v>
      </c>
      <c r="M127" s="15" t="s">
        <v>384</v>
      </c>
      <c r="N127" s="15" t="s">
        <v>384</v>
      </c>
      <c r="O127" s="15">
        <v>0</v>
      </c>
      <c r="P127" s="15"/>
      <c r="Q127" s="15"/>
      <c r="R127" s="15"/>
      <c r="S127" s="25"/>
      <c r="T127" s="25">
        <v>45729</v>
      </c>
      <c r="U127" s="25">
        <v>45735</v>
      </c>
      <c r="V127" s="15" t="s">
        <v>523</v>
      </c>
      <c r="W127" s="15" t="s">
        <v>41</v>
      </c>
      <c r="X127" s="27">
        <v>2531.29</v>
      </c>
      <c r="Y127" s="27">
        <f>Table2[[#This Row],[PREÇO UNITARIO]]*Table2[[#This Row],[QUANTIDADE]]</f>
        <v>2531.29</v>
      </c>
      <c r="Z127" s="15"/>
      <c r="AA127" s="28">
        <f>MONTH(Table2[[#This Row],[DATA PEDIDO HP]])</f>
        <v>2</v>
      </c>
      <c r="AB127" s="32"/>
      <c r="AC127" s="5">
        <f t="shared" ca="1" si="1"/>
        <v>46232</v>
      </c>
      <c r="AD127" s="331">
        <f ca="1">_xlfn.DAYS(Table2[[#This Row],[HOJE]],Table2[[#This Row],[DATA PEDIDO HP]])</f>
        <v>518</v>
      </c>
      <c r="AE127" s="5" t="s">
        <v>43</v>
      </c>
    </row>
    <row r="128" spans="1:31" ht="14.45" hidden="1">
      <c r="A128" s="269" t="s">
        <v>563</v>
      </c>
      <c r="B128" s="26">
        <v>45714</v>
      </c>
      <c r="C128" s="26">
        <v>45714</v>
      </c>
      <c r="D128" s="14" t="s">
        <v>564</v>
      </c>
      <c r="E128" s="14" t="s">
        <v>73</v>
      </c>
      <c r="F128" s="14" t="s">
        <v>34</v>
      </c>
      <c r="G128" s="14">
        <v>50110372</v>
      </c>
      <c r="H128" s="14" t="s">
        <v>215</v>
      </c>
      <c r="I128" s="14" t="s">
        <v>557</v>
      </c>
      <c r="J128" s="14">
        <v>1</v>
      </c>
      <c r="K128" s="14" t="s">
        <v>37</v>
      </c>
      <c r="L128" s="14" t="s">
        <v>217</v>
      </c>
      <c r="M128" s="14" t="s">
        <v>39</v>
      </c>
      <c r="N128" s="14" t="s">
        <v>39</v>
      </c>
      <c r="O128" s="15">
        <v>1</v>
      </c>
      <c r="P128" s="15"/>
      <c r="Q128" s="15"/>
      <c r="R128" s="15" t="s">
        <v>218</v>
      </c>
      <c r="S128" s="25">
        <v>45783</v>
      </c>
      <c r="T128" s="25">
        <v>45755</v>
      </c>
      <c r="U128" s="25">
        <v>45772</v>
      </c>
      <c r="V128" s="15" t="s">
        <v>40</v>
      </c>
      <c r="W128" s="15" t="s">
        <v>41</v>
      </c>
      <c r="X128" s="27">
        <v>22.54</v>
      </c>
      <c r="Y128" s="27">
        <f>Table2[[#This Row],[PREÇO UNITARIO]]*Table2[[#This Row],[QUANTIDADE]]</f>
        <v>22.54</v>
      </c>
      <c r="Z128" s="15"/>
      <c r="AA128" s="28">
        <f>MONTH(Table2[[#This Row],[DATA PEDIDO HP]])</f>
        <v>2</v>
      </c>
      <c r="AB128" s="32" t="s">
        <v>42</v>
      </c>
      <c r="AC128" s="5">
        <f t="shared" ca="1" si="1"/>
        <v>46232</v>
      </c>
      <c r="AD128" s="331">
        <f ca="1">_xlfn.DAYS(Table2[[#This Row],[HOJE]],Table2[[#This Row],[DATA PEDIDO HP]])</f>
        <v>518</v>
      </c>
      <c r="AE128" s="336" t="s">
        <v>43</v>
      </c>
    </row>
    <row r="129" spans="1:31" ht="14.45" hidden="1">
      <c r="A129" s="269" t="s">
        <v>565</v>
      </c>
      <c r="B129" s="26">
        <v>45714</v>
      </c>
      <c r="C129" s="26">
        <v>45713</v>
      </c>
      <c r="D129" s="14" t="s">
        <v>566</v>
      </c>
      <c r="E129" s="14" t="s">
        <v>202</v>
      </c>
      <c r="F129" s="14" t="s">
        <v>203</v>
      </c>
      <c r="G129" s="14">
        <v>60002072</v>
      </c>
      <c r="H129" s="14" t="s">
        <v>350</v>
      </c>
      <c r="I129" s="14" t="s">
        <v>351</v>
      </c>
      <c r="J129" s="14">
        <v>1</v>
      </c>
      <c r="K129" s="14" t="s">
        <v>67</v>
      </c>
      <c r="L129" s="14" t="s">
        <v>346</v>
      </c>
      <c r="M129" s="14" t="s">
        <v>58</v>
      </c>
      <c r="N129" s="15" t="s">
        <v>58</v>
      </c>
      <c r="O129" s="15">
        <v>1</v>
      </c>
      <c r="P129" s="15"/>
      <c r="Q129" s="15"/>
      <c r="R129" s="15"/>
      <c r="S129" s="25">
        <v>45713</v>
      </c>
      <c r="T129" s="25">
        <v>45755</v>
      </c>
      <c r="U129" s="25">
        <v>45772</v>
      </c>
      <c r="V129" s="15" t="s">
        <v>40</v>
      </c>
      <c r="W129" s="15"/>
      <c r="X129" s="27">
        <v>886.36</v>
      </c>
      <c r="Y129" s="27">
        <f>Table2[[#This Row],[PREÇO UNITARIO]]*Table2[[#This Row],[QUANTIDADE]]</f>
        <v>886.36</v>
      </c>
      <c r="Z129" s="15"/>
      <c r="AA129" s="28">
        <f>MONTH(Table2[[#This Row],[DATA PEDIDO HP]])</f>
        <v>2</v>
      </c>
      <c r="AB129" s="32" t="s">
        <v>60</v>
      </c>
      <c r="AC129" s="5">
        <f t="shared" ca="1" si="1"/>
        <v>46232</v>
      </c>
      <c r="AD129" s="331">
        <f ca="1">_xlfn.DAYS(Table2[[#This Row],[HOJE]],Table2[[#This Row],[DATA PEDIDO HP]])</f>
        <v>518</v>
      </c>
      <c r="AE129" s="336" t="s">
        <v>43</v>
      </c>
    </row>
    <row r="130" spans="1:31" ht="14.45" hidden="1">
      <c r="A130" s="269" t="s">
        <v>567</v>
      </c>
      <c r="B130" s="26">
        <v>45714</v>
      </c>
      <c r="C130" s="26">
        <v>45714</v>
      </c>
      <c r="D130" s="14" t="s">
        <v>568</v>
      </c>
      <c r="E130" s="14" t="s">
        <v>569</v>
      </c>
      <c r="F130" s="14" t="s">
        <v>55</v>
      </c>
      <c r="G130" s="14">
        <v>44000058</v>
      </c>
      <c r="H130" s="14" t="s">
        <v>570</v>
      </c>
      <c r="I130" s="14" t="s">
        <v>571</v>
      </c>
      <c r="J130" s="14">
        <v>1</v>
      </c>
      <c r="K130" s="14" t="s">
        <v>37</v>
      </c>
      <c r="L130" s="14" t="s">
        <v>217</v>
      </c>
      <c r="M130" s="15" t="s">
        <v>58</v>
      </c>
      <c r="N130" s="15" t="s">
        <v>58</v>
      </c>
      <c r="O130" s="15">
        <v>1</v>
      </c>
      <c r="P130" s="15"/>
      <c r="Q130" s="15"/>
      <c r="R130" s="15" t="s">
        <v>572</v>
      </c>
      <c r="S130" s="25">
        <v>45714</v>
      </c>
      <c r="T130" s="25">
        <v>45755</v>
      </c>
      <c r="U130" s="25">
        <v>45772</v>
      </c>
      <c r="V130" s="15" t="s">
        <v>40</v>
      </c>
      <c r="W130" s="15" t="s">
        <v>573</v>
      </c>
      <c r="X130" s="27">
        <v>966.08</v>
      </c>
      <c r="Y130" s="27">
        <f>Table2[[#This Row],[PREÇO UNITARIO]]*Table2[[#This Row],[QUANTIDADE]]</f>
        <v>966.08</v>
      </c>
      <c r="Z130" s="15"/>
      <c r="AA130" s="28">
        <f>MONTH(Table2[[#This Row],[DATA PEDIDO HP]])</f>
        <v>2</v>
      </c>
      <c r="AB130" s="32" t="s">
        <v>60</v>
      </c>
      <c r="AC130" s="5">
        <f t="shared" ref="AC130:AC193" ca="1" si="2">TODAY()</f>
        <v>46232</v>
      </c>
      <c r="AD130" s="331">
        <f ca="1">_xlfn.DAYS(Table2[[#This Row],[HOJE]],Table2[[#This Row],[DATA PEDIDO HP]])</f>
        <v>518</v>
      </c>
      <c r="AE130" s="336" t="s">
        <v>43</v>
      </c>
    </row>
    <row r="131" spans="1:31" ht="14.45" hidden="1">
      <c r="A131" s="269" t="s">
        <v>567</v>
      </c>
      <c r="B131" s="26">
        <v>45714</v>
      </c>
      <c r="C131" s="26">
        <v>45714</v>
      </c>
      <c r="D131" s="14" t="s">
        <v>568</v>
      </c>
      <c r="E131" s="14" t="s">
        <v>569</v>
      </c>
      <c r="F131" s="14" t="s">
        <v>55</v>
      </c>
      <c r="G131" s="14">
        <v>44000058</v>
      </c>
      <c r="H131" s="14" t="s">
        <v>574</v>
      </c>
      <c r="I131" s="14" t="s">
        <v>575</v>
      </c>
      <c r="J131" s="14">
        <v>1</v>
      </c>
      <c r="K131" s="14" t="s">
        <v>37</v>
      </c>
      <c r="L131" s="14" t="s">
        <v>217</v>
      </c>
      <c r="M131" s="15" t="s">
        <v>58</v>
      </c>
      <c r="N131" s="15" t="s">
        <v>58</v>
      </c>
      <c r="O131" s="15">
        <v>1</v>
      </c>
      <c r="P131" s="15"/>
      <c r="Q131" s="15"/>
      <c r="R131" s="15"/>
      <c r="S131" s="25">
        <v>45714</v>
      </c>
      <c r="T131" s="25">
        <v>45755</v>
      </c>
      <c r="U131" s="25">
        <v>45772</v>
      </c>
      <c r="V131" s="15" t="s">
        <v>40</v>
      </c>
      <c r="W131" s="15" t="s">
        <v>573</v>
      </c>
      <c r="X131" s="27">
        <v>1323.87</v>
      </c>
      <c r="Y131" s="27">
        <f>Table2[[#This Row],[PREÇO UNITARIO]]*Table2[[#This Row],[QUANTIDADE]]</f>
        <v>1323.87</v>
      </c>
      <c r="Z131" s="15"/>
      <c r="AA131" s="28">
        <f>MONTH(Table2[[#This Row],[DATA PEDIDO HP]])</f>
        <v>2</v>
      </c>
      <c r="AB131" s="32" t="s">
        <v>60</v>
      </c>
      <c r="AC131" s="5">
        <f t="shared" ca="1" si="2"/>
        <v>46232</v>
      </c>
      <c r="AD131" s="331">
        <f ca="1">_xlfn.DAYS(Table2[[#This Row],[HOJE]],Table2[[#This Row],[DATA PEDIDO HP]])</f>
        <v>518</v>
      </c>
      <c r="AE131" s="336" t="s">
        <v>43</v>
      </c>
    </row>
    <row r="132" spans="1:31" ht="14.45" hidden="1">
      <c r="A132" s="269" t="s">
        <v>576</v>
      </c>
      <c r="B132" s="26">
        <v>45714</v>
      </c>
      <c r="C132" s="26">
        <v>45714</v>
      </c>
      <c r="D132" s="14" t="s">
        <v>577</v>
      </c>
      <c r="E132" s="14" t="s">
        <v>73</v>
      </c>
      <c r="F132" s="14" t="s">
        <v>203</v>
      </c>
      <c r="G132" s="14">
        <v>60002095</v>
      </c>
      <c r="H132" s="14" t="s">
        <v>578</v>
      </c>
      <c r="I132" s="14" t="s">
        <v>579</v>
      </c>
      <c r="J132" s="14">
        <v>1</v>
      </c>
      <c r="K132" s="14" t="s">
        <v>37</v>
      </c>
      <c r="L132" s="14" t="s">
        <v>68</v>
      </c>
      <c r="M132" s="15" t="s">
        <v>89</v>
      </c>
      <c r="N132" s="15" t="s">
        <v>89</v>
      </c>
      <c r="O132" s="15">
        <v>0</v>
      </c>
      <c r="P132" s="15"/>
      <c r="Q132" s="15"/>
      <c r="R132" s="15" t="s">
        <v>580</v>
      </c>
      <c r="S132" s="25">
        <v>45783</v>
      </c>
      <c r="T132" s="25">
        <v>45755</v>
      </c>
      <c r="U132" s="25">
        <v>45772</v>
      </c>
      <c r="V132" s="15" t="s">
        <v>40</v>
      </c>
      <c r="W132" s="15" t="s">
        <v>41</v>
      </c>
      <c r="X132" s="27">
        <v>4432.21</v>
      </c>
      <c r="Y132" s="27">
        <f>Table2[[#This Row],[PREÇO UNITARIO]]*Table2[[#This Row],[QUANTIDADE]]</f>
        <v>4432.21</v>
      </c>
      <c r="Z132" s="15"/>
      <c r="AA132" s="28">
        <f>MONTH(Table2[[#This Row],[DATA PEDIDO HP]])</f>
        <v>2</v>
      </c>
      <c r="AB132" s="32" t="s">
        <v>42</v>
      </c>
      <c r="AC132" s="5">
        <f t="shared" ca="1" si="2"/>
        <v>46232</v>
      </c>
      <c r="AD132" s="331">
        <f ca="1">_xlfn.DAYS(Table2[[#This Row],[HOJE]],Table2[[#This Row],[DATA PEDIDO HP]])</f>
        <v>518</v>
      </c>
      <c r="AE132" s="336" t="s">
        <v>43</v>
      </c>
    </row>
    <row r="133" spans="1:31" ht="14.45" hidden="1">
      <c r="A133" s="269" t="s">
        <v>581</v>
      </c>
      <c r="B133" s="26">
        <v>45714</v>
      </c>
      <c r="C133" s="26">
        <v>45714</v>
      </c>
      <c r="D133" s="14" t="s">
        <v>582</v>
      </c>
      <c r="E133" s="14" t="s">
        <v>73</v>
      </c>
      <c r="F133" s="14" t="s">
        <v>203</v>
      </c>
      <c r="G133" s="14">
        <v>60002095</v>
      </c>
      <c r="H133" s="14" t="s">
        <v>583</v>
      </c>
      <c r="I133" s="14" t="s">
        <v>584</v>
      </c>
      <c r="J133" s="14">
        <v>1</v>
      </c>
      <c r="K133" s="14" t="s">
        <v>67</v>
      </c>
      <c r="L133" s="14" t="s">
        <v>68</v>
      </c>
      <c r="M133" s="15" t="s">
        <v>89</v>
      </c>
      <c r="N133" s="15" t="s">
        <v>89</v>
      </c>
      <c r="O133" s="15">
        <v>0</v>
      </c>
      <c r="P133" s="15">
        <v>1</v>
      </c>
      <c r="Q133" s="15"/>
      <c r="R133" s="15"/>
      <c r="S133" s="25">
        <v>45813</v>
      </c>
      <c r="T133" s="25">
        <v>45788</v>
      </c>
      <c r="U133" s="25">
        <v>45799</v>
      </c>
      <c r="V133" s="15" t="s">
        <v>506</v>
      </c>
      <c r="W133" s="15"/>
      <c r="X133" s="27">
        <v>1842.13</v>
      </c>
      <c r="Y133" s="27">
        <f>Table2[[#This Row],[PREÇO UNITARIO]]*Table2[[#This Row],[QUANTIDADE]]</f>
        <v>1842.13</v>
      </c>
      <c r="Z133" s="15"/>
      <c r="AA133" s="32">
        <f>MONTH(Table2[[#This Row],[DATA PEDIDO HP]])</f>
        <v>2</v>
      </c>
      <c r="AB133" s="32" t="s">
        <v>42</v>
      </c>
      <c r="AC133" s="5">
        <f t="shared" ca="1" si="2"/>
        <v>46232</v>
      </c>
      <c r="AD133" s="331">
        <f ca="1">_xlfn.DAYS(Table2[[#This Row],[HOJE]],Table2[[#This Row],[DATA PEDIDO HP]])</f>
        <v>518</v>
      </c>
      <c r="AE133" s="336" t="s">
        <v>43</v>
      </c>
    </row>
    <row r="134" spans="1:31" ht="14.45" hidden="1">
      <c r="A134" s="269" t="s">
        <v>581</v>
      </c>
      <c r="B134" s="26">
        <v>45714</v>
      </c>
      <c r="C134" s="26">
        <v>45714</v>
      </c>
      <c r="D134" s="14" t="s">
        <v>582</v>
      </c>
      <c r="E134" s="14" t="s">
        <v>73</v>
      </c>
      <c r="F134" s="14" t="s">
        <v>203</v>
      </c>
      <c r="G134" s="14">
        <v>60002095</v>
      </c>
      <c r="H134" s="14" t="s">
        <v>585</v>
      </c>
      <c r="I134" s="14" t="s">
        <v>586</v>
      </c>
      <c r="J134" s="14">
        <v>10</v>
      </c>
      <c r="K134" s="14" t="s">
        <v>67</v>
      </c>
      <c r="L134" s="14" t="s">
        <v>68</v>
      </c>
      <c r="M134" s="15"/>
      <c r="N134" s="15" t="s">
        <v>89</v>
      </c>
      <c r="O134" s="15">
        <v>0</v>
      </c>
      <c r="P134" s="15">
        <v>1</v>
      </c>
      <c r="Q134" s="15"/>
      <c r="R134" s="15"/>
      <c r="S134" s="25">
        <v>45783</v>
      </c>
      <c r="T134" s="25">
        <v>45755</v>
      </c>
      <c r="U134" s="25">
        <v>45772</v>
      </c>
      <c r="V134" s="15" t="s">
        <v>40</v>
      </c>
      <c r="W134" s="15"/>
      <c r="X134" s="27">
        <v>65.319999999999993</v>
      </c>
      <c r="Y134" s="27">
        <f>Table2[[#This Row],[PREÇO UNITARIO]]*Table2[[#This Row],[QUANTIDADE]]</f>
        <v>653.19999999999993</v>
      </c>
      <c r="Z134" s="15"/>
      <c r="AA134" s="32">
        <f>MONTH(Table2[[#This Row],[DATA PEDIDO HP]])</f>
        <v>2</v>
      </c>
      <c r="AB134" s="32" t="s">
        <v>42</v>
      </c>
      <c r="AC134" s="5">
        <f t="shared" ca="1" si="2"/>
        <v>46232</v>
      </c>
      <c r="AD134" s="331">
        <f ca="1">_xlfn.DAYS(Table2[[#This Row],[HOJE]],Table2[[#This Row],[DATA PEDIDO HP]])</f>
        <v>518</v>
      </c>
      <c r="AE134" s="336" t="s">
        <v>43</v>
      </c>
    </row>
    <row r="135" spans="1:31" ht="14.45" hidden="1">
      <c r="A135" s="269" t="s">
        <v>587</v>
      </c>
      <c r="B135" s="26">
        <v>45715</v>
      </c>
      <c r="C135" s="26">
        <v>45714</v>
      </c>
      <c r="D135" s="14" t="s">
        <v>588</v>
      </c>
      <c r="E135" s="14" t="s">
        <v>103</v>
      </c>
      <c r="F135" s="14" t="s">
        <v>104</v>
      </c>
      <c r="G135" s="14">
        <v>51000136</v>
      </c>
      <c r="H135" s="14" t="s">
        <v>589</v>
      </c>
      <c r="I135" s="14" t="s">
        <v>590</v>
      </c>
      <c r="J135" s="14">
        <v>1</v>
      </c>
      <c r="K135" s="14" t="s">
        <v>37</v>
      </c>
      <c r="L135" s="14" t="s">
        <v>217</v>
      </c>
      <c r="M135" s="15" t="s">
        <v>89</v>
      </c>
      <c r="N135" s="15" t="s">
        <v>39</v>
      </c>
      <c r="O135" s="15">
        <v>1</v>
      </c>
      <c r="P135" s="15"/>
      <c r="Q135" s="15"/>
      <c r="R135" s="15"/>
      <c r="S135" s="25">
        <v>45783</v>
      </c>
      <c r="T135" s="25">
        <v>45755</v>
      </c>
      <c r="U135" s="25">
        <v>45772</v>
      </c>
      <c r="V135" s="15" t="s">
        <v>40</v>
      </c>
      <c r="W135" s="15" t="s">
        <v>41</v>
      </c>
      <c r="X135" s="27">
        <v>1207.54</v>
      </c>
      <c r="Y135" s="27">
        <f>Table2[[#This Row],[PREÇO UNITARIO]]*Table2[[#This Row],[QUANTIDADE]]</f>
        <v>1207.54</v>
      </c>
      <c r="Z135" s="15"/>
      <c r="AA135" s="28">
        <f>MONTH(Table2[[#This Row],[DATA PEDIDO HP]])</f>
        <v>2</v>
      </c>
      <c r="AB135" s="32" t="s">
        <v>42</v>
      </c>
      <c r="AC135" s="5">
        <f t="shared" ca="1" si="2"/>
        <v>46232</v>
      </c>
      <c r="AD135" s="331">
        <f ca="1">_xlfn.DAYS(Table2[[#This Row],[HOJE]],Table2[[#This Row],[DATA PEDIDO HP]])</f>
        <v>517</v>
      </c>
      <c r="AE135" s="336" t="s">
        <v>43</v>
      </c>
    </row>
    <row r="136" spans="1:31" ht="14.45" hidden="1">
      <c r="A136" s="269" t="s">
        <v>587</v>
      </c>
      <c r="B136" s="26">
        <v>45715</v>
      </c>
      <c r="C136" s="26">
        <v>45714</v>
      </c>
      <c r="D136" s="14" t="s">
        <v>588</v>
      </c>
      <c r="E136" s="14" t="s">
        <v>103</v>
      </c>
      <c r="F136" s="14" t="s">
        <v>104</v>
      </c>
      <c r="G136" s="14">
        <v>51000136</v>
      </c>
      <c r="H136" s="14" t="s">
        <v>591</v>
      </c>
      <c r="I136" s="14" t="s">
        <v>592</v>
      </c>
      <c r="J136" s="14">
        <v>1</v>
      </c>
      <c r="K136" s="14" t="s">
        <v>37</v>
      </c>
      <c r="L136" s="14" t="s">
        <v>217</v>
      </c>
      <c r="M136" s="15" t="s">
        <v>58</v>
      </c>
      <c r="N136" s="15" t="s">
        <v>89</v>
      </c>
      <c r="O136" s="15">
        <v>0</v>
      </c>
      <c r="P136" s="15"/>
      <c r="Q136" s="15"/>
      <c r="R136" s="15" t="s">
        <v>165</v>
      </c>
      <c r="S136" s="25">
        <v>45783</v>
      </c>
      <c r="T136" s="25">
        <v>45755</v>
      </c>
      <c r="U136" s="25">
        <v>45772</v>
      </c>
      <c r="V136" s="15" t="s">
        <v>40</v>
      </c>
      <c r="W136" s="15" t="s">
        <v>41</v>
      </c>
      <c r="X136" s="27">
        <v>354.38</v>
      </c>
      <c r="Y136" s="27">
        <f>Table2[[#This Row],[PREÇO UNITARIO]]*Table2[[#This Row],[QUANTIDADE]]</f>
        <v>354.38</v>
      </c>
      <c r="Z136" s="15"/>
      <c r="AA136" s="28">
        <f>MONTH(Table2[[#This Row],[DATA PEDIDO HP]])</f>
        <v>2</v>
      </c>
      <c r="AB136" s="32" t="s">
        <v>42</v>
      </c>
      <c r="AC136" s="5">
        <f t="shared" ca="1" si="2"/>
        <v>46232</v>
      </c>
      <c r="AD136" s="331">
        <f ca="1">_xlfn.DAYS(Table2[[#This Row],[HOJE]],Table2[[#This Row],[DATA PEDIDO HP]])</f>
        <v>517</v>
      </c>
      <c r="AE136" s="336" t="s">
        <v>43</v>
      </c>
    </row>
    <row r="137" spans="1:31" ht="14.45" hidden="1">
      <c r="A137" s="269" t="s">
        <v>587</v>
      </c>
      <c r="B137" s="26">
        <v>45715</v>
      </c>
      <c r="C137" s="26">
        <v>45714</v>
      </c>
      <c r="D137" s="14" t="s">
        <v>588</v>
      </c>
      <c r="E137" s="14" t="s">
        <v>103</v>
      </c>
      <c r="F137" s="14" t="s">
        <v>104</v>
      </c>
      <c r="G137" s="14">
        <v>51000136</v>
      </c>
      <c r="H137" s="14" t="s">
        <v>593</v>
      </c>
      <c r="I137" s="14" t="s">
        <v>594</v>
      </c>
      <c r="J137" s="14">
        <v>1</v>
      </c>
      <c r="K137" s="14" t="s">
        <v>37</v>
      </c>
      <c r="L137" s="14" t="s">
        <v>217</v>
      </c>
      <c r="M137" s="15" t="s">
        <v>58</v>
      </c>
      <c r="N137" s="15" t="s">
        <v>39</v>
      </c>
      <c r="O137" s="15">
        <v>1</v>
      </c>
      <c r="P137" s="15"/>
      <c r="Q137" s="15"/>
      <c r="R137" s="15"/>
      <c r="S137" s="25">
        <v>45807</v>
      </c>
      <c r="T137" s="25">
        <v>45788</v>
      </c>
      <c r="U137" s="25">
        <v>45799</v>
      </c>
      <c r="V137" s="15" t="s">
        <v>506</v>
      </c>
      <c r="W137" s="15" t="s">
        <v>41</v>
      </c>
      <c r="X137" s="27">
        <v>475.51</v>
      </c>
      <c r="Y137" s="27">
        <f>Table2[[#This Row],[PREÇO UNITARIO]]*Table2[[#This Row],[QUANTIDADE]]</f>
        <v>475.51</v>
      </c>
      <c r="Z137" s="15"/>
      <c r="AA137" s="28">
        <f>MONTH(Table2[[#This Row],[DATA PEDIDO HP]])</f>
        <v>2</v>
      </c>
      <c r="AB137" s="32" t="s">
        <v>42</v>
      </c>
      <c r="AC137" s="5">
        <f t="shared" ca="1" si="2"/>
        <v>46232</v>
      </c>
      <c r="AD137" s="331">
        <f ca="1">_xlfn.DAYS(Table2[[#This Row],[HOJE]],Table2[[#This Row],[DATA PEDIDO HP]])</f>
        <v>517</v>
      </c>
      <c r="AE137" s="336" t="s">
        <v>43</v>
      </c>
    </row>
    <row r="138" spans="1:31" ht="14.45" hidden="1">
      <c r="A138" s="269" t="s">
        <v>587</v>
      </c>
      <c r="B138" s="26">
        <v>45715</v>
      </c>
      <c r="C138" s="26">
        <v>45714</v>
      </c>
      <c r="D138" s="14" t="s">
        <v>588</v>
      </c>
      <c r="E138" s="14" t="s">
        <v>103</v>
      </c>
      <c r="F138" s="14" t="s">
        <v>104</v>
      </c>
      <c r="G138" s="14">
        <v>51000136</v>
      </c>
      <c r="H138" s="14" t="s">
        <v>595</v>
      </c>
      <c r="I138" s="14" t="s">
        <v>596</v>
      </c>
      <c r="J138" s="14">
        <v>1</v>
      </c>
      <c r="K138" s="14" t="s">
        <v>37</v>
      </c>
      <c r="L138" s="14" t="s">
        <v>217</v>
      </c>
      <c r="M138" s="15" t="s">
        <v>58</v>
      </c>
      <c r="N138" s="15" t="s">
        <v>58</v>
      </c>
      <c r="O138" s="15">
        <v>1</v>
      </c>
      <c r="P138" s="15"/>
      <c r="Q138" s="15"/>
      <c r="R138" s="15"/>
      <c r="S138" s="25">
        <v>45714</v>
      </c>
      <c r="T138" s="25">
        <v>45755</v>
      </c>
      <c r="U138" s="25">
        <v>45772</v>
      </c>
      <c r="V138" s="15" t="s">
        <v>40</v>
      </c>
      <c r="W138" s="15" t="s">
        <v>41</v>
      </c>
      <c r="X138" s="27">
        <v>260.14999999999998</v>
      </c>
      <c r="Y138" s="27">
        <f>Table2[[#This Row],[PREÇO UNITARIO]]*Table2[[#This Row],[QUANTIDADE]]</f>
        <v>260.14999999999998</v>
      </c>
      <c r="Z138" s="15"/>
      <c r="AA138" s="28">
        <f>MONTH(Table2[[#This Row],[DATA PEDIDO HP]])</f>
        <v>2</v>
      </c>
      <c r="AB138" s="32" t="s">
        <v>42</v>
      </c>
      <c r="AC138" s="5">
        <f t="shared" ca="1" si="2"/>
        <v>46232</v>
      </c>
      <c r="AD138" s="331">
        <f ca="1">_xlfn.DAYS(Table2[[#This Row],[HOJE]],Table2[[#This Row],[DATA PEDIDO HP]])</f>
        <v>517</v>
      </c>
      <c r="AE138" s="336" t="s">
        <v>43</v>
      </c>
    </row>
    <row r="139" spans="1:31" ht="14.45" hidden="1">
      <c r="A139" s="269" t="s">
        <v>587</v>
      </c>
      <c r="B139" s="26">
        <v>45715</v>
      </c>
      <c r="C139" s="26">
        <v>45714</v>
      </c>
      <c r="D139" s="14" t="s">
        <v>588</v>
      </c>
      <c r="E139" s="14" t="s">
        <v>103</v>
      </c>
      <c r="F139" s="14" t="s">
        <v>104</v>
      </c>
      <c r="G139" s="14">
        <v>51000136</v>
      </c>
      <c r="H139" s="14" t="s">
        <v>597</v>
      </c>
      <c r="I139" s="14" t="s">
        <v>598</v>
      </c>
      <c r="J139" s="14">
        <v>1</v>
      </c>
      <c r="K139" s="14" t="s">
        <v>37</v>
      </c>
      <c r="L139" s="14" t="s">
        <v>217</v>
      </c>
      <c r="M139" s="15" t="s">
        <v>89</v>
      </c>
      <c r="N139" s="15" t="s">
        <v>58</v>
      </c>
      <c r="O139" s="15">
        <v>1</v>
      </c>
      <c r="P139" s="15"/>
      <c r="Q139" s="15"/>
      <c r="R139" s="15"/>
      <c r="S139" s="25">
        <v>45714</v>
      </c>
      <c r="T139" s="25">
        <v>45755</v>
      </c>
      <c r="U139" s="25">
        <v>45772</v>
      </c>
      <c r="V139" s="15" t="s">
        <v>40</v>
      </c>
      <c r="W139" s="15" t="s">
        <v>41</v>
      </c>
      <c r="X139" s="27">
        <v>720.36</v>
      </c>
      <c r="Y139" s="27">
        <f>Table2[[#This Row],[PREÇO UNITARIO]]*Table2[[#This Row],[QUANTIDADE]]</f>
        <v>720.36</v>
      </c>
      <c r="Z139" s="15"/>
      <c r="AA139" s="28">
        <f>MONTH(Table2[[#This Row],[DATA PEDIDO HP]])</f>
        <v>2</v>
      </c>
      <c r="AB139" s="32" t="s">
        <v>42</v>
      </c>
      <c r="AC139" s="5">
        <f t="shared" ca="1" si="2"/>
        <v>46232</v>
      </c>
      <c r="AD139" s="331">
        <f ca="1">_xlfn.DAYS(Table2[[#This Row],[HOJE]],Table2[[#This Row],[DATA PEDIDO HP]])</f>
        <v>517</v>
      </c>
      <c r="AE139" s="336" t="s">
        <v>43</v>
      </c>
    </row>
    <row r="140" spans="1:31" ht="14.45" hidden="1">
      <c r="A140" s="269" t="s">
        <v>587</v>
      </c>
      <c r="B140" s="26">
        <v>45715</v>
      </c>
      <c r="C140" s="26">
        <v>45714</v>
      </c>
      <c r="D140" s="14" t="s">
        <v>588</v>
      </c>
      <c r="E140" s="14" t="s">
        <v>103</v>
      </c>
      <c r="F140" s="14" t="s">
        <v>104</v>
      </c>
      <c r="G140" s="14">
        <v>51000136</v>
      </c>
      <c r="H140" s="14" t="s">
        <v>599</v>
      </c>
      <c r="I140" s="14" t="s">
        <v>600</v>
      </c>
      <c r="J140" s="14">
        <v>1</v>
      </c>
      <c r="K140" s="14" t="s">
        <v>37</v>
      </c>
      <c r="L140" s="14" t="s">
        <v>217</v>
      </c>
      <c r="M140" s="15" t="s">
        <v>89</v>
      </c>
      <c r="N140" s="15" t="s">
        <v>89</v>
      </c>
      <c r="O140" s="15">
        <v>0</v>
      </c>
      <c r="P140" s="15"/>
      <c r="Q140" s="15"/>
      <c r="R140" s="15"/>
      <c r="S140" s="25">
        <v>45783</v>
      </c>
      <c r="T140" s="25">
        <v>45755</v>
      </c>
      <c r="U140" s="25">
        <v>45772</v>
      </c>
      <c r="V140" s="15" t="s">
        <v>40</v>
      </c>
      <c r="W140" s="15" t="s">
        <v>41</v>
      </c>
      <c r="X140" s="27">
        <v>66.959999999999994</v>
      </c>
      <c r="Y140" s="27">
        <f>Table2[[#This Row],[PREÇO UNITARIO]]*Table2[[#This Row],[QUANTIDADE]]</f>
        <v>66.959999999999994</v>
      </c>
      <c r="Z140" s="15"/>
      <c r="AA140" s="28">
        <f>MONTH(Table2[[#This Row],[DATA PEDIDO HP]])</f>
        <v>2</v>
      </c>
      <c r="AB140" s="32" t="s">
        <v>42</v>
      </c>
      <c r="AC140" s="5">
        <f t="shared" ca="1" si="2"/>
        <v>46232</v>
      </c>
      <c r="AD140" s="331">
        <f ca="1">_xlfn.DAYS(Table2[[#This Row],[HOJE]],Table2[[#This Row],[DATA PEDIDO HP]])</f>
        <v>517</v>
      </c>
      <c r="AE140" s="336" t="s">
        <v>43</v>
      </c>
    </row>
    <row r="141" spans="1:31" ht="14.45" hidden="1">
      <c r="A141" s="269" t="s">
        <v>601</v>
      </c>
      <c r="B141" s="26">
        <v>45715</v>
      </c>
      <c r="C141" s="26">
        <v>45714</v>
      </c>
      <c r="D141" s="14" t="s">
        <v>602</v>
      </c>
      <c r="E141" s="14" t="s">
        <v>103</v>
      </c>
      <c r="F141" s="14" t="s">
        <v>104</v>
      </c>
      <c r="G141" s="14">
        <v>51000323</v>
      </c>
      <c r="H141" s="14" t="s">
        <v>603</v>
      </c>
      <c r="I141" s="14" t="s">
        <v>604</v>
      </c>
      <c r="J141" s="14">
        <v>1</v>
      </c>
      <c r="K141" s="14" t="s">
        <v>37</v>
      </c>
      <c r="L141" s="14" t="s">
        <v>217</v>
      </c>
      <c r="M141" s="15" t="s">
        <v>58</v>
      </c>
      <c r="N141" s="15" t="s">
        <v>89</v>
      </c>
      <c r="O141" s="15">
        <v>0</v>
      </c>
      <c r="P141" s="15"/>
      <c r="Q141" s="15"/>
      <c r="R141" s="15"/>
      <c r="S141" s="25">
        <v>45783</v>
      </c>
      <c r="T141" s="25">
        <v>45755</v>
      </c>
      <c r="U141" s="25">
        <v>45772</v>
      </c>
      <c r="V141" s="15" t="s">
        <v>40</v>
      </c>
      <c r="W141" s="15" t="s">
        <v>41</v>
      </c>
      <c r="X141" s="27">
        <v>874.36</v>
      </c>
      <c r="Y141" s="27">
        <f>Table2[[#This Row],[PREÇO UNITARIO]]*Table2[[#This Row],[QUANTIDADE]]</f>
        <v>874.36</v>
      </c>
      <c r="Z141" s="15"/>
      <c r="AA141" s="28">
        <f>MONTH(Table2[[#This Row],[DATA PEDIDO HP]])</f>
        <v>2</v>
      </c>
      <c r="AB141" s="32" t="s">
        <v>42</v>
      </c>
      <c r="AC141" s="5">
        <f t="shared" ca="1" si="2"/>
        <v>46232</v>
      </c>
      <c r="AD141" s="331">
        <f ca="1">_xlfn.DAYS(Table2[[#This Row],[HOJE]],Table2[[#This Row],[DATA PEDIDO HP]])</f>
        <v>517</v>
      </c>
      <c r="AE141" s="336" t="s">
        <v>43</v>
      </c>
    </row>
    <row r="142" spans="1:31" ht="14.45" hidden="1">
      <c r="A142" s="269" t="s">
        <v>601</v>
      </c>
      <c r="B142" s="26">
        <v>45715</v>
      </c>
      <c r="C142" s="26">
        <v>45714</v>
      </c>
      <c r="D142" s="14" t="s">
        <v>602</v>
      </c>
      <c r="E142" s="14" t="s">
        <v>103</v>
      </c>
      <c r="F142" s="14" t="s">
        <v>104</v>
      </c>
      <c r="G142" s="14">
        <v>51000323</v>
      </c>
      <c r="H142" s="14" t="s">
        <v>605</v>
      </c>
      <c r="I142" s="14" t="s">
        <v>606</v>
      </c>
      <c r="J142" s="14">
        <v>1</v>
      </c>
      <c r="K142" s="14" t="s">
        <v>37</v>
      </c>
      <c r="L142" s="14" t="s">
        <v>217</v>
      </c>
      <c r="M142" s="15" t="s">
        <v>384</v>
      </c>
      <c r="N142" s="15" t="s">
        <v>39</v>
      </c>
      <c r="O142" s="15">
        <v>1</v>
      </c>
      <c r="P142" s="15"/>
      <c r="Q142" s="15"/>
      <c r="R142" s="15"/>
      <c r="S142" s="25">
        <v>45783</v>
      </c>
      <c r="T142" s="25">
        <v>45755</v>
      </c>
      <c r="U142" s="25">
        <v>45772</v>
      </c>
      <c r="V142" s="15" t="s">
        <v>40</v>
      </c>
      <c r="W142" s="15" t="s">
        <v>41</v>
      </c>
      <c r="X142" s="27">
        <v>96.35</v>
      </c>
      <c r="Y142" s="27">
        <f>Table2[[#This Row],[PREÇO UNITARIO]]*Table2[[#This Row],[QUANTIDADE]]</f>
        <v>96.35</v>
      </c>
      <c r="Z142" s="15"/>
      <c r="AA142" s="28">
        <f>MONTH(Table2[[#This Row],[DATA PEDIDO HP]])</f>
        <v>2</v>
      </c>
      <c r="AB142" s="32"/>
      <c r="AC142" s="5">
        <f t="shared" ca="1" si="2"/>
        <v>46232</v>
      </c>
      <c r="AD142" s="331">
        <f ca="1">_xlfn.DAYS(Table2[[#This Row],[HOJE]],Table2[[#This Row],[DATA PEDIDO HP]])</f>
        <v>517</v>
      </c>
      <c r="AE142" s="336" t="s">
        <v>43</v>
      </c>
    </row>
    <row r="143" spans="1:31" ht="14.45" hidden="1">
      <c r="A143" s="269" t="s">
        <v>607</v>
      </c>
      <c r="B143" s="26">
        <v>45715</v>
      </c>
      <c r="C143" s="26">
        <v>45715</v>
      </c>
      <c r="D143" s="14" t="s">
        <v>608</v>
      </c>
      <c r="E143" s="14" t="s">
        <v>85</v>
      </c>
      <c r="F143" s="14" t="s">
        <v>74</v>
      </c>
      <c r="G143" s="14" t="s">
        <v>609</v>
      </c>
      <c r="H143" s="14" t="s">
        <v>610</v>
      </c>
      <c r="I143" s="14" t="s">
        <v>611</v>
      </c>
      <c r="J143" s="14">
        <v>1</v>
      </c>
      <c r="K143" s="14" t="s">
        <v>37</v>
      </c>
      <c r="L143" s="14" t="s">
        <v>38</v>
      </c>
      <c r="M143" s="15" t="s">
        <v>58</v>
      </c>
      <c r="N143" s="15" t="s">
        <v>58</v>
      </c>
      <c r="O143" s="15">
        <v>1</v>
      </c>
      <c r="P143" s="15"/>
      <c r="Q143" s="15"/>
      <c r="R143" s="15"/>
      <c r="S143" s="25">
        <v>45679</v>
      </c>
      <c r="T143" s="25">
        <v>45755</v>
      </c>
      <c r="U143" s="25">
        <v>45772</v>
      </c>
      <c r="V143" s="15" t="s">
        <v>40</v>
      </c>
      <c r="W143" s="15" t="s">
        <v>41</v>
      </c>
      <c r="X143" s="27">
        <v>140.44999999999999</v>
      </c>
      <c r="Y143" s="27">
        <f>Table2[[#This Row],[PREÇO UNITARIO]]*Table2[[#This Row],[QUANTIDADE]]</f>
        <v>140.44999999999999</v>
      </c>
      <c r="Z143" s="15"/>
      <c r="AA143" s="28">
        <f>MONTH(Table2[[#This Row],[DATA PEDIDO HP]])</f>
        <v>2</v>
      </c>
      <c r="AB143" s="32" t="s">
        <v>42</v>
      </c>
      <c r="AC143" s="5">
        <f t="shared" ca="1" si="2"/>
        <v>46232</v>
      </c>
      <c r="AD143" s="331">
        <f ca="1">_xlfn.DAYS(Table2[[#This Row],[HOJE]],Table2[[#This Row],[DATA PEDIDO HP]])</f>
        <v>517</v>
      </c>
      <c r="AE143" s="336" t="s">
        <v>43</v>
      </c>
    </row>
    <row r="144" spans="1:31" ht="14.45" hidden="1">
      <c r="A144" s="269" t="s">
        <v>612</v>
      </c>
      <c r="B144" s="25">
        <v>45722</v>
      </c>
      <c r="C144" s="26">
        <v>45715</v>
      </c>
      <c r="D144" s="14" t="s">
        <v>613</v>
      </c>
      <c r="E144" s="14" t="s">
        <v>225</v>
      </c>
      <c r="F144" s="14" t="s">
        <v>34</v>
      </c>
      <c r="G144" s="14">
        <v>50110261</v>
      </c>
      <c r="H144" s="14" t="s">
        <v>614</v>
      </c>
      <c r="I144" s="14" t="s">
        <v>615</v>
      </c>
      <c r="J144" s="14">
        <v>1</v>
      </c>
      <c r="K144" s="14" t="s">
        <v>67</v>
      </c>
      <c r="L144" s="14" t="s">
        <v>217</v>
      </c>
      <c r="M144" s="15" t="s">
        <v>89</v>
      </c>
      <c r="N144" s="15" t="s">
        <v>89</v>
      </c>
      <c r="O144" s="15">
        <v>0</v>
      </c>
      <c r="P144" s="15">
        <v>0</v>
      </c>
      <c r="Q144" s="15"/>
      <c r="R144" s="15" t="s">
        <v>616</v>
      </c>
      <c r="S144" s="25"/>
      <c r="T144" s="25">
        <v>45746</v>
      </c>
      <c r="U144" s="25">
        <v>45754</v>
      </c>
      <c r="V144" s="15" t="s">
        <v>69</v>
      </c>
      <c r="W144" s="15"/>
      <c r="X144" s="27">
        <v>24.52</v>
      </c>
      <c r="Y144" s="27">
        <f>Table2[[#This Row],[PREÇO UNITARIO]]*Table2[[#This Row],[QUANTIDADE]]</f>
        <v>24.52</v>
      </c>
      <c r="Z144" s="15"/>
      <c r="AA144" s="32">
        <f>MONTH(Table2[[#This Row],[DATA PEDIDO HP]])</f>
        <v>3</v>
      </c>
      <c r="AB144" s="32" t="s">
        <v>60</v>
      </c>
      <c r="AC144" s="5">
        <f t="shared" ca="1" si="2"/>
        <v>46232</v>
      </c>
      <c r="AD144" s="331">
        <f ca="1">_xlfn.DAYS(Table2[[#This Row],[HOJE]],Table2[[#This Row],[DATA PEDIDO HP]])</f>
        <v>510</v>
      </c>
      <c r="AE144" s="5" t="s">
        <v>43</v>
      </c>
    </row>
    <row r="145" spans="1:31" ht="14.45" hidden="1">
      <c r="A145" s="269" t="s">
        <v>617</v>
      </c>
      <c r="B145" s="26">
        <v>45715</v>
      </c>
      <c r="C145" s="26">
        <v>45715</v>
      </c>
      <c r="D145" s="14" t="s">
        <v>618</v>
      </c>
      <c r="E145" s="14" t="s">
        <v>79</v>
      </c>
      <c r="F145" s="14" t="s">
        <v>74</v>
      </c>
      <c r="G145" s="14">
        <v>50000530</v>
      </c>
      <c r="H145" s="14" t="s">
        <v>619</v>
      </c>
      <c r="I145" s="14" t="s">
        <v>620</v>
      </c>
      <c r="J145" s="14">
        <v>1</v>
      </c>
      <c r="K145" s="14" t="s">
        <v>37</v>
      </c>
      <c r="L145" s="14" t="s">
        <v>217</v>
      </c>
      <c r="M145" s="15" t="s">
        <v>89</v>
      </c>
      <c r="N145" s="15" t="s">
        <v>58</v>
      </c>
      <c r="O145" s="15">
        <v>1</v>
      </c>
      <c r="P145" s="15"/>
      <c r="Q145" s="15"/>
      <c r="R145" s="15"/>
      <c r="S145" s="25">
        <v>45713</v>
      </c>
      <c r="T145" s="25">
        <v>45755</v>
      </c>
      <c r="U145" s="25">
        <v>45772</v>
      </c>
      <c r="V145" s="15" t="s">
        <v>40</v>
      </c>
      <c r="W145" s="15"/>
      <c r="X145" s="27">
        <v>91.76</v>
      </c>
      <c r="Y145" s="27">
        <f>Table2[[#This Row],[PREÇO UNITARIO]]*Table2[[#This Row],[QUANTIDADE]]</f>
        <v>91.76</v>
      </c>
      <c r="Z145" s="15"/>
      <c r="AA145" s="28">
        <f>MONTH(Table2[[#This Row],[DATA PEDIDO HP]])</f>
        <v>2</v>
      </c>
      <c r="AB145" s="32" t="s">
        <v>60</v>
      </c>
      <c r="AC145" s="5">
        <f t="shared" ca="1" si="2"/>
        <v>46232</v>
      </c>
      <c r="AD145" s="331">
        <f ca="1">_xlfn.DAYS(Table2[[#This Row],[HOJE]],Table2[[#This Row],[DATA PEDIDO HP]])</f>
        <v>517</v>
      </c>
      <c r="AE145" s="336" t="s">
        <v>43</v>
      </c>
    </row>
    <row r="146" spans="1:31" ht="14.45" hidden="1">
      <c r="A146" s="269" t="s">
        <v>621</v>
      </c>
      <c r="B146" s="26">
        <v>45715</v>
      </c>
      <c r="C146" s="26">
        <v>45715</v>
      </c>
      <c r="D146" s="14" t="s">
        <v>622</v>
      </c>
      <c r="E146" s="14" t="s">
        <v>402</v>
      </c>
      <c r="F146" s="14" t="s">
        <v>623</v>
      </c>
      <c r="G146" s="14">
        <v>50300141</v>
      </c>
      <c r="H146" s="14" t="s">
        <v>624</v>
      </c>
      <c r="I146" s="14" t="s">
        <v>625</v>
      </c>
      <c r="J146" s="14">
        <v>1</v>
      </c>
      <c r="K146" s="14" t="s">
        <v>37</v>
      </c>
      <c r="L146" s="14" t="s">
        <v>217</v>
      </c>
      <c r="M146" s="15" t="s">
        <v>58</v>
      </c>
      <c r="N146" s="15" t="s">
        <v>58</v>
      </c>
      <c r="O146" s="15">
        <v>1</v>
      </c>
      <c r="P146" s="15"/>
      <c r="Q146" s="15"/>
      <c r="R146" s="15" t="s">
        <v>626</v>
      </c>
      <c r="S146" s="25">
        <v>45709</v>
      </c>
      <c r="T146" s="25">
        <v>45755</v>
      </c>
      <c r="U146" s="25">
        <v>45772</v>
      </c>
      <c r="V146" s="15" t="s">
        <v>40</v>
      </c>
      <c r="W146" s="15" t="s">
        <v>229</v>
      </c>
      <c r="X146" s="27">
        <v>339.68</v>
      </c>
      <c r="Y146" s="27">
        <f>Table2[[#This Row],[PREÇO UNITARIO]]*Table2[[#This Row],[QUANTIDADE]]</f>
        <v>339.68</v>
      </c>
      <c r="Z146" s="15"/>
      <c r="AA146" s="28">
        <f>MONTH(Table2[[#This Row],[DATA PEDIDO HP]])</f>
        <v>2</v>
      </c>
      <c r="AB146" s="32" t="s">
        <v>60</v>
      </c>
      <c r="AC146" s="5">
        <f t="shared" ca="1" si="2"/>
        <v>46232</v>
      </c>
      <c r="AD146" s="331">
        <f ca="1">_xlfn.DAYS(Table2[[#This Row],[HOJE]],Table2[[#This Row],[DATA PEDIDO HP]])</f>
        <v>517</v>
      </c>
      <c r="AE146" s="336" t="s">
        <v>43</v>
      </c>
    </row>
    <row r="147" spans="1:31" ht="14.45" hidden="1">
      <c r="A147" s="269" t="s">
        <v>627</v>
      </c>
      <c r="B147" s="26">
        <v>45715</v>
      </c>
      <c r="C147" s="26">
        <v>45715</v>
      </c>
      <c r="D147" s="14" t="s">
        <v>628</v>
      </c>
      <c r="E147" s="14" t="s">
        <v>85</v>
      </c>
      <c r="F147" s="14" t="s">
        <v>74</v>
      </c>
      <c r="G147" s="14">
        <v>50000260</v>
      </c>
      <c r="H147" s="14" t="s">
        <v>629</v>
      </c>
      <c r="I147" s="14" t="s">
        <v>630</v>
      </c>
      <c r="J147" s="14">
        <v>1</v>
      </c>
      <c r="K147" s="14" t="s">
        <v>37</v>
      </c>
      <c r="L147" s="14" t="s">
        <v>217</v>
      </c>
      <c r="M147" s="15" t="s">
        <v>58</v>
      </c>
      <c r="N147" s="15" t="s">
        <v>58</v>
      </c>
      <c r="O147" s="15">
        <v>1</v>
      </c>
      <c r="P147" s="15"/>
      <c r="Q147" s="15"/>
      <c r="R147" s="15"/>
      <c r="S147" s="25">
        <v>45713</v>
      </c>
      <c r="T147" s="25">
        <v>45755</v>
      </c>
      <c r="U147" s="25">
        <v>45772</v>
      </c>
      <c r="V147" s="15" t="s">
        <v>40</v>
      </c>
      <c r="W147" s="15" t="s">
        <v>41</v>
      </c>
      <c r="X147" s="27">
        <v>631.67999999999995</v>
      </c>
      <c r="Y147" s="27">
        <f>Table2[[#This Row],[PREÇO UNITARIO]]*Table2[[#This Row],[QUANTIDADE]]</f>
        <v>631.67999999999995</v>
      </c>
      <c r="Z147" s="15"/>
      <c r="AA147" s="28">
        <f>MONTH(Table2[[#This Row],[DATA PEDIDO HP]])</f>
        <v>2</v>
      </c>
      <c r="AB147" s="32" t="s">
        <v>42</v>
      </c>
      <c r="AC147" s="5">
        <f t="shared" ca="1" si="2"/>
        <v>46232</v>
      </c>
      <c r="AD147" s="331">
        <f ca="1">_xlfn.DAYS(Table2[[#This Row],[HOJE]],Table2[[#This Row],[DATA PEDIDO HP]])</f>
        <v>517</v>
      </c>
      <c r="AE147" s="336" t="s">
        <v>43</v>
      </c>
    </row>
    <row r="148" spans="1:31" ht="14.45" hidden="1">
      <c r="A148" s="269" t="s">
        <v>627</v>
      </c>
      <c r="B148" s="26">
        <v>45715</v>
      </c>
      <c r="C148" s="26">
        <v>45715</v>
      </c>
      <c r="D148" s="14" t="s">
        <v>628</v>
      </c>
      <c r="E148" s="14" t="s">
        <v>85</v>
      </c>
      <c r="F148" s="14" t="s">
        <v>74</v>
      </c>
      <c r="G148" s="14">
        <v>50000260</v>
      </c>
      <c r="H148" s="14" t="s">
        <v>80</v>
      </c>
      <c r="I148" s="14" t="s">
        <v>81</v>
      </c>
      <c r="J148" s="14">
        <v>1</v>
      </c>
      <c r="K148" s="14" t="s">
        <v>37</v>
      </c>
      <c r="L148" s="14" t="s">
        <v>217</v>
      </c>
      <c r="M148" s="15" t="s">
        <v>58</v>
      </c>
      <c r="N148" s="15" t="s">
        <v>58</v>
      </c>
      <c r="O148" s="15">
        <v>1</v>
      </c>
      <c r="P148" s="15"/>
      <c r="Q148" s="15"/>
      <c r="R148" s="15"/>
      <c r="S148" s="25">
        <v>45713</v>
      </c>
      <c r="T148" s="25">
        <v>45788</v>
      </c>
      <c r="U148" s="25">
        <v>45799</v>
      </c>
      <c r="V148" s="15" t="s">
        <v>506</v>
      </c>
      <c r="W148" s="15" t="s">
        <v>41</v>
      </c>
      <c r="X148" s="27">
        <v>49.81</v>
      </c>
      <c r="Y148" s="27">
        <f>Table2[[#This Row],[PREÇO UNITARIO]]*Table2[[#This Row],[QUANTIDADE]]</f>
        <v>49.81</v>
      </c>
      <c r="Z148" s="15"/>
      <c r="AA148" s="28">
        <f>MONTH(Table2[[#This Row],[DATA PEDIDO HP]])</f>
        <v>2</v>
      </c>
      <c r="AB148" s="32" t="s">
        <v>42</v>
      </c>
      <c r="AC148" s="5">
        <f t="shared" ca="1" si="2"/>
        <v>46232</v>
      </c>
      <c r="AD148" s="331">
        <f ca="1">_xlfn.DAYS(Table2[[#This Row],[HOJE]],Table2[[#This Row],[DATA PEDIDO HP]])</f>
        <v>517</v>
      </c>
      <c r="AE148" s="336" t="s">
        <v>43</v>
      </c>
    </row>
    <row r="149" spans="1:31" ht="14.45" hidden="1">
      <c r="A149" s="269" t="s">
        <v>631</v>
      </c>
      <c r="B149" s="26">
        <v>45715</v>
      </c>
      <c r="C149" s="26">
        <v>45715</v>
      </c>
      <c r="D149" s="14" t="s">
        <v>632</v>
      </c>
      <c r="E149" s="14" t="s">
        <v>93</v>
      </c>
      <c r="F149" s="14" t="s">
        <v>74</v>
      </c>
      <c r="G149" s="14">
        <v>50000202</v>
      </c>
      <c r="H149" s="14" t="s">
        <v>130</v>
      </c>
      <c r="I149" s="14" t="s">
        <v>633</v>
      </c>
      <c r="J149" s="14">
        <v>2</v>
      </c>
      <c r="K149" s="14" t="s">
        <v>37</v>
      </c>
      <c r="L149" s="14" t="s">
        <v>217</v>
      </c>
      <c r="M149" s="15" t="s">
        <v>58</v>
      </c>
      <c r="N149" s="15" t="s">
        <v>58</v>
      </c>
      <c r="O149" s="15">
        <v>2</v>
      </c>
      <c r="P149" s="15"/>
      <c r="Q149" s="15"/>
      <c r="R149" s="15"/>
      <c r="S149" s="25">
        <v>45714</v>
      </c>
      <c r="T149" s="25">
        <v>45755</v>
      </c>
      <c r="U149" s="25">
        <v>45772</v>
      </c>
      <c r="V149" s="15" t="s">
        <v>40</v>
      </c>
      <c r="W149" s="15" t="s">
        <v>634</v>
      </c>
      <c r="X149" s="27">
        <v>17.28</v>
      </c>
      <c r="Y149" s="27">
        <f>Table2[[#This Row],[PREÇO UNITARIO]]*Table2[[#This Row],[QUANTIDADE]]</f>
        <v>34.56</v>
      </c>
      <c r="Z149" s="15"/>
      <c r="AA149" s="28">
        <f>MONTH(Table2[[#This Row],[DATA PEDIDO HP]])</f>
        <v>2</v>
      </c>
      <c r="AB149" s="32" t="s">
        <v>60</v>
      </c>
      <c r="AC149" s="5">
        <f t="shared" ca="1" si="2"/>
        <v>46232</v>
      </c>
      <c r="AD149" s="331">
        <f ca="1">_xlfn.DAYS(Table2[[#This Row],[HOJE]],Table2[[#This Row],[DATA PEDIDO HP]])</f>
        <v>517</v>
      </c>
      <c r="AE149" s="336" t="s">
        <v>43</v>
      </c>
    </row>
    <row r="150" spans="1:31" ht="14.45" hidden="1">
      <c r="A150" s="269" t="s">
        <v>631</v>
      </c>
      <c r="B150" s="26">
        <v>45715</v>
      </c>
      <c r="C150" s="26">
        <v>45715</v>
      </c>
      <c r="D150" s="14" t="s">
        <v>632</v>
      </c>
      <c r="E150" s="14" t="s">
        <v>93</v>
      </c>
      <c r="F150" s="14" t="s">
        <v>74</v>
      </c>
      <c r="G150" s="14">
        <v>50000202</v>
      </c>
      <c r="H150" s="14" t="s">
        <v>495</v>
      </c>
      <c r="I150" s="14" t="s">
        <v>635</v>
      </c>
      <c r="J150" s="14">
        <v>2</v>
      </c>
      <c r="K150" s="14" t="s">
        <v>37</v>
      </c>
      <c r="L150" s="14" t="s">
        <v>217</v>
      </c>
      <c r="M150" s="15" t="s">
        <v>89</v>
      </c>
      <c r="N150" s="15" t="s">
        <v>89</v>
      </c>
      <c r="O150" s="15">
        <v>0</v>
      </c>
      <c r="P150" s="15"/>
      <c r="Q150" s="15"/>
      <c r="R150" s="15"/>
      <c r="S150" s="25">
        <v>45785</v>
      </c>
      <c r="T150" s="25">
        <v>45838</v>
      </c>
      <c r="U150" s="25">
        <v>45859</v>
      </c>
      <c r="V150" s="15" t="s">
        <v>636</v>
      </c>
      <c r="W150" s="15"/>
      <c r="X150" s="27">
        <v>7.35</v>
      </c>
      <c r="Y150" s="27">
        <f>Table2[[#This Row],[PREÇO UNITARIO]]*Table2[[#This Row],[QUANTIDADE]]</f>
        <v>14.7</v>
      </c>
      <c r="Z150" s="15"/>
      <c r="AA150" s="28">
        <f>MONTH(Table2[[#This Row],[DATA PEDIDO HP]])</f>
        <v>2</v>
      </c>
      <c r="AB150" s="32" t="s">
        <v>60</v>
      </c>
      <c r="AC150" s="5">
        <f t="shared" ca="1" si="2"/>
        <v>46232</v>
      </c>
      <c r="AD150" s="331">
        <f ca="1">_xlfn.DAYS(Table2[[#This Row],[HOJE]],Table2[[#This Row],[DATA PEDIDO HP]])</f>
        <v>517</v>
      </c>
      <c r="AE150" s="336" t="s">
        <v>43</v>
      </c>
    </row>
    <row r="151" spans="1:31" ht="14.45" hidden="1">
      <c r="A151" s="269" t="s">
        <v>637</v>
      </c>
      <c r="B151" s="26">
        <v>45716</v>
      </c>
      <c r="C151" s="26">
        <v>45715</v>
      </c>
      <c r="D151" s="14" t="s">
        <v>638</v>
      </c>
      <c r="E151" s="14" t="s">
        <v>639</v>
      </c>
      <c r="F151" s="14" t="s">
        <v>640</v>
      </c>
      <c r="G151" s="14" t="s">
        <v>641</v>
      </c>
      <c r="H151" s="14" t="s">
        <v>642</v>
      </c>
      <c r="I151" s="14" t="s">
        <v>643</v>
      </c>
      <c r="J151" s="14">
        <v>1</v>
      </c>
      <c r="K151" s="14" t="s">
        <v>37</v>
      </c>
      <c r="L151" s="14" t="s">
        <v>38</v>
      </c>
      <c r="M151" s="15" t="s">
        <v>58</v>
      </c>
      <c r="N151" s="15" t="s">
        <v>58</v>
      </c>
      <c r="O151" s="15">
        <v>1</v>
      </c>
      <c r="P151" s="15"/>
      <c r="Q151" s="15"/>
      <c r="R151" s="15"/>
      <c r="S151" s="25">
        <v>45713</v>
      </c>
      <c r="T151" s="25">
        <v>45755</v>
      </c>
      <c r="U151" s="25">
        <v>45772</v>
      </c>
      <c r="V151" s="15" t="s">
        <v>40</v>
      </c>
      <c r="W151" s="15" t="s">
        <v>229</v>
      </c>
      <c r="X151" s="27">
        <v>455.63</v>
      </c>
      <c r="Y151" s="27">
        <f>Table2[[#This Row],[PREÇO UNITARIO]]*Table2[[#This Row],[QUANTIDADE]]</f>
        <v>455.63</v>
      </c>
      <c r="Z151" s="15"/>
      <c r="AA151" s="28">
        <f>MONTH(Table2[[#This Row],[DATA PEDIDO HP]])</f>
        <v>2</v>
      </c>
      <c r="AB151" s="32" t="s">
        <v>60</v>
      </c>
      <c r="AC151" s="5">
        <f t="shared" ca="1" si="2"/>
        <v>46232</v>
      </c>
      <c r="AD151" s="331">
        <f ca="1">_xlfn.DAYS(Table2[[#This Row],[HOJE]],Table2[[#This Row],[DATA PEDIDO HP]])</f>
        <v>516</v>
      </c>
      <c r="AE151" s="336" t="s">
        <v>43</v>
      </c>
    </row>
    <row r="152" spans="1:31" ht="14.45" hidden="1">
      <c r="A152" s="269" t="s">
        <v>637</v>
      </c>
      <c r="B152" s="26">
        <v>45716</v>
      </c>
      <c r="C152" s="26">
        <v>45715</v>
      </c>
      <c r="D152" s="14" t="s">
        <v>638</v>
      </c>
      <c r="E152" s="14" t="s">
        <v>639</v>
      </c>
      <c r="F152" s="14" t="s">
        <v>640</v>
      </c>
      <c r="G152" s="14" t="s">
        <v>641</v>
      </c>
      <c r="H152" s="14" t="s">
        <v>326</v>
      </c>
      <c r="I152" s="14" t="s">
        <v>644</v>
      </c>
      <c r="J152" s="14">
        <v>1</v>
      </c>
      <c r="K152" s="14" t="s">
        <v>37</v>
      </c>
      <c r="L152" s="14" t="s">
        <v>38</v>
      </c>
      <c r="M152" s="15" t="s">
        <v>58</v>
      </c>
      <c r="N152" s="15" t="s">
        <v>58</v>
      </c>
      <c r="O152" s="15">
        <v>1</v>
      </c>
      <c r="P152" s="15"/>
      <c r="Q152" s="15"/>
      <c r="R152" s="15"/>
      <c r="S152" s="25">
        <v>45713</v>
      </c>
      <c r="T152" s="25">
        <v>45755</v>
      </c>
      <c r="U152" s="25">
        <v>45772</v>
      </c>
      <c r="V152" s="15" t="s">
        <v>40</v>
      </c>
      <c r="W152" s="15" t="s">
        <v>229</v>
      </c>
      <c r="X152" s="27">
        <v>882.69</v>
      </c>
      <c r="Y152" s="27">
        <f>Table2[[#This Row],[PREÇO UNITARIO]]*Table2[[#This Row],[QUANTIDADE]]</f>
        <v>882.69</v>
      </c>
      <c r="Z152" s="15"/>
      <c r="AA152" s="28">
        <f>MONTH(Table2[[#This Row],[DATA PEDIDO HP]])</f>
        <v>2</v>
      </c>
      <c r="AB152" s="32" t="s">
        <v>60</v>
      </c>
      <c r="AC152" s="5">
        <f t="shared" ca="1" si="2"/>
        <v>46232</v>
      </c>
      <c r="AD152" s="331">
        <f ca="1">_xlfn.DAYS(Table2[[#This Row],[HOJE]],Table2[[#This Row],[DATA PEDIDO HP]])</f>
        <v>516</v>
      </c>
      <c r="AE152" s="336" t="s">
        <v>43</v>
      </c>
    </row>
    <row r="153" spans="1:31" ht="14.45" hidden="1">
      <c r="A153" s="269" t="s">
        <v>637</v>
      </c>
      <c r="B153" s="26">
        <v>45716</v>
      </c>
      <c r="C153" s="26">
        <v>45715</v>
      </c>
      <c r="D153" s="14" t="s">
        <v>638</v>
      </c>
      <c r="E153" s="14" t="s">
        <v>639</v>
      </c>
      <c r="F153" s="14" t="s">
        <v>640</v>
      </c>
      <c r="G153" s="14" t="s">
        <v>641</v>
      </c>
      <c r="H153" s="14" t="s">
        <v>645</v>
      </c>
      <c r="I153" s="14" t="s">
        <v>646</v>
      </c>
      <c r="J153" s="14">
        <v>1</v>
      </c>
      <c r="K153" s="14" t="s">
        <v>67</v>
      </c>
      <c r="L153" s="14" t="s">
        <v>38</v>
      </c>
      <c r="M153" s="15" t="s">
        <v>39</v>
      </c>
      <c r="N153" s="15" t="s">
        <v>89</v>
      </c>
      <c r="O153" s="15">
        <v>0</v>
      </c>
      <c r="P153" s="15"/>
      <c r="Q153" s="15"/>
      <c r="R153" s="15"/>
      <c r="S153" s="25">
        <v>45783</v>
      </c>
      <c r="T153" s="25">
        <v>45755</v>
      </c>
      <c r="U153" s="25">
        <v>45772</v>
      </c>
      <c r="V153" s="15" t="s">
        <v>40</v>
      </c>
      <c r="W153" s="15" t="s">
        <v>229</v>
      </c>
      <c r="X153" s="27">
        <v>542.19000000000005</v>
      </c>
      <c r="Y153" s="27">
        <f>Table2[[#This Row],[PREÇO UNITARIO]]*Table2[[#This Row],[QUANTIDADE]]</f>
        <v>542.19000000000005</v>
      </c>
      <c r="Z153" s="15" t="s">
        <v>647</v>
      </c>
      <c r="AA153" s="28">
        <f>MONTH(Table2[[#This Row],[DATA PEDIDO HP]])</f>
        <v>2</v>
      </c>
      <c r="AB153" s="32" t="s">
        <v>60</v>
      </c>
      <c r="AC153" s="5">
        <f t="shared" ca="1" si="2"/>
        <v>46232</v>
      </c>
      <c r="AD153" s="331">
        <f ca="1">_xlfn.DAYS(Table2[[#This Row],[HOJE]],Table2[[#This Row],[DATA PEDIDO HP]])</f>
        <v>516</v>
      </c>
      <c r="AE153" s="336" t="s">
        <v>43</v>
      </c>
    </row>
    <row r="154" spans="1:31" ht="14.45" hidden="1">
      <c r="A154" s="269" t="s">
        <v>637</v>
      </c>
      <c r="B154" s="26">
        <v>45716</v>
      </c>
      <c r="C154" s="26">
        <v>45715</v>
      </c>
      <c r="D154" s="14" t="s">
        <v>638</v>
      </c>
      <c r="E154" s="14" t="s">
        <v>639</v>
      </c>
      <c r="F154" s="14" t="s">
        <v>640</v>
      </c>
      <c r="G154" s="14" t="s">
        <v>641</v>
      </c>
      <c r="H154" s="14" t="s">
        <v>648</v>
      </c>
      <c r="I154" s="14" t="s">
        <v>649</v>
      </c>
      <c r="J154" s="14">
        <v>1</v>
      </c>
      <c r="K154" s="14" t="s">
        <v>67</v>
      </c>
      <c r="L154" s="14" t="s">
        <v>38</v>
      </c>
      <c r="M154" s="15" t="s">
        <v>58</v>
      </c>
      <c r="N154" s="15" t="s">
        <v>89</v>
      </c>
      <c r="O154" s="15">
        <v>0</v>
      </c>
      <c r="P154" s="15"/>
      <c r="Q154" s="15"/>
      <c r="R154" s="15" t="s">
        <v>650</v>
      </c>
      <c r="S154" s="25">
        <v>45783</v>
      </c>
      <c r="T154" s="25">
        <v>45755</v>
      </c>
      <c r="U154" s="25">
        <v>45772</v>
      </c>
      <c r="V154" s="15" t="s">
        <v>40</v>
      </c>
      <c r="W154" s="15" t="s">
        <v>229</v>
      </c>
      <c r="X154" s="27">
        <v>125.39</v>
      </c>
      <c r="Y154" s="27">
        <f>Table2[[#This Row],[PREÇO UNITARIO]]*Table2[[#This Row],[QUANTIDADE]]</f>
        <v>125.39</v>
      </c>
      <c r="Z154" s="15" t="s">
        <v>647</v>
      </c>
      <c r="AA154" s="28">
        <f>MONTH(Table2[[#This Row],[DATA PEDIDO HP]])</f>
        <v>2</v>
      </c>
      <c r="AB154" s="32" t="s">
        <v>60</v>
      </c>
      <c r="AC154" s="5">
        <f t="shared" ca="1" si="2"/>
        <v>46232</v>
      </c>
      <c r="AD154" s="331">
        <f ca="1">_xlfn.DAYS(Table2[[#This Row],[HOJE]],Table2[[#This Row],[DATA PEDIDO HP]])</f>
        <v>516</v>
      </c>
      <c r="AE154" s="336" t="s">
        <v>43</v>
      </c>
    </row>
    <row r="155" spans="1:31" ht="14.45" hidden="1">
      <c r="A155" s="269" t="s">
        <v>651</v>
      </c>
      <c r="B155" s="26">
        <v>45716</v>
      </c>
      <c r="C155" s="26">
        <v>45715</v>
      </c>
      <c r="D155" s="14" t="s">
        <v>652</v>
      </c>
      <c r="E155" s="14" t="s">
        <v>192</v>
      </c>
      <c r="F155" s="14" t="s">
        <v>653</v>
      </c>
      <c r="G155" s="14">
        <v>41000142</v>
      </c>
      <c r="H155" s="14" t="s">
        <v>654</v>
      </c>
      <c r="I155" s="14" t="s">
        <v>655</v>
      </c>
      <c r="J155" s="14">
        <v>1</v>
      </c>
      <c r="K155" s="14" t="s">
        <v>37</v>
      </c>
      <c r="L155" s="14" t="s">
        <v>38</v>
      </c>
      <c r="M155" s="15" t="s">
        <v>58</v>
      </c>
      <c r="N155" s="15" t="s">
        <v>58</v>
      </c>
      <c r="O155" s="15">
        <v>1</v>
      </c>
      <c r="P155" s="15"/>
      <c r="Q155" s="15"/>
      <c r="R155" s="15"/>
      <c r="S155" s="25">
        <v>45623</v>
      </c>
      <c r="T155" s="25">
        <v>45755</v>
      </c>
      <c r="U155" s="25">
        <v>45772</v>
      </c>
      <c r="V155" s="15" t="s">
        <v>40</v>
      </c>
      <c r="W155" s="15"/>
      <c r="X155" s="27">
        <v>2.71</v>
      </c>
      <c r="Y155" s="27">
        <f>Table2[[#This Row],[PREÇO UNITARIO]]*Table2[[#This Row],[QUANTIDADE]]</f>
        <v>2.71</v>
      </c>
      <c r="Z155" s="15"/>
      <c r="AA155" s="28">
        <f>MONTH(Table2[[#This Row],[DATA PEDIDO HP]])</f>
        <v>2</v>
      </c>
      <c r="AB155" s="32" t="s">
        <v>60</v>
      </c>
      <c r="AC155" s="5">
        <f t="shared" ca="1" si="2"/>
        <v>46232</v>
      </c>
      <c r="AD155" s="331">
        <f ca="1">_xlfn.DAYS(Table2[[#This Row],[HOJE]],Table2[[#This Row],[DATA PEDIDO HP]])</f>
        <v>516</v>
      </c>
      <c r="AE155" s="336" t="s">
        <v>43</v>
      </c>
    </row>
    <row r="156" spans="1:31" ht="14.45" hidden="1">
      <c r="A156" s="269" t="s">
        <v>656</v>
      </c>
      <c r="B156" s="25">
        <v>45730</v>
      </c>
      <c r="C156" s="26">
        <v>45716</v>
      </c>
      <c r="D156" s="14" t="s">
        <v>657</v>
      </c>
      <c r="E156" s="14" t="s">
        <v>225</v>
      </c>
      <c r="F156" s="14" t="s">
        <v>74</v>
      </c>
      <c r="G156" s="14">
        <v>50110261</v>
      </c>
      <c r="H156" s="14" t="s">
        <v>658</v>
      </c>
      <c r="I156" s="14" t="s">
        <v>659</v>
      </c>
      <c r="J156" s="14">
        <v>1</v>
      </c>
      <c r="K156" s="14" t="s">
        <v>37</v>
      </c>
      <c r="L156" s="14" t="s">
        <v>660</v>
      </c>
      <c r="M156" s="15" t="s">
        <v>89</v>
      </c>
      <c r="N156" s="14" t="s">
        <v>39</v>
      </c>
      <c r="O156" s="15">
        <v>1</v>
      </c>
      <c r="P156" s="15"/>
      <c r="Q156" s="15"/>
      <c r="R156" s="15" t="s">
        <v>661</v>
      </c>
      <c r="S156" s="25"/>
      <c r="T156" s="25">
        <v>45755</v>
      </c>
      <c r="U156" s="25">
        <v>45772</v>
      </c>
      <c r="V156" s="15" t="s">
        <v>40</v>
      </c>
      <c r="W156" s="15"/>
      <c r="X156" s="27">
        <v>112.68</v>
      </c>
      <c r="Y156" s="27">
        <f>Table2[[#This Row],[PREÇO UNITARIO]]*Table2[[#This Row],[QUANTIDADE]]</f>
        <v>112.68</v>
      </c>
      <c r="Z156" s="15"/>
      <c r="AA156" s="32">
        <f>MONTH(Table2[[#This Row],[DATA PEDIDO HP]])</f>
        <v>3</v>
      </c>
      <c r="AB156" s="32" t="s">
        <v>60</v>
      </c>
      <c r="AC156" s="5">
        <f t="shared" ca="1" si="2"/>
        <v>46232</v>
      </c>
      <c r="AD156" s="331">
        <f ca="1">_xlfn.DAYS(Table2[[#This Row],[HOJE]],Table2[[#This Row],[DATA PEDIDO HP]])</f>
        <v>502</v>
      </c>
      <c r="AE156" s="5" t="s">
        <v>43</v>
      </c>
    </row>
    <row r="157" spans="1:31" ht="14.45" hidden="1">
      <c r="A157" s="269" t="s">
        <v>656</v>
      </c>
      <c r="B157" s="25">
        <v>45733</v>
      </c>
      <c r="C157" s="26">
        <v>45716</v>
      </c>
      <c r="D157" s="14" t="s">
        <v>657</v>
      </c>
      <c r="E157" s="14" t="s">
        <v>225</v>
      </c>
      <c r="F157" s="14" t="s">
        <v>74</v>
      </c>
      <c r="G157" s="14">
        <v>50110261</v>
      </c>
      <c r="H157" s="14" t="s">
        <v>35</v>
      </c>
      <c r="I157" s="14" t="s">
        <v>662</v>
      </c>
      <c r="J157" s="14">
        <v>1</v>
      </c>
      <c r="K157" s="14" t="s">
        <v>37</v>
      </c>
      <c r="L157" s="14" t="s">
        <v>660</v>
      </c>
      <c r="M157" s="15" t="s">
        <v>58</v>
      </c>
      <c r="N157" s="14" t="s">
        <v>39</v>
      </c>
      <c r="O157" s="15">
        <v>1</v>
      </c>
      <c r="P157" s="15"/>
      <c r="Q157" s="15"/>
      <c r="R157" s="15"/>
      <c r="S157" s="25"/>
      <c r="T157" s="25">
        <v>45755</v>
      </c>
      <c r="U157" s="25">
        <v>45772</v>
      </c>
      <c r="V157" s="15" t="s">
        <v>40</v>
      </c>
      <c r="W157" s="15"/>
      <c r="X157" s="27">
        <v>790.42</v>
      </c>
      <c r="Y157" s="27">
        <f>Table2[[#This Row],[PREÇO UNITARIO]]*Table2[[#This Row],[QUANTIDADE]]</f>
        <v>790.42</v>
      </c>
      <c r="Z157" s="15"/>
      <c r="AA157" s="32">
        <f>MONTH(Table2[[#This Row],[DATA PEDIDO HP]])</f>
        <v>3</v>
      </c>
      <c r="AB157" s="32" t="s">
        <v>60</v>
      </c>
      <c r="AC157" s="5">
        <f t="shared" ca="1" si="2"/>
        <v>46232</v>
      </c>
      <c r="AD157" s="331">
        <f ca="1">_xlfn.DAYS(Table2[[#This Row],[HOJE]],Table2[[#This Row],[DATA PEDIDO HP]])</f>
        <v>499</v>
      </c>
      <c r="AE157" s="5" t="s">
        <v>43</v>
      </c>
    </row>
    <row r="158" spans="1:31" ht="14.45" hidden="1">
      <c r="A158" s="269" t="s">
        <v>656</v>
      </c>
      <c r="B158" s="25">
        <v>45733</v>
      </c>
      <c r="C158" s="26">
        <v>45716</v>
      </c>
      <c r="D158" s="14" t="s">
        <v>657</v>
      </c>
      <c r="E158" s="14" t="s">
        <v>225</v>
      </c>
      <c r="F158" s="14" t="s">
        <v>74</v>
      </c>
      <c r="G158" s="14">
        <v>50110261</v>
      </c>
      <c r="H158" s="14" t="s">
        <v>663</v>
      </c>
      <c r="I158" s="14" t="s">
        <v>664</v>
      </c>
      <c r="J158" s="14">
        <v>1</v>
      </c>
      <c r="K158" s="14" t="s">
        <v>37</v>
      </c>
      <c r="L158" s="14" t="s">
        <v>660</v>
      </c>
      <c r="M158" s="15" t="s">
        <v>58</v>
      </c>
      <c r="N158" s="14" t="s">
        <v>39</v>
      </c>
      <c r="O158" s="15">
        <v>1</v>
      </c>
      <c r="P158" s="15"/>
      <c r="Q158" s="15"/>
      <c r="R158" s="15"/>
      <c r="S158" s="25"/>
      <c r="T158" s="25">
        <v>45755</v>
      </c>
      <c r="U158" s="25">
        <v>45772</v>
      </c>
      <c r="V158" s="15" t="s">
        <v>40</v>
      </c>
      <c r="W158" s="15"/>
      <c r="X158" s="27">
        <v>365.81</v>
      </c>
      <c r="Y158" s="27">
        <f>Table2[[#This Row],[PREÇO UNITARIO]]*Table2[[#This Row],[QUANTIDADE]]</f>
        <v>365.81</v>
      </c>
      <c r="Z158" s="15"/>
      <c r="AA158" s="32">
        <f>MONTH(Table2[[#This Row],[DATA PEDIDO HP]])</f>
        <v>3</v>
      </c>
      <c r="AB158" s="32" t="s">
        <v>60</v>
      </c>
      <c r="AC158" s="5">
        <f t="shared" ca="1" si="2"/>
        <v>46232</v>
      </c>
      <c r="AD158" s="331">
        <f ca="1">_xlfn.DAYS(Table2[[#This Row],[HOJE]],Table2[[#This Row],[DATA PEDIDO HP]])</f>
        <v>499</v>
      </c>
      <c r="AE158" s="5" t="s">
        <v>43</v>
      </c>
    </row>
    <row r="159" spans="1:31" ht="14.45" hidden="1">
      <c r="A159" s="269" t="s">
        <v>656</v>
      </c>
      <c r="B159" s="25">
        <v>45733</v>
      </c>
      <c r="C159" s="26">
        <v>45716</v>
      </c>
      <c r="D159" s="14" t="s">
        <v>657</v>
      </c>
      <c r="E159" s="14" t="s">
        <v>225</v>
      </c>
      <c r="F159" s="14" t="s">
        <v>74</v>
      </c>
      <c r="G159" s="14">
        <v>50110261</v>
      </c>
      <c r="H159" s="14" t="s">
        <v>136</v>
      </c>
      <c r="I159" s="14" t="s">
        <v>137</v>
      </c>
      <c r="J159" s="14">
        <v>1</v>
      </c>
      <c r="K159" s="14" t="s">
        <v>37</v>
      </c>
      <c r="L159" s="14" t="s">
        <v>660</v>
      </c>
      <c r="M159" s="15" t="s">
        <v>39</v>
      </c>
      <c r="N159" s="14" t="s">
        <v>39</v>
      </c>
      <c r="O159" s="15">
        <v>1</v>
      </c>
      <c r="P159" s="15"/>
      <c r="Q159" s="15"/>
      <c r="R159" s="15"/>
      <c r="S159" s="25"/>
      <c r="T159" s="25">
        <v>45755</v>
      </c>
      <c r="U159" s="25">
        <v>45772</v>
      </c>
      <c r="V159" s="15" t="s">
        <v>40</v>
      </c>
      <c r="W159" s="15"/>
      <c r="X159" s="27">
        <v>42.46</v>
      </c>
      <c r="Y159" s="27">
        <f>Table2[[#This Row],[PREÇO UNITARIO]]*Table2[[#This Row],[QUANTIDADE]]</f>
        <v>42.46</v>
      </c>
      <c r="Z159" s="15"/>
      <c r="AA159" s="32">
        <f>MONTH(Table2[[#This Row],[DATA PEDIDO HP]])</f>
        <v>3</v>
      </c>
      <c r="AB159" s="32" t="s">
        <v>60</v>
      </c>
      <c r="AC159" s="5">
        <f t="shared" ca="1" si="2"/>
        <v>46232</v>
      </c>
      <c r="AD159" s="331">
        <f ca="1">_xlfn.DAYS(Table2[[#This Row],[HOJE]],Table2[[#This Row],[DATA PEDIDO HP]])</f>
        <v>499</v>
      </c>
      <c r="AE159" s="5" t="s">
        <v>43</v>
      </c>
    </row>
    <row r="160" spans="1:31" ht="14.45" hidden="1">
      <c r="A160" s="269" t="s">
        <v>656</v>
      </c>
      <c r="B160" s="25">
        <v>45733</v>
      </c>
      <c r="C160" s="26">
        <v>45716</v>
      </c>
      <c r="D160" s="14" t="s">
        <v>657</v>
      </c>
      <c r="E160" s="14" t="s">
        <v>225</v>
      </c>
      <c r="F160" s="14" t="s">
        <v>74</v>
      </c>
      <c r="G160" s="14">
        <v>50110261</v>
      </c>
      <c r="H160" s="14" t="s">
        <v>134</v>
      </c>
      <c r="I160" s="14" t="s">
        <v>665</v>
      </c>
      <c r="J160" s="14">
        <v>1</v>
      </c>
      <c r="K160" s="14" t="s">
        <v>37</v>
      </c>
      <c r="L160" s="14" t="s">
        <v>660</v>
      </c>
      <c r="M160" s="15" t="s">
        <v>58</v>
      </c>
      <c r="N160" s="14" t="s">
        <v>39</v>
      </c>
      <c r="O160" s="15">
        <v>1</v>
      </c>
      <c r="P160" s="15"/>
      <c r="Q160" s="15"/>
      <c r="R160" s="15"/>
      <c r="S160" s="25"/>
      <c r="T160" s="25">
        <v>45755</v>
      </c>
      <c r="U160" s="25">
        <v>45772</v>
      </c>
      <c r="V160" s="15" t="s">
        <v>40</v>
      </c>
      <c r="W160" s="15"/>
      <c r="X160" s="27">
        <v>19.600000000000001</v>
      </c>
      <c r="Y160" s="27">
        <f>Table2[[#This Row],[PREÇO UNITARIO]]*Table2[[#This Row],[QUANTIDADE]]</f>
        <v>19.600000000000001</v>
      </c>
      <c r="Z160" s="15"/>
      <c r="AA160" s="32">
        <f>MONTH(Table2[[#This Row],[DATA PEDIDO HP]])</f>
        <v>3</v>
      </c>
      <c r="AB160" s="32" t="s">
        <v>60</v>
      </c>
      <c r="AC160" s="5">
        <f t="shared" ca="1" si="2"/>
        <v>46232</v>
      </c>
      <c r="AD160" s="331">
        <f ca="1">_xlfn.DAYS(Table2[[#This Row],[HOJE]],Table2[[#This Row],[DATA PEDIDO HP]])</f>
        <v>499</v>
      </c>
      <c r="AE160" s="5" t="s">
        <v>43</v>
      </c>
    </row>
    <row r="161" spans="1:31" ht="14.45" hidden="1">
      <c r="A161" s="269" t="s">
        <v>666</v>
      </c>
      <c r="B161" s="25">
        <v>45722</v>
      </c>
      <c r="C161" s="26">
        <v>45716</v>
      </c>
      <c r="D161" s="14" t="s">
        <v>667</v>
      </c>
      <c r="E161" s="14" t="s">
        <v>233</v>
      </c>
      <c r="F161" s="14" t="s">
        <v>234</v>
      </c>
      <c r="G161" s="14">
        <v>47100399</v>
      </c>
      <c r="H161" s="14" t="s">
        <v>668</v>
      </c>
      <c r="I161" s="14" t="s">
        <v>669</v>
      </c>
      <c r="J161" s="14">
        <v>1</v>
      </c>
      <c r="K161" s="14" t="s">
        <v>37</v>
      </c>
      <c r="L161" s="14" t="s">
        <v>660</v>
      </c>
      <c r="M161" s="15" t="s">
        <v>58</v>
      </c>
      <c r="N161" s="15" t="s">
        <v>58</v>
      </c>
      <c r="O161" s="15">
        <v>1</v>
      </c>
      <c r="P161" s="15"/>
      <c r="Q161" s="15"/>
      <c r="R161" s="15"/>
      <c r="S161" s="25"/>
      <c r="T161" s="25">
        <v>45755</v>
      </c>
      <c r="U161" s="25">
        <v>45772</v>
      </c>
      <c r="V161" s="15" t="s">
        <v>40</v>
      </c>
      <c r="W161" s="15"/>
      <c r="X161" s="27">
        <v>1642.7</v>
      </c>
      <c r="Y161" s="27">
        <f>Table2[[#This Row],[PREÇO UNITARIO]]*Table2[[#This Row],[QUANTIDADE]]</f>
        <v>1642.7</v>
      </c>
      <c r="Z161" s="15"/>
      <c r="AA161" s="32">
        <f>MONTH(Table2[[#This Row],[DATA PEDIDO HP]])</f>
        <v>3</v>
      </c>
      <c r="AB161" s="32" t="s">
        <v>60</v>
      </c>
      <c r="AC161" s="5">
        <f t="shared" ca="1" si="2"/>
        <v>46232</v>
      </c>
      <c r="AD161" s="331">
        <f ca="1">_xlfn.DAYS(Table2[[#This Row],[HOJE]],Table2[[#This Row],[DATA PEDIDO HP]])</f>
        <v>510</v>
      </c>
      <c r="AE161" s="5" t="s">
        <v>43</v>
      </c>
    </row>
    <row r="162" spans="1:31" ht="14.45" hidden="1">
      <c r="A162" s="269" t="s">
        <v>670</v>
      </c>
      <c r="B162" s="26">
        <v>45722</v>
      </c>
      <c r="C162" s="26">
        <v>45722</v>
      </c>
      <c r="D162" s="14" t="s">
        <v>671</v>
      </c>
      <c r="E162" s="14" t="s">
        <v>73</v>
      </c>
      <c r="F162" s="14" t="s">
        <v>34</v>
      </c>
      <c r="G162" s="14">
        <v>50110372</v>
      </c>
      <c r="H162" s="14" t="s">
        <v>672</v>
      </c>
      <c r="I162" s="14" t="s">
        <v>673</v>
      </c>
      <c r="J162" s="14">
        <v>1</v>
      </c>
      <c r="K162" s="14" t="s">
        <v>37</v>
      </c>
      <c r="L162" s="14" t="s">
        <v>217</v>
      </c>
      <c r="M162" s="15" t="s">
        <v>58</v>
      </c>
      <c r="N162" s="15" t="s">
        <v>89</v>
      </c>
      <c r="O162" s="15">
        <v>0</v>
      </c>
      <c r="P162" s="15"/>
      <c r="Q162" s="15"/>
      <c r="R162" s="15"/>
      <c r="S162" s="25">
        <v>45813</v>
      </c>
      <c r="T162" s="25">
        <v>45788</v>
      </c>
      <c r="U162" s="25">
        <v>45799</v>
      </c>
      <c r="V162" s="15" t="s">
        <v>506</v>
      </c>
      <c r="W162" s="15"/>
      <c r="X162" s="27">
        <v>11.43</v>
      </c>
      <c r="Y162" s="27">
        <f>Table2[[#This Row],[PREÇO UNITARIO]]*Table2[[#This Row],[QUANTIDADE]]</f>
        <v>11.43</v>
      </c>
      <c r="Z162" s="15"/>
      <c r="AA162" s="28">
        <f>MONTH(Table2[[#This Row],[DATA PEDIDO HP]])</f>
        <v>3</v>
      </c>
      <c r="AB162" s="32" t="s">
        <v>42</v>
      </c>
      <c r="AC162" s="5">
        <f t="shared" ca="1" si="2"/>
        <v>46232</v>
      </c>
      <c r="AD162" s="331">
        <f ca="1">_xlfn.DAYS(Table2[[#This Row],[HOJE]],Table2[[#This Row],[DATA PEDIDO HP]])</f>
        <v>510</v>
      </c>
      <c r="AE162" s="336" t="s">
        <v>43</v>
      </c>
    </row>
    <row r="163" spans="1:31" ht="14.45" hidden="1">
      <c r="A163" s="269" t="s">
        <v>674</v>
      </c>
      <c r="B163" s="26">
        <v>45722</v>
      </c>
      <c r="C163" s="26">
        <v>45722</v>
      </c>
      <c r="D163" s="14" t="s">
        <v>675</v>
      </c>
      <c r="E163" s="14" t="s">
        <v>103</v>
      </c>
      <c r="F163" s="14" t="s">
        <v>104</v>
      </c>
      <c r="G163" s="14">
        <v>51000136</v>
      </c>
      <c r="H163" s="14" t="s">
        <v>676</v>
      </c>
      <c r="I163" s="14" t="s">
        <v>677</v>
      </c>
      <c r="J163" s="14">
        <v>1</v>
      </c>
      <c r="K163" s="14" t="s">
        <v>37</v>
      </c>
      <c r="L163" s="14" t="s">
        <v>217</v>
      </c>
      <c r="M163" s="15"/>
      <c r="N163" s="15" t="s">
        <v>39</v>
      </c>
      <c r="O163" s="15">
        <v>1</v>
      </c>
      <c r="P163" s="15"/>
      <c r="Q163" s="15"/>
      <c r="R163" s="15"/>
      <c r="S163" s="25">
        <v>45783</v>
      </c>
      <c r="T163" s="25">
        <v>45755</v>
      </c>
      <c r="U163" s="25">
        <v>45772</v>
      </c>
      <c r="V163" s="15" t="s">
        <v>40</v>
      </c>
      <c r="W163" s="15"/>
      <c r="X163" s="27">
        <v>84.92</v>
      </c>
      <c r="Y163" s="27">
        <f>Table2[[#This Row],[PREÇO UNITARIO]]*Table2[[#This Row],[QUANTIDADE]]</f>
        <v>84.92</v>
      </c>
      <c r="Z163" s="15"/>
      <c r="AA163" s="28">
        <f>MONTH(Table2[[#This Row],[DATA PEDIDO HP]])</f>
        <v>3</v>
      </c>
      <c r="AB163" s="32" t="s">
        <v>42</v>
      </c>
      <c r="AC163" s="5">
        <f t="shared" ca="1" si="2"/>
        <v>46232</v>
      </c>
      <c r="AD163" s="331">
        <f ca="1">_xlfn.DAYS(Table2[[#This Row],[HOJE]],Table2[[#This Row],[DATA PEDIDO HP]])</f>
        <v>510</v>
      </c>
      <c r="AE163" s="336" t="s">
        <v>43</v>
      </c>
    </row>
    <row r="164" spans="1:31" ht="14.45" hidden="1">
      <c r="A164" s="269" t="s">
        <v>678</v>
      </c>
      <c r="B164" s="26">
        <v>45723</v>
      </c>
      <c r="C164" s="26">
        <v>45722</v>
      </c>
      <c r="D164" s="14" t="s">
        <v>679</v>
      </c>
      <c r="E164" s="14" t="s">
        <v>103</v>
      </c>
      <c r="F164" s="14" t="s">
        <v>104</v>
      </c>
      <c r="G164" s="14">
        <v>51000323</v>
      </c>
      <c r="H164" s="14" t="s">
        <v>680</v>
      </c>
      <c r="I164" s="14" t="s">
        <v>681</v>
      </c>
      <c r="J164" s="14">
        <v>1</v>
      </c>
      <c r="K164" s="14" t="s">
        <v>37</v>
      </c>
      <c r="L164" s="14" t="s">
        <v>217</v>
      </c>
      <c r="M164" s="15"/>
      <c r="N164" s="15" t="s">
        <v>89</v>
      </c>
      <c r="O164" s="15">
        <v>0</v>
      </c>
      <c r="P164" s="15"/>
      <c r="Q164" s="15"/>
      <c r="R164" s="15"/>
      <c r="S164" s="25">
        <v>45783</v>
      </c>
      <c r="T164" s="25">
        <v>45755</v>
      </c>
      <c r="U164" s="25">
        <v>45772</v>
      </c>
      <c r="V164" s="15" t="s">
        <v>40</v>
      </c>
      <c r="W164" s="15"/>
      <c r="X164" s="27">
        <v>173.11</v>
      </c>
      <c r="Y164" s="27">
        <f>Table2[[#This Row],[PREÇO UNITARIO]]*Table2[[#This Row],[QUANTIDADE]]</f>
        <v>173.11</v>
      </c>
      <c r="Z164" s="15"/>
      <c r="AA164" s="28">
        <f>MONTH(Table2[[#This Row],[DATA PEDIDO HP]])</f>
        <v>3</v>
      </c>
      <c r="AB164" s="32" t="s">
        <v>42</v>
      </c>
      <c r="AC164" s="5">
        <f t="shared" ca="1" si="2"/>
        <v>46232</v>
      </c>
      <c r="AD164" s="331">
        <f ca="1">_xlfn.DAYS(Table2[[#This Row],[HOJE]],Table2[[#This Row],[DATA PEDIDO HP]])</f>
        <v>509</v>
      </c>
      <c r="AE164" s="336" t="s">
        <v>43</v>
      </c>
    </row>
    <row r="165" spans="1:31" ht="14.45" hidden="1">
      <c r="A165" s="269" t="s">
        <v>678</v>
      </c>
      <c r="B165" s="26">
        <v>45723</v>
      </c>
      <c r="C165" s="26">
        <v>45722</v>
      </c>
      <c r="D165" s="14" t="s">
        <v>679</v>
      </c>
      <c r="E165" s="14" t="s">
        <v>103</v>
      </c>
      <c r="F165" s="14" t="s">
        <v>104</v>
      </c>
      <c r="G165" s="14">
        <v>51000323</v>
      </c>
      <c r="H165" s="14" t="s">
        <v>35</v>
      </c>
      <c r="I165" s="14" t="s">
        <v>682</v>
      </c>
      <c r="J165" s="14">
        <v>1</v>
      </c>
      <c r="K165" s="14" t="s">
        <v>37</v>
      </c>
      <c r="L165" s="14" t="s">
        <v>217</v>
      </c>
      <c r="M165" s="15"/>
      <c r="N165" s="15" t="s">
        <v>89</v>
      </c>
      <c r="O165" s="15">
        <v>0</v>
      </c>
      <c r="P165" s="15"/>
      <c r="Q165" s="15"/>
      <c r="R165" s="15"/>
      <c r="S165" s="25">
        <v>45783</v>
      </c>
      <c r="T165" s="25">
        <v>45755</v>
      </c>
      <c r="U165" s="25">
        <v>45772</v>
      </c>
      <c r="V165" s="15" t="s">
        <v>40</v>
      </c>
      <c r="W165" s="15"/>
      <c r="X165" s="27">
        <v>790.42</v>
      </c>
      <c r="Y165" s="27">
        <f>Table2[[#This Row],[PREÇO UNITARIO]]*Table2[[#This Row],[QUANTIDADE]]</f>
        <v>790.42</v>
      </c>
      <c r="Z165" s="15"/>
      <c r="AA165" s="28">
        <f>MONTH(Table2[[#This Row],[DATA PEDIDO HP]])</f>
        <v>3</v>
      </c>
      <c r="AB165" s="32" t="s">
        <v>42</v>
      </c>
      <c r="AC165" s="5">
        <f t="shared" ca="1" si="2"/>
        <v>46232</v>
      </c>
      <c r="AD165" s="331">
        <f ca="1">_xlfn.DAYS(Table2[[#This Row],[HOJE]],Table2[[#This Row],[DATA PEDIDO HP]])</f>
        <v>509</v>
      </c>
      <c r="AE165" s="336" t="s">
        <v>43</v>
      </c>
    </row>
    <row r="166" spans="1:31" ht="14.45" hidden="1">
      <c r="A166" s="269" t="s">
        <v>678</v>
      </c>
      <c r="B166" s="26">
        <v>45723</v>
      </c>
      <c r="C166" s="26">
        <v>45722</v>
      </c>
      <c r="D166" s="14" t="s">
        <v>679</v>
      </c>
      <c r="E166" s="14" t="s">
        <v>103</v>
      </c>
      <c r="F166" s="14" t="s">
        <v>104</v>
      </c>
      <c r="G166" s="14">
        <v>51000323</v>
      </c>
      <c r="H166" s="14" t="s">
        <v>683</v>
      </c>
      <c r="I166" s="14" t="s">
        <v>684</v>
      </c>
      <c r="J166" s="14">
        <v>1</v>
      </c>
      <c r="K166" s="14" t="s">
        <v>37</v>
      </c>
      <c r="L166" s="14" t="s">
        <v>217</v>
      </c>
      <c r="M166" s="15" t="s">
        <v>39</v>
      </c>
      <c r="N166" s="15" t="s">
        <v>89</v>
      </c>
      <c r="O166" s="15">
        <v>0</v>
      </c>
      <c r="P166" s="15"/>
      <c r="Q166" s="15"/>
      <c r="R166" s="15"/>
      <c r="S166" s="25">
        <v>45783</v>
      </c>
      <c r="T166" s="25">
        <v>45755</v>
      </c>
      <c r="U166" s="25">
        <v>45772</v>
      </c>
      <c r="V166" s="15" t="s">
        <v>40</v>
      </c>
      <c r="W166" s="15"/>
      <c r="X166" s="27">
        <v>47.36</v>
      </c>
      <c r="Y166" s="27">
        <f>Table2[[#This Row],[PREÇO UNITARIO]]*Table2[[#This Row],[QUANTIDADE]]</f>
        <v>47.36</v>
      </c>
      <c r="Z166" s="15"/>
      <c r="AA166" s="28">
        <f>MONTH(Table2[[#This Row],[DATA PEDIDO HP]])</f>
        <v>3</v>
      </c>
      <c r="AB166" s="32" t="s">
        <v>42</v>
      </c>
      <c r="AC166" s="5">
        <f t="shared" ca="1" si="2"/>
        <v>46232</v>
      </c>
      <c r="AD166" s="331">
        <f ca="1">_xlfn.DAYS(Table2[[#This Row],[HOJE]],Table2[[#This Row],[DATA PEDIDO HP]])</f>
        <v>509</v>
      </c>
      <c r="AE166" s="336" t="s">
        <v>43</v>
      </c>
    </row>
    <row r="167" spans="1:31" ht="14.45" hidden="1">
      <c r="A167" s="269" t="s">
        <v>685</v>
      </c>
      <c r="B167" s="26">
        <v>45723</v>
      </c>
      <c r="C167" s="26">
        <v>45722</v>
      </c>
      <c r="D167" s="14" t="s">
        <v>675</v>
      </c>
      <c r="E167" s="14" t="s">
        <v>103</v>
      </c>
      <c r="F167" s="14" t="s">
        <v>104</v>
      </c>
      <c r="G167" s="14">
        <v>51000136</v>
      </c>
      <c r="H167" s="14" t="s">
        <v>686</v>
      </c>
      <c r="I167" s="14" t="s">
        <v>687</v>
      </c>
      <c r="J167" s="14">
        <v>1</v>
      </c>
      <c r="K167" s="14" t="s">
        <v>37</v>
      </c>
      <c r="L167" s="14" t="s">
        <v>217</v>
      </c>
      <c r="M167" s="15" t="s">
        <v>58</v>
      </c>
      <c r="N167" s="15" t="s">
        <v>58</v>
      </c>
      <c r="O167" s="15">
        <v>1</v>
      </c>
      <c r="P167" s="15"/>
      <c r="Q167" s="15"/>
      <c r="R167" s="15"/>
      <c r="S167" s="25"/>
      <c r="T167" s="25">
        <v>45755</v>
      </c>
      <c r="U167" s="25">
        <v>45772</v>
      </c>
      <c r="V167" s="15" t="s">
        <v>40</v>
      </c>
      <c r="W167" s="15"/>
      <c r="X167" s="27">
        <v>125.76</v>
      </c>
      <c r="Y167" s="27">
        <f>Table2[[#This Row],[PREÇO UNITARIO]]*Table2[[#This Row],[QUANTIDADE]]</f>
        <v>125.76</v>
      </c>
      <c r="Z167" s="15"/>
      <c r="AA167" s="28">
        <f>MONTH(Table2[[#This Row],[DATA PEDIDO HP]])</f>
        <v>3</v>
      </c>
      <c r="AB167" s="32" t="s">
        <v>42</v>
      </c>
      <c r="AC167" s="5">
        <f t="shared" ca="1" si="2"/>
        <v>46232</v>
      </c>
      <c r="AD167" s="331">
        <f ca="1">_xlfn.DAYS(Table2[[#This Row],[HOJE]],Table2[[#This Row],[DATA PEDIDO HP]])</f>
        <v>509</v>
      </c>
      <c r="AE167" s="5" t="s">
        <v>43</v>
      </c>
    </row>
    <row r="168" spans="1:31" ht="14.45" hidden="1">
      <c r="A168" s="269" t="s">
        <v>688</v>
      </c>
      <c r="B168" s="26">
        <v>45723</v>
      </c>
      <c r="C168" s="26">
        <v>45722</v>
      </c>
      <c r="D168" s="14" t="s">
        <v>679</v>
      </c>
      <c r="E168" s="14" t="s">
        <v>103</v>
      </c>
      <c r="F168" s="14" t="s">
        <v>104</v>
      </c>
      <c r="G168" s="14">
        <v>51000323</v>
      </c>
      <c r="H168" s="14" t="s">
        <v>686</v>
      </c>
      <c r="I168" s="14" t="s">
        <v>687</v>
      </c>
      <c r="J168" s="14">
        <v>1</v>
      </c>
      <c r="K168" s="14" t="s">
        <v>37</v>
      </c>
      <c r="L168" s="14" t="s">
        <v>217</v>
      </c>
      <c r="M168" s="15" t="s">
        <v>58</v>
      </c>
      <c r="N168" s="15" t="s">
        <v>58</v>
      </c>
      <c r="O168" s="15">
        <v>1</v>
      </c>
      <c r="P168" s="15"/>
      <c r="Q168" s="15"/>
      <c r="R168" s="15"/>
      <c r="S168" s="25"/>
      <c r="T168" s="25">
        <v>45755</v>
      </c>
      <c r="U168" s="25">
        <v>45772</v>
      </c>
      <c r="V168" s="15" t="s">
        <v>40</v>
      </c>
      <c r="W168" s="15"/>
      <c r="X168" s="27">
        <v>125.76</v>
      </c>
      <c r="Y168" s="27">
        <f>Table2[[#This Row],[PREÇO UNITARIO]]*Table2[[#This Row],[QUANTIDADE]]</f>
        <v>125.76</v>
      </c>
      <c r="Z168" s="15"/>
      <c r="AA168" s="28">
        <f>MONTH(Table2[[#This Row],[DATA PEDIDO HP]])</f>
        <v>3</v>
      </c>
      <c r="AB168" s="32" t="s">
        <v>42</v>
      </c>
      <c r="AC168" s="5">
        <f t="shared" ca="1" si="2"/>
        <v>46232</v>
      </c>
      <c r="AD168" s="331">
        <f ca="1">_xlfn.DAYS(Table2[[#This Row],[HOJE]],Table2[[#This Row],[DATA PEDIDO HP]])</f>
        <v>509</v>
      </c>
      <c r="AE168" s="5" t="s">
        <v>43</v>
      </c>
    </row>
    <row r="169" spans="1:31" ht="14.45" hidden="1">
      <c r="A169" s="269" t="s">
        <v>689</v>
      </c>
      <c r="B169" s="26">
        <v>45723</v>
      </c>
      <c r="C169" s="26">
        <v>45723</v>
      </c>
      <c r="D169" s="14" t="s">
        <v>690</v>
      </c>
      <c r="E169" s="14" t="s">
        <v>73</v>
      </c>
      <c r="F169" s="14" t="s">
        <v>203</v>
      </c>
      <c r="G169" s="14">
        <v>60002095</v>
      </c>
      <c r="H169" s="14" t="s">
        <v>691</v>
      </c>
      <c r="I169" s="14" t="s">
        <v>692</v>
      </c>
      <c r="J169" s="14">
        <v>1</v>
      </c>
      <c r="K169" s="14" t="s">
        <v>37</v>
      </c>
      <c r="L169" s="14" t="s">
        <v>96</v>
      </c>
      <c r="M169" s="15" t="s">
        <v>58</v>
      </c>
      <c r="N169" s="15" t="s">
        <v>89</v>
      </c>
      <c r="O169" s="15">
        <v>0</v>
      </c>
      <c r="P169" s="15"/>
      <c r="Q169" s="15"/>
      <c r="R169" s="15"/>
      <c r="S169" s="25">
        <v>45750</v>
      </c>
      <c r="T169" s="25">
        <v>45729</v>
      </c>
      <c r="U169" s="25">
        <v>45735</v>
      </c>
      <c r="V169" s="15" t="s">
        <v>523</v>
      </c>
      <c r="W169" s="15" t="s">
        <v>41</v>
      </c>
      <c r="X169" s="27">
        <v>2040.97</v>
      </c>
      <c r="Y169" s="27">
        <f>Table2[[#This Row],[PREÇO UNITARIO]]*Table2[[#This Row],[QUANTIDADE]]</f>
        <v>2040.97</v>
      </c>
      <c r="Z169" s="15" t="s">
        <v>693</v>
      </c>
      <c r="AA169" s="28">
        <f>MONTH(Table2[[#This Row],[DATA PEDIDO HP]])</f>
        <v>3</v>
      </c>
      <c r="AB169" s="32" t="s">
        <v>42</v>
      </c>
      <c r="AC169" s="5">
        <f t="shared" ca="1" si="2"/>
        <v>46232</v>
      </c>
      <c r="AD169" s="331">
        <f ca="1">_xlfn.DAYS(Table2[[#This Row],[HOJE]],Table2[[#This Row],[DATA PEDIDO HP]])</f>
        <v>509</v>
      </c>
      <c r="AE169" s="336" t="s">
        <v>43</v>
      </c>
    </row>
    <row r="170" spans="1:31" ht="14.45" hidden="1">
      <c r="A170" s="269" t="s">
        <v>694</v>
      </c>
      <c r="B170" s="26">
        <v>45726</v>
      </c>
      <c r="C170" s="26">
        <v>45726</v>
      </c>
      <c r="D170" s="14"/>
      <c r="E170" s="14" t="s">
        <v>695</v>
      </c>
      <c r="F170" s="14" t="s">
        <v>74</v>
      </c>
      <c r="G170" s="14">
        <v>50000487</v>
      </c>
      <c r="H170" s="14"/>
      <c r="I170" s="14"/>
      <c r="J170" s="14">
        <v>1</v>
      </c>
      <c r="K170" s="14"/>
      <c r="L170" s="14"/>
      <c r="M170" s="15" t="s">
        <v>58</v>
      </c>
      <c r="N170" s="15" t="s">
        <v>384</v>
      </c>
      <c r="O170" s="15">
        <v>1</v>
      </c>
      <c r="P170" s="15"/>
      <c r="Q170" s="15"/>
      <c r="R170" s="15"/>
      <c r="S170" s="25">
        <v>45813</v>
      </c>
      <c r="T170" s="25">
        <v>45788</v>
      </c>
      <c r="U170" s="25">
        <v>45799</v>
      </c>
      <c r="V170" s="15" t="s">
        <v>506</v>
      </c>
      <c r="W170" s="15"/>
      <c r="X170" s="27"/>
      <c r="Y170" s="27"/>
      <c r="Z170" s="14" t="s">
        <v>696</v>
      </c>
      <c r="AA170" s="28">
        <f>MONTH(Table2[[#This Row],[DATA PEDIDO HP]])</f>
        <v>3</v>
      </c>
      <c r="AB170" s="32"/>
      <c r="AC170" s="5">
        <f t="shared" ca="1" si="2"/>
        <v>46232</v>
      </c>
      <c r="AD170" s="331">
        <f ca="1">_xlfn.DAYS(Table2[[#This Row],[HOJE]],Table2[[#This Row],[DATA PEDIDO HP]])</f>
        <v>506</v>
      </c>
      <c r="AE170" s="336" t="s">
        <v>43</v>
      </c>
    </row>
    <row r="171" spans="1:31" ht="14.45" hidden="1">
      <c r="A171" s="269" t="s">
        <v>697</v>
      </c>
      <c r="B171" s="26">
        <v>45728</v>
      </c>
      <c r="C171" s="26">
        <v>45728</v>
      </c>
      <c r="D171" s="14" t="s">
        <v>698</v>
      </c>
      <c r="E171" s="14" t="s">
        <v>103</v>
      </c>
      <c r="F171" s="14" t="s">
        <v>104</v>
      </c>
      <c r="G171" s="14">
        <v>51000323</v>
      </c>
      <c r="H171" s="14" t="s">
        <v>699</v>
      </c>
      <c r="I171" s="14" t="s">
        <v>700</v>
      </c>
      <c r="J171" s="14">
        <v>1</v>
      </c>
      <c r="K171" s="14" t="s">
        <v>67</v>
      </c>
      <c r="L171" s="14" t="s">
        <v>363</v>
      </c>
      <c r="M171" s="15" t="s">
        <v>58</v>
      </c>
      <c r="N171" s="15" t="s">
        <v>89</v>
      </c>
      <c r="O171" s="15">
        <v>0</v>
      </c>
      <c r="P171" s="15"/>
      <c r="Q171" s="15"/>
      <c r="R171" s="15"/>
      <c r="S171" s="25"/>
      <c r="T171" s="25">
        <v>45735</v>
      </c>
      <c r="U171" s="25">
        <v>45742</v>
      </c>
      <c r="V171" s="15" t="s">
        <v>69</v>
      </c>
      <c r="W171" s="15"/>
      <c r="X171" s="27">
        <v>425.81</v>
      </c>
      <c r="Y171" s="27">
        <f>Table2[[#This Row],[PREÇO UNITARIO]]*Table2[[#This Row],[QUANTIDADE]]</f>
        <v>425.81</v>
      </c>
      <c r="Z171" s="15"/>
      <c r="AA171" s="28">
        <f>MONTH(Table2[[#This Row],[DATA PEDIDO HP]])</f>
        <v>3</v>
      </c>
      <c r="AB171" s="32" t="s">
        <v>42</v>
      </c>
      <c r="AC171" s="5">
        <f t="shared" ca="1" si="2"/>
        <v>46232</v>
      </c>
      <c r="AD171" s="331">
        <f ca="1">_xlfn.DAYS(Table2[[#This Row],[HOJE]],Table2[[#This Row],[DATA PEDIDO HP]])</f>
        <v>504</v>
      </c>
      <c r="AE171" s="5" t="s">
        <v>43</v>
      </c>
    </row>
    <row r="172" spans="1:31" ht="14.45" hidden="1">
      <c r="A172" s="269" t="s">
        <v>701</v>
      </c>
      <c r="B172" s="26">
        <v>45728</v>
      </c>
      <c r="C172" s="26">
        <v>45728</v>
      </c>
      <c r="D172" s="14" t="s">
        <v>702</v>
      </c>
      <c r="E172" s="14" t="s">
        <v>515</v>
      </c>
      <c r="F172" s="14" t="s">
        <v>516</v>
      </c>
      <c r="G172" s="14">
        <v>61000037</v>
      </c>
      <c r="H172" s="14" t="s">
        <v>703</v>
      </c>
      <c r="I172" s="14" t="s">
        <v>704</v>
      </c>
      <c r="J172" s="14">
        <v>1</v>
      </c>
      <c r="K172" s="14" t="s">
        <v>67</v>
      </c>
      <c r="L172" s="14" t="s">
        <v>363</v>
      </c>
      <c r="M172" s="15" t="s">
        <v>58</v>
      </c>
      <c r="N172" s="15" t="s">
        <v>89</v>
      </c>
      <c r="O172" s="15">
        <v>0</v>
      </c>
      <c r="P172" s="15"/>
      <c r="Q172" s="15"/>
      <c r="R172" s="15"/>
      <c r="S172" s="25">
        <v>45905</v>
      </c>
      <c r="T172" s="25">
        <v>45888</v>
      </c>
      <c r="U172" s="25">
        <v>45898</v>
      </c>
      <c r="V172" s="15" t="s">
        <v>420</v>
      </c>
      <c r="W172" s="15"/>
      <c r="X172" s="27">
        <v>1121.24</v>
      </c>
      <c r="Y172" s="27">
        <f>Table2[[#This Row],[PREÇO UNITARIO]]*Table2[[#This Row],[QUANTIDADE]]</f>
        <v>1121.24</v>
      </c>
      <c r="Z172" s="15"/>
      <c r="AA172" s="28">
        <f>MONTH(Table2[[#This Row],[DATA PEDIDO HP]])</f>
        <v>3</v>
      </c>
      <c r="AB172" s="32" t="s">
        <v>60</v>
      </c>
      <c r="AC172" s="5">
        <f t="shared" ca="1" si="2"/>
        <v>46232</v>
      </c>
      <c r="AD172" s="331">
        <f ca="1">_xlfn.DAYS(Table2[[#This Row],[HOJE]],Table2[[#This Row],[DATA PEDIDO HP]])</f>
        <v>504</v>
      </c>
      <c r="AE172" s="336" t="s">
        <v>43</v>
      </c>
    </row>
    <row r="173" spans="1:31" ht="14.45" hidden="1">
      <c r="A173" s="269" t="s">
        <v>705</v>
      </c>
      <c r="B173" s="26">
        <v>45728</v>
      </c>
      <c r="C173" s="26">
        <v>45728</v>
      </c>
      <c r="D173" s="14" t="s">
        <v>706</v>
      </c>
      <c r="E173" s="14" t="s">
        <v>225</v>
      </c>
      <c r="F173" s="14" t="s">
        <v>34</v>
      </c>
      <c r="G173" s="14">
        <v>50110261</v>
      </c>
      <c r="H173" s="14" t="s">
        <v>707</v>
      </c>
      <c r="I173" s="14" t="s">
        <v>708</v>
      </c>
      <c r="J173" s="14">
        <v>1</v>
      </c>
      <c r="K173" s="14" t="s">
        <v>67</v>
      </c>
      <c r="L173" s="14" t="s">
        <v>217</v>
      </c>
      <c r="M173" s="15" t="s">
        <v>89</v>
      </c>
      <c r="N173" s="15" t="s">
        <v>89</v>
      </c>
      <c r="O173" s="15">
        <v>1</v>
      </c>
      <c r="P173" s="15"/>
      <c r="Q173" s="15"/>
      <c r="R173" s="15"/>
      <c r="S173" s="25">
        <v>45755</v>
      </c>
      <c r="T173" s="25">
        <v>45729</v>
      </c>
      <c r="U173" s="25">
        <v>45735</v>
      </c>
      <c r="V173" s="15" t="s">
        <v>523</v>
      </c>
      <c r="W173" s="15" t="s">
        <v>709</v>
      </c>
      <c r="X173" s="27">
        <v>9479.24</v>
      </c>
      <c r="Y173" s="27">
        <f>Table2[[#This Row],[PREÇO UNITARIO]]*Table2[[#This Row],[QUANTIDADE]]</f>
        <v>9479.24</v>
      </c>
      <c r="Z173" s="15"/>
      <c r="AA173" s="28">
        <f>MONTH(Table2[[#This Row],[DATA PEDIDO HP]])</f>
        <v>3</v>
      </c>
      <c r="AB173" s="32" t="s">
        <v>60</v>
      </c>
      <c r="AC173" s="5">
        <f t="shared" ca="1" si="2"/>
        <v>46232</v>
      </c>
      <c r="AD173" s="331">
        <f ca="1">_xlfn.DAYS(Table2[[#This Row],[HOJE]],Table2[[#This Row],[DATA PEDIDO HP]])</f>
        <v>504</v>
      </c>
      <c r="AE173" s="336" t="s">
        <v>43</v>
      </c>
    </row>
    <row r="174" spans="1:31" ht="14.45" hidden="1">
      <c r="A174" s="269" t="s">
        <v>710</v>
      </c>
      <c r="B174" s="26">
        <v>45728</v>
      </c>
      <c r="C174" s="26">
        <v>45728</v>
      </c>
      <c r="D174" s="14"/>
      <c r="E174" s="14" t="s">
        <v>381</v>
      </c>
      <c r="F174" s="14" t="s">
        <v>203</v>
      </c>
      <c r="G174" s="14">
        <v>60002095</v>
      </c>
      <c r="H174" s="14"/>
      <c r="I174" s="14"/>
      <c r="J174" s="14">
        <v>1</v>
      </c>
      <c r="K174" s="14" t="s">
        <v>37</v>
      </c>
      <c r="L174" s="14"/>
      <c r="M174" s="15" t="s">
        <v>58</v>
      </c>
      <c r="N174" s="15" t="s">
        <v>384</v>
      </c>
      <c r="O174" s="15">
        <v>1</v>
      </c>
      <c r="P174" s="15"/>
      <c r="Q174" s="15"/>
      <c r="R174" s="15"/>
      <c r="S174" s="25"/>
      <c r="T174" s="25">
        <v>45788</v>
      </c>
      <c r="U174" s="25">
        <v>45799</v>
      </c>
      <c r="V174" s="15" t="s">
        <v>506</v>
      </c>
      <c r="W174" s="15"/>
      <c r="X174" s="27"/>
      <c r="Y174" s="27"/>
      <c r="Z174" s="14" t="s">
        <v>711</v>
      </c>
      <c r="AA174" s="28">
        <f>MONTH(Table2[[#This Row],[DATA PEDIDO HP]])</f>
        <v>3</v>
      </c>
      <c r="AB174" s="32"/>
      <c r="AC174" s="5">
        <f t="shared" ca="1" si="2"/>
        <v>46232</v>
      </c>
      <c r="AD174" s="331">
        <f ca="1">_xlfn.DAYS(Table2[[#This Row],[HOJE]],Table2[[#This Row],[DATA PEDIDO HP]])</f>
        <v>504</v>
      </c>
      <c r="AE174" s="5" t="s">
        <v>43</v>
      </c>
    </row>
    <row r="175" spans="1:31" ht="14.45" hidden="1">
      <c r="A175" s="269" t="s">
        <v>712</v>
      </c>
      <c r="B175" s="26">
        <v>45728</v>
      </c>
      <c r="C175" s="26">
        <v>45728</v>
      </c>
      <c r="D175" s="14"/>
      <c r="E175" s="14" t="s">
        <v>381</v>
      </c>
      <c r="F175" s="14"/>
      <c r="G175" s="14"/>
      <c r="H175" s="14"/>
      <c r="I175" s="14"/>
      <c r="J175" s="14">
        <v>3</v>
      </c>
      <c r="K175" s="14" t="s">
        <v>37</v>
      </c>
      <c r="L175" s="14"/>
      <c r="M175" s="15" t="s">
        <v>89</v>
      </c>
      <c r="N175" s="15" t="s">
        <v>384</v>
      </c>
      <c r="O175" s="15">
        <v>3</v>
      </c>
      <c r="P175" s="15"/>
      <c r="Q175" s="15"/>
      <c r="R175" s="15"/>
      <c r="S175" s="25"/>
      <c r="T175" s="25">
        <v>45755</v>
      </c>
      <c r="U175" s="25">
        <v>45772</v>
      </c>
      <c r="V175" s="15" t="s">
        <v>40</v>
      </c>
      <c r="W175" s="15"/>
      <c r="X175" s="27"/>
      <c r="Y175" s="27"/>
      <c r="Z175" s="14" t="s">
        <v>713</v>
      </c>
      <c r="AA175" s="28">
        <f>MONTH(Table2[[#This Row],[DATA PEDIDO HP]])</f>
        <v>3</v>
      </c>
      <c r="AB175" s="32"/>
      <c r="AC175" s="5">
        <f t="shared" ca="1" si="2"/>
        <v>46232</v>
      </c>
      <c r="AD175" s="331">
        <f ca="1">_xlfn.DAYS(Table2[[#This Row],[HOJE]],Table2[[#This Row],[DATA PEDIDO HP]])</f>
        <v>504</v>
      </c>
      <c r="AE175" s="5" t="s">
        <v>43</v>
      </c>
    </row>
    <row r="176" spans="1:31" ht="14.45" hidden="1">
      <c r="A176" s="269" t="s">
        <v>714</v>
      </c>
      <c r="B176" s="26">
        <v>45729</v>
      </c>
      <c r="C176" s="26">
        <v>45729</v>
      </c>
      <c r="D176" s="14" t="s">
        <v>715</v>
      </c>
      <c r="E176" s="14" t="s">
        <v>202</v>
      </c>
      <c r="F176" s="14" t="s">
        <v>203</v>
      </c>
      <c r="G176" s="14">
        <v>60002072</v>
      </c>
      <c r="H176" s="14" t="s">
        <v>716</v>
      </c>
      <c r="I176" s="14" t="s">
        <v>717</v>
      </c>
      <c r="J176" s="14">
        <v>1</v>
      </c>
      <c r="K176" s="14" t="s">
        <v>37</v>
      </c>
      <c r="L176" s="14" t="s">
        <v>346</v>
      </c>
      <c r="M176" s="15" t="s">
        <v>58</v>
      </c>
      <c r="N176" s="15" t="s">
        <v>58</v>
      </c>
      <c r="O176" s="15">
        <v>1</v>
      </c>
      <c r="P176" s="15"/>
      <c r="Q176" s="15"/>
      <c r="R176" s="15"/>
      <c r="S176" s="25"/>
      <c r="T176" s="25">
        <v>45755</v>
      </c>
      <c r="U176" s="25">
        <v>45772</v>
      </c>
      <c r="V176" s="15" t="s">
        <v>40</v>
      </c>
      <c r="W176" s="15"/>
      <c r="X176" s="27">
        <v>723.56</v>
      </c>
      <c r="Y176" s="27">
        <f>Table2[[#This Row],[PREÇO UNITARIO]]*Table2[[#This Row],[QUANTIDADE]]</f>
        <v>723.56</v>
      </c>
      <c r="Z176" s="15"/>
      <c r="AA176" s="28">
        <f>MONTH(Table2[[#This Row],[DATA PEDIDO HP]])</f>
        <v>3</v>
      </c>
      <c r="AB176" s="32" t="s">
        <v>60</v>
      </c>
      <c r="AC176" s="5">
        <f t="shared" ca="1" si="2"/>
        <v>46232</v>
      </c>
      <c r="AD176" s="331">
        <f ca="1">_xlfn.DAYS(Table2[[#This Row],[HOJE]],Table2[[#This Row],[DATA PEDIDO HP]])</f>
        <v>503</v>
      </c>
      <c r="AE176" s="5" t="s">
        <v>43</v>
      </c>
    </row>
    <row r="177" spans="1:31" ht="14.45" hidden="1">
      <c r="A177" s="269" t="s">
        <v>718</v>
      </c>
      <c r="B177" s="26">
        <v>45729</v>
      </c>
      <c r="C177" s="26">
        <v>45729</v>
      </c>
      <c r="D177" s="14" t="s">
        <v>719</v>
      </c>
      <c r="E177" s="14" t="s">
        <v>720</v>
      </c>
      <c r="F177" s="14" t="s">
        <v>64</v>
      </c>
      <c r="G177" s="14">
        <v>48000002</v>
      </c>
      <c r="H177" s="14" t="s">
        <v>721</v>
      </c>
      <c r="I177" s="14" t="s">
        <v>722</v>
      </c>
      <c r="J177" s="14">
        <v>1</v>
      </c>
      <c r="K177" s="14" t="s">
        <v>37</v>
      </c>
      <c r="L177" s="14" t="s">
        <v>412</v>
      </c>
      <c r="M177" s="15" t="s">
        <v>89</v>
      </c>
      <c r="N177" s="15" t="s">
        <v>58</v>
      </c>
      <c r="O177" s="15">
        <v>1</v>
      </c>
      <c r="P177" s="15"/>
      <c r="Q177" s="15"/>
      <c r="R177" s="15"/>
      <c r="S177" s="25"/>
      <c r="T177" s="25">
        <v>45755</v>
      </c>
      <c r="U177" s="25">
        <v>45772</v>
      </c>
      <c r="V177" s="15" t="s">
        <v>40</v>
      </c>
      <c r="W177" s="15"/>
      <c r="X177" s="27">
        <v>107.78</v>
      </c>
      <c r="Y177" s="27">
        <f>Table2[[#This Row],[PREÇO UNITARIO]]*Table2[[#This Row],[QUANTIDADE]]</f>
        <v>107.78</v>
      </c>
      <c r="Z177" s="15"/>
      <c r="AA177" s="28">
        <f>MONTH(Table2[[#This Row],[DATA PEDIDO HP]])</f>
        <v>3</v>
      </c>
      <c r="AB177" s="32" t="s">
        <v>60</v>
      </c>
      <c r="AC177" s="5">
        <f t="shared" ca="1" si="2"/>
        <v>46232</v>
      </c>
      <c r="AD177" s="331">
        <f ca="1">_xlfn.DAYS(Table2[[#This Row],[HOJE]],Table2[[#This Row],[DATA PEDIDO HP]])</f>
        <v>503</v>
      </c>
      <c r="AE177" s="5" t="s">
        <v>43</v>
      </c>
    </row>
    <row r="178" spans="1:31" ht="14.45" hidden="1">
      <c r="A178" s="269" t="s">
        <v>718</v>
      </c>
      <c r="B178" s="26">
        <v>45729</v>
      </c>
      <c r="C178" s="26">
        <v>45729</v>
      </c>
      <c r="D178" s="14" t="s">
        <v>719</v>
      </c>
      <c r="E178" s="14" t="s">
        <v>720</v>
      </c>
      <c r="F178" s="14" t="s">
        <v>64</v>
      </c>
      <c r="G178" s="14">
        <v>48000002</v>
      </c>
      <c r="H178" s="14" t="s">
        <v>723</v>
      </c>
      <c r="I178" s="14" t="s">
        <v>724</v>
      </c>
      <c r="J178" s="14">
        <v>1</v>
      </c>
      <c r="K178" s="14" t="s">
        <v>37</v>
      </c>
      <c r="L178" s="14" t="s">
        <v>412</v>
      </c>
      <c r="M178" s="15" t="s">
        <v>58</v>
      </c>
      <c r="N178" s="15" t="s">
        <v>58</v>
      </c>
      <c r="O178" s="15">
        <v>1</v>
      </c>
      <c r="P178" s="15"/>
      <c r="Q178" s="15"/>
      <c r="R178" s="15"/>
      <c r="S178" s="25"/>
      <c r="T178" s="25">
        <v>45755</v>
      </c>
      <c r="U178" s="25">
        <v>45772</v>
      </c>
      <c r="V178" s="15" t="s">
        <v>40</v>
      </c>
      <c r="W178" s="15"/>
      <c r="X178" s="27">
        <v>147.61000000000001</v>
      </c>
      <c r="Y178" s="27">
        <f>Table2[[#This Row],[PREÇO UNITARIO]]*Table2[[#This Row],[QUANTIDADE]]</f>
        <v>147.61000000000001</v>
      </c>
      <c r="Z178" s="15"/>
      <c r="AA178" s="28">
        <f>MONTH(Table2[[#This Row],[DATA PEDIDO HP]])</f>
        <v>3</v>
      </c>
      <c r="AB178" s="32" t="s">
        <v>60</v>
      </c>
      <c r="AC178" s="5">
        <f t="shared" ca="1" si="2"/>
        <v>46232</v>
      </c>
      <c r="AD178" s="331">
        <f ca="1">_xlfn.DAYS(Table2[[#This Row],[HOJE]],Table2[[#This Row],[DATA PEDIDO HP]])</f>
        <v>503</v>
      </c>
      <c r="AE178" s="5" t="s">
        <v>43</v>
      </c>
    </row>
    <row r="179" spans="1:31" ht="14.45" hidden="1">
      <c r="A179" s="269" t="s">
        <v>725</v>
      </c>
      <c r="B179" s="26">
        <v>45729</v>
      </c>
      <c r="C179" s="26">
        <v>45729</v>
      </c>
      <c r="D179" s="14" t="s">
        <v>726</v>
      </c>
      <c r="E179" s="14" t="s">
        <v>73</v>
      </c>
      <c r="F179" s="14" t="s">
        <v>203</v>
      </c>
      <c r="G179" s="14">
        <v>60002095</v>
      </c>
      <c r="H179" s="14" t="s">
        <v>727</v>
      </c>
      <c r="I179" s="14" t="s">
        <v>728</v>
      </c>
      <c r="J179" s="14">
        <v>1</v>
      </c>
      <c r="K179" s="14" t="s">
        <v>37</v>
      </c>
      <c r="L179" s="14" t="s">
        <v>217</v>
      </c>
      <c r="M179" s="15" t="s">
        <v>39</v>
      </c>
      <c r="N179" s="15" t="s">
        <v>58</v>
      </c>
      <c r="O179" s="15">
        <v>1</v>
      </c>
      <c r="P179" s="15"/>
      <c r="Q179" s="15"/>
      <c r="R179" s="15"/>
      <c r="S179" s="25"/>
      <c r="T179" s="25">
        <v>45755</v>
      </c>
      <c r="U179" s="25">
        <v>45772</v>
      </c>
      <c r="V179" s="15" t="s">
        <v>40</v>
      </c>
      <c r="W179" s="15"/>
      <c r="X179" s="27">
        <v>175.25</v>
      </c>
      <c r="Y179" s="27">
        <f>Table2[[#This Row],[PREÇO UNITARIO]]*Table2[[#This Row],[QUANTIDADE]]</f>
        <v>175.25</v>
      </c>
      <c r="Z179" s="15"/>
      <c r="AA179" s="28">
        <f>MONTH(Table2[[#This Row],[DATA PEDIDO HP]])</f>
        <v>3</v>
      </c>
      <c r="AB179" s="32" t="s">
        <v>42</v>
      </c>
      <c r="AC179" s="5">
        <f t="shared" ca="1" si="2"/>
        <v>46232</v>
      </c>
      <c r="AD179" s="331">
        <f ca="1">_xlfn.DAYS(Table2[[#This Row],[HOJE]],Table2[[#This Row],[DATA PEDIDO HP]])</f>
        <v>503</v>
      </c>
      <c r="AE179" s="5" t="s">
        <v>43</v>
      </c>
    </row>
    <row r="180" spans="1:31" ht="14.45" hidden="1">
      <c r="A180" s="269" t="s">
        <v>729</v>
      </c>
      <c r="B180" s="26">
        <v>45730</v>
      </c>
      <c r="C180" s="26">
        <v>45728</v>
      </c>
      <c r="D180" s="14" t="s">
        <v>730</v>
      </c>
      <c r="E180" s="14" t="s">
        <v>103</v>
      </c>
      <c r="F180" s="14" t="s">
        <v>104</v>
      </c>
      <c r="G180" s="14">
        <v>51000316</v>
      </c>
      <c r="H180" s="14" t="s">
        <v>146</v>
      </c>
      <c r="I180" s="14" t="s">
        <v>147</v>
      </c>
      <c r="J180" s="14">
        <v>2</v>
      </c>
      <c r="K180" s="14" t="s">
        <v>37</v>
      </c>
      <c r="L180" s="14" t="s">
        <v>217</v>
      </c>
      <c r="M180" s="15" t="s">
        <v>58</v>
      </c>
      <c r="N180" s="15" t="s">
        <v>58</v>
      </c>
      <c r="O180" s="15">
        <v>2</v>
      </c>
      <c r="P180" s="15"/>
      <c r="Q180" s="15"/>
      <c r="R180" s="15"/>
      <c r="S180" s="25"/>
      <c r="T180" s="25">
        <v>45755</v>
      </c>
      <c r="U180" s="25">
        <v>45772</v>
      </c>
      <c r="V180" s="15" t="s">
        <v>40</v>
      </c>
      <c r="W180" s="15"/>
      <c r="X180" s="27">
        <v>324.66000000000003</v>
      </c>
      <c r="Y180" s="27">
        <f>Table2[[#This Row],[PREÇO UNITARIO]]*Table2[[#This Row],[QUANTIDADE]]</f>
        <v>649.32000000000005</v>
      </c>
      <c r="Z180" s="15"/>
      <c r="AA180" s="32">
        <f>MONTH(Table2[[#This Row],[DATA PEDIDO HP]])</f>
        <v>3</v>
      </c>
      <c r="AB180" s="32" t="s">
        <v>42</v>
      </c>
      <c r="AC180" s="5">
        <f t="shared" ca="1" si="2"/>
        <v>46232</v>
      </c>
      <c r="AD180" s="331">
        <f ca="1">_xlfn.DAYS(Table2[[#This Row],[HOJE]],Table2[[#This Row],[DATA PEDIDO HP]])</f>
        <v>502</v>
      </c>
      <c r="AE180" s="5" t="s">
        <v>43</v>
      </c>
    </row>
    <row r="181" spans="1:31" ht="14.45" hidden="1">
      <c r="A181" s="269" t="s">
        <v>731</v>
      </c>
      <c r="B181" s="26">
        <v>45730</v>
      </c>
      <c r="C181" s="26">
        <v>45728</v>
      </c>
      <c r="D181" s="14" t="s">
        <v>732</v>
      </c>
      <c r="E181" s="14" t="s">
        <v>402</v>
      </c>
      <c r="F181" s="14" t="s">
        <v>403</v>
      </c>
      <c r="G181" s="14">
        <v>50300141</v>
      </c>
      <c r="H181" s="14" t="s">
        <v>624</v>
      </c>
      <c r="I181" s="14" t="s">
        <v>733</v>
      </c>
      <c r="J181" s="14">
        <v>1</v>
      </c>
      <c r="K181" s="14" t="s">
        <v>37</v>
      </c>
      <c r="L181" s="14" t="s">
        <v>363</v>
      </c>
      <c r="M181" s="15" t="s">
        <v>39</v>
      </c>
      <c r="N181" s="15" t="s">
        <v>58</v>
      </c>
      <c r="O181" s="15">
        <v>1</v>
      </c>
      <c r="P181" s="15"/>
      <c r="Q181" s="15"/>
      <c r="R181" s="15"/>
      <c r="S181" s="25"/>
      <c r="T181" s="25">
        <v>45755</v>
      </c>
      <c r="U181" s="25">
        <v>45772</v>
      </c>
      <c r="V181" s="15" t="s">
        <v>40</v>
      </c>
      <c r="W181" s="15"/>
      <c r="X181" s="27">
        <v>397.76</v>
      </c>
      <c r="Y181" s="27">
        <f>Table2[[#This Row],[PREÇO UNITARIO]]*Table2[[#This Row],[QUANTIDADE]]</f>
        <v>397.76</v>
      </c>
      <c r="Z181" s="15"/>
      <c r="AA181" s="28">
        <f>MONTH(Table2[[#This Row],[DATA PEDIDO HP]])</f>
        <v>3</v>
      </c>
      <c r="AB181" s="32" t="s">
        <v>60</v>
      </c>
      <c r="AC181" s="5">
        <f t="shared" ca="1" si="2"/>
        <v>46232</v>
      </c>
      <c r="AD181" s="331">
        <f ca="1">_xlfn.DAYS(Table2[[#This Row],[HOJE]],Table2[[#This Row],[DATA PEDIDO HP]])</f>
        <v>502</v>
      </c>
      <c r="AE181" s="5" t="s">
        <v>43</v>
      </c>
    </row>
    <row r="182" spans="1:31" ht="14.45" hidden="1">
      <c r="A182" s="269" t="s">
        <v>734</v>
      </c>
      <c r="B182" s="26">
        <v>45730</v>
      </c>
      <c r="C182" s="26">
        <v>45728</v>
      </c>
      <c r="D182" s="14" t="s">
        <v>735</v>
      </c>
      <c r="E182" s="14" t="s">
        <v>334</v>
      </c>
      <c r="F182" s="14" t="s">
        <v>55</v>
      </c>
      <c r="G182" s="14">
        <v>44000010</v>
      </c>
      <c r="H182" s="14" t="s">
        <v>736</v>
      </c>
      <c r="I182" s="14" t="s">
        <v>737</v>
      </c>
      <c r="J182" s="14">
        <v>1</v>
      </c>
      <c r="K182" s="14" t="s">
        <v>37</v>
      </c>
      <c r="L182" s="14" t="s">
        <v>217</v>
      </c>
      <c r="M182" s="15" t="s">
        <v>39</v>
      </c>
      <c r="N182" s="15" t="s">
        <v>58</v>
      </c>
      <c r="O182" s="15">
        <v>1</v>
      </c>
      <c r="P182" s="15"/>
      <c r="Q182" s="15"/>
      <c r="R182" s="15"/>
      <c r="S182" s="25"/>
      <c r="T182" s="25">
        <v>45755</v>
      </c>
      <c r="U182" s="25">
        <v>45772</v>
      </c>
      <c r="V182" s="15" t="s">
        <v>40</v>
      </c>
      <c r="W182" s="15"/>
      <c r="X182" s="27">
        <v>180.46</v>
      </c>
      <c r="Y182" s="27">
        <f>Table2[[#This Row],[PREÇO UNITARIO]]*Table2[[#This Row],[QUANTIDADE]]</f>
        <v>180.46</v>
      </c>
      <c r="Z182" s="15"/>
      <c r="AA182" s="28">
        <f>MONTH(Table2[[#This Row],[DATA PEDIDO HP]])</f>
        <v>3</v>
      </c>
      <c r="AB182" s="32" t="s">
        <v>60</v>
      </c>
      <c r="AC182" s="5">
        <f t="shared" ca="1" si="2"/>
        <v>46232</v>
      </c>
      <c r="AD182" s="331">
        <f ca="1">_xlfn.DAYS(Table2[[#This Row],[HOJE]],Table2[[#This Row],[DATA PEDIDO HP]])</f>
        <v>502</v>
      </c>
      <c r="AE182" s="5" t="s">
        <v>43</v>
      </c>
    </row>
    <row r="183" spans="1:31" ht="14.45" hidden="1">
      <c r="A183" s="269" t="s">
        <v>738</v>
      </c>
      <c r="B183" s="25">
        <v>45733</v>
      </c>
      <c r="C183" s="26">
        <v>45730</v>
      </c>
      <c r="D183" s="14" t="s">
        <v>739</v>
      </c>
      <c r="E183" s="14" t="s">
        <v>73</v>
      </c>
      <c r="F183" s="14" t="s">
        <v>34</v>
      </c>
      <c r="G183" s="14">
        <v>50110372</v>
      </c>
      <c r="H183" s="14" t="s">
        <v>80</v>
      </c>
      <c r="I183" s="14" t="s">
        <v>81</v>
      </c>
      <c r="J183" s="14">
        <v>1</v>
      </c>
      <c r="K183" s="14" t="s">
        <v>37</v>
      </c>
      <c r="L183" s="14" t="s">
        <v>217</v>
      </c>
      <c r="M183" s="15" t="s">
        <v>39</v>
      </c>
      <c r="N183" s="15" t="s">
        <v>39</v>
      </c>
      <c r="O183" s="15">
        <v>1</v>
      </c>
      <c r="P183" s="15"/>
      <c r="Q183" s="15"/>
      <c r="R183" s="15"/>
      <c r="S183" s="25">
        <v>45813</v>
      </c>
      <c r="T183" s="25">
        <v>45788</v>
      </c>
      <c r="U183" s="25">
        <v>45799</v>
      </c>
      <c r="V183" s="15" t="s">
        <v>506</v>
      </c>
      <c r="W183" s="15"/>
      <c r="X183" s="27">
        <v>49.81</v>
      </c>
      <c r="Y183" s="27">
        <f>Table2[[#This Row],[PREÇO UNITARIO]]*Table2[[#This Row],[QUANTIDADE]]</f>
        <v>49.81</v>
      </c>
      <c r="Z183" s="15"/>
      <c r="AA183" s="28">
        <f>MONTH(Table2[[#This Row],[DATA PEDIDO HP]])</f>
        <v>3</v>
      </c>
      <c r="AB183" s="32" t="s">
        <v>42</v>
      </c>
      <c r="AC183" s="5">
        <f t="shared" ca="1" si="2"/>
        <v>46232</v>
      </c>
      <c r="AD183" s="331">
        <f ca="1">_xlfn.DAYS(Table2[[#This Row],[HOJE]],Table2[[#This Row],[DATA PEDIDO HP]])</f>
        <v>499</v>
      </c>
      <c r="AE183" s="336" t="s">
        <v>43</v>
      </c>
    </row>
    <row r="184" spans="1:31" ht="14.45" hidden="1">
      <c r="A184" s="269" t="s">
        <v>738</v>
      </c>
      <c r="B184" s="25">
        <v>45733</v>
      </c>
      <c r="C184" s="26">
        <v>45730</v>
      </c>
      <c r="D184" s="14" t="s">
        <v>739</v>
      </c>
      <c r="E184" s="14" t="s">
        <v>73</v>
      </c>
      <c r="F184" s="14" t="s">
        <v>34</v>
      </c>
      <c r="G184" s="14">
        <v>50110372</v>
      </c>
      <c r="H184" s="14" t="s">
        <v>136</v>
      </c>
      <c r="I184" s="14" t="s">
        <v>137</v>
      </c>
      <c r="J184" s="14">
        <v>1</v>
      </c>
      <c r="K184" s="14" t="s">
        <v>37</v>
      </c>
      <c r="L184" s="14" t="s">
        <v>217</v>
      </c>
      <c r="M184" s="15" t="s">
        <v>89</v>
      </c>
      <c r="N184" s="15" t="s">
        <v>39</v>
      </c>
      <c r="O184" s="15">
        <v>1</v>
      </c>
      <c r="P184" s="15"/>
      <c r="Q184" s="15"/>
      <c r="R184" s="15"/>
      <c r="S184" s="25">
        <v>45783</v>
      </c>
      <c r="T184" s="25">
        <v>45755</v>
      </c>
      <c r="U184" s="25">
        <v>45772</v>
      </c>
      <c r="V184" s="15" t="s">
        <v>40</v>
      </c>
      <c r="W184" s="15"/>
      <c r="X184" s="27">
        <v>19.600000000000001</v>
      </c>
      <c r="Y184" s="27">
        <f>Table2[[#This Row],[PREÇO UNITARIO]]*Table2[[#This Row],[QUANTIDADE]]</f>
        <v>19.600000000000001</v>
      </c>
      <c r="Z184" s="15"/>
      <c r="AA184" s="28">
        <f>MONTH(Table2[[#This Row],[DATA PEDIDO HP]])</f>
        <v>3</v>
      </c>
      <c r="AB184" s="32" t="s">
        <v>42</v>
      </c>
      <c r="AC184" s="5">
        <f t="shared" ca="1" si="2"/>
        <v>46232</v>
      </c>
      <c r="AD184" s="331">
        <f ca="1">_xlfn.DAYS(Table2[[#This Row],[HOJE]],Table2[[#This Row],[DATA PEDIDO HP]])</f>
        <v>499</v>
      </c>
      <c r="AE184" s="336" t="s">
        <v>43</v>
      </c>
    </row>
    <row r="185" spans="1:31" ht="14.45" hidden="1">
      <c r="A185" s="269" t="s">
        <v>738</v>
      </c>
      <c r="B185" s="25">
        <v>45733</v>
      </c>
      <c r="C185" s="26">
        <v>45730</v>
      </c>
      <c r="D185" s="14" t="s">
        <v>739</v>
      </c>
      <c r="E185" s="14" t="s">
        <v>73</v>
      </c>
      <c r="F185" s="14" t="s">
        <v>34</v>
      </c>
      <c r="G185" s="14">
        <v>50110372</v>
      </c>
      <c r="H185" s="14" t="s">
        <v>134</v>
      </c>
      <c r="I185" s="14" t="s">
        <v>740</v>
      </c>
      <c r="J185" s="14">
        <v>1</v>
      </c>
      <c r="K185" s="14" t="s">
        <v>37</v>
      </c>
      <c r="L185" s="14" t="s">
        <v>217</v>
      </c>
      <c r="M185" s="15" t="s">
        <v>58</v>
      </c>
      <c r="N185" s="15" t="s">
        <v>39</v>
      </c>
      <c r="O185" s="15">
        <v>1</v>
      </c>
      <c r="P185" s="15"/>
      <c r="Q185" s="15"/>
      <c r="R185" s="15"/>
      <c r="S185" s="25">
        <v>45783</v>
      </c>
      <c r="T185" s="25">
        <v>45755</v>
      </c>
      <c r="U185" s="25">
        <v>45772</v>
      </c>
      <c r="V185" s="15" t="s">
        <v>40</v>
      </c>
      <c r="W185" s="15"/>
      <c r="X185" s="27">
        <v>42.46</v>
      </c>
      <c r="Y185" s="27">
        <f>Table2[[#This Row],[PREÇO UNITARIO]]*Table2[[#This Row],[QUANTIDADE]]</f>
        <v>42.46</v>
      </c>
      <c r="Z185" s="15"/>
      <c r="AA185" s="28">
        <f>MONTH(Table2[[#This Row],[DATA PEDIDO HP]])</f>
        <v>3</v>
      </c>
      <c r="AB185" s="32" t="s">
        <v>42</v>
      </c>
      <c r="AC185" s="5">
        <f t="shared" ca="1" si="2"/>
        <v>46232</v>
      </c>
      <c r="AD185" s="331">
        <f ca="1">_xlfn.DAYS(Table2[[#This Row],[HOJE]],Table2[[#This Row],[DATA PEDIDO HP]])</f>
        <v>499</v>
      </c>
      <c r="AE185" s="336" t="s">
        <v>43</v>
      </c>
    </row>
    <row r="186" spans="1:31" ht="14.45" hidden="1">
      <c r="A186" s="269" t="s">
        <v>741</v>
      </c>
      <c r="B186" s="26">
        <v>45730</v>
      </c>
      <c r="C186" s="26">
        <v>45728</v>
      </c>
      <c r="D186" s="14" t="s">
        <v>742</v>
      </c>
      <c r="E186" s="14" t="s">
        <v>103</v>
      </c>
      <c r="F186" s="14" t="s">
        <v>104</v>
      </c>
      <c r="G186" s="14">
        <v>51000136</v>
      </c>
      <c r="H186" s="14" t="s">
        <v>743</v>
      </c>
      <c r="I186" s="14" t="s">
        <v>744</v>
      </c>
      <c r="J186" s="14">
        <v>1</v>
      </c>
      <c r="K186" s="14" t="s">
        <v>37</v>
      </c>
      <c r="L186" s="14" t="s">
        <v>363</v>
      </c>
      <c r="M186" s="15" t="s">
        <v>89</v>
      </c>
      <c r="N186" s="15" t="s">
        <v>89</v>
      </c>
      <c r="O186" s="15">
        <v>1</v>
      </c>
      <c r="P186" s="15"/>
      <c r="Q186" s="15"/>
      <c r="R186" s="15"/>
      <c r="S186" s="25"/>
      <c r="T186" s="25">
        <v>45755</v>
      </c>
      <c r="U186" s="25">
        <v>45772</v>
      </c>
      <c r="V186" s="15" t="s">
        <v>40</v>
      </c>
      <c r="W186" s="15"/>
      <c r="X186" s="27">
        <v>874.36</v>
      </c>
      <c r="Y186" s="27">
        <f>Table2[[#This Row],[PREÇO UNITARIO]]*Table2[[#This Row],[QUANTIDADE]]</f>
        <v>874.36</v>
      </c>
      <c r="Z186" s="15"/>
      <c r="AA186" s="32">
        <f>MONTH(Table2[[#This Row],[DATA PEDIDO HP]])</f>
        <v>3</v>
      </c>
      <c r="AB186" s="32" t="s">
        <v>42</v>
      </c>
      <c r="AC186" s="5">
        <f t="shared" ca="1" si="2"/>
        <v>46232</v>
      </c>
      <c r="AD186" s="331">
        <f ca="1">_xlfn.DAYS(Table2[[#This Row],[HOJE]],Table2[[#This Row],[DATA PEDIDO HP]])</f>
        <v>502</v>
      </c>
      <c r="AE186" s="5" t="s">
        <v>43</v>
      </c>
    </row>
    <row r="187" spans="1:31" ht="14.45" hidden="1">
      <c r="A187" s="269" t="s">
        <v>745</v>
      </c>
      <c r="B187" s="26">
        <v>45730</v>
      </c>
      <c r="C187" s="26">
        <v>45728</v>
      </c>
      <c r="D187" s="14" t="s">
        <v>746</v>
      </c>
      <c r="E187" s="14" t="s">
        <v>152</v>
      </c>
      <c r="F187" s="14" t="s">
        <v>64</v>
      </c>
      <c r="G187" s="14">
        <v>48000482</v>
      </c>
      <c r="H187" s="14" t="s">
        <v>130</v>
      </c>
      <c r="I187" s="14" t="s">
        <v>633</v>
      </c>
      <c r="J187" s="14">
        <v>2</v>
      </c>
      <c r="K187" s="14" t="s">
        <v>37</v>
      </c>
      <c r="L187" s="14" t="s">
        <v>217</v>
      </c>
      <c r="M187" s="15" t="s">
        <v>58</v>
      </c>
      <c r="N187" s="15" t="s">
        <v>58</v>
      </c>
      <c r="O187" s="15">
        <v>1</v>
      </c>
      <c r="P187" s="15"/>
      <c r="Q187" s="15"/>
      <c r="R187" s="15"/>
      <c r="S187" s="25"/>
      <c r="T187" s="25">
        <v>45755</v>
      </c>
      <c r="U187" s="25">
        <v>45772</v>
      </c>
      <c r="V187" s="15" t="s">
        <v>40</v>
      </c>
      <c r="W187" s="15"/>
      <c r="X187" s="27">
        <v>17.28</v>
      </c>
      <c r="Y187" s="27">
        <f>Table2[[#This Row],[PREÇO UNITARIO]]*Table2[[#This Row],[QUANTIDADE]]</f>
        <v>34.56</v>
      </c>
      <c r="Z187" s="15"/>
      <c r="AA187" s="28">
        <f>MONTH(Table2[[#This Row],[DATA PEDIDO HP]])</f>
        <v>3</v>
      </c>
      <c r="AB187" s="32" t="s">
        <v>60</v>
      </c>
      <c r="AC187" s="5">
        <f t="shared" ca="1" si="2"/>
        <v>46232</v>
      </c>
      <c r="AD187" s="331">
        <f ca="1">_xlfn.DAYS(Table2[[#This Row],[HOJE]],Table2[[#This Row],[DATA PEDIDO HP]])</f>
        <v>502</v>
      </c>
      <c r="AE187" s="5" t="s">
        <v>43</v>
      </c>
    </row>
    <row r="188" spans="1:31" ht="14.45" hidden="1">
      <c r="A188" s="269" t="s">
        <v>747</v>
      </c>
      <c r="B188" s="26">
        <v>45730</v>
      </c>
      <c r="C188" s="26">
        <v>45730</v>
      </c>
      <c r="D188" s="14" t="s">
        <v>748</v>
      </c>
      <c r="E188" s="14" t="s">
        <v>202</v>
      </c>
      <c r="F188" s="14" t="s">
        <v>203</v>
      </c>
      <c r="G188" s="14" t="s">
        <v>749</v>
      </c>
      <c r="H188" s="14" t="s">
        <v>750</v>
      </c>
      <c r="I188" s="14" t="s">
        <v>751</v>
      </c>
      <c r="J188" s="14">
        <v>1</v>
      </c>
      <c r="K188" s="14" t="s">
        <v>37</v>
      </c>
      <c r="L188" s="14" t="s">
        <v>346</v>
      </c>
      <c r="M188" s="15" t="s">
        <v>58</v>
      </c>
      <c r="N188" s="15" t="s">
        <v>58</v>
      </c>
      <c r="O188" s="15">
        <v>1</v>
      </c>
      <c r="P188" s="15"/>
      <c r="Q188" s="15"/>
      <c r="R188" s="15"/>
      <c r="S188" s="25"/>
      <c r="T188" s="25">
        <v>45755</v>
      </c>
      <c r="U188" s="25">
        <v>45772</v>
      </c>
      <c r="V188" s="15" t="s">
        <v>40</v>
      </c>
      <c r="W188" s="15"/>
      <c r="X188" s="27">
        <v>1057.75</v>
      </c>
      <c r="Y188" s="27">
        <f>Table2[[#This Row],[PREÇO UNITARIO]]*Table2[[#This Row],[QUANTIDADE]]</f>
        <v>1057.75</v>
      </c>
      <c r="Z188" s="15"/>
      <c r="AA188" s="28">
        <f>MONTH(Table2[[#This Row],[DATA PEDIDO HP]])</f>
        <v>3</v>
      </c>
      <c r="AB188" s="32" t="s">
        <v>60</v>
      </c>
      <c r="AC188" s="5">
        <f t="shared" ca="1" si="2"/>
        <v>46232</v>
      </c>
      <c r="AD188" s="331">
        <f ca="1">_xlfn.DAYS(Table2[[#This Row],[HOJE]],Table2[[#This Row],[DATA PEDIDO HP]])</f>
        <v>502</v>
      </c>
      <c r="AE188" s="5" t="s">
        <v>43</v>
      </c>
    </row>
    <row r="189" spans="1:31" ht="14.45" hidden="1">
      <c r="A189" s="269" t="s">
        <v>752</v>
      </c>
      <c r="B189" s="25">
        <v>45733</v>
      </c>
      <c r="C189" s="26">
        <v>45728</v>
      </c>
      <c r="D189" s="14" t="s">
        <v>753</v>
      </c>
      <c r="E189" s="14" t="s">
        <v>103</v>
      </c>
      <c r="F189" s="14" t="s">
        <v>104</v>
      </c>
      <c r="G189" s="14">
        <v>51000136</v>
      </c>
      <c r="H189" s="14" t="s">
        <v>754</v>
      </c>
      <c r="I189" s="14" t="s">
        <v>755</v>
      </c>
      <c r="J189" s="14">
        <v>1</v>
      </c>
      <c r="K189" s="14" t="s">
        <v>37</v>
      </c>
      <c r="L189" s="14" t="s">
        <v>363</v>
      </c>
      <c r="M189" s="15" t="s">
        <v>58</v>
      </c>
      <c r="N189" s="15" t="s">
        <v>89</v>
      </c>
      <c r="O189" s="15">
        <v>0</v>
      </c>
      <c r="P189" s="15"/>
      <c r="Q189" s="15"/>
      <c r="R189" s="15"/>
      <c r="S189" s="25">
        <v>45807</v>
      </c>
      <c r="T189" s="25">
        <v>45788</v>
      </c>
      <c r="U189" s="25">
        <v>45799</v>
      </c>
      <c r="V189" s="15" t="s">
        <v>506</v>
      </c>
      <c r="W189" s="15"/>
      <c r="X189" s="27">
        <v>84.32</v>
      </c>
      <c r="Y189" s="27">
        <f>Table2[[#This Row],[PREÇO UNITARIO]]*Table2[[#This Row],[QUANTIDADE]]</f>
        <v>84.32</v>
      </c>
      <c r="Z189" s="15"/>
      <c r="AA189" s="28">
        <f>MONTH(Table2[[#This Row],[DATA PEDIDO HP]])</f>
        <v>3</v>
      </c>
      <c r="AB189" s="32" t="s">
        <v>42</v>
      </c>
      <c r="AC189" s="5">
        <f t="shared" ca="1" si="2"/>
        <v>46232</v>
      </c>
      <c r="AD189" s="331">
        <f ca="1">_xlfn.DAYS(Table2[[#This Row],[HOJE]],Table2[[#This Row],[DATA PEDIDO HP]])</f>
        <v>499</v>
      </c>
      <c r="AE189" s="336" t="s">
        <v>43</v>
      </c>
    </row>
    <row r="190" spans="1:31" ht="14.45" hidden="1">
      <c r="A190" s="269" t="s">
        <v>756</v>
      </c>
      <c r="B190" s="25">
        <v>45733</v>
      </c>
      <c r="C190" s="26">
        <v>45728</v>
      </c>
      <c r="D190" s="14" t="s">
        <v>757</v>
      </c>
      <c r="E190" s="14" t="s">
        <v>103</v>
      </c>
      <c r="F190" s="14" t="s">
        <v>104</v>
      </c>
      <c r="G190" s="14">
        <v>51000323</v>
      </c>
      <c r="H190" s="14" t="s">
        <v>758</v>
      </c>
      <c r="I190" s="14" t="s">
        <v>759</v>
      </c>
      <c r="J190" s="14">
        <v>1</v>
      </c>
      <c r="K190" s="14" t="s">
        <v>37</v>
      </c>
      <c r="L190" s="14" t="s">
        <v>363</v>
      </c>
      <c r="M190" s="15" t="s">
        <v>89</v>
      </c>
      <c r="N190" s="15" t="s">
        <v>89</v>
      </c>
      <c r="O190" s="15">
        <v>0</v>
      </c>
      <c r="P190" s="15"/>
      <c r="Q190" s="15"/>
      <c r="R190" s="15"/>
      <c r="S190" s="25">
        <v>45807</v>
      </c>
      <c r="T190" s="25">
        <v>45788</v>
      </c>
      <c r="U190" s="25">
        <v>45799</v>
      </c>
      <c r="V190" s="15" t="s">
        <v>506</v>
      </c>
      <c r="W190" s="15"/>
      <c r="X190" s="27">
        <v>101.58</v>
      </c>
      <c r="Y190" s="27">
        <f>Table2[[#This Row],[PREÇO UNITARIO]]*Table2[[#This Row],[QUANTIDADE]]</f>
        <v>101.58</v>
      </c>
      <c r="Z190" s="15"/>
      <c r="AA190" s="28">
        <f>MONTH(Table2[[#This Row],[DATA PEDIDO HP]])</f>
        <v>3</v>
      </c>
      <c r="AB190" s="32" t="s">
        <v>42</v>
      </c>
      <c r="AC190" s="5">
        <f t="shared" ca="1" si="2"/>
        <v>46232</v>
      </c>
      <c r="AD190" s="331">
        <f ca="1">_xlfn.DAYS(Table2[[#This Row],[HOJE]],Table2[[#This Row],[DATA PEDIDO HP]])</f>
        <v>499</v>
      </c>
      <c r="AE190" s="336" t="s">
        <v>43</v>
      </c>
    </row>
    <row r="191" spans="1:31" ht="14.45" hidden="1">
      <c r="A191" s="269" t="s">
        <v>760</v>
      </c>
      <c r="B191" s="25">
        <v>45733</v>
      </c>
      <c r="C191" s="26">
        <v>45728</v>
      </c>
      <c r="D191" s="14" t="s">
        <v>761</v>
      </c>
      <c r="E191" s="14" t="s">
        <v>103</v>
      </c>
      <c r="F191" s="14" t="s">
        <v>104</v>
      </c>
      <c r="G191" s="14">
        <v>51000323</v>
      </c>
      <c r="H191" s="14" t="s">
        <v>762</v>
      </c>
      <c r="I191" s="14" t="s">
        <v>763</v>
      </c>
      <c r="J191" s="14">
        <v>1</v>
      </c>
      <c r="K191" s="14" t="s">
        <v>37</v>
      </c>
      <c r="L191" s="14" t="s">
        <v>363</v>
      </c>
      <c r="M191" s="15" t="s">
        <v>89</v>
      </c>
      <c r="N191" s="15" t="s">
        <v>89</v>
      </c>
      <c r="O191" s="15">
        <v>0</v>
      </c>
      <c r="P191" s="15"/>
      <c r="Q191" s="15"/>
      <c r="R191" s="15"/>
      <c r="S191" s="25">
        <v>45807</v>
      </c>
      <c r="T191" s="25">
        <v>45788</v>
      </c>
      <c r="U191" s="25">
        <v>45799</v>
      </c>
      <c r="V191" s="15" t="s">
        <v>506</v>
      </c>
      <c r="W191" s="15"/>
      <c r="X191" s="27">
        <v>411.27</v>
      </c>
      <c r="Y191" s="27">
        <f>Table2[[#This Row],[PREÇO UNITARIO]]*Table2[[#This Row],[QUANTIDADE]]</f>
        <v>411.27</v>
      </c>
      <c r="Z191" s="15"/>
      <c r="AA191" s="28">
        <f>MONTH(Table2[[#This Row],[DATA PEDIDO HP]])</f>
        <v>3</v>
      </c>
      <c r="AB191" s="32" t="s">
        <v>42</v>
      </c>
      <c r="AC191" s="5">
        <f t="shared" ca="1" si="2"/>
        <v>46232</v>
      </c>
      <c r="AD191" s="331">
        <f ca="1">_xlfn.DAYS(Table2[[#This Row],[HOJE]],Table2[[#This Row],[DATA PEDIDO HP]])</f>
        <v>499</v>
      </c>
      <c r="AE191" s="336" t="s">
        <v>43</v>
      </c>
    </row>
    <row r="192" spans="1:31" ht="14.45" hidden="1">
      <c r="A192" s="269" t="s">
        <v>764</v>
      </c>
      <c r="B192" s="25">
        <v>45733</v>
      </c>
      <c r="C192" s="26">
        <v>45733</v>
      </c>
      <c r="D192" s="14" t="s">
        <v>765</v>
      </c>
      <c r="E192" s="14" t="s">
        <v>79</v>
      </c>
      <c r="F192" s="14" t="s">
        <v>74</v>
      </c>
      <c r="G192" s="14">
        <v>50000530</v>
      </c>
      <c r="H192" s="14" t="s">
        <v>766</v>
      </c>
      <c r="I192" s="14" t="s">
        <v>767</v>
      </c>
      <c r="J192" s="14">
        <v>2</v>
      </c>
      <c r="K192" s="14" t="s">
        <v>37</v>
      </c>
      <c r="L192" s="14" t="s">
        <v>217</v>
      </c>
      <c r="M192" s="15" t="s">
        <v>58</v>
      </c>
      <c r="N192" s="15" t="s">
        <v>89</v>
      </c>
      <c r="O192" s="15">
        <v>0</v>
      </c>
      <c r="P192" s="15"/>
      <c r="Q192" s="15"/>
      <c r="R192" s="15" t="s">
        <v>768</v>
      </c>
      <c r="S192" s="25"/>
      <c r="T192" s="25">
        <v>45749</v>
      </c>
      <c r="U192" s="25">
        <v>45754</v>
      </c>
      <c r="V192" s="15" t="s">
        <v>69</v>
      </c>
      <c r="W192" s="15"/>
      <c r="X192" s="27">
        <v>232.03</v>
      </c>
      <c r="Y192" s="27">
        <f>Table2[[#This Row],[PREÇO UNITARIO]]*Table2[[#This Row],[QUANTIDADE]]</f>
        <v>464.06</v>
      </c>
      <c r="Z192" s="15"/>
      <c r="AA192" s="28">
        <f>MONTH(Table2[[#This Row],[DATA PEDIDO HP]])</f>
        <v>3</v>
      </c>
      <c r="AB192" s="32" t="s">
        <v>60</v>
      </c>
      <c r="AC192" s="5">
        <f t="shared" ca="1" si="2"/>
        <v>46232</v>
      </c>
      <c r="AD192" s="331">
        <f ca="1">_xlfn.DAYS(Table2[[#This Row],[HOJE]],Table2[[#This Row],[DATA PEDIDO HP]])</f>
        <v>499</v>
      </c>
      <c r="AE192" s="5" t="s">
        <v>43</v>
      </c>
    </row>
    <row r="193" spans="1:31" ht="14.45" hidden="1">
      <c r="A193" s="269" t="s">
        <v>769</v>
      </c>
      <c r="B193" s="25">
        <v>45733</v>
      </c>
      <c r="C193" s="26">
        <v>45733</v>
      </c>
      <c r="D193" s="14" t="s">
        <v>770</v>
      </c>
      <c r="E193" s="14" t="s">
        <v>73</v>
      </c>
      <c r="F193" s="14" t="s">
        <v>203</v>
      </c>
      <c r="G193" s="14">
        <v>60002095</v>
      </c>
      <c r="H193" s="14" t="s">
        <v>771</v>
      </c>
      <c r="I193" s="14" t="s">
        <v>772</v>
      </c>
      <c r="J193" s="14">
        <v>1</v>
      </c>
      <c r="K193" s="14" t="s">
        <v>67</v>
      </c>
      <c r="L193" s="14" t="s">
        <v>346</v>
      </c>
      <c r="M193" s="15" t="s">
        <v>384</v>
      </c>
      <c r="N193" s="15" t="s">
        <v>89</v>
      </c>
      <c r="O193" s="15">
        <v>0</v>
      </c>
      <c r="P193" s="15"/>
      <c r="Q193" s="15"/>
      <c r="R193" s="15" t="s">
        <v>773</v>
      </c>
      <c r="S193" s="25"/>
      <c r="T193" s="25">
        <v>45748</v>
      </c>
      <c r="U193" s="25">
        <v>45754</v>
      </c>
      <c r="V193" s="15" t="s">
        <v>69</v>
      </c>
      <c r="W193" s="15"/>
      <c r="X193" s="27">
        <v>106.15</v>
      </c>
      <c r="Y193" s="27">
        <f>Table2[[#This Row],[PREÇO UNITARIO]]*Table2[[#This Row],[QUANTIDADE]]</f>
        <v>106.15</v>
      </c>
      <c r="Z193" s="15"/>
      <c r="AA193" s="32">
        <f>MONTH(Table2[[#This Row],[DATA PEDIDO HP]])</f>
        <v>3</v>
      </c>
      <c r="AB193" s="32"/>
      <c r="AC193" s="5">
        <f t="shared" ca="1" si="2"/>
        <v>46232</v>
      </c>
      <c r="AD193" s="331">
        <f ca="1">_xlfn.DAYS(Table2[[#This Row],[HOJE]],Table2[[#This Row],[DATA PEDIDO HP]])</f>
        <v>499</v>
      </c>
      <c r="AE193" s="5" t="s">
        <v>43</v>
      </c>
    </row>
    <row r="194" spans="1:31" ht="14.45" hidden="1">
      <c r="A194" s="269" t="s">
        <v>774</v>
      </c>
      <c r="B194" s="25">
        <v>45735</v>
      </c>
      <c r="C194" s="26">
        <v>45734</v>
      </c>
      <c r="D194" s="14" t="s">
        <v>775</v>
      </c>
      <c r="E194" s="14" t="s">
        <v>63</v>
      </c>
      <c r="F194" s="14" t="s">
        <v>64</v>
      </c>
      <c r="G194" s="14">
        <v>48000432</v>
      </c>
      <c r="H194" s="14" t="s">
        <v>776</v>
      </c>
      <c r="I194" s="14" t="s">
        <v>777</v>
      </c>
      <c r="J194" s="14">
        <v>1</v>
      </c>
      <c r="K194" s="14" t="s">
        <v>37</v>
      </c>
      <c r="L194" s="14" t="s">
        <v>217</v>
      </c>
      <c r="M194" s="15" t="s">
        <v>58</v>
      </c>
      <c r="N194" s="15" t="s">
        <v>89</v>
      </c>
      <c r="O194" s="15">
        <v>0</v>
      </c>
      <c r="P194" s="15"/>
      <c r="Q194" s="15"/>
      <c r="R194" s="15"/>
      <c r="S194" s="25">
        <v>45785</v>
      </c>
      <c r="T194" s="25">
        <v>45755</v>
      </c>
      <c r="U194" s="25">
        <v>45772</v>
      </c>
      <c r="V194" s="15" t="s">
        <v>40</v>
      </c>
      <c r="W194" s="15"/>
      <c r="X194" s="27">
        <v>60.43</v>
      </c>
      <c r="Y194" s="27">
        <f>Table2[[#This Row],[PREÇO UNITARIO]]*Table2[[#This Row],[QUANTIDADE]]</f>
        <v>60.43</v>
      </c>
      <c r="Z194" s="15"/>
      <c r="AA194" s="28">
        <f>MONTH(Table2[[#This Row],[DATA PEDIDO HP]])</f>
        <v>3</v>
      </c>
      <c r="AB194" s="32" t="s">
        <v>60</v>
      </c>
      <c r="AC194" s="5">
        <f t="shared" ref="AC194:AC257" ca="1" si="3">TODAY()</f>
        <v>46232</v>
      </c>
      <c r="AD194" s="331">
        <f ca="1">_xlfn.DAYS(Table2[[#This Row],[HOJE]],Table2[[#This Row],[DATA PEDIDO HP]])</f>
        <v>497</v>
      </c>
      <c r="AE194" s="336" t="s">
        <v>43</v>
      </c>
    </row>
    <row r="195" spans="1:31" ht="14.45" hidden="1">
      <c r="A195" s="269" t="s">
        <v>778</v>
      </c>
      <c r="B195" s="25">
        <v>45735</v>
      </c>
      <c r="C195" s="26">
        <v>45734</v>
      </c>
      <c r="D195" s="14" t="s">
        <v>779</v>
      </c>
      <c r="E195" s="14" t="s">
        <v>780</v>
      </c>
      <c r="F195" s="14" t="s">
        <v>403</v>
      </c>
      <c r="G195" s="14">
        <v>50300129</v>
      </c>
      <c r="H195" s="14" t="s">
        <v>511</v>
      </c>
      <c r="I195" s="14" t="s">
        <v>781</v>
      </c>
      <c r="J195" s="14">
        <v>1</v>
      </c>
      <c r="K195" s="14" t="s">
        <v>37</v>
      </c>
      <c r="L195" s="14" t="s">
        <v>217</v>
      </c>
      <c r="M195" s="15" t="s">
        <v>89</v>
      </c>
      <c r="N195" s="15" t="s">
        <v>58</v>
      </c>
      <c r="O195" s="15">
        <v>1</v>
      </c>
      <c r="P195" s="15"/>
      <c r="Q195" s="15"/>
      <c r="R195" s="15" t="s">
        <v>782</v>
      </c>
      <c r="S195" s="25"/>
      <c r="T195" s="25">
        <v>45755</v>
      </c>
      <c r="U195" s="25">
        <v>45772</v>
      </c>
      <c r="V195" s="15" t="s">
        <v>40</v>
      </c>
      <c r="W195" s="15"/>
      <c r="X195" s="27">
        <v>1665.75</v>
      </c>
      <c r="Y195" s="27">
        <f>Table2[[#This Row],[PREÇO UNITARIO]]*Table2[[#This Row],[QUANTIDADE]]</f>
        <v>1665.75</v>
      </c>
      <c r="Z195" s="15"/>
      <c r="AA195" s="28">
        <f>MONTH(Table2[[#This Row],[DATA PEDIDO HP]])</f>
        <v>3</v>
      </c>
      <c r="AB195" s="32" t="s">
        <v>60</v>
      </c>
      <c r="AC195" s="5">
        <f t="shared" ca="1" si="3"/>
        <v>46232</v>
      </c>
      <c r="AD195" s="331">
        <f ca="1">_xlfn.DAYS(Table2[[#This Row],[HOJE]],Table2[[#This Row],[DATA PEDIDO HP]])</f>
        <v>497</v>
      </c>
      <c r="AE195" s="5" t="s">
        <v>43</v>
      </c>
    </row>
    <row r="196" spans="1:31" ht="14.45" hidden="1">
      <c r="A196" s="269" t="s">
        <v>783</v>
      </c>
      <c r="B196" s="25">
        <v>45735</v>
      </c>
      <c r="C196" s="26">
        <v>45734</v>
      </c>
      <c r="D196" s="14" t="s">
        <v>784</v>
      </c>
      <c r="E196" s="14" t="s">
        <v>103</v>
      </c>
      <c r="F196" s="14" t="s">
        <v>104</v>
      </c>
      <c r="G196" s="14">
        <v>51000323</v>
      </c>
      <c r="H196" s="14" t="s">
        <v>785</v>
      </c>
      <c r="I196" s="14" t="s">
        <v>786</v>
      </c>
      <c r="J196" s="14">
        <v>1</v>
      </c>
      <c r="K196" s="14" t="s">
        <v>37</v>
      </c>
      <c r="L196" s="14" t="s">
        <v>217</v>
      </c>
      <c r="M196" s="15" t="s">
        <v>89</v>
      </c>
      <c r="N196" s="15" t="s">
        <v>89</v>
      </c>
      <c r="O196" s="15">
        <v>0</v>
      </c>
      <c r="P196" s="15"/>
      <c r="Q196" s="15"/>
      <c r="R196" s="15"/>
      <c r="S196" s="25">
        <v>45861</v>
      </c>
      <c r="T196" s="25">
        <v>45838</v>
      </c>
      <c r="U196" s="25">
        <v>45859</v>
      </c>
      <c r="V196" s="15" t="s">
        <v>533</v>
      </c>
      <c r="W196" s="15"/>
      <c r="X196" s="27">
        <v>478.55</v>
      </c>
      <c r="Y196" s="27">
        <f>Table2[[#This Row],[PREÇO UNITARIO]]*Table2[[#This Row],[QUANTIDADE]]</f>
        <v>478.55</v>
      </c>
      <c r="Z196" s="15"/>
      <c r="AA196" s="28">
        <f>MONTH(Table2[[#This Row],[DATA PEDIDO HP]])</f>
        <v>3</v>
      </c>
      <c r="AB196" s="32" t="s">
        <v>42</v>
      </c>
      <c r="AC196" s="5">
        <f t="shared" ca="1" si="3"/>
        <v>46232</v>
      </c>
      <c r="AD196" s="331">
        <f ca="1">_xlfn.DAYS(Table2[[#This Row],[HOJE]],Table2[[#This Row],[DATA PEDIDO HP]])</f>
        <v>497</v>
      </c>
      <c r="AE196" s="336" t="s">
        <v>43</v>
      </c>
    </row>
    <row r="197" spans="1:31" ht="14.45" hidden="1">
      <c r="A197" s="269" t="s">
        <v>787</v>
      </c>
      <c r="B197" s="25">
        <v>45735</v>
      </c>
      <c r="C197" s="26">
        <v>45734</v>
      </c>
      <c r="D197" s="14" t="s">
        <v>788</v>
      </c>
      <c r="E197" s="14" t="s">
        <v>118</v>
      </c>
      <c r="F197" s="14" t="s">
        <v>64</v>
      </c>
      <c r="G197" s="14">
        <v>48000044</v>
      </c>
      <c r="H197" s="14" t="s">
        <v>789</v>
      </c>
      <c r="I197" s="14" t="s">
        <v>790</v>
      </c>
      <c r="J197" s="14">
        <v>1</v>
      </c>
      <c r="K197" s="14" t="s">
        <v>37</v>
      </c>
      <c r="L197" s="14" t="s">
        <v>217</v>
      </c>
      <c r="M197" s="15" t="s">
        <v>58</v>
      </c>
      <c r="N197" s="15" t="s">
        <v>58</v>
      </c>
      <c r="O197" s="15">
        <v>1</v>
      </c>
      <c r="P197" s="15"/>
      <c r="Q197" s="15"/>
      <c r="R197" s="15" t="s">
        <v>791</v>
      </c>
      <c r="S197" s="25"/>
      <c r="T197" s="25">
        <v>45755</v>
      </c>
      <c r="U197" s="25">
        <v>45772</v>
      </c>
      <c r="V197" s="15" t="s">
        <v>40</v>
      </c>
      <c r="W197" s="15"/>
      <c r="X197" s="27">
        <v>237.68</v>
      </c>
      <c r="Y197" s="27">
        <f>Table2[[#This Row],[PREÇO UNITARIO]]*Table2[[#This Row],[QUANTIDADE]]</f>
        <v>237.68</v>
      </c>
      <c r="Z197" s="15"/>
      <c r="AA197" s="28">
        <f>MONTH(Table2[[#This Row],[DATA PEDIDO HP]])</f>
        <v>3</v>
      </c>
      <c r="AB197" s="32" t="s">
        <v>60</v>
      </c>
      <c r="AC197" s="5">
        <f t="shared" ca="1" si="3"/>
        <v>46232</v>
      </c>
      <c r="AD197" s="331">
        <f ca="1">_xlfn.DAYS(Table2[[#This Row],[HOJE]],Table2[[#This Row],[DATA PEDIDO HP]])</f>
        <v>497</v>
      </c>
      <c r="AE197" s="5" t="s">
        <v>43</v>
      </c>
    </row>
    <row r="198" spans="1:31" ht="14.45" hidden="1">
      <c r="A198" s="269" t="s">
        <v>792</v>
      </c>
      <c r="B198" s="25">
        <v>45742</v>
      </c>
      <c r="C198" s="26">
        <v>45736</v>
      </c>
      <c r="D198" s="14"/>
      <c r="E198" s="14" t="s">
        <v>793</v>
      </c>
      <c r="F198" s="14" t="s">
        <v>794</v>
      </c>
      <c r="G198" s="14">
        <v>48500348</v>
      </c>
      <c r="H198" s="14" t="s">
        <v>795</v>
      </c>
      <c r="I198" s="14" t="s">
        <v>796</v>
      </c>
      <c r="J198" s="14">
        <v>1</v>
      </c>
      <c r="K198" s="14" t="s">
        <v>37</v>
      </c>
      <c r="L198" s="14"/>
      <c r="M198" s="15" t="s">
        <v>58</v>
      </c>
      <c r="N198" s="15" t="s">
        <v>89</v>
      </c>
      <c r="O198" s="15">
        <v>0</v>
      </c>
      <c r="P198" s="15"/>
      <c r="Q198" s="15"/>
      <c r="R198" s="15"/>
      <c r="S198" s="25">
        <v>45800</v>
      </c>
      <c r="T198" s="25">
        <v>45788</v>
      </c>
      <c r="U198" s="25">
        <v>45799</v>
      </c>
      <c r="V198" s="15" t="s">
        <v>506</v>
      </c>
      <c r="W198" s="15" t="s">
        <v>41</v>
      </c>
      <c r="X198" s="27">
        <v>14.6</v>
      </c>
      <c r="Y198" s="27">
        <f>Table2[[#This Row],[PREÇO UNITARIO]]*Table2[[#This Row],[QUANTIDADE]]</f>
        <v>14.6</v>
      </c>
      <c r="Z198" s="15"/>
      <c r="AA198" s="28">
        <f>MONTH(Table2[[#This Row],[DATA PEDIDO HP]])</f>
        <v>3</v>
      </c>
      <c r="AB198" s="32" t="s">
        <v>60</v>
      </c>
      <c r="AC198" s="5">
        <f t="shared" ca="1" si="3"/>
        <v>46232</v>
      </c>
      <c r="AD198" s="331">
        <f ca="1">_xlfn.DAYS(Table2[[#This Row],[HOJE]],Table2[[#This Row],[DATA PEDIDO HP]])</f>
        <v>490</v>
      </c>
      <c r="AE198" s="336" t="s">
        <v>43</v>
      </c>
    </row>
    <row r="199" spans="1:31" ht="14.45" hidden="1">
      <c r="A199" s="269" t="s">
        <v>792</v>
      </c>
      <c r="B199" s="25">
        <v>45742</v>
      </c>
      <c r="C199" s="26">
        <v>45736</v>
      </c>
      <c r="D199" s="14"/>
      <c r="E199" s="14" t="s">
        <v>793</v>
      </c>
      <c r="F199" s="14" t="s">
        <v>794</v>
      </c>
      <c r="G199" s="14">
        <v>48500348</v>
      </c>
      <c r="H199" s="14" t="s">
        <v>797</v>
      </c>
      <c r="I199" s="14" t="s">
        <v>798</v>
      </c>
      <c r="J199" s="14">
        <v>1</v>
      </c>
      <c r="K199" s="14" t="s">
        <v>37</v>
      </c>
      <c r="L199" s="14"/>
      <c r="M199" s="15" t="s">
        <v>58</v>
      </c>
      <c r="N199" s="15" t="s">
        <v>89</v>
      </c>
      <c r="O199" s="15">
        <v>0</v>
      </c>
      <c r="P199" s="15"/>
      <c r="Q199" s="15"/>
      <c r="R199" s="15"/>
      <c r="S199" s="25">
        <v>45800</v>
      </c>
      <c r="T199" s="25">
        <v>45788</v>
      </c>
      <c r="U199" s="25">
        <v>45799</v>
      </c>
      <c r="V199" s="15" t="s">
        <v>506</v>
      </c>
      <c r="W199" s="15" t="s">
        <v>41</v>
      </c>
      <c r="X199" s="27">
        <v>16.489999999999998</v>
      </c>
      <c r="Y199" s="27">
        <f>Table2[[#This Row],[PREÇO UNITARIO]]*Table2[[#This Row],[QUANTIDADE]]</f>
        <v>16.489999999999998</v>
      </c>
      <c r="Z199" s="15"/>
      <c r="AA199" s="28">
        <f>MONTH(Table2[[#This Row],[DATA PEDIDO HP]])</f>
        <v>3</v>
      </c>
      <c r="AB199" s="32" t="s">
        <v>60</v>
      </c>
      <c r="AC199" s="5">
        <f t="shared" ca="1" si="3"/>
        <v>46232</v>
      </c>
      <c r="AD199" s="331">
        <f ca="1">_xlfn.DAYS(Table2[[#This Row],[HOJE]],Table2[[#This Row],[DATA PEDIDO HP]])</f>
        <v>490</v>
      </c>
      <c r="AE199" s="336" t="s">
        <v>43</v>
      </c>
    </row>
    <row r="200" spans="1:31" ht="14.45" hidden="1">
      <c r="A200" s="269" t="s">
        <v>792</v>
      </c>
      <c r="B200" s="25">
        <v>45742</v>
      </c>
      <c r="C200" s="26">
        <v>45736</v>
      </c>
      <c r="D200" s="14"/>
      <c r="E200" s="14" t="s">
        <v>793</v>
      </c>
      <c r="F200" s="14" t="s">
        <v>794</v>
      </c>
      <c r="G200" s="14">
        <v>48500348</v>
      </c>
      <c r="H200" s="14" t="s">
        <v>799</v>
      </c>
      <c r="I200" s="14" t="s">
        <v>800</v>
      </c>
      <c r="J200" s="14">
        <v>1</v>
      </c>
      <c r="K200" s="14" t="s">
        <v>37</v>
      </c>
      <c r="L200" s="14"/>
      <c r="M200" s="15" t="s">
        <v>58</v>
      </c>
      <c r="N200" s="15" t="s">
        <v>89</v>
      </c>
      <c r="O200" s="15">
        <v>0</v>
      </c>
      <c r="P200" s="15"/>
      <c r="Q200" s="15"/>
      <c r="R200" s="15"/>
      <c r="S200" s="25">
        <v>45800</v>
      </c>
      <c r="T200" s="25">
        <v>45788</v>
      </c>
      <c r="U200" s="25">
        <v>45799</v>
      </c>
      <c r="V200" s="15" t="s">
        <v>506</v>
      </c>
      <c r="W200" s="15" t="s">
        <v>41</v>
      </c>
      <c r="X200" s="27">
        <v>64.84</v>
      </c>
      <c r="Y200" s="27">
        <f>Table2[[#This Row],[PREÇO UNITARIO]]*Table2[[#This Row],[QUANTIDADE]]</f>
        <v>64.84</v>
      </c>
      <c r="Z200" s="15"/>
      <c r="AA200" s="28">
        <f>MONTH(Table2[[#This Row],[DATA PEDIDO HP]])</f>
        <v>3</v>
      </c>
      <c r="AB200" s="32" t="s">
        <v>60</v>
      </c>
      <c r="AC200" s="5">
        <f t="shared" ca="1" si="3"/>
        <v>46232</v>
      </c>
      <c r="AD200" s="331">
        <f ca="1">_xlfn.DAYS(Table2[[#This Row],[HOJE]],Table2[[#This Row],[DATA PEDIDO HP]])</f>
        <v>490</v>
      </c>
      <c r="AE200" s="336" t="s">
        <v>43</v>
      </c>
    </row>
    <row r="201" spans="1:31" ht="14.45" hidden="1">
      <c r="A201" s="269" t="s">
        <v>801</v>
      </c>
      <c r="B201" s="25">
        <v>45736</v>
      </c>
      <c r="C201" s="26">
        <v>45736</v>
      </c>
      <c r="D201" s="14" t="s">
        <v>802</v>
      </c>
      <c r="E201" s="14" t="s">
        <v>85</v>
      </c>
      <c r="F201" s="14" t="s">
        <v>74</v>
      </c>
      <c r="G201" s="14">
        <v>50000260</v>
      </c>
      <c r="H201" s="14" t="s">
        <v>803</v>
      </c>
      <c r="I201" s="14" t="s">
        <v>804</v>
      </c>
      <c r="J201" s="14">
        <v>1</v>
      </c>
      <c r="K201" s="14" t="s">
        <v>67</v>
      </c>
      <c r="L201" s="14" t="s">
        <v>217</v>
      </c>
      <c r="M201" s="15" t="s">
        <v>89</v>
      </c>
      <c r="N201" s="15" t="s">
        <v>89</v>
      </c>
      <c r="O201" s="15">
        <v>0</v>
      </c>
      <c r="P201" s="15"/>
      <c r="Q201" s="15"/>
      <c r="R201" s="15" t="s">
        <v>805</v>
      </c>
      <c r="S201" s="25">
        <v>45771</v>
      </c>
      <c r="T201" s="25">
        <v>45788</v>
      </c>
      <c r="U201" s="25">
        <v>45799</v>
      </c>
      <c r="V201" s="15" t="s">
        <v>506</v>
      </c>
      <c r="W201" s="15"/>
      <c r="X201" s="27">
        <v>26.96</v>
      </c>
      <c r="Y201" s="27">
        <f>Table2[[#This Row],[PREÇO UNITARIO]]*Table2[[#This Row],[QUANTIDADE]]</f>
        <v>26.96</v>
      </c>
      <c r="Z201" s="15" t="s">
        <v>806</v>
      </c>
      <c r="AA201" s="28">
        <f>MONTH(Table2[[#This Row],[DATA PEDIDO HP]])</f>
        <v>3</v>
      </c>
      <c r="AB201" s="32" t="s">
        <v>42</v>
      </c>
      <c r="AC201" s="5">
        <f t="shared" ca="1" si="3"/>
        <v>46232</v>
      </c>
      <c r="AD201" s="331">
        <f ca="1">_xlfn.DAYS(Table2[[#This Row],[HOJE]],Table2[[#This Row],[DATA PEDIDO HP]])</f>
        <v>496</v>
      </c>
      <c r="AE201" s="336" t="s">
        <v>43</v>
      </c>
    </row>
    <row r="202" spans="1:31" ht="14.45" hidden="1">
      <c r="A202" s="269" t="s">
        <v>807</v>
      </c>
      <c r="B202" s="25">
        <v>45736</v>
      </c>
      <c r="C202" s="26">
        <v>45736</v>
      </c>
      <c r="D202" s="14" t="s">
        <v>808</v>
      </c>
      <c r="E202" s="14" t="s">
        <v>109</v>
      </c>
      <c r="F202" s="14" t="s">
        <v>34</v>
      </c>
      <c r="G202" s="14">
        <v>50110229</v>
      </c>
      <c r="H202" s="14" t="s">
        <v>75</v>
      </c>
      <c r="I202" s="14" t="s">
        <v>76</v>
      </c>
      <c r="J202" s="14">
        <v>1</v>
      </c>
      <c r="K202" s="14" t="s">
        <v>67</v>
      </c>
      <c r="L202" s="14" t="s">
        <v>217</v>
      </c>
      <c r="M202" s="15" t="s">
        <v>58</v>
      </c>
      <c r="N202" s="15" t="s">
        <v>89</v>
      </c>
      <c r="O202" s="15">
        <v>0</v>
      </c>
      <c r="P202" s="15"/>
      <c r="Q202" s="15"/>
      <c r="R202" s="15"/>
      <c r="S202" s="25">
        <v>45785</v>
      </c>
      <c r="T202" s="25">
        <v>45755</v>
      </c>
      <c r="U202" s="25">
        <v>45772</v>
      </c>
      <c r="V202" s="15" t="s">
        <v>40</v>
      </c>
      <c r="W202" s="15"/>
      <c r="X202" s="27">
        <v>1187.4100000000001</v>
      </c>
      <c r="Y202" s="27">
        <f>Table2[[#This Row],[PREÇO UNITARIO]]*Table2[[#This Row],[QUANTIDADE]]</f>
        <v>1187.4100000000001</v>
      </c>
      <c r="Z202" s="15"/>
      <c r="AA202" s="28">
        <f>MONTH(Table2[[#This Row],[DATA PEDIDO HP]])</f>
        <v>3</v>
      </c>
      <c r="AB202" s="32" t="s">
        <v>42</v>
      </c>
      <c r="AC202" s="5">
        <f t="shared" ca="1" si="3"/>
        <v>46232</v>
      </c>
      <c r="AD202" s="331">
        <f ca="1">_xlfn.DAYS(Table2[[#This Row],[HOJE]],Table2[[#This Row],[DATA PEDIDO HP]])</f>
        <v>496</v>
      </c>
      <c r="AE202" s="336" t="s">
        <v>43</v>
      </c>
    </row>
    <row r="203" spans="1:31" ht="14.45" hidden="1">
      <c r="A203" s="269" t="s">
        <v>809</v>
      </c>
      <c r="B203" s="25">
        <v>45737</v>
      </c>
      <c r="C203" s="26">
        <v>45735</v>
      </c>
      <c r="D203" s="14" t="s">
        <v>810</v>
      </c>
      <c r="E203" s="14" t="s">
        <v>73</v>
      </c>
      <c r="F203" s="14" t="s">
        <v>34</v>
      </c>
      <c r="G203" s="14">
        <v>50110372</v>
      </c>
      <c r="H203" s="14" t="s">
        <v>811</v>
      </c>
      <c r="I203" s="14" t="s">
        <v>159</v>
      </c>
      <c r="J203" s="14">
        <v>1</v>
      </c>
      <c r="K203" s="14" t="s">
        <v>37</v>
      </c>
      <c r="L203" s="14" t="s">
        <v>217</v>
      </c>
      <c r="M203" s="15" t="s">
        <v>58</v>
      </c>
      <c r="N203" s="15" t="s">
        <v>58</v>
      </c>
      <c r="O203" s="15">
        <v>1</v>
      </c>
      <c r="P203" s="15"/>
      <c r="Q203" s="15"/>
      <c r="R203" s="15" t="s">
        <v>545</v>
      </c>
      <c r="S203" s="25"/>
      <c r="T203" s="25">
        <v>45788</v>
      </c>
      <c r="U203" s="25">
        <v>45799</v>
      </c>
      <c r="V203" s="15" t="s">
        <v>506</v>
      </c>
      <c r="W203" s="15"/>
      <c r="X203" s="27">
        <v>898.2</v>
      </c>
      <c r="Y203" s="27">
        <f>Table2[[#This Row],[PREÇO UNITARIO]]*Table2[[#This Row],[QUANTIDADE]]</f>
        <v>898.2</v>
      </c>
      <c r="Z203" s="15"/>
      <c r="AA203" s="28">
        <f>MONTH(Table2[[#This Row],[DATA PEDIDO HP]])</f>
        <v>3</v>
      </c>
      <c r="AB203" s="32" t="s">
        <v>42</v>
      </c>
      <c r="AC203" s="5">
        <f t="shared" ca="1" si="3"/>
        <v>46232</v>
      </c>
      <c r="AD203" s="331">
        <f ca="1">_xlfn.DAYS(Table2[[#This Row],[HOJE]],Table2[[#This Row],[DATA PEDIDO HP]])</f>
        <v>495</v>
      </c>
      <c r="AE203" s="5" t="s">
        <v>43</v>
      </c>
    </row>
    <row r="204" spans="1:31" ht="14.45" hidden="1">
      <c r="A204" s="269" t="s">
        <v>809</v>
      </c>
      <c r="B204" s="25">
        <v>45737</v>
      </c>
      <c r="C204" s="26">
        <v>45735</v>
      </c>
      <c r="D204" s="14" t="s">
        <v>810</v>
      </c>
      <c r="E204" s="14" t="s">
        <v>73</v>
      </c>
      <c r="F204" s="14" t="s">
        <v>34</v>
      </c>
      <c r="G204" s="14">
        <v>50110372</v>
      </c>
      <c r="H204" s="14" t="s">
        <v>619</v>
      </c>
      <c r="I204" s="14" t="s">
        <v>812</v>
      </c>
      <c r="J204" s="14">
        <v>1</v>
      </c>
      <c r="K204" s="14" t="s">
        <v>37</v>
      </c>
      <c r="L204" s="14" t="s">
        <v>217</v>
      </c>
      <c r="M204" s="15" t="s">
        <v>39</v>
      </c>
      <c r="N204" s="15" t="s">
        <v>58</v>
      </c>
      <c r="O204" s="15">
        <v>1</v>
      </c>
      <c r="P204" s="15"/>
      <c r="Q204" s="15"/>
      <c r="R204" s="15"/>
      <c r="S204" s="25"/>
      <c r="T204" s="25">
        <v>45788</v>
      </c>
      <c r="U204" s="25">
        <v>45799</v>
      </c>
      <c r="V204" s="15" t="s">
        <v>506</v>
      </c>
      <c r="W204" s="15"/>
      <c r="X204" s="27">
        <v>91.76</v>
      </c>
      <c r="Y204" s="27">
        <f>Table2[[#This Row],[PREÇO UNITARIO]]*Table2[[#This Row],[QUANTIDADE]]</f>
        <v>91.76</v>
      </c>
      <c r="Z204" s="15"/>
      <c r="AA204" s="28">
        <f>MONTH(Table2[[#This Row],[DATA PEDIDO HP]])</f>
        <v>3</v>
      </c>
      <c r="AB204" s="32" t="s">
        <v>42</v>
      </c>
      <c r="AC204" s="5">
        <f t="shared" ca="1" si="3"/>
        <v>46232</v>
      </c>
      <c r="AD204" s="331">
        <f ca="1">_xlfn.DAYS(Table2[[#This Row],[HOJE]],Table2[[#This Row],[DATA PEDIDO HP]])</f>
        <v>495</v>
      </c>
      <c r="AE204" s="5" t="s">
        <v>43</v>
      </c>
    </row>
    <row r="205" spans="1:31" ht="14.45" hidden="1">
      <c r="A205" s="269" t="s">
        <v>809</v>
      </c>
      <c r="B205" s="25">
        <v>45737</v>
      </c>
      <c r="C205" s="26">
        <v>45735</v>
      </c>
      <c r="D205" s="14" t="s">
        <v>810</v>
      </c>
      <c r="E205" s="14" t="s">
        <v>73</v>
      </c>
      <c r="F205" s="14" t="s">
        <v>34</v>
      </c>
      <c r="G205" s="14">
        <v>50110372</v>
      </c>
      <c r="H205" s="14" t="s">
        <v>813</v>
      </c>
      <c r="I205" s="14" t="s">
        <v>814</v>
      </c>
      <c r="J205" s="14">
        <v>1</v>
      </c>
      <c r="K205" s="14" t="s">
        <v>37</v>
      </c>
      <c r="L205" s="14" t="s">
        <v>217</v>
      </c>
      <c r="M205" s="15" t="s">
        <v>58</v>
      </c>
      <c r="N205" s="15" t="s">
        <v>89</v>
      </c>
      <c r="O205" s="15">
        <v>0</v>
      </c>
      <c r="P205" s="15"/>
      <c r="Q205" s="15"/>
      <c r="R205" s="15"/>
      <c r="S205" s="25">
        <v>45783</v>
      </c>
      <c r="T205" s="25">
        <v>45755</v>
      </c>
      <c r="U205" s="25">
        <v>45772</v>
      </c>
      <c r="V205" s="15" t="s">
        <v>40</v>
      </c>
      <c r="W205" s="15"/>
      <c r="X205" s="27">
        <v>179.64</v>
      </c>
      <c r="Y205" s="27">
        <f>Table2[[#This Row],[PREÇO UNITARIO]]*Table2[[#This Row],[QUANTIDADE]]</f>
        <v>179.64</v>
      </c>
      <c r="Z205" s="15"/>
      <c r="AA205" s="28">
        <f>MONTH(Table2[[#This Row],[DATA PEDIDO HP]])</f>
        <v>3</v>
      </c>
      <c r="AB205" s="32" t="s">
        <v>42</v>
      </c>
      <c r="AC205" s="5">
        <f t="shared" ca="1" si="3"/>
        <v>46232</v>
      </c>
      <c r="AD205" s="331">
        <f ca="1">_xlfn.DAYS(Table2[[#This Row],[HOJE]],Table2[[#This Row],[DATA PEDIDO HP]])</f>
        <v>495</v>
      </c>
      <c r="AE205" s="336" t="s">
        <v>43</v>
      </c>
    </row>
    <row r="206" spans="1:31" ht="14.45" hidden="1">
      <c r="A206" s="269" t="s">
        <v>815</v>
      </c>
      <c r="B206" s="26">
        <v>45740</v>
      </c>
      <c r="C206" s="26">
        <v>45740</v>
      </c>
      <c r="D206" s="14" t="s">
        <v>816</v>
      </c>
      <c r="E206" s="14" t="s">
        <v>202</v>
      </c>
      <c r="F206" s="14" t="s">
        <v>203</v>
      </c>
      <c r="G206" s="14">
        <v>60002072</v>
      </c>
      <c r="H206" s="14" t="s">
        <v>114</v>
      </c>
      <c r="I206" s="14" t="s">
        <v>817</v>
      </c>
      <c r="J206" s="14">
        <v>1</v>
      </c>
      <c r="K206" s="14" t="s">
        <v>37</v>
      </c>
      <c r="L206" s="14" t="s">
        <v>346</v>
      </c>
      <c r="M206" s="15" t="s">
        <v>58</v>
      </c>
      <c r="N206" s="15" t="s">
        <v>58</v>
      </c>
      <c r="O206" s="15">
        <v>1</v>
      </c>
      <c r="P206" s="15"/>
      <c r="Q206" s="15"/>
      <c r="R206" s="15"/>
      <c r="S206" s="25"/>
      <c r="T206" s="25">
        <v>45788</v>
      </c>
      <c r="U206" s="25">
        <v>45799</v>
      </c>
      <c r="V206" s="15" t="s">
        <v>506</v>
      </c>
      <c r="W206" s="15"/>
      <c r="X206" s="27">
        <v>77.98</v>
      </c>
      <c r="Y206" s="27">
        <f>Table2[[#This Row],[PREÇO UNITARIO]]*Table2[[#This Row],[QUANTIDADE]]</f>
        <v>77.98</v>
      </c>
      <c r="Z206" s="15"/>
      <c r="AA206" s="28">
        <f>MONTH(Table2[[#This Row],[DATA PEDIDO HP]])</f>
        <v>3</v>
      </c>
      <c r="AB206" s="32" t="s">
        <v>60</v>
      </c>
      <c r="AC206" s="5">
        <f t="shared" ca="1" si="3"/>
        <v>46232</v>
      </c>
      <c r="AD206" s="331">
        <f ca="1">_xlfn.DAYS(Table2[[#This Row],[HOJE]],Table2[[#This Row],[DATA PEDIDO HP]])</f>
        <v>492</v>
      </c>
      <c r="AE206" s="5" t="s">
        <v>43</v>
      </c>
    </row>
    <row r="207" spans="1:31" ht="14.45" hidden="1">
      <c r="A207" s="269" t="s">
        <v>818</v>
      </c>
      <c r="B207" s="26">
        <v>45741</v>
      </c>
      <c r="C207" s="26">
        <v>45740</v>
      </c>
      <c r="D207" s="14" t="s">
        <v>819</v>
      </c>
      <c r="E207" s="14" t="s">
        <v>445</v>
      </c>
      <c r="F207" s="14" t="s">
        <v>403</v>
      </c>
      <c r="G207" s="14">
        <v>50300097</v>
      </c>
      <c r="H207" s="14" t="s">
        <v>114</v>
      </c>
      <c r="I207" s="14" t="s">
        <v>817</v>
      </c>
      <c r="J207" s="14">
        <v>1</v>
      </c>
      <c r="K207" s="14" t="s">
        <v>37</v>
      </c>
      <c r="L207" s="14" t="s">
        <v>346</v>
      </c>
      <c r="M207" s="15" t="s">
        <v>89</v>
      </c>
      <c r="N207" s="15" t="s">
        <v>58</v>
      </c>
      <c r="O207" s="15">
        <v>1</v>
      </c>
      <c r="P207" s="15"/>
      <c r="Q207" s="15"/>
      <c r="R207" s="15"/>
      <c r="S207" s="25"/>
      <c r="T207" s="25">
        <v>45788</v>
      </c>
      <c r="U207" s="25">
        <v>45799</v>
      </c>
      <c r="V207" s="15" t="s">
        <v>506</v>
      </c>
      <c r="W207" s="15" t="s">
        <v>41</v>
      </c>
      <c r="X207" s="27">
        <v>77.98</v>
      </c>
      <c r="Y207" s="27">
        <f>Table2[[#This Row],[PREÇO UNITARIO]]*Table2[[#This Row],[QUANTIDADE]]</f>
        <v>77.98</v>
      </c>
      <c r="Z207" s="15"/>
      <c r="AA207" s="28">
        <f>MONTH(Table2[[#This Row],[DATA PEDIDO HP]])</f>
        <v>3</v>
      </c>
      <c r="AB207" s="32" t="s">
        <v>60</v>
      </c>
      <c r="AC207" s="5">
        <f t="shared" ca="1" si="3"/>
        <v>46232</v>
      </c>
      <c r="AD207" s="331">
        <f ca="1">_xlfn.DAYS(Table2[[#This Row],[HOJE]],Table2[[#This Row],[DATA PEDIDO HP]])</f>
        <v>491</v>
      </c>
      <c r="AE207" s="5" t="s">
        <v>43</v>
      </c>
    </row>
    <row r="208" spans="1:31" ht="14.45" hidden="1">
      <c r="A208" s="269" t="s">
        <v>818</v>
      </c>
      <c r="B208" s="26">
        <v>45741</v>
      </c>
      <c r="C208" s="26">
        <v>45740</v>
      </c>
      <c r="D208" s="14" t="s">
        <v>819</v>
      </c>
      <c r="E208" s="14" t="s">
        <v>445</v>
      </c>
      <c r="F208" s="14" t="s">
        <v>403</v>
      </c>
      <c r="G208" s="14">
        <v>50300097</v>
      </c>
      <c r="H208" s="14" t="s">
        <v>820</v>
      </c>
      <c r="I208" s="14" t="s">
        <v>821</v>
      </c>
      <c r="J208" s="14">
        <v>1</v>
      </c>
      <c r="K208" s="14" t="s">
        <v>37</v>
      </c>
      <c r="L208" s="14" t="s">
        <v>346</v>
      </c>
      <c r="M208" s="15" t="s">
        <v>58</v>
      </c>
      <c r="N208" s="15" t="s">
        <v>58</v>
      </c>
      <c r="O208" s="15">
        <v>1</v>
      </c>
      <c r="P208" s="15"/>
      <c r="Q208" s="15"/>
      <c r="R208" s="15"/>
      <c r="S208" s="25"/>
      <c r="T208" s="25">
        <v>45788</v>
      </c>
      <c r="U208" s="25">
        <v>45799</v>
      </c>
      <c r="V208" s="15" t="s">
        <v>506</v>
      </c>
      <c r="W208" s="15" t="s">
        <v>41</v>
      </c>
      <c r="X208" s="27">
        <v>24.99</v>
      </c>
      <c r="Y208" s="27">
        <f>Table2[[#This Row],[PREÇO UNITARIO]]*Table2[[#This Row],[QUANTIDADE]]</f>
        <v>24.99</v>
      </c>
      <c r="Z208" s="15"/>
      <c r="AA208" s="28">
        <f>MONTH(Table2[[#This Row],[DATA PEDIDO HP]])</f>
        <v>3</v>
      </c>
      <c r="AB208" s="32" t="s">
        <v>60</v>
      </c>
      <c r="AC208" s="5">
        <f t="shared" ca="1" si="3"/>
        <v>46232</v>
      </c>
      <c r="AD208" s="331">
        <f ca="1">_xlfn.DAYS(Table2[[#This Row],[HOJE]],Table2[[#This Row],[DATA PEDIDO HP]])</f>
        <v>491</v>
      </c>
      <c r="AE208" s="5" t="s">
        <v>43</v>
      </c>
    </row>
    <row r="209" spans="1:31" ht="14.45" hidden="1">
      <c r="A209" s="269" t="s">
        <v>822</v>
      </c>
      <c r="B209" s="26">
        <v>45741</v>
      </c>
      <c r="C209" s="26">
        <v>45741</v>
      </c>
      <c r="D209" s="14" t="s">
        <v>823</v>
      </c>
      <c r="E209" s="14" t="s">
        <v>780</v>
      </c>
      <c r="F209" s="14" t="s">
        <v>403</v>
      </c>
      <c r="G209" s="14">
        <v>50300129</v>
      </c>
      <c r="H209" s="14" t="s">
        <v>824</v>
      </c>
      <c r="I209" s="14" t="s">
        <v>825</v>
      </c>
      <c r="J209" s="14">
        <v>1</v>
      </c>
      <c r="K209" s="14" t="s">
        <v>37</v>
      </c>
      <c r="L209" s="14" t="s">
        <v>217</v>
      </c>
      <c r="M209" s="15" t="s">
        <v>58</v>
      </c>
      <c r="N209" s="15" t="s">
        <v>89</v>
      </c>
      <c r="O209" s="15">
        <v>0</v>
      </c>
      <c r="P209" s="15"/>
      <c r="Q209" s="15"/>
      <c r="R209" s="15" t="s">
        <v>826</v>
      </c>
      <c r="S209" s="25"/>
      <c r="T209" s="25">
        <v>45755</v>
      </c>
      <c r="U209" s="25">
        <v>45772</v>
      </c>
      <c r="V209" s="15" t="s">
        <v>40</v>
      </c>
      <c r="W209" s="15"/>
      <c r="X209" s="27">
        <v>795.98</v>
      </c>
      <c r="Y209" s="27">
        <f>Table2[[#This Row],[PREÇO UNITARIO]]*Table2[[#This Row],[QUANTIDADE]]</f>
        <v>795.98</v>
      </c>
      <c r="Z209" s="15"/>
      <c r="AA209" s="28">
        <f>MONTH(Table2[[#This Row],[DATA PEDIDO HP]])</f>
        <v>3</v>
      </c>
      <c r="AB209" s="32" t="s">
        <v>60</v>
      </c>
      <c r="AC209" s="5">
        <f t="shared" ca="1" si="3"/>
        <v>46232</v>
      </c>
      <c r="AD209" s="331">
        <f ca="1">_xlfn.DAYS(Table2[[#This Row],[HOJE]],Table2[[#This Row],[DATA PEDIDO HP]])</f>
        <v>491</v>
      </c>
      <c r="AE209" s="5" t="s">
        <v>43</v>
      </c>
    </row>
    <row r="210" spans="1:31" ht="14.45" hidden="1">
      <c r="A210" s="269" t="s">
        <v>827</v>
      </c>
      <c r="B210" s="26">
        <v>45741</v>
      </c>
      <c r="C210" s="26">
        <v>45741</v>
      </c>
      <c r="D210" s="14" t="s">
        <v>828</v>
      </c>
      <c r="E210" s="14" t="s">
        <v>109</v>
      </c>
      <c r="F210" s="14" t="s">
        <v>34</v>
      </c>
      <c r="G210" s="14">
        <v>50110229</v>
      </c>
      <c r="H210" s="14" t="s">
        <v>829</v>
      </c>
      <c r="I210" s="14" t="s">
        <v>830</v>
      </c>
      <c r="J210" s="14">
        <v>1</v>
      </c>
      <c r="K210" s="14" t="s">
        <v>67</v>
      </c>
      <c r="L210" s="14" t="s">
        <v>217</v>
      </c>
      <c r="M210" s="15" t="s">
        <v>58</v>
      </c>
      <c r="N210" s="15" t="s">
        <v>89</v>
      </c>
      <c r="O210" s="15">
        <v>0</v>
      </c>
      <c r="P210" s="15"/>
      <c r="Q210" s="15"/>
      <c r="R210" s="15"/>
      <c r="S210" s="25"/>
      <c r="T210" s="25">
        <v>45755</v>
      </c>
      <c r="U210" s="25">
        <v>45772</v>
      </c>
      <c r="V210" s="15" t="s">
        <v>69</v>
      </c>
      <c r="W210" s="15"/>
      <c r="X210" s="27">
        <v>333.15</v>
      </c>
      <c r="Y210" s="27">
        <f>Table2[[#This Row],[PREÇO UNITARIO]]*Table2[[#This Row],[QUANTIDADE]]</f>
        <v>333.15</v>
      </c>
      <c r="Z210" s="15"/>
      <c r="AA210" s="28">
        <f>MONTH(Table2[[#This Row],[DATA PEDIDO HP]])</f>
        <v>3</v>
      </c>
      <c r="AB210" s="32" t="s">
        <v>42</v>
      </c>
      <c r="AC210" s="5">
        <f t="shared" ca="1" si="3"/>
        <v>46232</v>
      </c>
      <c r="AD210" s="331">
        <f ca="1">_xlfn.DAYS(Table2[[#This Row],[HOJE]],Table2[[#This Row],[DATA PEDIDO HP]])</f>
        <v>491</v>
      </c>
      <c r="AE210" s="5" t="s">
        <v>43</v>
      </c>
    </row>
    <row r="211" spans="1:31" ht="14.45" hidden="1">
      <c r="A211" s="269" t="s">
        <v>831</v>
      </c>
      <c r="B211" s="26">
        <v>45743</v>
      </c>
      <c r="C211" s="26">
        <v>45743</v>
      </c>
      <c r="D211" s="14" t="s">
        <v>832</v>
      </c>
      <c r="E211" s="14" t="s">
        <v>181</v>
      </c>
      <c r="F211" s="14" t="s">
        <v>34</v>
      </c>
      <c r="G211" s="14">
        <v>50110057</v>
      </c>
      <c r="H211" s="14" t="s">
        <v>273</v>
      </c>
      <c r="I211" s="14" t="s">
        <v>833</v>
      </c>
      <c r="J211" s="14">
        <v>1</v>
      </c>
      <c r="K211" s="14" t="s">
        <v>37</v>
      </c>
      <c r="L211" s="14" t="s">
        <v>96</v>
      </c>
      <c r="M211" s="15" t="s">
        <v>39</v>
      </c>
      <c r="N211" s="15" t="s">
        <v>58</v>
      </c>
      <c r="O211" s="15">
        <v>1</v>
      </c>
      <c r="P211" s="15"/>
      <c r="Q211" s="15"/>
      <c r="R211" s="15"/>
      <c r="S211" s="25">
        <v>45743</v>
      </c>
      <c r="T211" s="25">
        <v>45788</v>
      </c>
      <c r="U211" s="25">
        <v>45799</v>
      </c>
      <c r="V211" s="15" t="s">
        <v>506</v>
      </c>
      <c r="W211" s="15" t="s">
        <v>41</v>
      </c>
      <c r="X211" s="27">
        <v>404.45</v>
      </c>
      <c r="Y211" s="27">
        <f>Table2[[#This Row],[PREÇO UNITARIO]]*Table2[[#This Row],[QUANTIDADE]]</f>
        <v>404.45</v>
      </c>
      <c r="Z211" s="15"/>
      <c r="AA211" s="28">
        <f>MONTH(Table2[[#This Row],[DATA PEDIDO HP]])</f>
        <v>3</v>
      </c>
      <c r="AB211" s="32" t="s">
        <v>42</v>
      </c>
      <c r="AC211" s="5">
        <f t="shared" ca="1" si="3"/>
        <v>46232</v>
      </c>
      <c r="AD211" s="331">
        <f ca="1">_xlfn.DAYS(Table2[[#This Row],[HOJE]],Table2[[#This Row],[DATA PEDIDO HP]])</f>
        <v>489</v>
      </c>
      <c r="AE211" s="336" t="s">
        <v>43</v>
      </c>
    </row>
    <row r="212" spans="1:31" ht="14.45" hidden="1">
      <c r="A212" s="269" t="s">
        <v>834</v>
      </c>
      <c r="B212" s="26">
        <v>45744</v>
      </c>
      <c r="C212" s="26">
        <v>45744</v>
      </c>
      <c r="D212" s="14" t="s">
        <v>835</v>
      </c>
      <c r="E212" s="14" t="s">
        <v>233</v>
      </c>
      <c r="F212" s="14" t="s">
        <v>234</v>
      </c>
      <c r="G212" s="14">
        <v>47100399</v>
      </c>
      <c r="H212" s="14" t="s">
        <v>836</v>
      </c>
      <c r="I212" s="14" t="s">
        <v>837</v>
      </c>
      <c r="J212" s="14">
        <v>2</v>
      </c>
      <c r="K212" s="14" t="s">
        <v>37</v>
      </c>
      <c r="L212" s="14" t="s">
        <v>217</v>
      </c>
      <c r="M212" s="15" t="s">
        <v>58</v>
      </c>
      <c r="N212" s="15" t="s">
        <v>58</v>
      </c>
      <c r="O212" s="15">
        <v>1</v>
      </c>
      <c r="P212" s="15">
        <v>1</v>
      </c>
      <c r="Q212" s="15"/>
      <c r="R212" s="15"/>
      <c r="S212" s="25"/>
      <c r="T212" s="25">
        <v>45788</v>
      </c>
      <c r="U212" s="25">
        <v>45799</v>
      </c>
      <c r="V212" s="15" t="s">
        <v>506</v>
      </c>
      <c r="W212" s="15"/>
      <c r="X212" s="27">
        <v>106.15</v>
      </c>
      <c r="Y212" s="27">
        <f>Table2[[#This Row],[PREÇO UNITARIO]]*Table2[[#This Row],[QUANTIDADE]]</f>
        <v>212.3</v>
      </c>
      <c r="Z212" s="15"/>
      <c r="AA212" s="28">
        <f>MONTH(Table2[[#This Row],[DATA PEDIDO HP]])</f>
        <v>3</v>
      </c>
      <c r="AB212" s="32" t="s">
        <v>60</v>
      </c>
      <c r="AC212" s="5">
        <f t="shared" ca="1" si="3"/>
        <v>46232</v>
      </c>
      <c r="AD212" s="331">
        <f ca="1">_xlfn.DAYS(Table2[[#This Row],[HOJE]],Table2[[#This Row],[DATA PEDIDO HP]])</f>
        <v>488</v>
      </c>
      <c r="AE212" s="5" t="s">
        <v>43</v>
      </c>
    </row>
    <row r="213" spans="1:31" ht="14.45" hidden="1">
      <c r="A213" s="269" t="s">
        <v>834</v>
      </c>
      <c r="B213" s="26">
        <v>45744</v>
      </c>
      <c r="C213" s="26">
        <v>45744</v>
      </c>
      <c r="D213" s="14" t="s">
        <v>835</v>
      </c>
      <c r="E213" s="14" t="s">
        <v>233</v>
      </c>
      <c r="F213" s="14" t="s">
        <v>234</v>
      </c>
      <c r="G213" s="14">
        <v>47100399</v>
      </c>
      <c r="H213" s="14" t="s">
        <v>838</v>
      </c>
      <c r="I213" s="14" t="s">
        <v>839</v>
      </c>
      <c r="J213" s="14">
        <v>1</v>
      </c>
      <c r="K213" s="14" t="s">
        <v>37</v>
      </c>
      <c r="L213" s="14" t="s">
        <v>217</v>
      </c>
      <c r="M213" s="15" t="s">
        <v>58</v>
      </c>
      <c r="N213" s="15" t="s">
        <v>58</v>
      </c>
      <c r="O213" s="15">
        <v>1</v>
      </c>
      <c r="P213" s="15">
        <v>1</v>
      </c>
      <c r="Q213" s="15"/>
      <c r="R213" s="15"/>
      <c r="S213" s="25"/>
      <c r="T213" s="25">
        <v>45788</v>
      </c>
      <c r="U213" s="25">
        <v>45799</v>
      </c>
      <c r="V213" s="15" t="s">
        <v>506</v>
      </c>
      <c r="W213" s="15"/>
      <c r="X213" s="27">
        <v>158.41</v>
      </c>
      <c r="Y213" s="27">
        <f>Table2[[#This Row],[PREÇO UNITARIO]]*Table2[[#This Row],[QUANTIDADE]]</f>
        <v>158.41</v>
      </c>
      <c r="Z213" s="15"/>
      <c r="AA213" s="28">
        <f>MONTH(Table2[[#This Row],[DATA PEDIDO HP]])</f>
        <v>3</v>
      </c>
      <c r="AB213" s="32" t="s">
        <v>60</v>
      </c>
      <c r="AC213" s="5">
        <f t="shared" ca="1" si="3"/>
        <v>46232</v>
      </c>
      <c r="AD213" s="331">
        <f ca="1">_xlfn.DAYS(Table2[[#This Row],[HOJE]],Table2[[#This Row],[DATA PEDIDO HP]])</f>
        <v>488</v>
      </c>
      <c r="AE213" s="5" t="s">
        <v>43</v>
      </c>
    </row>
    <row r="214" spans="1:31" ht="14.45" hidden="1">
      <c r="A214" s="269" t="s">
        <v>840</v>
      </c>
      <c r="B214" s="26">
        <v>45744</v>
      </c>
      <c r="C214" s="26">
        <v>45728</v>
      </c>
      <c r="D214" s="14" t="s">
        <v>841</v>
      </c>
      <c r="E214" s="14" t="s">
        <v>225</v>
      </c>
      <c r="F214" s="14" t="s">
        <v>34</v>
      </c>
      <c r="G214" s="14">
        <v>50110261</v>
      </c>
      <c r="H214" s="14" t="s">
        <v>707</v>
      </c>
      <c r="I214" s="14" t="s">
        <v>708</v>
      </c>
      <c r="J214" s="14">
        <v>1</v>
      </c>
      <c r="K214" s="14" t="s">
        <v>67</v>
      </c>
      <c r="L214" s="14" t="s">
        <v>217</v>
      </c>
      <c r="M214" s="15" t="s">
        <v>58</v>
      </c>
      <c r="N214" s="15" t="s">
        <v>58</v>
      </c>
      <c r="O214" s="15">
        <v>1</v>
      </c>
      <c r="P214" s="15">
        <v>1</v>
      </c>
      <c r="Q214" s="15"/>
      <c r="R214" s="15"/>
      <c r="S214" s="25"/>
      <c r="T214" s="25">
        <v>45788</v>
      </c>
      <c r="U214" s="25">
        <v>45799</v>
      </c>
      <c r="V214" s="15" t="s">
        <v>506</v>
      </c>
      <c r="W214" s="15"/>
      <c r="X214" s="27">
        <v>9479.25</v>
      </c>
      <c r="Y214" s="27">
        <f>Table2[[#This Row],[PREÇO UNITARIO]]*Table2[[#This Row],[QUANTIDADE]]</f>
        <v>9479.25</v>
      </c>
      <c r="Z214" s="15"/>
      <c r="AA214" s="28">
        <f>MONTH(Table2[[#This Row],[DATA PEDIDO HP]])</f>
        <v>3</v>
      </c>
      <c r="AB214" s="32" t="s">
        <v>60</v>
      </c>
      <c r="AC214" s="5">
        <f t="shared" ca="1" si="3"/>
        <v>46232</v>
      </c>
      <c r="AD214" s="331">
        <f ca="1">_xlfn.DAYS(Table2[[#This Row],[HOJE]],Table2[[#This Row],[DATA PEDIDO HP]])</f>
        <v>488</v>
      </c>
      <c r="AE214" s="5" t="s">
        <v>43</v>
      </c>
    </row>
    <row r="215" spans="1:31" ht="14.45" hidden="1">
      <c r="A215" s="269" t="s">
        <v>842</v>
      </c>
      <c r="B215" s="25">
        <v>45744</v>
      </c>
      <c r="C215" s="26">
        <v>45744</v>
      </c>
      <c r="D215" s="14" t="s">
        <v>843</v>
      </c>
      <c r="E215" s="14" t="s">
        <v>720</v>
      </c>
      <c r="F215" s="14" t="s">
        <v>64</v>
      </c>
      <c r="G215" s="14">
        <v>48000002</v>
      </c>
      <c r="H215" s="14" t="s">
        <v>844</v>
      </c>
      <c r="I215" s="14" t="s">
        <v>845</v>
      </c>
      <c r="J215" s="14">
        <v>1</v>
      </c>
      <c r="K215" s="14" t="s">
        <v>37</v>
      </c>
      <c r="L215" s="14" t="s">
        <v>217</v>
      </c>
      <c r="M215" s="15" t="s">
        <v>89</v>
      </c>
      <c r="N215" s="15" t="s">
        <v>58</v>
      </c>
      <c r="O215" s="15">
        <v>1</v>
      </c>
      <c r="P215" s="15">
        <v>1</v>
      </c>
      <c r="Q215" s="15"/>
      <c r="R215" s="15"/>
      <c r="S215" s="25"/>
      <c r="T215" s="25">
        <v>45888</v>
      </c>
      <c r="U215" s="25">
        <v>45898</v>
      </c>
      <c r="V215" s="15" t="s">
        <v>420</v>
      </c>
      <c r="W215" s="15"/>
      <c r="X215" s="27">
        <v>58.79</v>
      </c>
      <c r="Y215" s="27">
        <f>Table2[[#This Row],[PREÇO UNITARIO]]*Table2[[#This Row],[QUANTIDADE]]</f>
        <v>58.79</v>
      </c>
      <c r="Z215" s="15"/>
      <c r="AA215" s="28">
        <f>MONTH(Table2[[#This Row],[DATA PEDIDO HP]])</f>
        <v>3</v>
      </c>
      <c r="AB215" s="32" t="s">
        <v>60</v>
      </c>
      <c r="AC215" s="5">
        <f t="shared" ca="1" si="3"/>
        <v>46232</v>
      </c>
      <c r="AD215" s="331">
        <f ca="1">_xlfn.DAYS(Table2[[#This Row],[HOJE]],Table2[[#This Row],[DATA PEDIDO HP]])</f>
        <v>488</v>
      </c>
      <c r="AE215" s="5" t="s">
        <v>43</v>
      </c>
    </row>
    <row r="216" spans="1:31" ht="14.45" hidden="1">
      <c r="A216" s="269" t="s">
        <v>842</v>
      </c>
      <c r="B216" s="25">
        <v>45744</v>
      </c>
      <c r="C216" s="26">
        <v>45744</v>
      </c>
      <c r="D216" s="14" t="s">
        <v>843</v>
      </c>
      <c r="E216" s="14" t="s">
        <v>720</v>
      </c>
      <c r="F216" s="14" t="s">
        <v>64</v>
      </c>
      <c r="G216" s="14">
        <v>48000002</v>
      </c>
      <c r="H216" s="14" t="s">
        <v>488</v>
      </c>
      <c r="I216" s="14" t="s">
        <v>846</v>
      </c>
      <c r="J216" s="14">
        <v>1</v>
      </c>
      <c r="K216" s="14" t="s">
        <v>37</v>
      </c>
      <c r="L216" s="14" t="s">
        <v>217</v>
      </c>
      <c r="M216" s="15" t="s">
        <v>58</v>
      </c>
      <c r="N216" s="15" t="s">
        <v>58</v>
      </c>
      <c r="O216" s="15">
        <v>1</v>
      </c>
      <c r="P216" s="15">
        <v>1</v>
      </c>
      <c r="Q216" s="15"/>
      <c r="R216" s="15"/>
      <c r="S216" s="25"/>
      <c r="T216" s="25">
        <v>45788</v>
      </c>
      <c r="U216" s="25">
        <v>45799</v>
      </c>
      <c r="V216" s="15" t="s">
        <v>506</v>
      </c>
      <c r="W216" s="15"/>
      <c r="X216" s="27">
        <v>453.02</v>
      </c>
      <c r="Y216" s="27">
        <f>Table2[[#This Row],[PREÇO UNITARIO]]*Table2[[#This Row],[QUANTIDADE]]</f>
        <v>453.02</v>
      </c>
      <c r="Z216" s="15"/>
      <c r="AA216" s="28">
        <f>MONTH(Table2[[#This Row],[DATA PEDIDO HP]])</f>
        <v>3</v>
      </c>
      <c r="AB216" s="32" t="s">
        <v>60</v>
      </c>
      <c r="AC216" s="5">
        <f t="shared" ca="1" si="3"/>
        <v>46232</v>
      </c>
      <c r="AD216" s="331">
        <f ca="1">_xlfn.DAYS(Table2[[#This Row],[HOJE]],Table2[[#This Row],[DATA PEDIDO HP]])</f>
        <v>488</v>
      </c>
      <c r="AE216" s="5" t="s">
        <v>43</v>
      </c>
    </row>
    <row r="217" spans="1:31" ht="14.45" hidden="1">
      <c r="A217" s="269" t="s">
        <v>847</v>
      </c>
      <c r="B217" s="25">
        <v>45749</v>
      </c>
      <c r="C217" s="26">
        <v>45749</v>
      </c>
      <c r="D217" s="14" t="s">
        <v>848</v>
      </c>
      <c r="E217" s="14" t="s">
        <v>181</v>
      </c>
      <c r="F217" s="14" t="s">
        <v>34</v>
      </c>
      <c r="G217" s="14">
        <v>50110057</v>
      </c>
      <c r="H217" s="14" t="s">
        <v>849</v>
      </c>
      <c r="I217" s="14" t="s">
        <v>266</v>
      </c>
      <c r="J217" s="14">
        <v>1</v>
      </c>
      <c r="K217" s="14" t="s">
        <v>37</v>
      </c>
      <c r="L217" s="14" t="s">
        <v>96</v>
      </c>
      <c r="M217" s="15" t="s">
        <v>58</v>
      </c>
      <c r="N217" s="15" t="s">
        <v>89</v>
      </c>
      <c r="O217" s="15">
        <v>0</v>
      </c>
      <c r="P217" s="15"/>
      <c r="Q217" s="15"/>
      <c r="R217" s="15"/>
      <c r="S217" s="25"/>
      <c r="T217" s="25">
        <v>45788</v>
      </c>
      <c r="U217" s="25">
        <v>45799</v>
      </c>
      <c r="V217" s="15" t="s">
        <v>506</v>
      </c>
      <c r="W217" s="15"/>
      <c r="X217" s="27">
        <v>138.81</v>
      </c>
      <c r="Y217" s="27">
        <f>Table2[[#This Row],[PREÇO UNITARIO]]*Table2[[#This Row],[QUANTIDADE]]</f>
        <v>138.81</v>
      </c>
      <c r="Z217" s="15"/>
      <c r="AA217" s="28">
        <f>MONTH(Table2[[#This Row],[DATA PEDIDO HP]])</f>
        <v>4</v>
      </c>
      <c r="AB217" s="32" t="s">
        <v>42</v>
      </c>
      <c r="AC217" s="5">
        <f t="shared" ca="1" si="3"/>
        <v>46232</v>
      </c>
      <c r="AD217" s="331">
        <f ca="1">_xlfn.DAYS(Table2[[#This Row],[HOJE]],Table2[[#This Row],[DATA PEDIDO HP]])</f>
        <v>483</v>
      </c>
      <c r="AE217" s="5" t="s">
        <v>43</v>
      </c>
    </row>
    <row r="218" spans="1:31" ht="14.45" hidden="1">
      <c r="A218" s="269" t="s">
        <v>847</v>
      </c>
      <c r="B218" s="25">
        <v>45749</v>
      </c>
      <c r="C218" s="26">
        <v>45749</v>
      </c>
      <c r="D218" s="14" t="s">
        <v>848</v>
      </c>
      <c r="E218" s="14" t="s">
        <v>181</v>
      </c>
      <c r="F218" s="14" t="s">
        <v>34</v>
      </c>
      <c r="G218" s="14">
        <v>50110057</v>
      </c>
      <c r="H218" s="14" t="s">
        <v>850</v>
      </c>
      <c r="I218" s="14" t="s">
        <v>851</v>
      </c>
      <c r="J218" s="14">
        <v>1</v>
      </c>
      <c r="K218" s="14" t="s">
        <v>37</v>
      </c>
      <c r="L218" s="14" t="s">
        <v>96</v>
      </c>
      <c r="M218" s="15" t="s">
        <v>58</v>
      </c>
      <c r="N218" s="15" t="s">
        <v>58</v>
      </c>
      <c r="O218" s="15">
        <v>1</v>
      </c>
      <c r="P218" s="15"/>
      <c r="Q218" s="15"/>
      <c r="R218" s="15"/>
      <c r="S218" s="25"/>
      <c r="T218" s="25">
        <v>45888</v>
      </c>
      <c r="U218" s="25">
        <v>45898</v>
      </c>
      <c r="V218" s="15" t="s">
        <v>420</v>
      </c>
      <c r="W218" s="15"/>
      <c r="X218" s="27">
        <v>274.36</v>
      </c>
      <c r="Y218" s="27">
        <f>Table2[[#This Row],[PREÇO UNITARIO]]*Table2[[#This Row],[QUANTIDADE]]</f>
        <v>274.36</v>
      </c>
      <c r="Z218" s="15"/>
      <c r="AA218" s="28">
        <f>MONTH(Table2[[#This Row],[DATA PEDIDO HP]])</f>
        <v>4</v>
      </c>
      <c r="AB218" s="32" t="s">
        <v>42</v>
      </c>
      <c r="AC218" s="5">
        <f t="shared" ca="1" si="3"/>
        <v>46232</v>
      </c>
      <c r="AD218" s="331">
        <f ca="1">_xlfn.DAYS(Table2[[#This Row],[HOJE]],Table2[[#This Row],[DATA PEDIDO HP]])</f>
        <v>483</v>
      </c>
      <c r="AE218" s="5" t="s">
        <v>43</v>
      </c>
    </row>
    <row r="219" spans="1:31" ht="14.45" hidden="1">
      <c r="A219" s="269" t="s">
        <v>852</v>
      </c>
      <c r="B219" s="25">
        <v>45749</v>
      </c>
      <c r="C219" s="26">
        <v>45749</v>
      </c>
      <c r="D219" s="14" t="s">
        <v>853</v>
      </c>
      <c r="E219" s="14" t="s">
        <v>63</v>
      </c>
      <c r="F219" s="14" t="s">
        <v>173</v>
      </c>
      <c r="G219" s="14">
        <v>48300301</v>
      </c>
      <c r="H219" s="14" t="s">
        <v>854</v>
      </c>
      <c r="I219" s="14" t="s">
        <v>855</v>
      </c>
      <c r="J219" s="14">
        <v>1</v>
      </c>
      <c r="K219" s="14" t="s">
        <v>37</v>
      </c>
      <c r="L219" s="14" t="s">
        <v>217</v>
      </c>
      <c r="M219" s="15" t="s">
        <v>39</v>
      </c>
      <c r="N219" s="15" t="s">
        <v>58</v>
      </c>
      <c r="O219" s="15">
        <v>1</v>
      </c>
      <c r="P219" s="15"/>
      <c r="Q219" s="15"/>
      <c r="R219" s="15"/>
      <c r="S219" s="25"/>
      <c r="T219" s="25">
        <v>45788</v>
      </c>
      <c r="U219" s="25">
        <v>45799</v>
      </c>
      <c r="V219" s="15" t="s">
        <v>506</v>
      </c>
      <c r="W219" s="15"/>
      <c r="X219" s="27">
        <v>1208.49</v>
      </c>
      <c r="Y219" s="27">
        <f>Table2[[#This Row],[PREÇO UNITARIO]]*Table2[[#This Row],[QUANTIDADE]]</f>
        <v>1208.49</v>
      </c>
      <c r="Z219" s="15"/>
      <c r="AA219" s="28">
        <f>MONTH(Table2[[#This Row],[DATA PEDIDO HP]])</f>
        <v>4</v>
      </c>
      <c r="AB219" s="32" t="s">
        <v>60</v>
      </c>
      <c r="AC219" s="5">
        <f t="shared" ca="1" si="3"/>
        <v>46232</v>
      </c>
      <c r="AD219" s="331">
        <f ca="1">_xlfn.DAYS(Table2[[#This Row],[HOJE]],Table2[[#This Row],[DATA PEDIDO HP]])</f>
        <v>483</v>
      </c>
      <c r="AE219" s="5" t="s">
        <v>43</v>
      </c>
    </row>
    <row r="220" spans="1:31" ht="14.45" hidden="1">
      <c r="A220" s="269" t="s">
        <v>852</v>
      </c>
      <c r="B220" s="25">
        <v>45749</v>
      </c>
      <c r="C220" s="26">
        <v>45749</v>
      </c>
      <c r="D220" s="14" t="s">
        <v>853</v>
      </c>
      <c r="E220" s="14" t="s">
        <v>63</v>
      </c>
      <c r="F220" s="14" t="s">
        <v>173</v>
      </c>
      <c r="G220" s="14">
        <v>48300301</v>
      </c>
      <c r="H220" s="14" t="s">
        <v>856</v>
      </c>
      <c r="I220" s="14" t="s">
        <v>857</v>
      </c>
      <c r="J220" s="14">
        <v>1</v>
      </c>
      <c r="K220" s="14" t="s">
        <v>37</v>
      </c>
      <c r="L220" s="14" t="s">
        <v>217</v>
      </c>
      <c r="M220" s="15" t="s">
        <v>89</v>
      </c>
      <c r="N220" s="15" t="s">
        <v>89</v>
      </c>
      <c r="O220" s="15">
        <v>0</v>
      </c>
      <c r="P220" s="15"/>
      <c r="Q220" s="15"/>
      <c r="R220" s="15"/>
      <c r="S220" s="25">
        <v>45811</v>
      </c>
      <c r="T220" s="25">
        <v>45788</v>
      </c>
      <c r="U220" s="25">
        <v>45799</v>
      </c>
      <c r="V220" s="15" t="s">
        <v>506</v>
      </c>
      <c r="W220" s="15"/>
      <c r="X220" s="27">
        <v>274.36</v>
      </c>
      <c r="Y220" s="27">
        <f>Table2[[#This Row],[PREÇO UNITARIO]]*Table2[[#This Row],[QUANTIDADE]]</f>
        <v>274.36</v>
      </c>
      <c r="Z220" s="15"/>
      <c r="AA220" s="28">
        <f>MONTH(Table2[[#This Row],[DATA PEDIDO HP]])</f>
        <v>4</v>
      </c>
      <c r="AB220" s="32" t="s">
        <v>60</v>
      </c>
      <c r="AC220" s="5">
        <f t="shared" ca="1" si="3"/>
        <v>46232</v>
      </c>
      <c r="AD220" s="331">
        <f ca="1">_xlfn.DAYS(Table2[[#This Row],[HOJE]],Table2[[#This Row],[DATA PEDIDO HP]])</f>
        <v>483</v>
      </c>
      <c r="AE220" s="336" t="s">
        <v>43</v>
      </c>
    </row>
    <row r="221" spans="1:31" ht="14.45" hidden="1">
      <c r="A221" s="269" t="s">
        <v>858</v>
      </c>
      <c r="B221" s="25">
        <v>45749</v>
      </c>
      <c r="C221" s="26">
        <v>45749</v>
      </c>
      <c r="D221" s="14" t="s">
        <v>859</v>
      </c>
      <c r="E221" s="14" t="s">
        <v>63</v>
      </c>
      <c r="F221" s="14" t="s">
        <v>64</v>
      </c>
      <c r="G221" s="14">
        <v>48000432</v>
      </c>
      <c r="H221" s="14" t="s">
        <v>856</v>
      </c>
      <c r="I221" s="14" t="s">
        <v>857</v>
      </c>
      <c r="J221" s="14">
        <v>1</v>
      </c>
      <c r="K221" s="14" t="s">
        <v>37</v>
      </c>
      <c r="L221" s="14" t="s">
        <v>217</v>
      </c>
      <c r="M221" s="15" t="s">
        <v>58</v>
      </c>
      <c r="N221" s="15" t="s">
        <v>89</v>
      </c>
      <c r="O221" s="15">
        <v>0</v>
      </c>
      <c r="P221" s="15"/>
      <c r="Q221" s="15"/>
      <c r="R221" s="15"/>
      <c r="S221" s="25">
        <v>45811</v>
      </c>
      <c r="T221" s="25">
        <v>45788</v>
      </c>
      <c r="U221" s="25">
        <v>45799</v>
      </c>
      <c r="V221" s="15" t="s">
        <v>506</v>
      </c>
      <c r="W221" s="15"/>
      <c r="X221" s="27">
        <v>274.36</v>
      </c>
      <c r="Y221" s="27">
        <f>Table2[[#This Row],[PREÇO UNITARIO]]*Table2[[#This Row],[QUANTIDADE]]</f>
        <v>274.36</v>
      </c>
      <c r="Z221" s="15"/>
      <c r="AA221" s="28">
        <f>MONTH(Table2[[#This Row],[DATA PEDIDO HP]])</f>
        <v>4</v>
      </c>
      <c r="AB221" s="32" t="s">
        <v>60</v>
      </c>
      <c r="AC221" s="5">
        <f t="shared" ca="1" si="3"/>
        <v>46232</v>
      </c>
      <c r="AD221" s="331">
        <f ca="1">_xlfn.DAYS(Table2[[#This Row],[HOJE]],Table2[[#This Row],[DATA PEDIDO HP]])</f>
        <v>483</v>
      </c>
      <c r="AE221" s="336" t="s">
        <v>43</v>
      </c>
    </row>
    <row r="222" spans="1:31" ht="14.45" hidden="1">
      <c r="A222" s="269" t="s">
        <v>860</v>
      </c>
      <c r="B222" s="25">
        <v>45749</v>
      </c>
      <c r="C222" s="26">
        <v>45749</v>
      </c>
      <c r="D222" s="14" t="s">
        <v>861</v>
      </c>
      <c r="E222" s="14" t="s">
        <v>73</v>
      </c>
      <c r="F222" s="14" t="s">
        <v>203</v>
      </c>
      <c r="G222" s="14">
        <v>60002095</v>
      </c>
      <c r="H222" s="14" t="s">
        <v>521</v>
      </c>
      <c r="I222" s="14" t="s">
        <v>862</v>
      </c>
      <c r="J222" s="14">
        <v>1</v>
      </c>
      <c r="K222" s="14" t="s">
        <v>67</v>
      </c>
      <c r="L222" s="14" t="s">
        <v>217</v>
      </c>
      <c r="M222" s="15" t="s">
        <v>89</v>
      </c>
      <c r="N222" s="15" t="s">
        <v>384</v>
      </c>
      <c r="O222" s="15">
        <v>0</v>
      </c>
      <c r="P222" s="15"/>
      <c r="Q222" s="15"/>
      <c r="R222" s="15"/>
      <c r="S222" s="25"/>
      <c r="T222" s="25">
        <v>45763</v>
      </c>
      <c r="U222" s="25">
        <v>45771</v>
      </c>
      <c r="V222" s="15" t="s">
        <v>863</v>
      </c>
      <c r="W222" s="15"/>
      <c r="X222" s="27">
        <v>2531.29</v>
      </c>
      <c r="Y222" s="27">
        <f>Table2[[#This Row],[PREÇO UNITARIO]]*Table2[[#This Row],[QUANTIDADE]]</f>
        <v>2531.29</v>
      </c>
      <c r="Z222" s="15"/>
      <c r="AA222" s="28">
        <f>MONTH(Table2[[#This Row],[DATA PEDIDO HP]])</f>
        <v>4</v>
      </c>
      <c r="AB222" s="32"/>
      <c r="AC222" s="5">
        <f t="shared" ca="1" si="3"/>
        <v>46232</v>
      </c>
      <c r="AD222" s="331">
        <f ca="1">_xlfn.DAYS(Table2[[#This Row],[HOJE]],Table2[[#This Row],[DATA PEDIDO HP]])</f>
        <v>483</v>
      </c>
      <c r="AE222" s="5" t="s">
        <v>43</v>
      </c>
    </row>
    <row r="223" spans="1:31" ht="14.45" hidden="1">
      <c r="A223" s="269" t="s">
        <v>864</v>
      </c>
      <c r="B223" s="25">
        <v>45749</v>
      </c>
      <c r="C223" s="26">
        <v>45749</v>
      </c>
      <c r="D223" s="14" t="s">
        <v>865</v>
      </c>
      <c r="E223" s="14" t="s">
        <v>202</v>
      </c>
      <c r="F223" s="14" t="s">
        <v>203</v>
      </c>
      <c r="G223" s="14">
        <v>60002072</v>
      </c>
      <c r="H223" s="14" t="s">
        <v>521</v>
      </c>
      <c r="I223" s="14" t="s">
        <v>862</v>
      </c>
      <c r="J223" s="14">
        <v>1</v>
      </c>
      <c r="K223" s="14" t="s">
        <v>67</v>
      </c>
      <c r="L223" s="14" t="s">
        <v>217</v>
      </c>
      <c r="M223" s="15" t="s">
        <v>39</v>
      </c>
      <c r="N223" s="15" t="s">
        <v>384</v>
      </c>
      <c r="O223" s="15">
        <v>0</v>
      </c>
      <c r="P223" s="15"/>
      <c r="Q223" s="15"/>
      <c r="R223" s="15"/>
      <c r="S223" s="25"/>
      <c r="T223" s="25">
        <v>45763</v>
      </c>
      <c r="U223" s="25">
        <v>45771</v>
      </c>
      <c r="V223" s="15" t="s">
        <v>863</v>
      </c>
      <c r="W223" s="15" t="s">
        <v>41</v>
      </c>
      <c r="X223" s="27">
        <v>2531.29</v>
      </c>
      <c r="Y223" s="27">
        <f>Table2[[#This Row],[PREÇO UNITARIO]]*Table2[[#This Row],[QUANTIDADE]]</f>
        <v>2531.29</v>
      </c>
      <c r="Z223" s="15"/>
      <c r="AA223" s="28">
        <f>MONTH(Table2[[#This Row],[DATA PEDIDO HP]])</f>
        <v>4</v>
      </c>
      <c r="AB223" s="32"/>
      <c r="AC223" s="5">
        <f t="shared" ca="1" si="3"/>
        <v>46232</v>
      </c>
      <c r="AD223" s="331">
        <f ca="1">_xlfn.DAYS(Table2[[#This Row],[HOJE]],Table2[[#This Row],[DATA PEDIDO HP]])</f>
        <v>483</v>
      </c>
      <c r="AE223" s="5" t="s">
        <v>43</v>
      </c>
    </row>
    <row r="224" spans="1:31" ht="14.45" hidden="1">
      <c r="A224" s="269" t="s">
        <v>866</v>
      </c>
      <c r="B224" s="26">
        <v>45749</v>
      </c>
      <c r="C224" s="26">
        <v>45749</v>
      </c>
      <c r="D224" s="14" t="s">
        <v>867</v>
      </c>
      <c r="E224" s="14" t="s">
        <v>202</v>
      </c>
      <c r="F224" s="14" t="s">
        <v>203</v>
      </c>
      <c r="G224" s="14">
        <v>60002072</v>
      </c>
      <c r="H224" s="14" t="s">
        <v>691</v>
      </c>
      <c r="I224" s="14" t="s">
        <v>868</v>
      </c>
      <c r="J224" s="14">
        <v>1</v>
      </c>
      <c r="K224" s="14" t="s">
        <v>67</v>
      </c>
      <c r="L224" s="14" t="s">
        <v>217</v>
      </c>
      <c r="M224" s="15" t="s">
        <v>89</v>
      </c>
      <c r="N224" s="15" t="s">
        <v>89</v>
      </c>
      <c r="O224" s="15">
        <v>0</v>
      </c>
      <c r="P224" s="15"/>
      <c r="Q224" s="15"/>
      <c r="R224" s="15"/>
      <c r="S224" s="25"/>
      <c r="T224" s="25">
        <v>45763</v>
      </c>
      <c r="U224" s="25">
        <v>45771</v>
      </c>
      <c r="V224" s="15" t="s">
        <v>863</v>
      </c>
      <c r="W224" s="15" t="s">
        <v>41</v>
      </c>
      <c r="X224" s="27">
        <v>2040.97</v>
      </c>
      <c r="Y224" s="27">
        <f>Table2[[#This Row],[PREÇO UNITARIO]]*Table2[[#This Row],[QUANTIDADE]]</f>
        <v>2040.97</v>
      </c>
      <c r="Z224" s="15"/>
      <c r="AA224" s="28">
        <f>MONTH(Table2[[#This Row],[DATA PEDIDO HP]])</f>
        <v>4</v>
      </c>
      <c r="AB224" s="32" t="s">
        <v>60</v>
      </c>
      <c r="AC224" s="5">
        <f t="shared" ca="1" si="3"/>
        <v>46232</v>
      </c>
      <c r="AD224" s="331">
        <f ca="1">_xlfn.DAYS(Table2[[#This Row],[HOJE]],Table2[[#This Row],[DATA PEDIDO HP]])</f>
        <v>483</v>
      </c>
      <c r="AE224" s="5" t="s">
        <v>43</v>
      </c>
    </row>
    <row r="225" spans="1:31" ht="14.45" hidden="1">
      <c r="A225" s="269" t="s">
        <v>869</v>
      </c>
      <c r="B225" s="26">
        <v>45749</v>
      </c>
      <c r="C225" s="26">
        <v>45749</v>
      </c>
      <c r="D225" s="14" t="s">
        <v>870</v>
      </c>
      <c r="E225" s="14" t="s">
        <v>445</v>
      </c>
      <c r="F225" s="14" t="s">
        <v>403</v>
      </c>
      <c r="G225" s="14" t="s">
        <v>871</v>
      </c>
      <c r="H225" s="14" t="s">
        <v>820</v>
      </c>
      <c r="I225" s="14" t="s">
        <v>821</v>
      </c>
      <c r="J225" s="14">
        <v>4</v>
      </c>
      <c r="K225" s="14" t="s">
        <v>37</v>
      </c>
      <c r="L225" s="14" t="s">
        <v>346</v>
      </c>
      <c r="M225" s="15" t="s">
        <v>58</v>
      </c>
      <c r="N225" s="15" t="s">
        <v>89</v>
      </c>
      <c r="O225" s="15">
        <v>0</v>
      </c>
      <c r="P225" s="15"/>
      <c r="Q225" s="15"/>
      <c r="R225" s="15"/>
      <c r="S225" s="25"/>
      <c r="T225" s="25">
        <v>45838</v>
      </c>
      <c r="U225" s="25">
        <v>45859</v>
      </c>
      <c r="V225" s="15" t="s">
        <v>872</v>
      </c>
      <c r="W225" s="15"/>
      <c r="X225" s="27">
        <v>24.99</v>
      </c>
      <c r="Y225" s="27">
        <f>Table2[[#This Row],[PREÇO UNITARIO]]*Table2[[#This Row],[QUANTIDADE]]</f>
        <v>99.96</v>
      </c>
      <c r="Z225" s="15"/>
      <c r="AA225" s="28">
        <f>MONTH(Table2[[#This Row],[DATA PEDIDO HP]])</f>
        <v>4</v>
      </c>
      <c r="AB225" s="32" t="s">
        <v>60</v>
      </c>
      <c r="AC225" s="5">
        <f t="shared" ca="1" si="3"/>
        <v>46232</v>
      </c>
      <c r="AD225" s="331">
        <f ca="1">_xlfn.DAYS(Table2[[#This Row],[HOJE]],Table2[[#This Row],[DATA PEDIDO HP]])</f>
        <v>483</v>
      </c>
      <c r="AE225" s="5" t="s">
        <v>43</v>
      </c>
    </row>
    <row r="226" spans="1:31" ht="14.45" hidden="1">
      <c r="A226" s="269" t="s">
        <v>873</v>
      </c>
      <c r="B226" s="26">
        <v>45749</v>
      </c>
      <c r="C226" s="26">
        <v>45749</v>
      </c>
      <c r="D226" s="14" t="s">
        <v>874</v>
      </c>
      <c r="E226" s="14" t="s">
        <v>85</v>
      </c>
      <c r="F226" s="14" t="s">
        <v>74</v>
      </c>
      <c r="G226" s="14">
        <v>50000260</v>
      </c>
      <c r="H226" s="14" t="s">
        <v>875</v>
      </c>
      <c r="I226" s="14" t="s">
        <v>876</v>
      </c>
      <c r="J226" s="14">
        <v>3</v>
      </c>
      <c r="K226" s="14" t="s">
        <v>37</v>
      </c>
      <c r="L226" s="14" t="s">
        <v>217</v>
      </c>
      <c r="M226" s="15" t="s">
        <v>58</v>
      </c>
      <c r="N226" s="15" t="s">
        <v>89</v>
      </c>
      <c r="O226" s="15">
        <v>0</v>
      </c>
      <c r="P226" s="15"/>
      <c r="Q226" s="15"/>
      <c r="R226" s="15" t="s">
        <v>877</v>
      </c>
      <c r="S226" s="25">
        <v>45813</v>
      </c>
      <c r="T226" s="25">
        <v>45788</v>
      </c>
      <c r="U226" s="25">
        <v>45799</v>
      </c>
      <c r="V226" s="15" t="s">
        <v>506</v>
      </c>
      <c r="W226" s="15"/>
      <c r="X226" s="27">
        <v>262.11</v>
      </c>
      <c r="Y226" s="27">
        <f>Table2[[#This Row],[PREÇO UNITARIO]]*Table2[[#This Row],[QUANTIDADE]]</f>
        <v>786.33</v>
      </c>
      <c r="Z226" s="15"/>
      <c r="AA226" s="28">
        <f>MONTH(Table2[[#This Row],[DATA PEDIDO HP]])</f>
        <v>4</v>
      </c>
      <c r="AB226" s="32" t="s">
        <v>42</v>
      </c>
      <c r="AC226" s="5">
        <f t="shared" ca="1" si="3"/>
        <v>46232</v>
      </c>
      <c r="AD226" s="331">
        <f ca="1">_xlfn.DAYS(Table2[[#This Row],[HOJE]],Table2[[#This Row],[DATA PEDIDO HP]])</f>
        <v>483</v>
      </c>
      <c r="AE226" s="336" t="s">
        <v>43</v>
      </c>
    </row>
    <row r="227" spans="1:31" ht="14.45" hidden="1">
      <c r="A227" s="269" t="s">
        <v>873</v>
      </c>
      <c r="B227" s="26">
        <v>45749</v>
      </c>
      <c r="C227" s="26">
        <v>45749</v>
      </c>
      <c r="D227" s="14" t="s">
        <v>874</v>
      </c>
      <c r="E227" s="14" t="s">
        <v>85</v>
      </c>
      <c r="F227" s="14" t="s">
        <v>74</v>
      </c>
      <c r="G227" s="14">
        <v>50000260</v>
      </c>
      <c r="H227" s="14" t="s">
        <v>354</v>
      </c>
      <c r="I227" s="14" t="s">
        <v>878</v>
      </c>
      <c r="J227" s="14">
        <v>1</v>
      </c>
      <c r="K227" s="14" t="s">
        <v>37</v>
      </c>
      <c r="L227" s="14" t="s">
        <v>217</v>
      </c>
      <c r="M227" s="15" t="s">
        <v>89</v>
      </c>
      <c r="N227" s="15" t="s">
        <v>89</v>
      </c>
      <c r="O227" s="15">
        <v>0</v>
      </c>
      <c r="P227" s="15"/>
      <c r="Q227" s="15"/>
      <c r="R227" s="15"/>
      <c r="S227" s="25">
        <v>45904</v>
      </c>
      <c r="T227" s="25">
        <v>45888</v>
      </c>
      <c r="U227" s="25">
        <v>45898</v>
      </c>
      <c r="V227" s="15" t="s">
        <v>420</v>
      </c>
      <c r="W227" s="15"/>
      <c r="X227" s="27">
        <v>274.36</v>
      </c>
      <c r="Y227" s="27">
        <f>Table2[[#This Row],[PREÇO UNITARIO]]*Table2[[#This Row],[QUANTIDADE]]</f>
        <v>274.36</v>
      </c>
      <c r="Z227" s="15"/>
      <c r="AA227" s="28">
        <f>MONTH(Table2[[#This Row],[DATA PEDIDO HP]])</f>
        <v>4</v>
      </c>
      <c r="AB227" s="32" t="s">
        <v>42</v>
      </c>
      <c r="AC227" s="5">
        <f t="shared" ca="1" si="3"/>
        <v>46232</v>
      </c>
      <c r="AD227" s="331">
        <f ca="1">_xlfn.DAYS(Table2[[#This Row],[HOJE]],Table2[[#This Row],[DATA PEDIDO HP]])</f>
        <v>483</v>
      </c>
      <c r="AE227" s="336" t="s">
        <v>43</v>
      </c>
    </row>
    <row r="228" spans="1:31" ht="14.45" hidden="1">
      <c r="A228" s="269" t="s">
        <v>873</v>
      </c>
      <c r="B228" s="26">
        <v>45749</v>
      </c>
      <c r="C228" s="26">
        <v>45749</v>
      </c>
      <c r="D228" s="14" t="s">
        <v>874</v>
      </c>
      <c r="E228" s="14" t="s">
        <v>85</v>
      </c>
      <c r="F228" s="14" t="s">
        <v>74</v>
      </c>
      <c r="G228" s="14">
        <v>50000260</v>
      </c>
      <c r="H228" s="14" t="s">
        <v>879</v>
      </c>
      <c r="I228" s="14" t="s">
        <v>880</v>
      </c>
      <c r="J228" s="14">
        <v>1</v>
      </c>
      <c r="K228" s="14" t="s">
        <v>37</v>
      </c>
      <c r="L228" s="14" t="s">
        <v>217</v>
      </c>
      <c r="M228" s="15" t="s">
        <v>89</v>
      </c>
      <c r="N228" s="15" t="s">
        <v>89</v>
      </c>
      <c r="O228" s="15">
        <v>0</v>
      </c>
      <c r="P228" s="15"/>
      <c r="Q228" s="15"/>
      <c r="R228" s="15"/>
      <c r="S228" s="25">
        <v>45813</v>
      </c>
      <c r="T228" s="25">
        <v>45788</v>
      </c>
      <c r="U228" s="25">
        <v>45799</v>
      </c>
      <c r="V228" s="15" t="s">
        <v>506</v>
      </c>
      <c r="W228" s="15"/>
      <c r="X228" s="27">
        <v>317.92</v>
      </c>
      <c r="Y228" s="27">
        <f>Table2[[#This Row],[PREÇO UNITARIO]]*Table2[[#This Row],[QUANTIDADE]]</f>
        <v>317.92</v>
      </c>
      <c r="Z228" s="15"/>
      <c r="AA228" s="28">
        <f>MONTH(Table2[[#This Row],[DATA PEDIDO HP]])</f>
        <v>4</v>
      </c>
      <c r="AB228" s="32" t="s">
        <v>42</v>
      </c>
      <c r="AC228" s="5">
        <f t="shared" ca="1" si="3"/>
        <v>46232</v>
      </c>
      <c r="AD228" s="331">
        <f ca="1">_xlfn.DAYS(Table2[[#This Row],[HOJE]],Table2[[#This Row],[DATA PEDIDO HP]])</f>
        <v>483</v>
      </c>
      <c r="AE228" s="336" t="s">
        <v>43</v>
      </c>
    </row>
    <row r="229" spans="1:31" ht="14.45" hidden="1">
      <c r="A229" s="269" t="s">
        <v>873</v>
      </c>
      <c r="B229" s="26">
        <v>45749</v>
      </c>
      <c r="C229" s="26">
        <v>45749</v>
      </c>
      <c r="D229" s="14" t="s">
        <v>874</v>
      </c>
      <c r="E229" s="14" t="s">
        <v>85</v>
      </c>
      <c r="F229" s="14" t="s">
        <v>74</v>
      </c>
      <c r="G229" s="14">
        <v>50000260</v>
      </c>
      <c r="H229" s="14" t="s">
        <v>881</v>
      </c>
      <c r="I229" s="14" t="s">
        <v>882</v>
      </c>
      <c r="J229" s="14">
        <v>1</v>
      </c>
      <c r="K229" s="14" t="s">
        <v>37</v>
      </c>
      <c r="L229" s="14" t="s">
        <v>217</v>
      </c>
      <c r="M229" s="15" t="s">
        <v>58</v>
      </c>
      <c r="N229" s="15" t="s">
        <v>89</v>
      </c>
      <c r="O229" s="15">
        <v>0</v>
      </c>
      <c r="P229" s="15"/>
      <c r="Q229" s="15"/>
      <c r="R229" s="15"/>
      <c r="S229" s="25">
        <v>45813</v>
      </c>
      <c r="T229" s="25">
        <v>45788</v>
      </c>
      <c r="U229" s="25">
        <v>45799</v>
      </c>
      <c r="V229" s="15" t="s">
        <v>506</v>
      </c>
      <c r="W229" s="15"/>
      <c r="X229" s="27">
        <v>14.7</v>
      </c>
      <c r="Y229" s="27">
        <f>Table2[[#This Row],[PREÇO UNITARIO]]*Table2[[#This Row],[QUANTIDADE]]</f>
        <v>14.7</v>
      </c>
      <c r="Z229" s="15"/>
      <c r="AA229" s="28">
        <f>MONTH(Table2[[#This Row],[DATA PEDIDO HP]])</f>
        <v>4</v>
      </c>
      <c r="AB229" s="32" t="s">
        <v>42</v>
      </c>
      <c r="AC229" s="5">
        <f t="shared" ca="1" si="3"/>
        <v>46232</v>
      </c>
      <c r="AD229" s="331">
        <f ca="1">_xlfn.DAYS(Table2[[#This Row],[HOJE]],Table2[[#This Row],[DATA PEDIDO HP]])</f>
        <v>483</v>
      </c>
      <c r="AE229" s="336" t="s">
        <v>43</v>
      </c>
    </row>
    <row r="230" spans="1:31" ht="14.45" hidden="1">
      <c r="A230" s="269" t="s">
        <v>873</v>
      </c>
      <c r="B230" s="26">
        <v>45749</v>
      </c>
      <c r="C230" s="26">
        <v>45749</v>
      </c>
      <c r="D230" s="14" t="s">
        <v>874</v>
      </c>
      <c r="E230" s="14" t="s">
        <v>85</v>
      </c>
      <c r="F230" s="14" t="s">
        <v>74</v>
      </c>
      <c r="G230" s="14">
        <v>50000260</v>
      </c>
      <c r="H230" s="14" t="s">
        <v>883</v>
      </c>
      <c r="I230" s="14" t="s">
        <v>884</v>
      </c>
      <c r="J230" s="14">
        <v>1</v>
      </c>
      <c r="K230" s="14" t="s">
        <v>37</v>
      </c>
      <c r="L230" s="14" t="s">
        <v>217</v>
      </c>
      <c r="M230" s="15" t="s">
        <v>39</v>
      </c>
      <c r="N230" s="15" t="s">
        <v>89</v>
      </c>
      <c r="O230" s="15">
        <v>0</v>
      </c>
      <c r="P230" s="15"/>
      <c r="Q230" s="15"/>
      <c r="R230" s="15"/>
      <c r="S230" s="25">
        <v>45813</v>
      </c>
      <c r="T230" s="25">
        <v>45788</v>
      </c>
      <c r="U230" s="25">
        <v>45799</v>
      </c>
      <c r="V230" s="15" t="s">
        <v>506</v>
      </c>
      <c r="W230" s="15"/>
      <c r="X230" s="27">
        <v>140.62</v>
      </c>
      <c r="Y230" s="27">
        <f>Table2[[#This Row],[PREÇO UNITARIO]]*Table2[[#This Row],[QUANTIDADE]]</f>
        <v>140.62</v>
      </c>
      <c r="Z230" s="15"/>
      <c r="AA230" s="28">
        <f>MONTH(Table2[[#This Row],[DATA PEDIDO HP]])</f>
        <v>4</v>
      </c>
      <c r="AB230" s="32" t="s">
        <v>42</v>
      </c>
      <c r="AC230" s="5">
        <f t="shared" ca="1" si="3"/>
        <v>46232</v>
      </c>
      <c r="AD230" s="331">
        <f ca="1">_xlfn.DAYS(Table2[[#This Row],[HOJE]],Table2[[#This Row],[DATA PEDIDO HP]])</f>
        <v>483</v>
      </c>
      <c r="AE230" s="336" t="s">
        <v>43</v>
      </c>
    </row>
    <row r="231" spans="1:31" ht="14.45" hidden="1">
      <c r="A231" s="269" t="s">
        <v>873</v>
      </c>
      <c r="B231" s="26">
        <v>45749</v>
      </c>
      <c r="C231" s="26">
        <v>45749</v>
      </c>
      <c r="D231" s="14" t="s">
        <v>874</v>
      </c>
      <c r="E231" s="14" t="s">
        <v>85</v>
      </c>
      <c r="F231" s="14" t="s">
        <v>74</v>
      </c>
      <c r="G231" s="14">
        <v>50000260</v>
      </c>
      <c r="H231" s="14" t="s">
        <v>885</v>
      </c>
      <c r="I231" s="14" t="s">
        <v>886</v>
      </c>
      <c r="J231" s="14">
        <v>1</v>
      </c>
      <c r="K231" s="14" t="s">
        <v>37</v>
      </c>
      <c r="L231" s="14" t="s">
        <v>217</v>
      </c>
      <c r="M231" s="15" t="s">
        <v>89</v>
      </c>
      <c r="N231" s="15" t="s">
        <v>89</v>
      </c>
      <c r="O231" s="15">
        <v>0</v>
      </c>
      <c r="P231" s="15"/>
      <c r="Q231" s="15"/>
      <c r="R231" s="15"/>
      <c r="S231" s="25">
        <v>45861</v>
      </c>
      <c r="T231" s="25">
        <v>45838</v>
      </c>
      <c r="U231" s="25">
        <v>45859</v>
      </c>
      <c r="V231" s="15" t="s">
        <v>533</v>
      </c>
      <c r="W231" s="15"/>
      <c r="X231" s="27">
        <v>314.64</v>
      </c>
      <c r="Y231" s="27">
        <f>Table2[[#This Row],[PREÇO UNITARIO]]*Table2[[#This Row],[QUANTIDADE]]</f>
        <v>314.64</v>
      </c>
      <c r="Z231" s="15"/>
      <c r="AA231" s="28">
        <f>MONTH(Table2[[#This Row],[DATA PEDIDO HP]])</f>
        <v>4</v>
      </c>
      <c r="AB231" s="32" t="s">
        <v>42</v>
      </c>
      <c r="AC231" s="5">
        <f t="shared" ca="1" si="3"/>
        <v>46232</v>
      </c>
      <c r="AD231" s="331">
        <f ca="1">_xlfn.DAYS(Table2[[#This Row],[HOJE]],Table2[[#This Row],[DATA PEDIDO HP]])</f>
        <v>483</v>
      </c>
      <c r="AE231" s="336" t="s">
        <v>43</v>
      </c>
    </row>
    <row r="232" spans="1:31" ht="14.45" hidden="1">
      <c r="A232" s="269" t="s">
        <v>873</v>
      </c>
      <c r="B232" s="26">
        <v>45749</v>
      </c>
      <c r="C232" s="26">
        <v>45749</v>
      </c>
      <c r="D232" s="14" t="s">
        <v>874</v>
      </c>
      <c r="E232" s="14" t="s">
        <v>85</v>
      </c>
      <c r="F232" s="14" t="s">
        <v>74</v>
      </c>
      <c r="G232" s="14">
        <v>50000260</v>
      </c>
      <c r="H232" s="14" t="s">
        <v>887</v>
      </c>
      <c r="I232" s="14" t="s">
        <v>888</v>
      </c>
      <c r="J232" s="14">
        <v>3</v>
      </c>
      <c r="K232" s="14" t="s">
        <v>37</v>
      </c>
      <c r="L232" s="14" t="s">
        <v>217</v>
      </c>
      <c r="M232" s="15" t="s">
        <v>89</v>
      </c>
      <c r="N232" s="15" t="s">
        <v>89</v>
      </c>
      <c r="O232" s="15">
        <v>0</v>
      </c>
      <c r="P232" s="15"/>
      <c r="Q232" s="15"/>
      <c r="R232" s="15"/>
      <c r="S232" s="25">
        <v>45813</v>
      </c>
      <c r="T232" s="25">
        <v>45788</v>
      </c>
      <c r="U232" s="25">
        <v>45799</v>
      </c>
      <c r="V232" s="15" t="s">
        <v>506</v>
      </c>
      <c r="W232" s="15"/>
      <c r="X232" s="27">
        <v>512.57000000000005</v>
      </c>
      <c r="Y232" s="27">
        <f>Table2[[#This Row],[PREÇO UNITARIO]]*Table2[[#This Row],[QUANTIDADE]]</f>
        <v>1537.71</v>
      </c>
      <c r="Z232" s="15"/>
      <c r="AA232" s="28">
        <f>MONTH(Table2[[#This Row],[DATA PEDIDO HP]])</f>
        <v>4</v>
      </c>
      <c r="AB232" s="32" t="s">
        <v>42</v>
      </c>
      <c r="AC232" s="5">
        <f t="shared" ca="1" si="3"/>
        <v>46232</v>
      </c>
      <c r="AD232" s="331">
        <f ca="1">_xlfn.DAYS(Table2[[#This Row],[HOJE]],Table2[[#This Row],[DATA PEDIDO HP]])</f>
        <v>483</v>
      </c>
      <c r="AE232" s="336" t="s">
        <v>43</v>
      </c>
    </row>
    <row r="233" spans="1:31" ht="14.45" hidden="1">
      <c r="A233" s="269" t="s">
        <v>889</v>
      </c>
      <c r="B233" s="26">
        <v>45749</v>
      </c>
      <c r="C233" s="26">
        <v>45749</v>
      </c>
      <c r="D233" s="14" t="s">
        <v>890</v>
      </c>
      <c r="E233" s="14" t="s">
        <v>85</v>
      </c>
      <c r="F233" s="14" t="s">
        <v>74</v>
      </c>
      <c r="G233" s="14">
        <v>50000260</v>
      </c>
      <c r="H233" s="14" t="s">
        <v>672</v>
      </c>
      <c r="I233" s="14" t="s">
        <v>891</v>
      </c>
      <c r="J233" s="14">
        <v>1</v>
      </c>
      <c r="K233" s="14" t="s">
        <v>67</v>
      </c>
      <c r="L233" s="14" t="s">
        <v>217</v>
      </c>
      <c r="M233" s="15" t="s">
        <v>58</v>
      </c>
      <c r="N233" s="15" t="s">
        <v>89</v>
      </c>
      <c r="O233" s="15">
        <v>0</v>
      </c>
      <c r="P233" s="15"/>
      <c r="Q233" s="15"/>
      <c r="R233" s="15"/>
      <c r="S233" s="25">
        <v>45813</v>
      </c>
      <c r="T233" s="25">
        <v>45788</v>
      </c>
      <c r="U233" s="25">
        <v>45799</v>
      </c>
      <c r="V233" s="15" t="s">
        <v>506</v>
      </c>
      <c r="W233" s="15"/>
      <c r="X233" s="27">
        <v>11.43</v>
      </c>
      <c r="Y233" s="27">
        <f>Table2[[#This Row],[PREÇO UNITARIO]]*Table2[[#This Row],[QUANTIDADE]]</f>
        <v>11.43</v>
      </c>
      <c r="Z233" s="15"/>
      <c r="AA233" s="28">
        <f>MONTH(Table2[[#This Row],[DATA PEDIDO HP]])</f>
        <v>4</v>
      </c>
      <c r="AB233" s="32" t="s">
        <v>42</v>
      </c>
      <c r="AC233" s="5">
        <f t="shared" ca="1" si="3"/>
        <v>46232</v>
      </c>
      <c r="AD233" s="331">
        <f ca="1">_xlfn.DAYS(Table2[[#This Row],[HOJE]],Table2[[#This Row],[DATA PEDIDO HP]])</f>
        <v>483</v>
      </c>
      <c r="AE233" s="336" t="s">
        <v>43</v>
      </c>
    </row>
    <row r="234" spans="1:31" ht="14.45" hidden="1">
      <c r="A234" s="269" t="s">
        <v>892</v>
      </c>
      <c r="B234" s="26">
        <v>45750</v>
      </c>
      <c r="C234" s="26">
        <v>45749</v>
      </c>
      <c r="D234" s="14" t="s">
        <v>893</v>
      </c>
      <c r="E234" s="14" t="s">
        <v>103</v>
      </c>
      <c r="F234" s="14" t="s">
        <v>104</v>
      </c>
      <c r="G234" s="14">
        <v>51000323</v>
      </c>
      <c r="H234" s="14" t="s">
        <v>894</v>
      </c>
      <c r="I234" s="14" t="s">
        <v>895</v>
      </c>
      <c r="J234" s="14">
        <v>1</v>
      </c>
      <c r="K234" s="14" t="s">
        <v>37</v>
      </c>
      <c r="L234" s="14" t="s">
        <v>363</v>
      </c>
      <c r="M234" s="15" t="s">
        <v>89</v>
      </c>
      <c r="N234" s="15" t="s">
        <v>89</v>
      </c>
      <c r="O234" s="15">
        <v>0</v>
      </c>
      <c r="P234" s="15"/>
      <c r="Q234" s="15"/>
      <c r="R234" s="15"/>
      <c r="S234" s="25">
        <v>45861</v>
      </c>
      <c r="T234" s="25">
        <v>45838</v>
      </c>
      <c r="U234" s="25">
        <v>45859</v>
      </c>
      <c r="V234" s="15" t="s">
        <v>533</v>
      </c>
      <c r="W234" s="15"/>
      <c r="X234" s="27">
        <v>95.21</v>
      </c>
      <c r="Y234" s="27">
        <f>Table2[[#This Row],[PREÇO UNITARIO]]*Table2[[#This Row],[QUANTIDADE]]</f>
        <v>95.21</v>
      </c>
      <c r="Z234" s="15"/>
      <c r="AA234" s="28">
        <f>MONTH(Table2[[#This Row],[DATA PEDIDO HP]])</f>
        <v>4</v>
      </c>
      <c r="AB234" s="32" t="s">
        <v>42</v>
      </c>
      <c r="AC234" s="5">
        <f t="shared" ca="1" si="3"/>
        <v>46232</v>
      </c>
      <c r="AD234" s="331">
        <f ca="1">_xlfn.DAYS(Table2[[#This Row],[HOJE]],Table2[[#This Row],[DATA PEDIDO HP]])</f>
        <v>482</v>
      </c>
      <c r="AE234" s="336" t="s">
        <v>43</v>
      </c>
    </row>
    <row r="235" spans="1:31" ht="14.45" hidden="1">
      <c r="A235" s="269" t="s">
        <v>896</v>
      </c>
      <c r="B235" s="26">
        <v>45751</v>
      </c>
      <c r="C235" s="26">
        <v>45750</v>
      </c>
      <c r="D235" s="14" t="s">
        <v>897</v>
      </c>
      <c r="E235" s="14" t="s">
        <v>898</v>
      </c>
      <c r="F235" s="14" t="s">
        <v>899</v>
      </c>
      <c r="G235" s="14">
        <v>48500271</v>
      </c>
      <c r="H235" s="14" t="s">
        <v>900</v>
      </c>
      <c r="I235" s="14" t="s">
        <v>901</v>
      </c>
      <c r="J235" s="14">
        <v>1</v>
      </c>
      <c r="K235" s="14" t="s">
        <v>37</v>
      </c>
      <c r="L235" s="14" t="s">
        <v>217</v>
      </c>
      <c r="M235" s="15" t="s">
        <v>89</v>
      </c>
      <c r="N235" s="15" t="s">
        <v>89</v>
      </c>
      <c r="O235" s="15">
        <v>0</v>
      </c>
      <c r="P235" s="15"/>
      <c r="Q235" s="15"/>
      <c r="R235" s="15"/>
      <c r="S235" s="25"/>
      <c r="T235" s="25">
        <v>45788</v>
      </c>
      <c r="U235" s="25">
        <v>45799</v>
      </c>
      <c r="V235" s="15" t="s">
        <v>506</v>
      </c>
      <c r="W235" s="15"/>
      <c r="X235" s="27">
        <v>133.44</v>
      </c>
      <c r="Y235" s="27">
        <f>Table2[[#This Row],[PREÇO UNITARIO]]*Table2[[#This Row],[QUANTIDADE]]</f>
        <v>133.44</v>
      </c>
      <c r="Z235" s="15"/>
      <c r="AA235" s="28">
        <f>MONTH(Table2[[#This Row],[DATA PEDIDO HP]])</f>
        <v>4</v>
      </c>
      <c r="AB235" s="32" t="s">
        <v>60</v>
      </c>
      <c r="AC235" s="5">
        <f t="shared" ca="1" si="3"/>
        <v>46232</v>
      </c>
      <c r="AD235" s="331">
        <f ca="1">_xlfn.DAYS(Table2[[#This Row],[HOJE]],Table2[[#This Row],[DATA PEDIDO HP]])</f>
        <v>481</v>
      </c>
      <c r="AE235" s="5" t="s">
        <v>43</v>
      </c>
    </row>
    <row r="236" spans="1:31" ht="14.45" hidden="1">
      <c r="A236" s="269" t="s">
        <v>902</v>
      </c>
      <c r="B236" s="26">
        <v>45751</v>
      </c>
      <c r="C236" s="26">
        <v>45751</v>
      </c>
      <c r="D236" s="14" t="s">
        <v>903</v>
      </c>
      <c r="E236" s="14" t="s">
        <v>103</v>
      </c>
      <c r="F236" s="14" t="s">
        <v>104</v>
      </c>
      <c r="G236" s="14">
        <v>51000136</v>
      </c>
      <c r="H236" s="14" t="s">
        <v>146</v>
      </c>
      <c r="I236" s="14" t="s">
        <v>147</v>
      </c>
      <c r="J236" s="14">
        <v>1</v>
      </c>
      <c r="K236" s="14" t="s">
        <v>37</v>
      </c>
      <c r="L236" s="14" t="s">
        <v>96</v>
      </c>
      <c r="M236" s="15" t="s">
        <v>89</v>
      </c>
      <c r="N236" s="15" t="s">
        <v>58</v>
      </c>
      <c r="O236" s="15">
        <v>1</v>
      </c>
      <c r="P236" s="15"/>
      <c r="Q236" s="15"/>
      <c r="R236" s="15"/>
      <c r="S236" s="25"/>
      <c r="T236" s="25">
        <v>45788</v>
      </c>
      <c r="U236" s="25">
        <v>45799</v>
      </c>
      <c r="V236" s="15" t="s">
        <v>506</v>
      </c>
      <c r="W236" s="15"/>
      <c r="X236" s="27">
        <v>324.66000000000003</v>
      </c>
      <c r="Y236" s="27">
        <f>Table2[[#This Row],[PREÇO UNITARIO]]*Table2[[#This Row],[QUANTIDADE]]</f>
        <v>324.66000000000003</v>
      </c>
      <c r="Z236" s="15"/>
      <c r="AA236" s="28">
        <f>MONTH(Table2[[#This Row],[DATA PEDIDO HP]])</f>
        <v>4</v>
      </c>
      <c r="AB236" s="32" t="s">
        <v>42</v>
      </c>
      <c r="AC236" s="5">
        <f t="shared" ca="1" si="3"/>
        <v>46232</v>
      </c>
      <c r="AD236" s="331">
        <f ca="1">_xlfn.DAYS(Table2[[#This Row],[HOJE]],Table2[[#This Row],[DATA PEDIDO HP]])</f>
        <v>481</v>
      </c>
      <c r="AE236" s="5" t="s">
        <v>43</v>
      </c>
    </row>
    <row r="237" spans="1:31" ht="14.45" hidden="1">
      <c r="A237" s="269" t="s">
        <v>904</v>
      </c>
      <c r="B237" s="26">
        <v>45751</v>
      </c>
      <c r="C237" s="26">
        <v>45751</v>
      </c>
      <c r="D237" s="14" t="s">
        <v>905</v>
      </c>
      <c r="E237" s="14" t="s">
        <v>445</v>
      </c>
      <c r="F237" s="14" t="s">
        <v>403</v>
      </c>
      <c r="G237" s="14">
        <v>50300097</v>
      </c>
      <c r="H237" s="14" t="s">
        <v>906</v>
      </c>
      <c r="I237" s="14" t="s">
        <v>907</v>
      </c>
      <c r="J237" s="14">
        <v>1</v>
      </c>
      <c r="K237" s="14" t="s">
        <v>37</v>
      </c>
      <c r="L237" s="14" t="s">
        <v>96</v>
      </c>
      <c r="M237" s="15" t="s">
        <v>89</v>
      </c>
      <c r="N237" s="15" t="s">
        <v>89</v>
      </c>
      <c r="O237" s="15">
        <v>0</v>
      </c>
      <c r="P237" s="15"/>
      <c r="Q237" s="15"/>
      <c r="R237" s="15"/>
      <c r="S237" s="25"/>
      <c r="T237" s="25">
        <v>45788</v>
      </c>
      <c r="U237" s="25">
        <v>45799</v>
      </c>
      <c r="V237" s="15" t="s">
        <v>506</v>
      </c>
      <c r="W237" s="15"/>
      <c r="X237" s="27">
        <v>49.81</v>
      </c>
      <c r="Y237" s="27">
        <f>Table2[[#This Row],[PREÇO UNITARIO]]*Table2[[#This Row],[QUANTIDADE]]</f>
        <v>49.81</v>
      </c>
      <c r="Z237" s="15"/>
      <c r="AA237" s="28">
        <f>MONTH(Table2[[#This Row],[DATA PEDIDO HP]])</f>
        <v>4</v>
      </c>
      <c r="AB237" s="32" t="s">
        <v>60</v>
      </c>
      <c r="AC237" s="5">
        <f t="shared" ca="1" si="3"/>
        <v>46232</v>
      </c>
      <c r="AD237" s="331">
        <f ca="1">_xlfn.DAYS(Table2[[#This Row],[HOJE]],Table2[[#This Row],[DATA PEDIDO HP]])</f>
        <v>481</v>
      </c>
      <c r="AE237" s="5" t="s">
        <v>43</v>
      </c>
    </row>
    <row r="238" spans="1:31" ht="14.45" hidden="1">
      <c r="A238" s="269" t="s">
        <v>904</v>
      </c>
      <c r="B238" s="26">
        <v>45751</v>
      </c>
      <c r="C238" s="26">
        <v>45751</v>
      </c>
      <c r="D238" s="14" t="s">
        <v>905</v>
      </c>
      <c r="E238" s="14" t="s">
        <v>445</v>
      </c>
      <c r="F238" s="14" t="s">
        <v>403</v>
      </c>
      <c r="G238" s="14">
        <v>50300097</v>
      </c>
      <c r="H238" s="14" t="s">
        <v>908</v>
      </c>
      <c r="I238" s="14" t="s">
        <v>909</v>
      </c>
      <c r="J238" s="14">
        <v>1</v>
      </c>
      <c r="K238" s="14" t="s">
        <v>37</v>
      </c>
      <c r="L238" s="14" t="s">
        <v>96</v>
      </c>
      <c r="M238" s="15" t="s">
        <v>39</v>
      </c>
      <c r="N238" s="15" t="s">
        <v>89</v>
      </c>
      <c r="O238" s="15">
        <v>0</v>
      </c>
      <c r="P238" s="15"/>
      <c r="Q238" s="15"/>
      <c r="R238" s="15" t="s">
        <v>910</v>
      </c>
      <c r="S238" s="25">
        <v>45861</v>
      </c>
      <c r="T238" s="25">
        <v>45838</v>
      </c>
      <c r="U238" s="25">
        <v>45859</v>
      </c>
      <c r="V238" s="15" t="s">
        <v>533</v>
      </c>
      <c r="W238" s="15"/>
      <c r="X238" s="27">
        <v>289.94</v>
      </c>
      <c r="Y238" s="27">
        <f>Table2[[#This Row],[PREÇO UNITARIO]]*Table2[[#This Row],[QUANTIDADE]]</f>
        <v>289.94</v>
      </c>
      <c r="Z238" s="15"/>
      <c r="AA238" s="28">
        <f>MONTH(Table2[[#This Row],[DATA PEDIDO HP]])</f>
        <v>4</v>
      </c>
      <c r="AB238" s="32" t="s">
        <v>60</v>
      </c>
      <c r="AC238" s="5">
        <f t="shared" ca="1" si="3"/>
        <v>46232</v>
      </c>
      <c r="AD238" s="331">
        <f ca="1">_xlfn.DAYS(Table2[[#This Row],[HOJE]],Table2[[#This Row],[DATA PEDIDO HP]])</f>
        <v>481</v>
      </c>
      <c r="AE238" s="336" t="s">
        <v>43</v>
      </c>
    </row>
    <row r="239" spans="1:31" ht="14.45" hidden="1">
      <c r="A239" s="269" t="s">
        <v>911</v>
      </c>
      <c r="B239" s="26">
        <v>45751</v>
      </c>
      <c r="C239" s="26">
        <v>45751</v>
      </c>
      <c r="D239" s="14" t="s">
        <v>912</v>
      </c>
      <c r="E239" s="14" t="s">
        <v>428</v>
      </c>
      <c r="F239" s="14" t="s">
        <v>104</v>
      </c>
      <c r="G239" s="14">
        <v>51100064</v>
      </c>
      <c r="H239" s="14" t="s">
        <v>727</v>
      </c>
      <c r="I239" s="14" t="s">
        <v>913</v>
      </c>
      <c r="J239" s="14">
        <v>1</v>
      </c>
      <c r="K239" s="14" t="s">
        <v>37</v>
      </c>
      <c r="L239" s="14" t="s">
        <v>96</v>
      </c>
      <c r="M239" s="15" t="s">
        <v>89</v>
      </c>
      <c r="N239" s="15" t="s">
        <v>89</v>
      </c>
      <c r="O239" s="15">
        <v>0</v>
      </c>
      <c r="P239" s="15"/>
      <c r="Q239" s="15"/>
      <c r="R239" s="15"/>
      <c r="S239" s="25"/>
      <c r="T239" s="25">
        <v>45788</v>
      </c>
      <c r="U239" s="25">
        <v>45799</v>
      </c>
      <c r="V239" s="15" t="s">
        <v>506</v>
      </c>
      <c r="W239" s="15"/>
      <c r="X239" s="27">
        <v>175.25</v>
      </c>
      <c r="Y239" s="27">
        <f>Table2[[#This Row],[PREÇO UNITARIO]]*Table2[[#This Row],[QUANTIDADE]]</f>
        <v>175.25</v>
      </c>
      <c r="Z239" s="15"/>
      <c r="AA239" s="28">
        <f>MONTH(Table2[[#This Row],[DATA PEDIDO HP]])</f>
        <v>4</v>
      </c>
      <c r="AB239" s="32" t="s">
        <v>60</v>
      </c>
      <c r="AC239" s="5">
        <f t="shared" ca="1" si="3"/>
        <v>46232</v>
      </c>
      <c r="AD239" s="331">
        <f ca="1">_xlfn.DAYS(Table2[[#This Row],[HOJE]],Table2[[#This Row],[DATA PEDIDO HP]])</f>
        <v>481</v>
      </c>
      <c r="AE239" s="5" t="s">
        <v>43</v>
      </c>
    </row>
    <row r="240" spans="1:31" ht="14.45" hidden="1">
      <c r="A240" s="269" t="s">
        <v>914</v>
      </c>
      <c r="B240" s="26">
        <v>45755</v>
      </c>
      <c r="C240" s="26">
        <v>45754</v>
      </c>
      <c r="D240" s="14" t="s">
        <v>915</v>
      </c>
      <c r="E240" s="14" t="s">
        <v>916</v>
      </c>
      <c r="F240" s="14" t="s">
        <v>456</v>
      </c>
      <c r="G240" s="14" t="s">
        <v>917</v>
      </c>
      <c r="H240" s="14" t="s">
        <v>918</v>
      </c>
      <c r="I240" s="14" t="s">
        <v>919</v>
      </c>
      <c r="J240" s="14">
        <v>1</v>
      </c>
      <c r="K240" s="14" t="s">
        <v>37</v>
      </c>
      <c r="L240" s="14" t="s">
        <v>38</v>
      </c>
      <c r="M240" s="15" t="s">
        <v>89</v>
      </c>
      <c r="N240" s="15" t="s">
        <v>58</v>
      </c>
      <c r="O240" s="15">
        <v>1</v>
      </c>
      <c r="P240" s="15"/>
      <c r="Q240" s="15"/>
      <c r="R240" s="15"/>
      <c r="S240" s="25"/>
      <c r="T240" s="25">
        <v>45788</v>
      </c>
      <c r="U240" s="25">
        <v>45799</v>
      </c>
      <c r="V240" s="15" t="s">
        <v>506</v>
      </c>
      <c r="W240" s="15"/>
      <c r="X240" s="27">
        <v>853.86</v>
      </c>
      <c r="Y240" s="27">
        <f>Table2[[#This Row],[PREÇO UNITARIO]]*Table2[[#This Row],[QUANTIDADE]]</f>
        <v>853.86</v>
      </c>
      <c r="Z240" s="15"/>
      <c r="AA240" s="28">
        <f>MONTH(Table2[[#This Row],[DATA PEDIDO HP]])</f>
        <v>4</v>
      </c>
      <c r="AB240" s="32" t="s">
        <v>60</v>
      </c>
      <c r="AC240" s="5">
        <f t="shared" ca="1" si="3"/>
        <v>46232</v>
      </c>
      <c r="AD240" s="331">
        <f ca="1">_xlfn.DAYS(Table2[[#This Row],[HOJE]],Table2[[#This Row],[DATA PEDIDO HP]])</f>
        <v>477</v>
      </c>
      <c r="AE240" s="5" t="s">
        <v>43</v>
      </c>
    </row>
    <row r="241" spans="1:31" ht="14.45" hidden="1">
      <c r="A241" s="269" t="s">
        <v>920</v>
      </c>
      <c r="B241" s="26">
        <v>45755</v>
      </c>
      <c r="C241" s="26">
        <v>45755</v>
      </c>
      <c r="D241" s="14" t="s">
        <v>921</v>
      </c>
      <c r="E241" s="14" t="s">
        <v>455</v>
      </c>
      <c r="F241" s="14" t="s">
        <v>456</v>
      </c>
      <c r="G241" s="14">
        <v>47200115</v>
      </c>
      <c r="H241" s="14" t="s">
        <v>326</v>
      </c>
      <c r="I241" s="14" t="s">
        <v>327</v>
      </c>
      <c r="J241" s="14">
        <v>1</v>
      </c>
      <c r="K241" s="14" t="s">
        <v>37</v>
      </c>
      <c r="L241" s="14" t="s">
        <v>217</v>
      </c>
      <c r="M241" s="15" t="s">
        <v>58</v>
      </c>
      <c r="N241" s="15" t="s">
        <v>58</v>
      </c>
      <c r="O241" s="15">
        <v>1</v>
      </c>
      <c r="P241" s="15"/>
      <c r="Q241" s="15"/>
      <c r="R241" s="15"/>
      <c r="S241" s="25">
        <v>45818</v>
      </c>
      <c r="T241" s="25">
        <v>45788</v>
      </c>
      <c r="U241" s="25">
        <v>45799</v>
      </c>
      <c r="V241" s="15" t="s">
        <v>506</v>
      </c>
      <c r="W241" s="15"/>
      <c r="X241" s="27">
        <v>882.69</v>
      </c>
      <c r="Y241" s="27">
        <f>Table2[[#This Row],[PREÇO UNITARIO]]*Table2[[#This Row],[QUANTIDADE]]</f>
        <v>882.69</v>
      </c>
      <c r="Z241" s="15"/>
      <c r="AA241" s="28">
        <f>MONTH(Table2[[#This Row],[DATA PEDIDO HP]])</f>
        <v>4</v>
      </c>
      <c r="AB241" s="32" t="s">
        <v>60</v>
      </c>
      <c r="AC241" s="5">
        <f t="shared" ca="1" si="3"/>
        <v>46232</v>
      </c>
      <c r="AD241" s="331">
        <f ca="1">_xlfn.DAYS(Table2[[#This Row],[HOJE]],Table2[[#This Row],[DATA PEDIDO HP]])</f>
        <v>477</v>
      </c>
      <c r="AE241" s="336" t="s">
        <v>43</v>
      </c>
    </row>
    <row r="242" spans="1:31" ht="14.45" hidden="1">
      <c r="A242" s="269" t="s">
        <v>922</v>
      </c>
      <c r="B242" s="26">
        <v>45755</v>
      </c>
      <c r="C242" s="26">
        <v>45755</v>
      </c>
      <c r="D242" s="14" t="s">
        <v>923</v>
      </c>
      <c r="E242" s="14" t="s">
        <v>93</v>
      </c>
      <c r="F242" s="14" t="s">
        <v>74</v>
      </c>
      <c r="G242" s="14">
        <v>50000202</v>
      </c>
      <c r="H242" s="14" t="s">
        <v>924</v>
      </c>
      <c r="I242" s="14" t="s">
        <v>925</v>
      </c>
      <c r="J242" s="14">
        <v>1</v>
      </c>
      <c r="K242" s="14" t="s">
        <v>37</v>
      </c>
      <c r="L242" s="14" t="s">
        <v>217</v>
      </c>
      <c r="M242" s="15" t="s">
        <v>89</v>
      </c>
      <c r="N242" s="15" t="s">
        <v>89</v>
      </c>
      <c r="O242" s="15">
        <v>1</v>
      </c>
      <c r="P242" s="15"/>
      <c r="Q242" s="15"/>
      <c r="R242" s="15"/>
      <c r="S242" s="25">
        <v>45812</v>
      </c>
      <c r="T242" s="25">
        <v>45788</v>
      </c>
      <c r="U242" s="25">
        <v>45799</v>
      </c>
      <c r="V242" s="15" t="s">
        <v>506</v>
      </c>
      <c r="W242" s="15"/>
      <c r="X242" s="27">
        <v>24.5</v>
      </c>
      <c r="Y242" s="27">
        <f>Table2[[#This Row],[PREÇO UNITARIO]]*Table2[[#This Row],[QUANTIDADE]]</f>
        <v>24.5</v>
      </c>
      <c r="Z242" s="15"/>
      <c r="AA242" s="28">
        <f>MONTH(Table2[[#This Row],[DATA PEDIDO HP]])</f>
        <v>4</v>
      </c>
      <c r="AB242" s="32" t="s">
        <v>60</v>
      </c>
      <c r="AC242" s="5">
        <f t="shared" ca="1" si="3"/>
        <v>46232</v>
      </c>
      <c r="AD242" s="331">
        <f ca="1">_xlfn.DAYS(Table2[[#This Row],[HOJE]],Table2[[#This Row],[DATA PEDIDO HP]])</f>
        <v>477</v>
      </c>
      <c r="AE242" s="336" t="s">
        <v>43</v>
      </c>
    </row>
    <row r="243" spans="1:31" ht="14.45" hidden="1">
      <c r="A243" s="269" t="s">
        <v>926</v>
      </c>
      <c r="B243" s="26">
        <v>45756</v>
      </c>
      <c r="C243" s="26">
        <v>45715</v>
      </c>
      <c r="D243" s="14" t="s">
        <v>927</v>
      </c>
      <c r="E243" s="14" t="s">
        <v>445</v>
      </c>
      <c r="F243" s="14" t="s">
        <v>403</v>
      </c>
      <c r="G243" s="14">
        <v>50300097</v>
      </c>
      <c r="H243" s="14" t="s">
        <v>928</v>
      </c>
      <c r="I243" s="14" t="s">
        <v>929</v>
      </c>
      <c r="J243" s="14">
        <v>1</v>
      </c>
      <c r="K243" s="14" t="s">
        <v>67</v>
      </c>
      <c r="L243" s="14" t="s">
        <v>96</v>
      </c>
      <c r="M243" s="15" t="s">
        <v>89</v>
      </c>
      <c r="N243" s="15" t="s">
        <v>89</v>
      </c>
      <c r="O243" s="15">
        <v>0</v>
      </c>
      <c r="P243" s="15">
        <v>0</v>
      </c>
      <c r="Q243" s="15"/>
      <c r="R243" s="15"/>
      <c r="S243" s="25"/>
      <c r="T243" s="25">
        <v>45775</v>
      </c>
      <c r="U243" s="25">
        <v>45782</v>
      </c>
      <c r="V243" s="15" t="s">
        <v>69</v>
      </c>
      <c r="W243" s="15"/>
      <c r="X243" s="27">
        <v>292.32</v>
      </c>
      <c r="Y243" s="27">
        <f>Table2[[#This Row],[PREÇO UNITARIO]]*Table2[[#This Row],[QUANTIDADE]]</f>
        <v>292.32</v>
      </c>
      <c r="Z243" s="15"/>
      <c r="AA243" s="28">
        <f>MONTH(Table2[[#This Row],[DATA PEDIDO HP]])</f>
        <v>4</v>
      </c>
      <c r="AB243" s="32" t="s">
        <v>60</v>
      </c>
      <c r="AC243" s="5">
        <f t="shared" ca="1" si="3"/>
        <v>46232</v>
      </c>
      <c r="AD243" s="331">
        <f ca="1">_xlfn.DAYS(Table2[[#This Row],[HOJE]],Table2[[#This Row],[DATA PEDIDO HP]])</f>
        <v>476</v>
      </c>
      <c r="AE243" s="5" t="s">
        <v>43</v>
      </c>
    </row>
    <row r="244" spans="1:31" ht="14.45" hidden="1">
      <c r="A244" s="269" t="s">
        <v>930</v>
      </c>
      <c r="B244" s="26">
        <v>45755</v>
      </c>
      <c r="C244" s="26">
        <v>45755</v>
      </c>
      <c r="D244" s="14" t="s">
        <v>931</v>
      </c>
      <c r="E244" s="14" t="s">
        <v>103</v>
      </c>
      <c r="F244" s="14" t="s">
        <v>104</v>
      </c>
      <c r="G244" s="14">
        <v>51000136</v>
      </c>
      <c r="H244" s="14" t="s">
        <v>932</v>
      </c>
      <c r="I244" s="14" t="s">
        <v>933</v>
      </c>
      <c r="J244" s="14">
        <v>1</v>
      </c>
      <c r="K244" s="14" t="s">
        <v>37</v>
      </c>
      <c r="L244" s="14" t="s">
        <v>217</v>
      </c>
      <c r="M244" s="15" t="s">
        <v>89</v>
      </c>
      <c r="N244" s="15" t="s">
        <v>58</v>
      </c>
      <c r="O244" s="15">
        <v>1</v>
      </c>
      <c r="P244" s="15"/>
      <c r="Q244" s="15"/>
      <c r="R244" s="15"/>
      <c r="S244" s="25"/>
      <c r="T244" s="25">
        <v>45788</v>
      </c>
      <c r="U244" s="25">
        <v>45799</v>
      </c>
      <c r="V244" s="15" t="s">
        <v>506</v>
      </c>
      <c r="W244" s="15"/>
      <c r="X244" s="27">
        <v>318.19</v>
      </c>
      <c r="Y244" s="27">
        <f>Table2[[#This Row],[PREÇO UNITARIO]]*Table2[[#This Row],[QUANTIDADE]]</f>
        <v>318.19</v>
      </c>
      <c r="Z244" s="15"/>
      <c r="AA244" s="28">
        <f>MONTH(Table2[[#This Row],[DATA PEDIDO HP]])</f>
        <v>4</v>
      </c>
      <c r="AB244" s="32" t="s">
        <v>42</v>
      </c>
      <c r="AC244" s="5">
        <f t="shared" ca="1" si="3"/>
        <v>46232</v>
      </c>
      <c r="AD244" s="331">
        <f ca="1">_xlfn.DAYS(Table2[[#This Row],[HOJE]],Table2[[#This Row],[DATA PEDIDO HP]])</f>
        <v>477</v>
      </c>
      <c r="AE244" s="5" t="s">
        <v>43</v>
      </c>
    </row>
    <row r="245" spans="1:31" ht="14.45" hidden="1">
      <c r="A245" s="269" t="s">
        <v>934</v>
      </c>
      <c r="B245" s="26">
        <v>45756</v>
      </c>
      <c r="C245" s="26">
        <v>45756</v>
      </c>
      <c r="D245" s="14" t="s">
        <v>935</v>
      </c>
      <c r="E245" s="14" t="s">
        <v>79</v>
      </c>
      <c r="F245" s="14" t="s">
        <v>74</v>
      </c>
      <c r="G245" s="14">
        <v>50000530</v>
      </c>
      <c r="H245" s="14" t="s">
        <v>330</v>
      </c>
      <c r="I245" s="14" t="s">
        <v>936</v>
      </c>
      <c r="J245" s="14">
        <v>1</v>
      </c>
      <c r="K245" s="14" t="s">
        <v>37</v>
      </c>
      <c r="L245" s="14" t="s">
        <v>346</v>
      </c>
      <c r="M245" s="15" t="s">
        <v>58</v>
      </c>
      <c r="N245" s="15" t="s">
        <v>58</v>
      </c>
      <c r="O245" s="15">
        <v>1</v>
      </c>
      <c r="P245" s="15"/>
      <c r="Q245" s="15"/>
      <c r="R245" s="15"/>
      <c r="S245" s="25"/>
      <c r="T245" s="25">
        <v>45788</v>
      </c>
      <c r="U245" s="25">
        <v>45799</v>
      </c>
      <c r="V245" s="15" t="s">
        <v>506</v>
      </c>
      <c r="W245" s="15"/>
      <c r="X245" s="27">
        <v>35.19</v>
      </c>
      <c r="Y245" s="27">
        <f>Table2[[#This Row],[PREÇO UNITARIO]]*Table2[[#This Row],[QUANTIDADE]]</f>
        <v>35.19</v>
      </c>
      <c r="Z245" s="15"/>
      <c r="AA245" s="28">
        <f>MONTH(Table2[[#This Row],[DATA PEDIDO HP]])</f>
        <v>4</v>
      </c>
      <c r="AB245" s="32" t="s">
        <v>60</v>
      </c>
      <c r="AC245" s="5">
        <f t="shared" ca="1" si="3"/>
        <v>46232</v>
      </c>
      <c r="AD245" s="331">
        <f ca="1">_xlfn.DAYS(Table2[[#This Row],[HOJE]],Table2[[#This Row],[DATA PEDIDO HP]])</f>
        <v>476</v>
      </c>
      <c r="AE245" s="5" t="s">
        <v>43</v>
      </c>
    </row>
    <row r="246" spans="1:31" ht="14.45" hidden="1">
      <c r="A246" s="269" t="s">
        <v>937</v>
      </c>
      <c r="B246" s="26">
        <v>45756</v>
      </c>
      <c r="C246" s="26">
        <v>45756</v>
      </c>
      <c r="D246" s="14" t="s">
        <v>938</v>
      </c>
      <c r="E246" s="14" t="s">
        <v>103</v>
      </c>
      <c r="F246" s="14" t="s">
        <v>104</v>
      </c>
      <c r="G246" s="14">
        <v>51000136</v>
      </c>
      <c r="H246" s="14" t="s">
        <v>939</v>
      </c>
      <c r="I246" s="14" t="s">
        <v>940</v>
      </c>
      <c r="J246" s="14">
        <v>1</v>
      </c>
      <c r="K246" s="14" t="s">
        <v>37</v>
      </c>
      <c r="L246" s="14" t="s">
        <v>217</v>
      </c>
      <c r="M246" s="15" t="s">
        <v>89</v>
      </c>
      <c r="N246" s="15" t="s">
        <v>39</v>
      </c>
      <c r="O246" s="15">
        <v>1</v>
      </c>
      <c r="P246" s="15"/>
      <c r="Q246" s="15"/>
      <c r="R246" s="15"/>
      <c r="S246" s="25">
        <v>45807</v>
      </c>
      <c r="T246" s="25">
        <v>45788</v>
      </c>
      <c r="U246" s="25">
        <v>45799</v>
      </c>
      <c r="V246" s="15" t="s">
        <v>506</v>
      </c>
      <c r="W246" s="15"/>
      <c r="X246" s="27">
        <v>16.329999999999998</v>
      </c>
      <c r="Y246" s="27">
        <f>Table2[[#This Row],[PREÇO UNITARIO]]*Table2[[#This Row],[QUANTIDADE]]</f>
        <v>16.329999999999998</v>
      </c>
      <c r="Z246" s="15"/>
      <c r="AA246" s="28">
        <f>MONTH(Table2[[#This Row],[DATA PEDIDO HP]])</f>
        <v>4</v>
      </c>
      <c r="AB246" s="32" t="s">
        <v>42</v>
      </c>
      <c r="AC246" s="5">
        <f t="shared" ca="1" si="3"/>
        <v>46232</v>
      </c>
      <c r="AD246" s="331">
        <f ca="1">_xlfn.DAYS(Table2[[#This Row],[HOJE]],Table2[[#This Row],[DATA PEDIDO HP]])</f>
        <v>476</v>
      </c>
      <c r="AE246" s="336" t="s">
        <v>43</v>
      </c>
    </row>
    <row r="247" spans="1:31" ht="14.45" hidden="1">
      <c r="A247" s="269" t="s">
        <v>941</v>
      </c>
      <c r="B247" s="26">
        <v>45756</v>
      </c>
      <c r="C247" s="26">
        <v>45756</v>
      </c>
      <c r="D247" s="14" t="s">
        <v>942</v>
      </c>
      <c r="E247" s="14" t="s">
        <v>54</v>
      </c>
      <c r="F247" s="14" t="s">
        <v>55</v>
      </c>
      <c r="G247" s="14">
        <v>44000216</v>
      </c>
      <c r="H247" s="14" t="s">
        <v>943</v>
      </c>
      <c r="I247" s="14" t="s">
        <v>944</v>
      </c>
      <c r="J247" s="14">
        <v>1</v>
      </c>
      <c r="K247" s="14" t="s">
        <v>37</v>
      </c>
      <c r="L247" s="14" t="s">
        <v>217</v>
      </c>
      <c r="M247" s="15" t="s">
        <v>89</v>
      </c>
      <c r="N247" s="15" t="s">
        <v>89</v>
      </c>
      <c r="O247" s="15">
        <v>1</v>
      </c>
      <c r="P247" s="15"/>
      <c r="Q247" s="15"/>
      <c r="R247" s="15"/>
      <c r="S247" s="25"/>
      <c r="T247" s="25">
        <v>45788</v>
      </c>
      <c r="U247" s="25">
        <v>45799</v>
      </c>
      <c r="V247" s="15" t="s">
        <v>506</v>
      </c>
      <c r="W247" s="15"/>
      <c r="X247" s="27">
        <v>11.63</v>
      </c>
      <c r="Y247" s="27">
        <f>Table2[[#This Row],[PREÇO UNITARIO]]*Table2[[#This Row],[QUANTIDADE]]</f>
        <v>11.63</v>
      </c>
      <c r="Z247" s="15"/>
      <c r="AA247" s="28">
        <f>MONTH(Table2[[#This Row],[DATA PEDIDO HP]])</f>
        <v>4</v>
      </c>
      <c r="AB247" s="32" t="s">
        <v>60</v>
      </c>
      <c r="AC247" s="5">
        <f t="shared" ca="1" si="3"/>
        <v>46232</v>
      </c>
      <c r="AD247" s="331">
        <f ca="1">_xlfn.DAYS(Table2[[#This Row],[HOJE]],Table2[[#This Row],[DATA PEDIDO HP]])</f>
        <v>476</v>
      </c>
      <c r="AE247" s="5" t="s">
        <v>43</v>
      </c>
    </row>
    <row r="248" spans="1:31" ht="14.45" hidden="1">
      <c r="A248" s="269" t="s">
        <v>945</v>
      </c>
      <c r="B248" s="26">
        <v>45756</v>
      </c>
      <c r="C248" s="26">
        <v>45756</v>
      </c>
      <c r="D248" s="14" t="s">
        <v>946</v>
      </c>
      <c r="E248" s="14" t="s">
        <v>54</v>
      </c>
      <c r="F248" s="14" t="s">
        <v>173</v>
      </c>
      <c r="G248" s="14">
        <v>48300315</v>
      </c>
      <c r="H248" s="14" t="s">
        <v>335</v>
      </c>
      <c r="I248" s="14" t="s">
        <v>947</v>
      </c>
      <c r="J248" s="14">
        <v>1</v>
      </c>
      <c r="K248" s="14" t="s">
        <v>37</v>
      </c>
      <c r="L248" s="14" t="s">
        <v>217</v>
      </c>
      <c r="M248" s="15" t="s">
        <v>58</v>
      </c>
      <c r="N248" s="15" t="s">
        <v>58</v>
      </c>
      <c r="O248" s="15">
        <v>1</v>
      </c>
      <c r="P248" s="15"/>
      <c r="Q248" s="15"/>
      <c r="R248" s="15"/>
      <c r="S248" s="25"/>
      <c r="T248" s="25">
        <v>45788</v>
      </c>
      <c r="U248" s="25">
        <v>45799</v>
      </c>
      <c r="V248" s="15" t="s">
        <v>506</v>
      </c>
      <c r="W248" s="15"/>
      <c r="X248" s="27">
        <v>79.989999999999995</v>
      </c>
      <c r="Y248" s="27">
        <f>Table2[[#This Row],[PREÇO UNITARIO]]*Table2[[#This Row],[QUANTIDADE]]</f>
        <v>79.989999999999995</v>
      </c>
      <c r="Z248" s="15"/>
      <c r="AA248" s="28">
        <f>MONTH(Table2[[#This Row],[DATA PEDIDO HP]])</f>
        <v>4</v>
      </c>
      <c r="AB248" s="32" t="s">
        <v>60</v>
      </c>
      <c r="AC248" s="5">
        <f t="shared" ca="1" si="3"/>
        <v>46232</v>
      </c>
      <c r="AD248" s="331">
        <f ca="1">_xlfn.DAYS(Table2[[#This Row],[HOJE]],Table2[[#This Row],[DATA PEDIDO HP]])</f>
        <v>476</v>
      </c>
      <c r="AE248" s="5" t="s">
        <v>43</v>
      </c>
    </row>
    <row r="249" spans="1:31" ht="14.45" hidden="1">
      <c r="A249" s="269" t="s">
        <v>948</v>
      </c>
      <c r="B249" s="26">
        <v>45756</v>
      </c>
      <c r="C249" s="26">
        <v>45756</v>
      </c>
      <c r="D249" s="14" t="s">
        <v>949</v>
      </c>
      <c r="E249" s="14" t="s">
        <v>402</v>
      </c>
      <c r="F249" s="14" t="s">
        <v>403</v>
      </c>
      <c r="G249" s="14">
        <v>50300129</v>
      </c>
      <c r="H249" s="14" t="s">
        <v>691</v>
      </c>
      <c r="I249" s="14" t="s">
        <v>868</v>
      </c>
      <c r="J249" s="14">
        <v>1</v>
      </c>
      <c r="K249" s="14" t="s">
        <v>67</v>
      </c>
      <c r="L249" s="14" t="s">
        <v>217</v>
      </c>
      <c r="M249" s="15" t="s">
        <v>384</v>
      </c>
      <c r="N249" s="15" t="s">
        <v>384</v>
      </c>
      <c r="O249" s="15">
        <v>0</v>
      </c>
      <c r="P249" s="15"/>
      <c r="Q249" s="15"/>
      <c r="R249" s="15"/>
      <c r="S249" s="25">
        <v>45806</v>
      </c>
      <c r="T249" s="25">
        <v>45789</v>
      </c>
      <c r="U249" s="25">
        <v>45797</v>
      </c>
      <c r="V249" s="15" t="s">
        <v>948</v>
      </c>
      <c r="W249" s="15"/>
      <c r="X249" s="27">
        <v>2040.97</v>
      </c>
      <c r="Y249" s="27">
        <f>Table2[[#This Row],[PREÇO UNITARIO]]*Table2[[#This Row],[QUANTIDADE]]</f>
        <v>2040.97</v>
      </c>
      <c r="Z249" s="15"/>
      <c r="AA249" s="28">
        <f>MONTH(Table2[[#This Row],[DATA PEDIDO HP]])</f>
        <v>4</v>
      </c>
      <c r="AB249" s="32"/>
      <c r="AC249" s="5">
        <f t="shared" ca="1" si="3"/>
        <v>46232</v>
      </c>
      <c r="AD249" s="331">
        <f ca="1">_xlfn.DAYS(Table2[[#This Row],[HOJE]],Table2[[#This Row],[DATA PEDIDO HP]])</f>
        <v>476</v>
      </c>
      <c r="AE249" s="336" t="s">
        <v>43</v>
      </c>
    </row>
    <row r="250" spans="1:31" ht="14.45" hidden="1">
      <c r="A250" s="269" t="s">
        <v>950</v>
      </c>
      <c r="B250" s="26">
        <v>45758</v>
      </c>
      <c r="C250" s="26">
        <v>45758</v>
      </c>
      <c r="D250" s="14" t="s">
        <v>951</v>
      </c>
      <c r="E250" s="14" t="s">
        <v>73</v>
      </c>
      <c r="F250" s="14" t="s">
        <v>203</v>
      </c>
      <c r="G250" s="14">
        <v>60002095</v>
      </c>
      <c r="H250" s="14" t="s">
        <v>952</v>
      </c>
      <c r="I250" s="14" t="s">
        <v>953</v>
      </c>
      <c r="J250" s="14">
        <v>1</v>
      </c>
      <c r="K250" s="14" t="s">
        <v>37</v>
      </c>
      <c r="L250" s="14" t="s">
        <v>346</v>
      </c>
      <c r="M250" s="15" t="s">
        <v>58</v>
      </c>
      <c r="N250" s="15" t="s">
        <v>58</v>
      </c>
      <c r="O250" s="15">
        <v>1</v>
      </c>
      <c r="P250" s="15"/>
      <c r="Q250" s="15"/>
      <c r="R250" s="15"/>
      <c r="S250" s="25"/>
      <c r="T250" s="25">
        <v>45838</v>
      </c>
      <c r="U250" s="25">
        <v>45859</v>
      </c>
      <c r="V250" s="15" t="s">
        <v>533</v>
      </c>
      <c r="W250" s="15"/>
      <c r="X250" s="27">
        <v>1596.41</v>
      </c>
      <c r="Y250" s="27">
        <f>Table2[[#This Row],[PREÇO UNITARIO]]*Table2[[#This Row],[QUANTIDADE]]</f>
        <v>1596.41</v>
      </c>
      <c r="Z250" s="15"/>
      <c r="AA250" s="28">
        <f>MONTH(Table2[[#This Row],[DATA PEDIDO HP]])</f>
        <v>4</v>
      </c>
      <c r="AB250" s="32" t="s">
        <v>42</v>
      </c>
      <c r="AC250" s="5">
        <f t="shared" ca="1" si="3"/>
        <v>46232</v>
      </c>
      <c r="AD250" s="331">
        <f ca="1">_xlfn.DAYS(Table2[[#This Row],[HOJE]],Table2[[#This Row],[DATA PEDIDO HP]])</f>
        <v>474</v>
      </c>
      <c r="AE250" s="5" t="s">
        <v>43</v>
      </c>
    </row>
    <row r="251" spans="1:31" ht="14.45" hidden="1">
      <c r="A251" s="269" t="s">
        <v>954</v>
      </c>
      <c r="B251" s="26">
        <v>45758</v>
      </c>
      <c r="C251" s="26">
        <v>45757</v>
      </c>
      <c r="D251" s="14" t="s">
        <v>955</v>
      </c>
      <c r="E251" s="14" t="s">
        <v>33</v>
      </c>
      <c r="F251" s="14" t="s">
        <v>34</v>
      </c>
      <c r="G251" s="14">
        <v>50110193</v>
      </c>
      <c r="H251" s="14" t="s">
        <v>158</v>
      </c>
      <c r="I251" s="14" t="s">
        <v>956</v>
      </c>
      <c r="J251" s="14">
        <v>1</v>
      </c>
      <c r="K251" s="14" t="s">
        <v>37</v>
      </c>
      <c r="L251" s="14" t="s">
        <v>96</v>
      </c>
      <c r="M251" s="15" t="s">
        <v>89</v>
      </c>
      <c r="N251" s="15" t="s">
        <v>89</v>
      </c>
      <c r="O251" s="15">
        <v>0</v>
      </c>
      <c r="P251" s="15"/>
      <c r="Q251" s="15"/>
      <c r="R251" s="15"/>
      <c r="S251" s="25">
        <v>45861</v>
      </c>
      <c r="T251" s="25">
        <v>45838</v>
      </c>
      <c r="U251" s="25">
        <v>45859</v>
      </c>
      <c r="V251" s="15" t="s">
        <v>533</v>
      </c>
      <c r="W251" s="15"/>
      <c r="X251" s="27">
        <v>475.51</v>
      </c>
      <c r="Y251" s="27">
        <f>Table2[[#This Row],[PREÇO UNITARIO]]*Table2[[#This Row],[QUANTIDADE]]</f>
        <v>475.51</v>
      </c>
      <c r="Z251" s="15"/>
      <c r="AA251" s="28">
        <f>MONTH(Table2[[#This Row],[DATA PEDIDO HP]])</f>
        <v>4</v>
      </c>
      <c r="AB251" s="32" t="s">
        <v>42</v>
      </c>
      <c r="AC251" s="5">
        <f t="shared" ca="1" si="3"/>
        <v>46232</v>
      </c>
      <c r="AD251" s="331">
        <f ca="1">_xlfn.DAYS(Table2[[#This Row],[HOJE]],Table2[[#This Row],[DATA PEDIDO HP]])</f>
        <v>474</v>
      </c>
      <c r="AE251" s="336" t="s">
        <v>43</v>
      </c>
    </row>
    <row r="252" spans="1:31" ht="14.45" hidden="1">
      <c r="A252" s="269" t="s">
        <v>957</v>
      </c>
      <c r="B252" s="26">
        <v>45758</v>
      </c>
      <c r="C252" s="26">
        <v>45756</v>
      </c>
      <c r="D252" s="14" t="s">
        <v>958</v>
      </c>
      <c r="E252" s="14" t="s">
        <v>225</v>
      </c>
      <c r="F252" s="14" t="s">
        <v>34</v>
      </c>
      <c r="G252" s="14">
        <v>50110261</v>
      </c>
      <c r="H252" s="14" t="s">
        <v>959</v>
      </c>
      <c r="I252" s="14" t="s">
        <v>960</v>
      </c>
      <c r="J252" s="14">
        <v>1</v>
      </c>
      <c r="K252" s="14" t="s">
        <v>37</v>
      </c>
      <c r="L252" s="14" t="s">
        <v>217</v>
      </c>
      <c r="M252" s="15" t="s">
        <v>58</v>
      </c>
      <c r="N252" s="15" t="s">
        <v>39</v>
      </c>
      <c r="O252" s="15">
        <v>1</v>
      </c>
      <c r="P252" s="15"/>
      <c r="Q252" s="15"/>
      <c r="R252" s="15"/>
      <c r="S252" s="25"/>
      <c r="T252" s="25">
        <v>45775</v>
      </c>
      <c r="U252" s="25">
        <v>45782</v>
      </c>
      <c r="V252" s="15" t="s">
        <v>69</v>
      </c>
      <c r="W252" s="15"/>
      <c r="X252" s="27">
        <v>24.5</v>
      </c>
      <c r="Y252" s="27">
        <f>Table2[[#This Row],[PREÇO UNITARIO]]*Table2[[#This Row],[QUANTIDADE]]</f>
        <v>24.5</v>
      </c>
      <c r="Z252" s="15"/>
      <c r="AA252" s="28">
        <f>MONTH(Table2[[#This Row],[DATA PEDIDO HP]])</f>
        <v>4</v>
      </c>
      <c r="AB252" s="32" t="s">
        <v>60</v>
      </c>
      <c r="AC252" s="5">
        <f t="shared" ca="1" si="3"/>
        <v>46232</v>
      </c>
      <c r="AD252" s="331">
        <f ca="1">_xlfn.DAYS(Table2[[#This Row],[HOJE]],Table2[[#This Row],[DATA PEDIDO HP]])</f>
        <v>474</v>
      </c>
      <c r="AE252" s="5" t="s">
        <v>43</v>
      </c>
    </row>
    <row r="253" spans="1:31" ht="14.45" hidden="1">
      <c r="A253" s="269" t="s">
        <v>961</v>
      </c>
      <c r="B253" s="26">
        <v>45758</v>
      </c>
      <c r="C253" s="26">
        <v>45757</v>
      </c>
      <c r="D253" s="14" t="s">
        <v>962</v>
      </c>
      <c r="E253" s="14" t="s">
        <v>103</v>
      </c>
      <c r="F253" s="14" t="s">
        <v>104</v>
      </c>
      <c r="G253" s="14">
        <v>51000136</v>
      </c>
      <c r="H253" s="14" t="s">
        <v>963</v>
      </c>
      <c r="I253" s="14" t="s">
        <v>964</v>
      </c>
      <c r="J253" s="14">
        <v>1</v>
      </c>
      <c r="K253" s="14" t="s">
        <v>37</v>
      </c>
      <c r="L253" s="14" t="s">
        <v>96</v>
      </c>
      <c r="M253" s="15" t="s">
        <v>89</v>
      </c>
      <c r="N253" s="15" t="s">
        <v>89</v>
      </c>
      <c r="O253" s="15">
        <v>0</v>
      </c>
      <c r="P253" s="15"/>
      <c r="Q253" s="15"/>
      <c r="R253" s="15"/>
      <c r="S253" s="25">
        <v>45807</v>
      </c>
      <c r="T253" s="25">
        <v>45788</v>
      </c>
      <c r="U253" s="25">
        <v>45799</v>
      </c>
      <c r="V253" s="15" t="s">
        <v>506</v>
      </c>
      <c r="W253" s="15"/>
      <c r="X253" s="27">
        <v>896.57</v>
      </c>
      <c r="Y253" s="27">
        <f>Table2[[#This Row],[PREÇO UNITARIO]]*Table2[[#This Row],[QUANTIDADE]]</f>
        <v>896.57</v>
      </c>
      <c r="Z253" s="15"/>
      <c r="AA253" s="28">
        <f>MONTH(Table2[[#This Row],[DATA PEDIDO HP]])</f>
        <v>4</v>
      </c>
      <c r="AB253" s="32" t="s">
        <v>42</v>
      </c>
      <c r="AC253" s="5">
        <f t="shared" ca="1" si="3"/>
        <v>46232</v>
      </c>
      <c r="AD253" s="331">
        <f ca="1">_xlfn.DAYS(Table2[[#This Row],[HOJE]],Table2[[#This Row],[DATA PEDIDO HP]])</f>
        <v>474</v>
      </c>
      <c r="AE253" s="336" t="s">
        <v>43</v>
      </c>
    </row>
    <row r="254" spans="1:31" ht="14.45" hidden="1">
      <c r="A254" s="269" t="s">
        <v>965</v>
      </c>
      <c r="B254" s="26">
        <v>45758</v>
      </c>
      <c r="C254" s="26">
        <v>45756</v>
      </c>
      <c r="D254" s="14" t="s">
        <v>966</v>
      </c>
      <c r="E254" s="14" t="s">
        <v>445</v>
      </c>
      <c r="F254" s="14" t="s">
        <v>403</v>
      </c>
      <c r="G254" s="14">
        <v>50300097</v>
      </c>
      <c r="H254" s="14" t="s">
        <v>158</v>
      </c>
      <c r="I254" s="14" t="s">
        <v>956</v>
      </c>
      <c r="J254" s="14">
        <v>1</v>
      </c>
      <c r="K254" s="14" t="s">
        <v>37</v>
      </c>
      <c r="L254" s="14" t="s">
        <v>96</v>
      </c>
      <c r="M254" s="15" t="s">
        <v>58</v>
      </c>
      <c r="N254" s="15" t="s">
        <v>58</v>
      </c>
      <c r="O254" s="15">
        <v>1</v>
      </c>
      <c r="P254" s="15"/>
      <c r="Q254" s="15"/>
      <c r="R254" s="15"/>
      <c r="S254" s="25"/>
      <c r="T254" s="25">
        <v>45838</v>
      </c>
      <c r="U254" s="25">
        <v>45859</v>
      </c>
      <c r="V254" s="15" t="s">
        <v>533</v>
      </c>
      <c r="W254" s="15"/>
      <c r="X254" s="27">
        <v>475.51</v>
      </c>
      <c r="Y254" s="27">
        <f>Table2[[#This Row],[PREÇO UNITARIO]]*Table2[[#This Row],[QUANTIDADE]]</f>
        <v>475.51</v>
      </c>
      <c r="Z254" s="15"/>
      <c r="AA254" s="28">
        <f>MONTH(Table2[[#This Row],[DATA PEDIDO HP]])</f>
        <v>4</v>
      </c>
      <c r="AB254" s="32" t="s">
        <v>60</v>
      </c>
      <c r="AC254" s="5">
        <f t="shared" ca="1" si="3"/>
        <v>46232</v>
      </c>
      <c r="AD254" s="331">
        <f ca="1">_xlfn.DAYS(Table2[[#This Row],[HOJE]],Table2[[#This Row],[DATA PEDIDO HP]])</f>
        <v>474</v>
      </c>
      <c r="AE254" s="5" t="s">
        <v>43</v>
      </c>
    </row>
    <row r="255" spans="1:31" ht="14.45" hidden="1">
      <c r="A255" s="269" t="s">
        <v>967</v>
      </c>
      <c r="B255" s="26">
        <v>45758</v>
      </c>
      <c r="C255" s="26">
        <v>45756</v>
      </c>
      <c r="D255" s="14" t="s">
        <v>968</v>
      </c>
      <c r="E255" s="14" t="s">
        <v>445</v>
      </c>
      <c r="F255" s="14" t="s">
        <v>403</v>
      </c>
      <c r="G255" s="14">
        <v>50300097</v>
      </c>
      <c r="H255" s="14" t="s">
        <v>134</v>
      </c>
      <c r="I255" s="14" t="s">
        <v>740</v>
      </c>
      <c r="J255" s="14">
        <v>1</v>
      </c>
      <c r="K255" s="14" t="s">
        <v>37</v>
      </c>
      <c r="L255" s="14" t="s">
        <v>96</v>
      </c>
      <c r="M255" s="15" t="s">
        <v>58</v>
      </c>
      <c r="N255" s="15" t="s">
        <v>58</v>
      </c>
      <c r="O255" s="15">
        <v>1</v>
      </c>
      <c r="P255" s="15"/>
      <c r="Q255" s="15"/>
      <c r="R255" s="15"/>
      <c r="S255" s="25"/>
      <c r="T255" s="25">
        <v>45788</v>
      </c>
      <c r="U255" s="25">
        <v>45799</v>
      </c>
      <c r="V255" s="15" t="s">
        <v>506</v>
      </c>
      <c r="W255" s="15"/>
      <c r="X255" s="27">
        <v>42.46</v>
      </c>
      <c r="Y255" s="27">
        <f>Table2[[#This Row],[PREÇO UNITARIO]]*Table2[[#This Row],[QUANTIDADE]]</f>
        <v>42.46</v>
      </c>
      <c r="Z255" s="15"/>
      <c r="AA255" s="28">
        <f>MONTH(Table2[[#This Row],[DATA PEDIDO HP]])</f>
        <v>4</v>
      </c>
      <c r="AB255" s="32" t="s">
        <v>60</v>
      </c>
      <c r="AC255" s="5">
        <f t="shared" ca="1" si="3"/>
        <v>46232</v>
      </c>
      <c r="AD255" s="331">
        <f ca="1">_xlfn.DAYS(Table2[[#This Row],[HOJE]],Table2[[#This Row],[DATA PEDIDO HP]])</f>
        <v>474</v>
      </c>
      <c r="AE255" s="5" t="s">
        <v>43</v>
      </c>
    </row>
    <row r="256" spans="1:31" ht="14.45" hidden="1">
      <c r="A256" s="269" t="s">
        <v>967</v>
      </c>
      <c r="B256" s="26">
        <v>45758</v>
      </c>
      <c r="C256" s="26">
        <v>45756</v>
      </c>
      <c r="D256" s="14" t="s">
        <v>968</v>
      </c>
      <c r="E256" s="14" t="s">
        <v>445</v>
      </c>
      <c r="F256" s="14" t="s">
        <v>403</v>
      </c>
      <c r="G256" s="14">
        <v>50300097</v>
      </c>
      <c r="H256" s="14" t="s">
        <v>136</v>
      </c>
      <c r="I256" s="14" t="s">
        <v>137</v>
      </c>
      <c r="J256" s="14">
        <v>1</v>
      </c>
      <c r="K256" s="14" t="s">
        <v>37</v>
      </c>
      <c r="L256" s="14" t="s">
        <v>96</v>
      </c>
      <c r="M256" s="15" t="s">
        <v>89</v>
      </c>
      <c r="N256" s="15" t="s">
        <v>58</v>
      </c>
      <c r="O256" s="15">
        <v>1</v>
      </c>
      <c r="P256" s="15"/>
      <c r="Q256" s="15"/>
      <c r="R256" s="15"/>
      <c r="S256" s="25"/>
      <c r="T256" s="25">
        <v>45788</v>
      </c>
      <c r="U256" s="25">
        <v>45799</v>
      </c>
      <c r="V256" s="15" t="s">
        <v>506</v>
      </c>
      <c r="W256" s="15"/>
      <c r="X256" s="27">
        <v>19.600000000000001</v>
      </c>
      <c r="Y256" s="27">
        <f>Table2[[#This Row],[PREÇO UNITARIO]]*Table2[[#This Row],[QUANTIDADE]]</f>
        <v>19.600000000000001</v>
      </c>
      <c r="Z256" s="15"/>
      <c r="AA256" s="28">
        <f>MONTH(Table2[[#This Row],[DATA PEDIDO HP]])</f>
        <v>4</v>
      </c>
      <c r="AB256" s="32" t="s">
        <v>60</v>
      </c>
      <c r="AC256" s="5">
        <f t="shared" ca="1" si="3"/>
        <v>46232</v>
      </c>
      <c r="AD256" s="331">
        <f ca="1">_xlfn.DAYS(Table2[[#This Row],[HOJE]],Table2[[#This Row],[DATA PEDIDO HP]])</f>
        <v>474</v>
      </c>
      <c r="AE256" s="5" t="s">
        <v>43</v>
      </c>
    </row>
    <row r="257" spans="1:31" ht="14.45" hidden="1">
      <c r="A257" s="269" t="s">
        <v>969</v>
      </c>
      <c r="B257" s="26">
        <v>45758</v>
      </c>
      <c r="C257" s="26">
        <v>45758</v>
      </c>
      <c r="D257" s="14" t="s">
        <v>970</v>
      </c>
      <c r="E257" s="14" t="s">
        <v>103</v>
      </c>
      <c r="F257" s="14" t="s">
        <v>104</v>
      </c>
      <c r="G257" s="14">
        <v>51000323</v>
      </c>
      <c r="H257" s="14" t="s">
        <v>971</v>
      </c>
      <c r="I257" s="14" t="s">
        <v>633</v>
      </c>
      <c r="J257" s="14">
        <v>2</v>
      </c>
      <c r="K257" s="14" t="s">
        <v>37</v>
      </c>
      <c r="L257" s="14" t="s">
        <v>217</v>
      </c>
      <c r="M257" s="15" t="s">
        <v>89</v>
      </c>
      <c r="N257" s="15" t="s">
        <v>89</v>
      </c>
      <c r="O257" s="15">
        <v>0</v>
      </c>
      <c r="P257" s="15"/>
      <c r="Q257" s="15"/>
      <c r="R257" s="15"/>
      <c r="S257" s="25">
        <v>45807</v>
      </c>
      <c r="T257" s="25">
        <v>45788</v>
      </c>
      <c r="U257" s="25">
        <v>45799</v>
      </c>
      <c r="V257" s="15" t="s">
        <v>506</v>
      </c>
      <c r="W257" s="15"/>
      <c r="X257" s="27">
        <v>17.28</v>
      </c>
      <c r="Y257" s="27">
        <f>Table2[[#This Row],[PREÇO UNITARIO]]*Table2[[#This Row],[QUANTIDADE]]</f>
        <v>34.56</v>
      </c>
      <c r="Z257" s="15"/>
      <c r="AA257" s="28">
        <f>MONTH(Table2[[#This Row],[DATA PEDIDO HP]])</f>
        <v>4</v>
      </c>
      <c r="AB257" s="32" t="s">
        <v>42</v>
      </c>
      <c r="AC257" s="5">
        <f t="shared" ca="1" si="3"/>
        <v>46232</v>
      </c>
      <c r="AD257" s="331">
        <f ca="1">_xlfn.DAYS(Table2[[#This Row],[HOJE]],Table2[[#This Row],[DATA PEDIDO HP]])</f>
        <v>474</v>
      </c>
      <c r="AE257" s="336" t="s">
        <v>43</v>
      </c>
    </row>
    <row r="258" spans="1:31" ht="14.45" hidden="1">
      <c r="A258" s="269" t="s">
        <v>972</v>
      </c>
      <c r="B258" s="26">
        <v>45758</v>
      </c>
      <c r="C258" s="26">
        <v>45758</v>
      </c>
      <c r="D258" s="14" t="s">
        <v>973</v>
      </c>
      <c r="E258" s="14" t="s">
        <v>720</v>
      </c>
      <c r="F258" s="14" t="s">
        <v>64</v>
      </c>
      <c r="G258" s="14">
        <v>48000002</v>
      </c>
      <c r="H258" s="14" t="s">
        <v>974</v>
      </c>
      <c r="I258" s="14" t="s">
        <v>975</v>
      </c>
      <c r="J258" s="14">
        <v>1</v>
      </c>
      <c r="K258" s="14" t="s">
        <v>37</v>
      </c>
      <c r="L258" s="14" t="s">
        <v>217</v>
      </c>
      <c r="M258" s="15" t="s">
        <v>89</v>
      </c>
      <c r="N258" s="15" t="s">
        <v>89</v>
      </c>
      <c r="O258" s="15">
        <v>0</v>
      </c>
      <c r="P258" s="15"/>
      <c r="Q258" s="15"/>
      <c r="R258" s="15"/>
      <c r="S258" s="25">
        <v>45807</v>
      </c>
      <c r="T258" s="25">
        <v>45788</v>
      </c>
      <c r="U258" s="25">
        <v>45799</v>
      </c>
      <c r="V258" s="15" t="s">
        <v>506</v>
      </c>
      <c r="W258" s="15"/>
      <c r="X258" s="27">
        <v>53.96</v>
      </c>
      <c r="Y258" s="27">
        <f>Table2[[#This Row],[PREÇO UNITARIO]]*Table2[[#This Row],[QUANTIDADE]]</f>
        <v>53.96</v>
      </c>
      <c r="Z258" s="15"/>
      <c r="AA258" s="28">
        <f>MONTH(Table2[[#This Row],[DATA PEDIDO HP]])</f>
        <v>4</v>
      </c>
      <c r="AB258" s="32" t="s">
        <v>60</v>
      </c>
      <c r="AC258" s="5">
        <f t="shared" ref="AC258:AC321" ca="1" si="4">TODAY()</f>
        <v>46232</v>
      </c>
      <c r="AD258" s="331">
        <f ca="1">_xlfn.DAYS(Table2[[#This Row],[HOJE]],Table2[[#This Row],[DATA PEDIDO HP]])</f>
        <v>474</v>
      </c>
      <c r="AE258" s="336" t="s">
        <v>43</v>
      </c>
    </row>
    <row r="259" spans="1:31" ht="14.45" hidden="1">
      <c r="A259" s="269" t="s">
        <v>976</v>
      </c>
      <c r="B259" s="26">
        <v>45758</v>
      </c>
      <c r="C259" s="26">
        <v>45758</v>
      </c>
      <c r="D259" s="14" t="s">
        <v>977</v>
      </c>
      <c r="E259" s="14" t="s">
        <v>33</v>
      </c>
      <c r="F259" s="14" t="s">
        <v>34</v>
      </c>
      <c r="G259" s="14">
        <v>50110193</v>
      </c>
      <c r="H259" s="14" t="s">
        <v>978</v>
      </c>
      <c r="I259" s="14" t="s">
        <v>979</v>
      </c>
      <c r="J259" s="14">
        <v>1</v>
      </c>
      <c r="K259" s="14" t="s">
        <v>37</v>
      </c>
      <c r="L259" s="14" t="s">
        <v>217</v>
      </c>
      <c r="M259" s="15" t="s">
        <v>58</v>
      </c>
      <c r="N259" s="15" t="s">
        <v>58</v>
      </c>
      <c r="O259" s="15">
        <v>1</v>
      </c>
      <c r="P259" s="15"/>
      <c r="Q259" s="15"/>
      <c r="R259" s="15"/>
      <c r="S259" s="25"/>
      <c r="T259" s="25">
        <v>45788</v>
      </c>
      <c r="U259" s="25">
        <v>45799</v>
      </c>
      <c r="V259" s="15" t="s">
        <v>506</v>
      </c>
      <c r="W259" s="15"/>
      <c r="X259" s="27">
        <v>19.600000000000001</v>
      </c>
      <c r="Y259" s="27">
        <f>Table2[[#This Row],[PREÇO UNITARIO]]*Table2[[#This Row],[QUANTIDADE]]</f>
        <v>19.600000000000001</v>
      </c>
      <c r="Z259" s="15"/>
      <c r="AA259" s="28">
        <f>MONTH(Table2[[#This Row],[DATA PEDIDO HP]])</f>
        <v>4</v>
      </c>
      <c r="AB259" s="32" t="s">
        <v>42</v>
      </c>
      <c r="AC259" s="5">
        <f t="shared" ca="1" si="4"/>
        <v>46232</v>
      </c>
      <c r="AD259" s="331">
        <f ca="1">_xlfn.DAYS(Table2[[#This Row],[HOJE]],Table2[[#This Row],[DATA PEDIDO HP]])</f>
        <v>474</v>
      </c>
      <c r="AE259" s="5" t="s">
        <v>43</v>
      </c>
    </row>
    <row r="260" spans="1:31" ht="14.45" hidden="1">
      <c r="A260" s="269" t="s">
        <v>980</v>
      </c>
      <c r="B260" s="26">
        <v>45758</v>
      </c>
      <c r="C260" s="26">
        <v>45758</v>
      </c>
      <c r="D260" s="14" t="s">
        <v>981</v>
      </c>
      <c r="E260" s="14" t="s">
        <v>982</v>
      </c>
      <c r="F260" s="14" t="s">
        <v>983</v>
      </c>
      <c r="G260" s="14">
        <v>46000018</v>
      </c>
      <c r="H260" s="14" t="s">
        <v>984</v>
      </c>
      <c r="I260" s="14" t="s">
        <v>985</v>
      </c>
      <c r="J260" s="14">
        <v>1</v>
      </c>
      <c r="K260" s="14" t="s">
        <v>37</v>
      </c>
      <c r="L260" s="14" t="s">
        <v>96</v>
      </c>
      <c r="M260" s="15" t="s">
        <v>89</v>
      </c>
      <c r="N260" s="15" t="s">
        <v>89</v>
      </c>
      <c r="O260" s="15">
        <v>0</v>
      </c>
      <c r="P260" s="15"/>
      <c r="Q260" s="15"/>
      <c r="R260" s="15" t="s">
        <v>304</v>
      </c>
      <c r="S260" s="25">
        <v>45806</v>
      </c>
      <c r="T260" s="25">
        <v>45788</v>
      </c>
      <c r="U260" s="25">
        <v>45799</v>
      </c>
      <c r="V260" s="15" t="s">
        <v>506</v>
      </c>
      <c r="W260" s="15"/>
      <c r="X260" s="159">
        <v>697.33</v>
      </c>
      <c r="Y260" s="159">
        <f>Table2[[#This Row],[PREÇO UNITARIO]]*Table2[[#This Row],[QUANTIDADE]]</f>
        <v>697.33</v>
      </c>
      <c r="Z260" s="15"/>
      <c r="AA260" s="28">
        <f>MONTH(Table2[[#This Row],[DATA PEDIDO HP]])</f>
        <v>4</v>
      </c>
      <c r="AB260" s="32" t="s">
        <v>60</v>
      </c>
      <c r="AC260" s="5">
        <f t="shared" ca="1" si="4"/>
        <v>46232</v>
      </c>
      <c r="AD260" s="331">
        <f ca="1">_xlfn.DAYS(Table2[[#This Row],[HOJE]],Table2[[#This Row],[DATA PEDIDO HP]])</f>
        <v>474</v>
      </c>
      <c r="AE260" s="336" t="s">
        <v>43</v>
      </c>
    </row>
    <row r="261" spans="1:31" ht="14.45" hidden="1">
      <c r="A261" s="269" t="s">
        <v>986</v>
      </c>
      <c r="B261" s="26">
        <v>45758</v>
      </c>
      <c r="C261" s="26">
        <v>45758</v>
      </c>
      <c r="D261" s="14" t="s">
        <v>987</v>
      </c>
      <c r="E261" s="14" t="s">
        <v>982</v>
      </c>
      <c r="F261" s="14" t="s">
        <v>983</v>
      </c>
      <c r="G261" s="14">
        <v>46000018</v>
      </c>
      <c r="H261" s="14" t="s">
        <v>988</v>
      </c>
      <c r="I261" s="14" t="s">
        <v>989</v>
      </c>
      <c r="J261" s="14">
        <v>1</v>
      </c>
      <c r="K261" s="14" t="s">
        <v>37</v>
      </c>
      <c r="L261" s="14" t="s">
        <v>96</v>
      </c>
      <c r="M261" s="15" t="s">
        <v>89</v>
      </c>
      <c r="N261" s="15" t="s">
        <v>89</v>
      </c>
      <c r="O261" s="15">
        <v>0</v>
      </c>
      <c r="P261" s="15"/>
      <c r="Q261" s="15"/>
      <c r="R261" s="15"/>
      <c r="S261" s="25"/>
      <c r="T261" s="25">
        <v>45838</v>
      </c>
      <c r="U261" s="25">
        <v>45859</v>
      </c>
      <c r="V261" s="15" t="s">
        <v>533</v>
      </c>
      <c r="W261" s="15"/>
      <c r="X261" s="27">
        <v>701.35</v>
      </c>
      <c r="Y261" s="27">
        <f>Table2[[#This Row],[PREÇO UNITARIO]]*Table2[[#This Row],[QUANTIDADE]]</f>
        <v>701.35</v>
      </c>
      <c r="Z261" s="15"/>
      <c r="AA261" s="28">
        <f>MONTH(Table2[[#This Row],[DATA PEDIDO HP]])</f>
        <v>4</v>
      </c>
      <c r="AB261" s="32" t="s">
        <v>60</v>
      </c>
      <c r="AC261" s="5">
        <f t="shared" ca="1" si="4"/>
        <v>46232</v>
      </c>
      <c r="AD261" s="331">
        <f ca="1">_xlfn.DAYS(Table2[[#This Row],[HOJE]],Table2[[#This Row],[DATA PEDIDO HP]])</f>
        <v>474</v>
      </c>
      <c r="AE261" s="5" t="s">
        <v>43</v>
      </c>
    </row>
    <row r="262" spans="1:31" ht="14.45" hidden="1">
      <c r="A262" s="269" t="s">
        <v>986</v>
      </c>
      <c r="B262" s="26">
        <v>45758</v>
      </c>
      <c r="C262" s="26">
        <v>45758</v>
      </c>
      <c r="D262" s="14" t="s">
        <v>987</v>
      </c>
      <c r="E262" s="14" t="s">
        <v>982</v>
      </c>
      <c r="F262" s="14" t="s">
        <v>983</v>
      </c>
      <c r="G262" s="14">
        <v>46000018</v>
      </c>
      <c r="H262" s="14" t="s">
        <v>990</v>
      </c>
      <c r="I262" s="14" t="s">
        <v>991</v>
      </c>
      <c r="J262" s="14">
        <v>1</v>
      </c>
      <c r="K262" s="14" t="s">
        <v>37</v>
      </c>
      <c r="L262" s="14" t="s">
        <v>96</v>
      </c>
      <c r="M262" s="15" t="s">
        <v>58</v>
      </c>
      <c r="N262" s="15" t="s">
        <v>89</v>
      </c>
      <c r="O262" s="15">
        <v>1</v>
      </c>
      <c r="P262" s="15"/>
      <c r="Q262" s="15"/>
      <c r="R262" s="15"/>
      <c r="S262" s="25"/>
      <c r="T262" s="25">
        <v>45788</v>
      </c>
      <c r="U262" s="25">
        <v>45799</v>
      </c>
      <c r="V262" s="15" t="s">
        <v>506</v>
      </c>
      <c r="W262" s="15"/>
      <c r="X262" s="159">
        <v>48.75</v>
      </c>
      <c r="Y262" s="159">
        <f>Table2[[#This Row],[PREÇO UNITARIO]]*Table2[[#This Row],[QUANTIDADE]]</f>
        <v>48.75</v>
      </c>
      <c r="Z262" s="15"/>
      <c r="AA262" s="28">
        <f>MONTH(Table2[[#This Row],[DATA PEDIDO HP]])</f>
        <v>4</v>
      </c>
      <c r="AB262" s="32" t="s">
        <v>60</v>
      </c>
      <c r="AC262" s="5">
        <f t="shared" ca="1" si="4"/>
        <v>46232</v>
      </c>
      <c r="AD262" s="331">
        <f ca="1">_xlfn.DAYS(Table2[[#This Row],[HOJE]],Table2[[#This Row],[DATA PEDIDO HP]])</f>
        <v>474</v>
      </c>
      <c r="AE262" s="5" t="s">
        <v>43</v>
      </c>
    </row>
    <row r="263" spans="1:31" ht="14.45" hidden="1">
      <c r="A263" s="269" t="s">
        <v>986</v>
      </c>
      <c r="B263" s="26">
        <v>45758</v>
      </c>
      <c r="C263" s="26">
        <v>45758</v>
      </c>
      <c r="D263" s="14" t="s">
        <v>987</v>
      </c>
      <c r="E263" s="14" t="s">
        <v>982</v>
      </c>
      <c r="F263" s="14" t="s">
        <v>983</v>
      </c>
      <c r="G263" s="14">
        <v>46000018</v>
      </c>
      <c r="H263" s="14" t="s">
        <v>992</v>
      </c>
      <c r="I263" s="14" t="s">
        <v>993</v>
      </c>
      <c r="J263" s="14">
        <v>1</v>
      </c>
      <c r="K263" s="14" t="s">
        <v>37</v>
      </c>
      <c r="L263" s="14" t="s">
        <v>96</v>
      </c>
      <c r="M263" s="15" t="s">
        <v>89</v>
      </c>
      <c r="N263" s="15" t="s">
        <v>89</v>
      </c>
      <c r="O263" s="15">
        <v>1</v>
      </c>
      <c r="P263" s="15"/>
      <c r="Q263" s="15"/>
      <c r="R263" s="15"/>
      <c r="S263" s="25"/>
      <c r="T263" s="25">
        <v>45788</v>
      </c>
      <c r="U263" s="25">
        <v>45799</v>
      </c>
      <c r="V263" s="15" t="s">
        <v>506</v>
      </c>
      <c r="W263" s="15"/>
      <c r="X263" s="27">
        <v>8.9</v>
      </c>
      <c r="Y263" s="27">
        <f>Table2[[#This Row],[PREÇO UNITARIO]]*Table2[[#This Row],[QUANTIDADE]]</f>
        <v>8.9</v>
      </c>
      <c r="Z263" s="15"/>
      <c r="AA263" s="28">
        <f>MONTH(Table2[[#This Row],[DATA PEDIDO HP]])</f>
        <v>4</v>
      </c>
      <c r="AB263" s="32" t="s">
        <v>60</v>
      </c>
      <c r="AC263" s="5">
        <f t="shared" ca="1" si="4"/>
        <v>46232</v>
      </c>
      <c r="AD263" s="331">
        <f ca="1">_xlfn.DAYS(Table2[[#This Row],[HOJE]],Table2[[#This Row],[DATA PEDIDO HP]])</f>
        <v>474</v>
      </c>
      <c r="AE263" s="5" t="s">
        <v>43</v>
      </c>
    </row>
    <row r="264" spans="1:31" ht="14.45" hidden="1">
      <c r="A264" s="269" t="s">
        <v>986</v>
      </c>
      <c r="B264" s="26">
        <v>45758</v>
      </c>
      <c r="C264" s="26">
        <v>45758</v>
      </c>
      <c r="D264" s="14" t="s">
        <v>987</v>
      </c>
      <c r="E264" s="14" t="s">
        <v>982</v>
      </c>
      <c r="F264" s="14" t="s">
        <v>983</v>
      </c>
      <c r="G264" s="14">
        <v>46000018</v>
      </c>
      <c r="H264" s="14" t="s">
        <v>939</v>
      </c>
      <c r="I264" s="14" t="s">
        <v>120</v>
      </c>
      <c r="J264" s="14">
        <v>1</v>
      </c>
      <c r="K264" s="14" t="s">
        <v>37</v>
      </c>
      <c r="L264" s="14" t="s">
        <v>96</v>
      </c>
      <c r="M264" s="15" t="s">
        <v>39</v>
      </c>
      <c r="N264" s="15" t="s">
        <v>89</v>
      </c>
      <c r="O264" s="15">
        <v>1</v>
      </c>
      <c r="P264" s="15"/>
      <c r="Q264" s="15"/>
      <c r="R264" s="15"/>
      <c r="S264" s="25"/>
      <c r="T264" s="25">
        <v>45788</v>
      </c>
      <c r="U264" s="25">
        <v>45799</v>
      </c>
      <c r="V264" s="15" t="s">
        <v>506</v>
      </c>
      <c r="W264" s="15"/>
      <c r="X264" s="27">
        <v>16.329999999999998</v>
      </c>
      <c r="Y264" s="27">
        <f>Table2[[#This Row],[PREÇO UNITARIO]]*Table2[[#This Row],[QUANTIDADE]]</f>
        <v>16.329999999999998</v>
      </c>
      <c r="Z264" s="15"/>
      <c r="AA264" s="28">
        <f>MONTH(Table2[[#This Row],[DATA PEDIDO HP]])</f>
        <v>4</v>
      </c>
      <c r="AB264" s="32" t="s">
        <v>60</v>
      </c>
      <c r="AC264" s="5">
        <f t="shared" ca="1" si="4"/>
        <v>46232</v>
      </c>
      <c r="AD264" s="331">
        <f ca="1">_xlfn.DAYS(Table2[[#This Row],[HOJE]],Table2[[#This Row],[DATA PEDIDO HP]])</f>
        <v>474</v>
      </c>
      <c r="AE264" s="5" t="s">
        <v>43</v>
      </c>
    </row>
    <row r="265" spans="1:31" ht="14.45" hidden="1">
      <c r="A265" s="269" t="s">
        <v>994</v>
      </c>
      <c r="B265" s="26">
        <v>45758</v>
      </c>
      <c r="C265" s="26">
        <v>45758</v>
      </c>
      <c r="D265" s="14" t="s">
        <v>995</v>
      </c>
      <c r="E265" s="14" t="s">
        <v>982</v>
      </c>
      <c r="F265" s="14" t="s">
        <v>983</v>
      </c>
      <c r="G265" s="14">
        <v>46000053</v>
      </c>
      <c r="H265" s="14" t="s">
        <v>996</v>
      </c>
      <c r="I265" s="14" t="s">
        <v>997</v>
      </c>
      <c r="J265" s="14">
        <v>1</v>
      </c>
      <c r="K265" s="14" t="s">
        <v>37</v>
      </c>
      <c r="L265" s="14" t="s">
        <v>96</v>
      </c>
      <c r="M265" s="15" t="s">
        <v>58</v>
      </c>
      <c r="N265" s="15" t="s">
        <v>89</v>
      </c>
      <c r="O265" s="15">
        <v>1</v>
      </c>
      <c r="P265" s="15"/>
      <c r="Q265" s="15"/>
      <c r="R265" s="15"/>
      <c r="S265" s="25"/>
      <c r="T265" s="25">
        <v>45788</v>
      </c>
      <c r="U265" s="25">
        <v>45799</v>
      </c>
      <c r="V265" s="15" t="s">
        <v>506</v>
      </c>
      <c r="W265" s="15"/>
      <c r="X265" s="27">
        <v>180.46</v>
      </c>
      <c r="Y265" s="27">
        <f>Table2[[#This Row],[PREÇO UNITARIO]]*Table2[[#This Row],[QUANTIDADE]]</f>
        <v>180.46</v>
      </c>
      <c r="Z265" s="15"/>
      <c r="AA265" s="28">
        <f>MONTH(Table2[[#This Row],[DATA PEDIDO HP]])</f>
        <v>4</v>
      </c>
      <c r="AB265" s="32" t="s">
        <v>60</v>
      </c>
      <c r="AC265" s="5">
        <f t="shared" ca="1" si="4"/>
        <v>46232</v>
      </c>
      <c r="AD265" s="331">
        <f ca="1">_xlfn.DAYS(Table2[[#This Row],[HOJE]],Table2[[#This Row],[DATA PEDIDO HP]])</f>
        <v>474</v>
      </c>
      <c r="AE265" s="5" t="s">
        <v>43</v>
      </c>
    </row>
    <row r="266" spans="1:31" ht="14.45" hidden="1">
      <c r="A266" s="269" t="s">
        <v>998</v>
      </c>
      <c r="B266" s="26">
        <v>45758</v>
      </c>
      <c r="C266" s="26">
        <v>45758</v>
      </c>
      <c r="D266" s="14" t="s">
        <v>999</v>
      </c>
      <c r="E266" s="14" t="s">
        <v>982</v>
      </c>
      <c r="F266" s="14" t="s">
        <v>983</v>
      </c>
      <c r="G266" s="14">
        <v>46000053</v>
      </c>
      <c r="H266" s="14" t="s">
        <v>1000</v>
      </c>
      <c r="I266" s="14" t="s">
        <v>1001</v>
      </c>
      <c r="J266" s="14">
        <v>1</v>
      </c>
      <c r="K266" s="14" t="s">
        <v>37</v>
      </c>
      <c r="L266" s="14" t="s">
        <v>96</v>
      </c>
      <c r="M266" s="15" t="s">
        <v>89</v>
      </c>
      <c r="N266" s="15" t="s">
        <v>89</v>
      </c>
      <c r="O266" s="15">
        <v>0</v>
      </c>
      <c r="P266" s="15"/>
      <c r="Q266" s="15"/>
      <c r="R266" s="15"/>
      <c r="S266" s="25"/>
      <c r="T266" s="25">
        <v>45838</v>
      </c>
      <c r="U266" s="25">
        <v>45859</v>
      </c>
      <c r="V266" s="15" t="s">
        <v>533</v>
      </c>
      <c r="W266" s="15"/>
      <c r="X266" s="27">
        <v>129.01</v>
      </c>
      <c r="Y266" s="27">
        <f>Table2[[#This Row],[PREÇO UNITARIO]]*Table2[[#This Row],[QUANTIDADE]]</f>
        <v>129.01</v>
      </c>
      <c r="Z266" s="15"/>
      <c r="AA266" s="28">
        <f>MONTH(Table2[[#This Row],[DATA PEDIDO HP]])</f>
        <v>4</v>
      </c>
      <c r="AB266" s="32" t="s">
        <v>60</v>
      </c>
      <c r="AC266" s="5">
        <f t="shared" ca="1" si="4"/>
        <v>46232</v>
      </c>
      <c r="AD266" s="331">
        <f ca="1">_xlfn.DAYS(Table2[[#This Row],[HOJE]],Table2[[#This Row],[DATA PEDIDO HP]])</f>
        <v>474</v>
      </c>
      <c r="AE266" s="5" t="s">
        <v>43</v>
      </c>
    </row>
    <row r="267" spans="1:31" ht="14.45" hidden="1">
      <c r="A267" s="269" t="s">
        <v>1002</v>
      </c>
      <c r="B267" s="26">
        <v>45758</v>
      </c>
      <c r="C267" s="26">
        <v>45758</v>
      </c>
      <c r="D267" s="14" t="s">
        <v>1003</v>
      </c>
      <c r="E267" s="14" t="s">
        <v>982</v>
      </c>
      <c r="F267" s="14" t="s">
        <v>983</v>
      </c>
      <c r="G267" s="14">
        <v>46000018</v>
      </c>
      <c r="H267" s="14" t="s">
        <v>1004</v>
      </c>
      <c r="I267" s="14" t="s">
        <v>1005</v>
      </c>
      <c r="J267" s="14">
        <v>1</v>
      </c>
      <c r="K267" s="14" t="s">
        <v>37</v>
      </c>
      <c r="L267" s="14" t="s">
        <v>96</v>
      </c>
      <c r="M267" s="15" t="s">
        <v>89</v>
      </c>
      <c r="N267" s="15" t="s">
        <v>89</v>
      </c>
      <c r="O267" s="15">
        <v>0</v>
      </c>
      <c r="P267" s="15"/>
      <c r="Q267" s="15"/>
      <c r="R267" s="15" t="s">
        <v>1006</v>
      </c>
      <c r="S267" s="25">
        <v>45806</v>
      </c>
      <c r="T267" s="25">
        <v>45788</v>
      </c>
      <c r="U267" s="25">
        <v>45799</v>
      </c>
      <c r="V267" s="15" t="s">
        <v>506</v>
      </c>
      <c r="W267" s="15"/>
      <c r="X267" s="159">
        <v>979.86</v>
      </c>
      <c r="Y267" s="159">
        <f>Table2[[#This Row],[PREÇO UNITARIO]]*Table2[[#This Row],[QUANTIDADE]]</f>
        <v>979.86</v>
      </c>
      <c r="Z267" s="15"/>
      <c r="AA267" s="28">
        <f>MONTH(Table2[[#This Row],[DATA PEDIDO HP]])</f>
        <v>4</v>
      </c>
      <c r="AB267" s="32" t="s">
        <v>60</v>
      </c>
      <c r="AC267" s="5">
        <f t="shared" ca="1" si="4"/>
        <v>46232</v>
      </c>
      <c r="AD267" s="331">
        <f ca="1">_xlfn.DAYS(Table2[[#This Row],[HOJE]],Table2[[#This Row],[DATA PEDIDO HP]])</f>
        <v>474</v>
      </c>
      <c r="AE267" s="336" t="s">
        <v>43</v>
      </c>
    </row>
    <row r="268" spans="1:31" ht="14.45" hidden="1">
      <c r="A268" s="269" t="s">
        <v>1007</v>
      </c>
      <c r="B268" s="25">
        <v>45769</v>
      </c>
      <c r="C268" s="26">
        <v>45758</v>
      </c>
      <c r="D268" s="14" t="s">
        <v>1008</v>
      </c>
      <c r="E268" s="14" t="s">
        <v>982</v>
      </c>
      <c r="F268" s="14" t="s">
        <v>983</v>
      </c>
      <c r="G268" s="14">
        <v>46000018</v>
      </c>
      <c r="H268" s="14" t="s">
        <v>1009</v>
      </c>
      <c r="I268" s="14" t="s">
        <v>855</v>
      </c>
      <c r="J268" s="14">
        <v>1</v>
      </c>
      <c r="K268" s="14" t="s">
        <v>37</v>
      </c>
      <c r="L268" s="14" t="s">
        <v>96</v>
      </c>
      <c r="M268" s="15" t="s">
        <v>58</v>
      </c>
      <c r="N268" s="15" t="s">
        <v>89</v>
      </c>
      <c r="O268" s="15">
        <v>0</v>
      </c>
      <c r="P268" s="15"/>
      <c r="Q268" s="15"/>
      <c r="R268" s="15"/>
      <c r="S268" s="25">
        <v>45806</v>
      </c>
      <c r="T268" s="25">
        <v>45788</v>
      </c>
      <c r="U268" s="25">
        <v>45799</v>
      </c>
      <c r="V268" s="15" t="s">
        <v>506</v>
      </c>
      <c r="W268" s="15"/>
      <c r="X268" s="159">
        <v>1208.49</v>
      </c>
      <c r="Y268" s="159">
        <f>Table2[[#This Row],[PREÇO UNITARIO]]*Table2[[#This Row],[QUANTIDADE]]</f>
        <v>1208.49</v>
      </c>
      <c r="Z268" s="15"/>
      <c r="AA268" s="28">
        <f>MONTH(Table2[[#This Row],[DATA PEDIDO HP]])</f>
        <v>4</v>
      </c>
      <c r="AB268" s="32" t="s">
        <v>60</v>
      </c>
      <c r="AC268" s="5">
        <f t="shared" ca="1" si="4"/>
        <v>46232</v>
      </c>
      <c r="AD268" s="331">
        <f ca="1">_xlfn.DAYS(Table2[[#This Row],[HOJE]],Table2[[#This Row],[DATA PEDIDO HP]])</f>
        <v>463</v>
      </c>
      <c r="AE268" s="336" t="s">
        <v>43</v>
      </c>
    </row>
    <row r="269" spans="1:31" ht="14.45" hidden="1">
      <c r="A269" s="269" t="s">
        <v>1010</v>
      </c>
      <c r="B269" s="25">
        <v>45761</v>
      </c>
      <c r="C269" s="26">
        <v>45756</v>
      </c>
      <c r="D269" s="14" t="s">
        <v>1011</v>
      </c>
      <c r="E269" s="14" t="s">
        <v>515</v>
      </c>
      <c r="F269" s="14" t="s">
        <v>516</v>
      </c>
      <c r="G269" s="14">
        <v>61000037</v>
      </c>
      <c r="H269" s="14" t="s">
        <v>1012</v>
      </c>
      <c r="I269" s="14" t="s">
        <v>1013</v>
      </c>
      <c r="J269" s="14">
        <v>1</v>
      </c>
      <c r="K269" s="14" t="s">
        <v>37</v>
      </c>
      <c r="L269" s="14" t="s">
        <v>217</v>
      </c>
      <c r="M269" s="15" t="s">
        <v>58</v>
      </c>
      <c r="N269" s="15" t="s">
        <v>39</v>
      </c>
      <c r="O269" s="15">
        <v>0</v>
      </c>
      <c r="P269" s="15"/>
      <c r="Q269" s="15"/>
      <c r="R269" s="15"/>
      <c r="S269" s="25"/>
      <c r="T269" s="25">
        <v>45788</v>
      </c>
      <c r="U269" s="25">
        <v>45799</v>
      </c>
      <c r="V269" s="15" t="s">
        <v>506</v>
      </c>
      <c r="W269" s="15"/>
      <c r="X269" s="27">
        <v>48.99</v>
      </c>
      <c r="Y269" s="27">
        <f>Table2[[#This Row],[PREÇO UNITARIO]]*Table2[[#This Row],[QUANTIDADE]]</f>
        <v>48.99</v>
      </c>
      <c r="Z269" s="15"/>
      <c r="AA269" s="28">
        <f>MONTH(Table2[[#This Row],[DATA PEDIDO HP]])</f>
        <v>4</v>
      </c>
      <c r="AB269" s="32" t="s">
        <v>60</v>
      </c>
      <c r="AC269" s="5">
        <f t="shared" ca="1" si="4"/>
        <v>46232</v>
      </c>
      <c r="AD269" s="331">
        <f ca="1">_xlfn.DAYS(Table2[[#This Row],[HOJE]],Table2[[#This Row],[DATA PEDIDO HP]])</f>
        <v>471</v>
      </c>
      <c r="AE269" s="5" t="s">
        <v>43</v>
      </c>
    </row>
    <row r="270" spans="1:31" ht="14.45" hidden="1">
      <c r="A270" s="269" t="s">
        <v>1014</v>
      </c>
      <c r="B270" s="25">
        <v>45761</v>
      </c>
      <c r="C270" s="26">
        <v>45761</v>
      </c>
      <c r="D270" s="14" t="s">
        <v>1015</v>
      </c>
      <c r="E270" s="14" t="s">
        <v>103</v>
      </c>
      <c r="F270" s="14" t="s">
        <v>104</v>
      </c>
      <c r="G270" s="14">
        <v>51000323</v>
      </c>
      <c r="H270" s="14" t="s">
        <v>1016</v>
      </c>
      <c r="I270" s="14" t="s">
        <v>1017</v>
      </c>
      <c r="J270" s="14">
        <v>1</v>
      </c>
      <c r="K270" s="14" t="s">
        <v>37</v>
      </c>
      <c r="L270" s="14" t="s">
        <v>217</v>
      </c>
      <c r="M270" s="15" t="s">
        <v>39</v>
      </c>
      <c r="N270" s="15" t="s">
        <v>89</v>
      </c>
      <c r="O270" s="15">
        <v>0</v>
      </c>
      <c r="P270" s="15"/>
      <c r="Q270" s="15"/>
      <c r="R270" s="15"/>
      <c r="S270" s="25">
        <v>45807</v>
      </c>
      <c r="T270" s="25">
        <v>45788</v>
      </c>
      <c r="U270" s="25">
        <v>45799</v>
      </c>
      <c r="V270" s="15" t="s">
        <v>506</v>
      </c>
      <c r="W270" s="15"/>
      <c r="X270" s="27">
        <v>194.66</v>
      </c>
      <c r="Y270" s="27">
        <f>Table2[[#This Row],[PREÇO UNITARIO]]*Table2[[#This Row],[QUANTIDADE]]</f>
        <v>194.66</v>
      </c>
      <c r="Z270" s="15"/>
      <c r="AA270" s="28">
        <f>MONTH(Table2[[#This Row],[DATA PEDIDO HP]])</f>
        <v>4</v>
      </c>
      <c r="AB270" s="32" t="s">
        <v>42</v>
      </c>
      <c r="AC270" s="5">
        <f t="shared" ca="1" si="4"/>
        <v>46232</v>
      </c>
      <c r="AD270" s="331">
        <f ca="1">_xlfn.DAYS(Table2[[#This Row],[HOJE]],Table2[[#This Row],[DATA PEDIDO HP]])</f>
        <v>471</v>
      </c>
      <c r="AE270" s="336" t="s">
        <v>43</v>
      </c>
    </row>
    <row r="271" spans="1:31" ht="14.45" hidden="1">
      <c r="A271" s="269" t="s">
        <v>1018</v>
      </c>
      <c r="B271" s="25">
        <v>45761</v>
      </c>
      <c r="C271" s="26">
        <v>45756</v>
      </c>
      <c r="D271" s="14" t="s">
        <v>1019</v>
      </c>
      <c r="E271" s="14" t="s">
        <v>103</v>
      </c>
      <c r="F271" s="14" t="s">
        <v>104</v>
      </c>
      <c r="G271" s="14">
        <v>51000136</v>
      </c>
      <c r="H271" s="14" t="s">
        <v>1020</v>
      </c>
      <c r="I271" s="14" t="s">
        <v>1021</v>
      </c>
      <c r="J271" s="14">
        <v>1</v>
      </c>
      <c r="K271" s="14" t="s">
        <v>37</v>
      </c>
      <c r="L271" s="14" t="s">
        <v>217</v>
      </c>
      <c r="M271" s="15" t="s">
        <v>58</v>
      </c>
      <c r="N271" s="15" t="s">
        <v>89</v>
      </c>
      <c r="O271" s="15">
        <v>0</v>
      </c>
      <c r="P271" s="15"/>
      <c r="Q271" s="15"/>
      <c r="R271" s="15"/>
      <c r="S271" s="25">
        <v>45861</v>
      </c>
      <c r="T271" s="25">
        <v>45838</v>
      </c>
      <c r="U271" s="25">
        <v>45859</v>
      </c>
      <c r="V271" s="15" t="s">
        <v>533</v>
      </c>
      <c r="W271" s="15"/>
      <c r="X271" s="27">
        <v>57.16</v>
      </c>
      <c r="Y271" s="27">
        <f>Table2[[#This Row],[PREÇO UNITARIO]]*Table2[[#This Row],[QUANTIDADE]]</f>
        <v>57.16</v>
      </c>
      <c r="Z271" s="15"/>
      <c r="AA271" s="28">
        <f>MONTH(Table2[[#This Row],[DATA PEDIDO HP]])</f>
        <v>4</v>
      </c>
      <c r="AB271" s="32" t="s">
        <v>42</v>
      </c>
      <c r="AC271" s="5">
        <f t="shared" ca="1" si="4"/>
        <v>46232</v>
      </c>
      <c r="AD271" s="331">
        <f ca="1">_xlfn.DAYS(Table2[[#This Row],[HOJE]],Table2[[#This Row],[DATA PEDIDO HP]])</f>
        <v>471</v>
      </c>
      <c r="AE271" s="336" t="s">
        <v>43</v>
      </c>
    </row>
    <row r="272" spans="1:31" ht="14.45" hidden="1">
      <c r="A272" s="269" t="s">
        <v>1022</v>
      </c>
      <c r="B272" s="26">
        <v>45761</v>
      </c>
      <c r="C272" s="26">
        <v>45761</v>
      </c>
      <c r="D272" s="14" t="s">
        <v>1023</v>
      </c>
      <c r="E272" s="14" t="s">
        <v>445</v>
      </c>
      <c r="F272" s="14" t="s">
        <v>403</v>
      </c>
      <c r="G272" s="14">
        <v>50300097</v>
      </c>
      <c r="H272" s="14" t="s">
        <v>1024</v>
      </c>
      <c r="I272" s="14" t="s">
        <v>1025</v>
      </c>
      <c r="J272" s="14">
        <v>1</v>
      </c>
      <c r="K272" s="14" t="s">
        <v>37</v>
      </c>
      <c r="L272" s="14" t="s">
        <v>217</v>
      </c>
      <c r="M272" s="15" t="s">
        <v>58</v>
      </c>
      <c r="N272" s="15" t="s">
        <v>58</v>
      </c>
      <c r="O272" s="15">
        <v>1</v>
      </c>
      <c r="P272" s="15"/>
      <c r="Q272" s="15"/>
      <c r="R272" s="15"/>
      <c r="S272" s="25"/>
      <c r="T272" s="25">
        <v>45788</v>
      </c>
      <c r="U272" s="25">
        <v>45799</v>
      </c>
      <c r="V272" s="15" t="s">
        <v>506</v>
      </c>
      <c r="W272" s="15"/>
      <c r="X272" s="27">
        <v>24.5</v>
      </c>
      <c r="Y272" s="27">
        <f>Table2[[#This Row],[PREÇO UNITARIO]]*Table2[[#This Row],[QUANTIDADE]]</f>
        <v>24.5</v>
      </c>
      <c r="Z272" s="15"/>
      <c r="AA272" s="28">
        <f>MONTH(Table2[[#This Row],[DATA PEDIDO HP]])</f>
        <v>4</v>
      </c>
      <c r="AB272" s="32" t="s">
        <v>60</v>
      </c>
      <c r="AC272" s="5">
        <f t="shared" ca="1" si="4"/>
        <v>46232</v>
      </c>
      <c r="AD272" s="331">
        <f ca="1">_xlfn.DAYS(Table2[[#This Row],[HOJE]],Table2[[#This Row],[DATA PEDIDO HP]])</f>
        <v>471</v>
      </c>
      <c r="AE272" s="5" t="s">
        <v>43</v>
      </c>
    </row>
    <row r="273" spans="1:31" ht="14.45" hidden="1">
      <c r="A273" s="269" t="s">
        <v>1026</v>
      </c>
      <c r="B273" s="26">
        <v>45761</v>
      </c>
      <c r="C273" s="26">
        <v>45791</v>
      </c>
      <c r="D273" s="14" t="s">
        <v>1027</v>
      </c>
      <c r="E273" s="14" t="s">
        <v>109</v>
      </c>
      <c r="F273" s="14" t="s">
        <v>34</v>
      </c>
      <c r="G273" s="14">
        <v>50110229</v>
      </c>
      <c r="H273" s="14" t="s">
        <v>1028</v>
      </c>
      <c r="I273" s="14" t="s">
        <v>1029</v>
      </c>
      <c r="J273" s="14">
        <v>1</v>
      </c>
      <c r="K273" s="14" t="s">
        <v>37</v>
      </c>
      <c r="L273" s="14" t="s">
        <v>217</v>
      </c>
      <c r="M273" s="15" t="s">
        <v>89</v>
      </c>
      <c r="N273" s="15" t="s">
        <v>89</v>
      </c>
      <c r="O273" s="15">
        <v>0</v>
      </c>
      <c r="P273" s="15">
        <v>0</v>
      </c>
      <c r="Q273" s="15"/>
      <c r="R273" s="15"/>
      <c r="S273" s="25">
        <v>45812</v>
      </c>
      <c r="T273" s="25">
        <v>45788</v>
      </c>
      <c r="U273" s="25">
        <v>45799</v>
      </c>
      <c r="V273" s="15" t="s">
        <v>506</v>
      </c>
      <c r="W273" s="15"/>
      <c r="X273" s="27">
        <v>152.85</v>
      </c>
      <c r="Y273" s="27">
        <f>Table2[[#This Row],[PREÇO UNITARIO]]*Table2[[#This Row],[QUANTIDADE]]</f>
        <v>152.85</v>
      </c>
      <c r="Z273" s="15"/>
      <c r="AA273" s="28">
        <f>MONTH(Table2[[#This Row],[DATA PEDIDO HP]])</f>
        <v>4</v>
      </c>
      <c r="AB273" s="32" t="s">
        <v>42</v>
      </c>
      <c r="AC273" s="5">
        <f t="shared" ca="1" si="4"/>
        <v>46232</v>
      </c>
      <c r="AD273" s="331">
        <f ca="1">_xlfn.DAYS(Table2[[#This Row],[HOJE]],Table2[[#This Row],[DATA PEDIDO HP]])</f>
        <v>471</v>
      </c>
      <c r="AE273" s="336" t="s">
        <v>43</v>
      </c>
    </row>
    <row r="274" spans="1:31" ht="14.45" hidden="1">
      <c r="A274" s="269" t="s">
        <v>1030</v>
      </c>
      <c r="B274" s="26">
        <v>45761</v>
      </c>
      <c r="C274" s="26">
        <v>45761</v>
      </c>
      <c r="D274" s="14" t="s">
        <v>1031</v>
      </c>
      <c r="E274" s="14" t="s">
        <v>569</v>
      </c>
      <c r="F274" s="14" t="s">
        <v>55</v>
      </c>
      <c r="G274" s="14">
        <v>44000058</v>
      </c>
      <c r="H274" s="14" t="s">
        <v>1032</v>
      </c>
      <c r="I274" s="14" t="s">
        <v>1033</v>
      </c>
      <c r="J274" s="14">
        <v>3</v>
      </c>
      <c r="K274" s="14" t="s">
        <v>37</v>
      </c>
      <c r="L274" s="14" t="s">
        <v>217</v>
      </c>
      <c r="M274" s="15" t="s">
        <v>58</v>
      </c>
      <c r="N274" s="15" t="s">
        <v>89</v>
      </c>
      <c r="O274" s="15">
        <v>0</v>
      </c>
      <c r="P274" s="15"/>
      <c r="Q274" s="15"/>
      <c r="R274" s="15"/>
      <c r="S274" s="25">
        <v>45807</v>
      </c>
      <c r="T274" s="25">
        <v>45788</v>
      </c>
      <c r="U274" s="25">
        <v>45799</v>
      </c>
      <c r="V274" s="15" t="s">
        <v>506</v>
      </c>
      <c r="W274" s="15"/>
      <c r="X274" s="27">
        <v>301.08</v>
      </c>
      <c r="Y274" s="27">
        <f>Table2[[#This Row],[PREÇO UNITARIO]]*Table2[[#This Row],[QUANTIDADE]]</f>
        <v>903.24</v>
      </c>
      <c r="Z274" s="15"/>
      <c r="AA274" s="28">
        <f>MONTH(Table2[[#This Row],[DATA PEDIDO HP]])</f>
        <v>4</v>
      </c>
      <c r="AB274" s="32" t="s">
        <v>60</v>
      </c>
      <c r="AC274" s="5">
        <f t="shared" ca="1" si="4"/>
        <v>46232</v>
      </c>
      <c r="AD274" s="331">
        <f ca="1">_xlfn.DAYS(Table2[[#This Row],[HOJE]],Table2[[#This Row],[DATA PEDIDO HP]])</f>
        <v>471</v>
      </c>
      <c r="AE274" s="336" t="s">
        <v>43</v>
      </c>
    </row>
    <row r="275" spans="1:31" ht="14.45" hidden="1">
      <c r="A275" s="269" t="s">
        <v>1034</v>
      </c>
      <c r="B275" s="26">
        <v>45761</v>
      </c>
      <c r="C275" s="26">
        <v>45750</v>
      </c>
      <c r="D275" s="14" t="s">
        <v>1035</v>
      </c>
      <c r="E275" s="14" t="s">
        <v>515</v>
      </c>
      <c r="F275" s="14" t="s">
        <v>516</v>
      </c>
      <c r="G275" s="14">
        <v>61000037</v>
      </c>
      <c r="H275" s="14" t="s">
        <v>1036</v>
      </c>
      <c r="I275" s="14" t="s">
        <v>1037</v>
      </c>
      <c r="J275" s="14">
        <v>1</v>
      </c>
      <c r="K275" s="14" t="s">
        <v>37</v>
      </c>
      <c r="L275" s="14" t="s">
        <v>217</v>
      </c>
      <c r="M275" s="15" t="s">
        <v>58</v>
      </c>
      <c r="N275" s="15" t="s">
        <v>89</v>
      </c>
      <c r="O275" s="15">
        <v>0</v>
      </c>
      <c r="P275" s="15"/>
      <c r="Q275" s="15"/>
      <c r="R275" s="15"/>
      <c r="S275" s="25"/>
      <c r="T275" s="25">
        <v>45788</v>
      </c>
      <c r="U275" s="25">
        <v>45799</v>
      </c>
      <c r="V275" s="15" t="s">
        <v>506</v>
      </c>
      <c r="W275" s="15"/>
      <c r="X275" s="27">
        <v>418.07</v>
      </c>
      <c r="Y275" s="27">
        <f>Table2[[#This Row],[PREÇO UNITARIO]]*Table2[[#This Row],[QUANTIDADE]]</f>
        <v>418.07</v>
      </c>
      <c r="Z275" s="15"/>
      <c r="AA275" s="28">
        <f>MONTH(Table2[[#This Row],[DATA PEDIDO HP]])</f>
        <v>4</v>
      </c>
      <c r="AB275" s="32" t="s">
        <v>60</v>
      </c>
      <c r="AC275" s="5">
        <f t="shared" ca="1" si="4"/>
        <v>46232</v>
      </c>
      <c r="AD275" s="331">
        <f ca="1">_xlfn.DAYS(Table2[[#This Row],[HOJE]],Table2[[#This Row],[DATA PEDIDO HP]])</f>
        <v>471</v>
      </c>
      <c r="AE275" s="5" t="s">
        <v>43</v>
      </c>
    </row>
    <row r="276" spans="1:31" ht="14.45" hidden="1">
      <c r="A276" s="269" t="s">
        <v>1038</v>
      </c>
      <c r="B276" s="26">
        <v>45761</v>
      </c>
      <c r="C276" s="26">
        <v>45756</v>
      </c>
      <c r="D276" s="14" t="s">
        <v>1039</v>
      </c>
      <c r="E276" s="14" t="s">
        <v>85</v>
      </c>
      <c r="F276" s="14" t="s">
        <v>74</v>
      </c>
      <c r="G276" s="14">
        <v>50000260</v>
      </c>
      <c r="H276" s="14" t="s">
        <v>245</v>
      </c>
      <c r="I276" s="14" t="s">
        <v>246</v>
      </c>
      <c r="J276" s="14">
        <v>2</v>
      </c>
      <c r="K276" s="14" t="s">
        <v>37</v>
      </c>
      <c r="L276" s="14" t="s">
        <v>217</v>
      </c>
      <c r="M276" s="15" t="s">
        <v>39</v>
      </c>
      <c r="N276" s="15" t="s">
        <v>89</v>
      </c>
      <c r="O276" s="15">
        <v>0</v>
      </c>
      <c r="P276" s="15"/>
      <c r="Q276" s="15"/>
      <c r="R276" s="15" t="s">
        <v>247</v>
      </c>
      <c r="S276" s="25">
        <v>45813</v>
      </c>
      <c r="T276" s="25">
        <v>45788</v>
      </c>
      <c r="U276" s="25">
        <v>45799</v>
      </c>
      <c r="V276" s="15" t="s">
        <v>506</v>
      </c>
      <c r="W276" s="15"/>
      <c r="X276" s="27">
        <v>80.180000000000007</v>
      </c>
      <c r="Y276" s="27">
        <f>Table2[[#This Row],[PREÇO UNITARIO]]*Table2[[#This Row],[QUANTIDADE]]</f>
        <v>160.36000000000001</v>
      </c>
      <c r="Z276" s="15"/>
      <c r="AA276" s="28">
        <f>MONTH(Table2[[#This Row],[DATA PEDIDO HP]])</f>
        <v>4</v>
      </c>
      <c r="AB276" s="32" t="s">
        <v>42</v>
      </c>
      <c r="AC276" s="5">
        <f t="shared" ca="1" si="4"/>
        <v>46232</v>
      </c>
      <c r="AD276" s="331">
        <f ca="1">_xlfn.DAYS(Table2[[#This Row],[HOJE]],Table2[[#This Row],[DATA PEDIDO HP]])</f>
        <v>471</v>
      </c>
      <c r="AE276" s="336" t="s">
        <v>43</v>
      </c>
    </row>
    <row r="277" spans="1:31" ht="14.45" hidden="1">
      <c r="A277" s="269" t="s">
        <v>1040</v>
      </c>
      <c r="B277" s="26">
        <v>45761</v>
      </c>
      <c r="C277" s="26">
        <v>45761</v>
      </c>
      <c r="D277" s="14" t="s">
        <v>1041</v>
      </c>
      <c r="E277" s="14" t="s">
        <v>982</v>
      </c>
      <c r="F277" s="14" t="s">
        <v>983</v>
      </c>
      <c r="G277" s="14">
        <v>46000053</v>
      </c>
      <c r="H277" s="14" t="s">
        <v>572</v>
      </c>
      <c r="I277" s="14" t="s">
        <v>1042</v>
      </c>
      <c r="J277" s="14">
        <v>1</v>
      </c>
      <c r="K277" s="14" t="s">
        <v>37</v>
      </c>
      <c r="L277" s="14" t="s">
        <v>217</v>
      </c>
      <c r="M277" s="15" t="s">
        <v>39</v>
      </c>
      <c r="N277" s="15" t="s">
        <v>39</v>
      </c>
      <c r="O277" s="15">
        <v>1</v>
      </c>
      <c r="P277" s="15"/>
      <c r="Q277" s="15"/>
      <c r="R277" s="15" t="s">
        <v>570</v>
      </c>
      <c r="S277" s="25">
        <v>45806</v>
      </c>
      <c r="T277" s="25">
        <v>45788</v>
      </c>
      <c r="U277" s="25">
        <v>45799</v>
      </c>
      <c r="V277" s="15" t="s">
        <v>506</v>
      </c>
      <c r="W277" s="15"/>
      <c r="X277" s="27">
        <v>1429.35</v>
      </c>
      <c r="Y277" s="27">
        <f>Table2[[#This Row],[PREÇO UNITARIO]]*Table2[[#This Row],[QUANTIDADE]]</f>
        <v>1429.35</v>
      </c>
      <c r="Z277" s="15"/>
      <c r="AA277" s="28">
        <f>MONTH(Table2[[#This Row],[DATA PEDIDO HP]])</f>
        <v>4</v>
      </c>
      <c r="AB277" s="32" t="s">
        <v>60</v>
      </c>
      <c r="AC277" s="5">
        <f t="shared" ca="1" si="4"/>
        <v>46232</v>
      </c>
      <c r="AD277" s="331">
        <f ca="1">_xlfn.DAYS(Table2[[#This Row],[HOJE]],Table2[[#This Row],[DATA PEDIDO HP]])</f>
        <v>471</v>
      </c>
      <c r="AE277" s="336" t="s">
        <v>43</v>
      </c>
    </row>
    <row r="278" spans="1:31" ht="14.45" hidden="1">
      <c r="A278" s="269" t="s">
        <v>1043</v>
      </c>
      <c r="B278" s="26">
        <v>45761</v>
      </c>
      <c r="C278" s="26">
        <v>45757</v>
      </c>
      <c r="D278" s="14" t="s">
        <v>1044</v>
      </c>
      <c r="E278" s="14" t="s">
        <v>695</v>
      </c>
      <c r="F278" s="14" t="s">
        <v>74</v>
      </c>
      <c r="G278" s="14">
        <v>50000487</v>
      </c>
      <c r="H278" s="14" t="s">
        <v>1045</v>
      </c>
      <c r="I278" s="14" t="s">
        <v>868</v>
      </c>
      <c r="J278" s="14">
        <v>1</v>
      </c>
      <c r="K278" s="14" t="s">
        <v>37</v>
      </c>
      <c r="L278" s="14" t="s">
        <v>96</v>
      </c>
      <c r="M278" s="15" t="s">
        <v>39</v>
      </c>
      <c r="N278" s="15" t="s">
        <v>89</v>
      </c>
      <c r="O278" s="15">
        <v>0</v>
      </c>
      <c r="P278" s="15"/>
      <c r="Q278" s="15"/>
      <c r="R278" s="15"/>
      <c r="S278" s="25">
        <v>45813</v>
      </c>
      <c r="T278" s="25">
        <v>45788</v>
      </c>
      <c r="U278" s="25">
        <v>45799</v>
      </c>
      <c r="V278" s="15" t="s">
        <v>506</v>
      </c>
      <c r="W278" s="15"/>
      <c r="X278" s="27">
        <v>1556.91</v>
      </c>
      <c r="Y278" s="27">
        <f>Table2[[#This Row],[PREÇO UNITARIO]]*Table2[[#This Row],[QUANTIDADE]]</f>
        <v>1556.91</v>
      </c>
      <c r="Z278" s="15"/>
      <c r="AA278" s="28">
        <f>MONTH(Table2[[#This Row],[DATA PEDIDO HP]])</f>
        <v>4</v>
      </c>
      <c r="AB278" s="32" t="s">
        <v>60</v>
      </c>
      <c r="AC278" s="5">
        <f t="shared" ca="1" si="4"/>
        <v>46232</v>
      </c>
      <c r="AD278" s="331">
        <f ca="1">_xlfn.DAYS(Table2[[#This Row],[HOJE]],Table2[[#This Row],[DATA PEDIDO HP]])</f>
        <v>471</v>
      </c>
      <c r="AE278" s="336" t="s">
        <v>43</v>
      </c>
    </row>
    <row r="279" spans="1:31" ht="14.45" hidden="1">
      <c r="A279" s="269" t="s">
        <v>1046</v>
      </c>
      <c r="B279" s="26">
        <v>45762</v>
      </c>
      <c r="C279" s="26">
        <v>45762</v>
      </c>
      <c r="D279" s="14" t="s">
        <v>1047</v>
      </c>
      <c r="E279" s="14" t="s">
        <v>181</v>
      </c>
      <c r="F279" s="14" t="s">
        <v>34</v>
      </c>
      <c r="G279" s="14">
        <v>50110057</v>
      </c>
      <c r="H279" s="14" t="s">
        <v>1048</v>
      </c>
      <c r="I279" s="14" t="s">
        <v>1049</v>
      </c>
      <c r="J279" s="14">
        <v>1</v>
      </c>
      <c r="K279" s="14" t="s">
        <v>37</v>
      </c>
      <c r="L279" s="14" t="s">
        <v>217</v>
      </c>
      <c r="M279" s="15" t="s">
        <v>89</v>
      </c>
      <c r="N279" s="15" t="s">
        <v>89</v>
      </c>
      <c r="O279" s="15">
        <v>0</v>
      </c>
      <c r="P279" s="15"/>
      <c r="Q279" s="15"/>
      <c r="R279" s="15"/>
      <c r="S279" s="25"/>
      <c r="T279" s="25">
        <v>45788</v>
      </c>
      <c r="U279" s="25">
        <v>45799</v>
      </c>
      <c r="V279" s="15" t="s">
        <v>506</v>
      </c>
      <c r="W279" s="15"/>
      <c r="X279" s="27">
        <v>402.49</v>
      </c>
      <c r="Y279" s="27">
        <f>Table2[[#This Row],[PREÇO UNITARIO]]*Table2[[#This Row],[QUANTIDADE]]</f>
        <v>402.49</v>
      </c>
      <c r="Z279" s="15"/>
      <c r="AA279" s="28">
        <f>MONTH(Table2[[#This Row],[DATA PEDIDO HP]])</f>
        <v>4</v>
      </c>
      <c r="AB279" s="32" t="s">
        <v>42</v>
      </c>
      <c r="AC279" s="5">
        <f t="shared" ca="1" si="4"/>
        <v>46232</v>
      </c>
      <c r="AD279" s="331">
        <f ca="1">_xlfn.DAYS(Table2[[#This Row],[HOJE]],Table2[[#This Row],[DATA PEDIDO HP]])</f>
        <v>470</v>
      </c>
      <c r="AE279" s="5" t="s">
        <v>43</v>
      </c>
    </row>
    <row r="280" spans="1:31" ht="14.45" hidden="1">
      <c r="A280" s="269" t="s">
        <v>1050</v>
      </c>
      <c r="B280" s="26">
        <v>45762</v>
      </c>
      <c r="C280" s="26">
        <v>45762</v>
      </c>
      <c r="D280" s="14" t="s">
        <v>1051</v>
      </c>
      <c r="E280" s="14" t="s">
        <v>109</v>
      </c>
      <c r="F280" s="14" t="s">
        <v>34</v>
      </c>
      <c r="G280" s="14">
        <v>50110229</v>
      </c>
      <c r="H280" s="14" t="s">
        <v>1052</v>
      </c>
      <c r="I280" s="14" t="s">
        <v>1053</v>
      </c>
      <c r="J280" s="14">
        <v>1</v>
      </c>
      <c r="K280" s="14" t="s">
        <v>37</v>
      </c>
      <c r="L280" s="14" t="s">
        <v>217</v>
      </c>
      <c r="M280" s="15" t="s">
        <v>39</v>
      </c>
      <c r="N280" s="15" t="s">
        <v>58</v>
      </c>
      <c r="O280" s="15">
        <v>1</v>
      </c>
      <c r="P280" s="15"/>
      <c r="Q280" s="15"/>
      <c r="R280" s="15"/>
      <c r="S280" s="25"/>
      <c r="T280" s="25">
        <v>45788</v>
      </c>
      <c r="U280" s="25">
        <v>45799</v>
      </c>
      <c r="V280" s="15" t="s">
        <v>506</v>
      </c>
      <c r="W280" s="15"/>
      <c r="X280" s="27">
        <v>422.15</v>
      </c>
      <c r="Y280" s="27">
        <f>Table2[[#This Row],[PREÇO UNITARIO]]*Table2[[#This Row],[QUANTIDADE]]</f>
        <v>422.15</v>
      </c>
      <c r="Z280" s="15"/>
      <c r="AA280" s="28">
        <f>MONTH(Table2[[#This Row],[DATA PEDIDO HP]])</f>
        <v>4</v>
      </c>
      <c r="AB280" s="32" t="s">
        <v>42</v>
      </c>
      <c r="AC280" s="5">
        <f t="shared" ca="1" si="4"/>
        <v>46232</v>
      </c>
      <c r="AD280" s="331">
        <f ca="1">_xlfn.DAYS(Table2[[#This Row],[HOJE]],Table2[[#This Row],[DATA PEDIDO HP]])</f>
        <v>470</v>
      </c>
      <c r="AE280" s="5" t="s">
        <v>43</v>
      </c>
    </row>
    <row r="281" spans="1:31" ht="14.45" hidden="1">
      <c r="A281" s="269" t="s">
        <v>1054</v>
      </c>
      <c r="B281" s="26">
        <v>45763</v>
      </c>
      <c r="C281" s="26">
        <v>45762</v>
      </c>
      <c r="D281" s="14" t="s">
        <v>1055</v>
      </c>
      <c r="E281" s="14" t="s">
        <v>73</v>
      </c>
      <c r="F281" s="14" t="s">
        <v>34</v>
      </c>
      <c r="G281" s="14">
        <v>50110372</v>
      </c>
      <c r="H281" s="14" t="s">
        <v>1056</v>
      </c>
      <c r="I281" s="14" t="s">
        <v>1057</v>
      </c>
      <c r="J281" s="14">
        <v>1</v>
      </c>
      <c r="K281" s="14" t="s">
        <v>37</v>
      </c>
      <c r="L281" s="14" t="s">
        <v>217</v>
      </c>
      <c r="M281" s="15" t="s">
        <v>58</v>
      </c>
      <c r="N281" s="15" t="s">
        <v>89</v>
      </c>
      <c r="O281" s="15">
        <v>1</v>
      </c>
      <c r="P281" s="15"/>
      <c r="Q281" s="15"/>
      <c r="R281" s="15"/>
      <c r="S281" s="25">
        <v>45813</v>
      </c>
      <c r="T281" s="25">
        <v>45788</v>
      </c>
      <c r="U281" s="25">
        <v>45799</v>
      </c>
      <c r="V281" s="15" t="s">
        <v>506</v>
      </c>
      <c r="W281" s="15"/>
      <c r="X281" s="27">
        <v>635.59</v>
      </c>
      <c r="Y281" s="27">
        <f>Table2[[#This Row],[PREÇO UNITARIO]]*Table2[[#This Row],[QUANTIDADE]]</f>
        <v>635.59</v>
      </c>
      <c r="Z281" s="15"/>
      <c r="AA281" s="28">
        <f>MONTH(Table2[[#This Row],[DATA PEDIDO HP]])</f>
        <v>4</v>
      </c>
      <c r="AB281" s="32" t="s">
        <v>42</v>
      </c>
      <c r="AC281" s="5">
        <f t="shared" ca="1" si="4"/>
        <v>46232</v>
      </c>
      <c r="AD281" s="331">
        <f ca="1">_xlfn.DAYS(Table2[[#This Row],[HOJE]],Table2[[#This Row],[DATA PEDIDO HP]])</f>
        <v>469</v>
      </c>
      <c r="AE281" s="336" t="s">
        <v>43</v>
      </c>
    </row>
    <row r="282" spans="1:31" ht="14.45" hidden="1">
      <c r="A282" s="269" t="s">
        <v>1054</v>
      </c>
      <c r="B282" s="26">
        <v>45763</v>
      </c>
      <c r="C282" s="26">
        <v>45762</v>
      </c>
      <c r="D282" s="14" t="s">
        <v>1055</v>
      </c>
      <c r="E282" s="14" t="s">
        <v>73</v>
      </c>
      <c r="F282" s="14" t="s">
        <v>34</v>
      </c>
      <c r="G282" s="14">
        <v>50110372</v>
      </c>
      <c r="H282" s="14" t="s">
        <v>1058</v>
      </c>
      <c r="I282" s="14" t="s">
        <v>1059</v>
      </c>
      <c r="J282" s="14">
        <v>1</v>
      </c>
      <c r="K282" s="14" t="s">
        <v>37</v>
      </c>
      <c r="L282" s="14" t="s">
        <v>217</v>
      </c>
      <c r="M282" s="15" t="s">
        <v>58</v>
      </c>
      <c r="N282" s="15" t="s">
        <v>89</v>
      </c>
      <c r="O282" s="15">
        <v>0</v>
      </c>
      <c r="P282" s="15"/>
      <c r="Q282" s="15"/>
      <c r="R282" s="15"/>
      <c r="S282" s="25">
        <v>45813</v>
      </c>
      <c r="T282" s="25">
        <v>45788</v>
      </c>
      <c r="U282" s="25">
        <v>45799</v>
      </c>
      <c r="V282" s="15" t="s">
        <v>506</v>
      </c>
      <c r="W282" s="15"/>
      <c r="X282" s="27">
        <v>131.79</v>
      </c>
      <c r="Y282" s="27">
        <f>Table2[[#This Row],[PREÇO UNITARIO]]*Table2[[#This Row],[QUANTIDADE]]</f>
        <v>131.79</v>
      </c>
      <c r="Z282" s="15"/>
      <c r="AA282" s="28">
        <f>MONTH(Table2[[#This Row],[DATA PEDIDO HP]])</f>
        <v>4</v>
      </c>
      <c r="AB282" s="32" t="s">
        <v>42</v>
      </c>
      <c r="AC282" s="5">
        <f t="shared" ca="1" si="4"/>
        <v>46232</v>
      </c>
      <c r="AD282" s="331">
        <f ca="1">_xlfn.DAYS(Table2[[#This Row],[HOJE]],Table2[[#This Row],[DATA PEDIDO HP]])</f>
        <v>469</v>
      </c>
      <c r="AE282" s="336" t="s">
        <v>43</v>
      </c>
    </row>
    <row r="283" spans="1:31" ht="14.45" hidden="1">
      <c r="A283" s="269" t="s">
        <v>1060</v>
      </c>
      <c r="B283" s="26">
        <v>45763</v>
      </c>
      <c r="C283" s="26">
        <v>45762</v>
      </c>
      <c r="D283" s="14" t="s">
        <v>1061</v>
      </c>
      <c r="E283" s="14" t="s">
        <v>33</v>
      </c>
      <c r="F283" s="14" t="s">
        <v>34</v>
      </c>
      <c r="G283" s="14">
        <v>50110193</v>
      </c>
      <c r="H283" s="14" t="s">
        <v>1052</v>
      </c>
      <c r="I283" s="14" t="s">
        <v>1053</v>
      </c>
      <c r="J283" s="14">
        <v>2</v>
      </c>
      <c r="K283" s="14" t="s">
        <v>37</v>
      </c>
      <c r="L283" s="14" t="s">
        <v>217</v>
      </c>
      <c r="M283" s="15" t="s">
        <v>58</v>
      </c>
      <c r="N283" s="15" t="s">
        <v>89</v>
      </c>
      <c r="O283" s="15">
        <v>0</v>
      </c>
      <c r="P283" s="15"/>
      <c r="Q283" s="15"/>
      <c r="R283" s="15"/>
      <c r="S283" s="25">
        <v>45806</v>
      </c>
      <c r="T283" s="25">
        <v>45788</v>
      </c>
      <c r="U283" s="25">
        <v>45799</v>
      </c>
      <c r="V283" s="15" t="s">
        <v>506</v>
      </c>
      <c r="W283" s="15" t="s">
        <v>41</v>
      </c>
      <c r="X283" s="27">
        <v>422.15</v>
      </c>
      <c r="Y283" s="27">
        <f>Table2[[#This Row],[PREÇO UNITARIO]]*Table2[[#This Row],[QUANTIDADE]]</f>
        <v>844.3</v>
      </c>
      <c r="Z283" s="15"/>
      <c r="AA283" s="28">
        <f>MONTH(Table2[[#This Row],[DATA PEDIDO HP]])</f>
        <v>4</v>
      </c>
      <c r="AB283" s="32" t="s">
        <v>42</v>
      </c>
      <c r="AC283" s="5">
        <f t="shared" ca="1" si="4"/>
        <v>46232</v>
      </c>
      <c r="AD283" s="331">
        <f ca="1">_xlfn.DAYS(Table2[[#This Row],[HOJE]],Table2[[#This Row],[DATA PEDIDO HP]])</f>
        <v>469</v>
      </c>
      <c r="AE283" s="336" t="s">
        <v>43</v>
      </c>
    </row>
    <row r="284" spans="1:31" ht="14.45" hidden="1">
      <c r="A284" s="269" t="s">
        <v>1062</v>
      </c>
      <c r="B284" s="26">
        <v>45763</v>
      </c>
      <c r="C284" s="26">
        <v>45762</v>
      </c>
      <c r="D284" s="14" t="s">
        <v>1063</v>
      </c>
      <c r="E284" s="14" t="s">
        <v>73</v>
      </c>
      <c r="F284" s="14" t="s">
        <v>203</v>
      </c>
      <c r="G284" s="14">
        <v>60002095</v>
      </c>
      <c r="H284" s="14" t="s">
        <v>1058</v>
      </c>
      <c r="I284" s="14" t="s">
        <v>1059</v>
      </c>
      <c r="J284" s="14">
        <v>1</v>
      </c>
      <c r="K284" s="14" t="s">
        <v>37</v>
      </c>
      <c r="L284" s="14" t="s">
        <v>217</v>
      </c>
      <c r="M284" s="15" t="s">
        <v>89</v>
      </c>
      <c r="N284" s="15" t="s">
        <v>58</v>
      </c>
      <c r="O284" s="15">
        <v>1</v>
      </c>
      <c r="P284" s="15"/>
      <c r="Q284" s="15"/>
      <c r="R284" s="15"/>
      <c r="S284" s="25"/>
      <c r="T284" s="25">
        <v>45788</v>
      </c>
      <c r="U284" s="25">
        <v>45799</v>
      </c>
      <c r="V284" s="15" t="s">
        <v>506</v>
      </c>
      <c r="W284" s="15"/>
      <c r="X284" s="27">
        <v>131.79</v>
      </c>
      <c r="Y284" s="27">
        <f>Table2[[#This Row],[PREÇO UNITARIO]]*Table2[[#This Row],[QUANTIDADE]]</f>
        <v>131.79</v>
      </c>
      <c r="Z284" s="15"/>
      <c r="AA284" s="28">
        <f>MONTH(Table2[[#This Row],[DATA PEDIDO HP]])</f>
        <v>4</v>
      </c>
      <c r="AB284" s="32" t="s">
        <v>42</v>
      </c>
      <c r="AC284" s="5">
        <f t="shared" ca="1" si="4"/>
        <v>46232</v>
      </c>
      <c r="AD284" s="331">
        <f ca="1">_xlfn.DAYS(Table2[[#This Row],[HOJE]],Table2[[#This Row],[DATA PEDIDO HP]])</f>
        <v>469</v>
      </c>
      <c r="AE284" s="5" t="s">
        <v>43</v>
      </c>
    </row>
    <row r="285" spans="1:31" ht="14.45" hidden="1">
      <c r="A285" s="269" t="s">
        <v>1064</v>
      </c>
      <c r="B285" s="26">
        <v>45763</v>
      </c>
      <c r="C285" s="26">
        <v>45763</v>
      </c>
      <c r="D285" s="14" t="s">
        <v>1065</v>
      </c>
      <c r="E285" s="14" t="s">
        <v>33</v>
      </c>
      <c r="F285" s="14" t="s">
        <v>34</v>
      </c>
      <c r="G285" s="14">
        <v>50110193</v>
      </c>
      <c r="H285" s="14" t="s">
        <v>1066</v>
      </c>
      <c r="I285" s="14" t="s">
        <v>1067</v>
      </c>
      <c r="J285" s="14">
        <v>1</v>
      </c>
      <c r="K285" s="14" t="s">
        <v>37</v>
      </c>
      <c r="L285" s="14" t="s">
        <v>217</v>
      </c>
      <c r="M285" s="15" t="s">
        <v>89</v>
      </c>
      <c r="N285" s="15" t="s">
        <v>89</v>
      </c>
      <c r="O285" s="15">
        <v>0</v>
      </c>
      <c r="P285" s="15"/>
      <c r="Q285" s="15"/>
      <c r="R285" s="15"/>
      <c r="S285" s="25">
        <v>45903</v>
      </c>
      <c r="T285" s="25">
        <v>45888</v>
      </c>
      <c r="U285" s="25">
        <v>45898</v>
      </c>
      <c r="V285" s="15" t="s">
        <v>420</v>
      </c>
      <c r="W285" s="15"/>
      <c r="X285" s="27">
        <v>882.92</v>
      </c>
      <c r="Y285" s="27">
        <f>Table2[[#This Row],[PREÇO UNITARIO]]*Table2[[#This Row],[QUANTIDADE]]</f>
        <v>882.92</v>
      </c>
      <c r="Z285" s="15"/>
      <c r="AA285" s="28">
        <f>MONTH(Table2[[#This Row],[DATA PEDIDO HP]])</f>
        <v>4</v>
      </c>
      <c r="AB285" s="32" t="s">
        <v>42</v>
      </c>
      <c r="AC285" s="5">
        <f t="shared" ca="1" si="4"/>
        <v>46232</v>
      </c>
      <c r="AD285" s="331">
        <f ca="1">_xlfn.DAYS(Table2[[#This Row],[HOJE]],Table2[[#This Row],[DATA PEDIDO HP]])</f>
        <v>469</v>
      </c>
      <c r="AE285" s="336" t="s">
        <v>43</v>
      </c>
    </row>
    <row r="286" spans="1:31" ht="14.45" hidden="1">
      <c r="A286" s="269" t="s">
        <v>1068</v>
      </c>
      <c r="B286" s="26">
        <v>45763</v>
      </c>
      <c r="C286" s="26">
        <v>45763</v>
      </c>
      <c r="D286" s="14" t="s">
        <v>1069</v>
      </c>
      <c r="E286" s="14" t="s">
        <v>445</v>
      </c>
      <c r="F286" s="14" t="s">
        <v>203</v>
      </c>
      <c r="G286" s="14">
        <v>50300097</v>
      </c>
      <c r="H286" s="14" t="s">
        <v>1070</v>
      </c>
      <c r="I286" s="14" t="s">
        <v>1071</v>
      </c>
      <c r="J286" s="14">
        <v>1</v>
      </c>
      <c r="K286" s="14" t="s">
        <v>37</v>
      </c>
      <c r="L286" s="14" t="s">
        <v>346</v>
      </c>
      <c r="M286" s="15" t="s">
        <v>89</v>
      </c>
      <c r="N286" s="15" t="s">
        <v>58</v>
      </c>
      <c r="O286" s="15">
        <v>1</v>
      </c>
      <c r="P286" s="15"/>
      <c r="Q286" s="15"/>
      <c r="R286" s="15"/>
      <c r="S286" s="25"/>
      <c r="T286" s="25">
        <v>45788</v>
      </c>
      <c r="U286" s="25">
        <v>45799</v>
      </c>
      <c r="V286" s="15" t="s">
        <v>506</v>
      </c>
      <c r="W286" s="15"/>
      <c r="X286" s="27">
        <v>24.5</v>
      </c>
      <c r="Y286" s="27">
        <f>Table2[[#This Row],[PREÇO UNITARIO]]*Table2[[#This Row],[QUANTIDADE]]</f>
        <v>24.5</v>
      </c>
      <c r="Z286" s="15"/>
      <c r="AA286" s="28">
        <f>MONTH(Table2[[#This Row],[DATA PEDIDO HP]])</f>
        <v>4</v>
      </c>
      <c r="AB286" s="32" t="s">
        <v>60</v>
      </c>
      <c r="AC286" s="5">
        <f t="shared" ca="1" si="4"/>
        <v>46232</v>
      </c>
      <c r="AD286" s="331">
        <f ca="1">_xlfn.DAYS(Table2[[#This Row],[HOJE]],Table2[[#This Row],[DATA PEDIDO HP]])</f>
        <v>469</v>
      </c>
      <c r="AE286" s="5" t="s">
        <v>43</v>
      </c>
    </row>
    <row r="287" spans="1:31" ht="14.45" hidden="1">
      <c r="A287" s="269" t="s">
        <v>1072</v>
      </c>
      <c r="B287" s="26">
        <v>45764</v>
      </c>
      <c r="C287" s="26">
        <v>45764</v>
      </c>
      <c r="D287" s="14" t="s">
        <v>1073</v>
      </c>
      <c r="E287" s="14" t="s">
        <v>1074</v>
      </c>
      <c r="F287" s="14" t="s">
        <v>1075</v>
      </c>
      <c r="G287" s="14">
        <v>60001111</v>
      </c>
      <c r="H287" s="14"/>
      <c r="I287" s="14"/>
      <c r="J287" s="14">
        <v>1</v>
      </c>
      <c r="K287" s="14"/>
      <c r="L287" s="14"/>
      <c r="M287" s="15" t="s">
        <v>58</v>
      </c>
      <c r="N287" s="15" t="s">
        <v>384</v>
      </c>
      <c r="O287" s="4">
        <v>0</v>
      </c>
      <c r="P287" s="4">
        <v>1</v>
      </c>
      <c r="Q287" s="1"/>
      <c r="R287" s="15"/>
      <c r="S287" s="25">
        <v>45811</v>
      </c>
      <c r="T287" s="25">
        <v>45788</v>
      </c>
      <c r="U287" s="25">
        <v>45799</v>
      </c>
      <c r="V287" s="15" t="s">
        <v>506</v>
      </c>
      <c r="W287" s="15"/>
      <c r="X287" s="159"/>
      <c r="Y287" s="159"/>
      <c r="Z287" s="14" t="s">
        <v>1076</v>
      </c>
      <c r="AA287" s="28">
        <f>MONTH(Table2[[#This Row],[DATA PEDIDO HP]])</f>
        <v>4</v>
      </c>
      <c r="AB287" s="32"/>
      <c r="AC287" s="5">
        <f t="shared" ca="1" si="4"/>
        <v>46232</v>
      </c>
      <c r="AD287" s="331">
        <f ca="1">_xlfn.DAYS(Table2[[#This Row],[HOJE]],Table2[[#This Row],[DATA PEDIDO HP]])</f>
        <v>468</v>
      </c>
      <c r="AE287" s="5" t="s">
        <v>43</v>
      </c>
    </row>
    <row r="288" spans="1:31" ht="14.45" hidden="1">
      <c r="A288" s="269" t="s">
        <v>1077</v>
      </c>
      <c r="B288" s="26">
        <v>45764</v>
      </c>
      <c r="C288" s="26">
        <v>45764</v>
      </c>
      <c r="D288" s="14" t="s">
        <v>1078</v>
      </c>
      <c r="E288" s="14" t="s">
        <v>202</v>
      </c>
      <c r="F288" s="14" t="s">
        <v>1075</v>
      </c>
      <c r="G288" s="14">
        <v>60002072</v>
      </c>
      <c r="H288" s="14"/>
      <c r="I288" s="14"/>
      <c r="J288" s="14">
        <v>1</v>
      </c>
      <c r="K288" s="14"/>
      <c r="L288" s="14"/>
      <c r="M288" s="15" t="s">
        <v>89</v>
      </c>
      <c r="N288" s="15" t="s">
        <v>384</v>
      </c>
      <c r="O288" s="15">
        <v>0</v>
      </c>
      <c r="P288" s="15">
        <v>0</v>
      </c>
      <c r="Q288" s="15"/>
      <c r="R288" s="15"/>
      <c r="S288" s="25">
        <v>45811</v>
      </c>
      <c r="T288" s="25">
        <v>45788</v>
      </c>
      <c r="U288" s="25">
        <v>45799</v>
      </c>
      <c r="V288" s="15" t="s">
        <v>506</v>
      </c>
      <c r="W288" s="15"/>
      <c r="X288" s="27"/>
      <c r="Y288" s="27"/>
      <c r="Z288" s="14" t="s">
        <v>1076</v>
      </c>
      <c r="AA288" s="28">
        <f>MONTH(Table2[[#This Row],[DATA PEDIDO HP]])</f>
        <v>4</v>
      </c>
      <c r="AB288" s="32"/>
      <c r="AC288" s="5">
        <f t="shared" ca="1" si="4"/>
        <v>46232</v>
      </c>
      <c r="AD288" s="331">
        <f ca="1">_xlfn.DAYS(Table2[[#This Row],[HOJE]],Table2[[#This Row],[DATA PEDIDO HP]])</f>
        <v>468</v>
      </c>
      <c r="AE288" s="336" t="s">
        <v>43</v>
      </c>
    </row>
    <row r="289" spans="1:31" ht="14.45" hidden="1">
      <c r="A289" s="269" t="s">
        <v>1079</v>
      </c>
      <c r="B289" s="26">
        <v>45764</v>
      </c>
      <c r="C289" s="26">
        <v>45705</v>
      </c>
      <c r="D289" s="14" t="s">
        <v>1080</v>
      </c>
      <c r="E289" s="14" t="s">
        <v>103</v>
      </c>
      <c r="F289" s="14" t="s">
        <v>104</v>
      </c>
      <c r="G289" s="14">
        <v>51000323</v>
      </c>
      <c r="H289" s="14" t="s">
        <v>1081</v>
      </c>
      <c r="I289" s="14" t="s">
        <v>1082</v>
      </c>
      <c r="J289" s="14">
        <v>1</v>
      </c>
      <c r="K289" s="14" t="s">
        <v>37</v>
      </c>
      <c r="L289" s="14" t="s">
        <v>363</v>
      </c>
      <c r="M289" s="15" t="s">
        <v>58</v>
      </c>
      <c r="N289" s="15" t="s">
        <v>58</v>
      </c>
      <c r="O289" s="15">
        <v>1</v>
      </c>
      <c r="P289" s="15">
        <v>1</v>
      </c>
      <c r="Q289" s="15"/>
      <c r="R289" s="15" t="s">
        <v>511</v>
      </c>
      <c r="S289" s="25">
        <v>45807</v>
      </c>
      <c r="T289" s="25">
        <v>45788</v>
      </c>
      <c r="U289" s="25">
        <v>45799</v>
      </c>
      <c r="V289" s="15" t="s">
        <v>506</v>
      </c>
      <c r="W289" s="15"/>
      <c r="X289" s="27">
        <v>1721.28</v>
      </c>
      <c r="Y289" s="27">
        <f>Table2[[#This Row],[PREÇO UNITARIO]]*Table2[[#This Row],[QUANTIDADE]]</f>
        <v>1721.28</v>
      </c>
      <c r="Z289" s="15"/>
      <c r="AA289" s="28">
        <f>MONTH(Table2[[#This Row],[DATA PEDIDO HP]])</f>
        <v>4</v>
      </c>
      <c r="AB289" s="32" t="s">
        <v>42</v>
      </c>
      <c r="AC289" s="5">
        <f t="shared" ca="1" si="4"/>
        <v>46232</v>
      </c>
      <c r="AD289" s="331">
        <f ca="1">_xlfn.DAYS(Table2[[#This Row],[HOJE]],Table2[[#This Row],[DATA PEDIDO HP]])</f>
        <v>468</v>
      </c>
      <c r="AE289" s="336" t="s">
        <v>43</v>
      </c>
    </row>
    <row r="290" spans="1:31" ht="14.45" hidden="1">
      <c r="A290" s="269" t="s">
        <v>1083</v>
      </c>
      <c r="B290" s="26">
        <v>45764</v>
      </c>
      <c r="C290" s="26">
        <v>45705</v>
      </c>
      <c r="D290" s="14" t="s">
        <v>1084</v>
      </c>
      <c r="E290" s="14" t="s">
        <v>103</v>
      </c>
      <c r="F290" s="14" t="s">
        <v>104</v>
      </c>
      <c r="G290" s="14">
        <v>51000136</v>
      </c>
      <c r="H290" s="14" t="s">
        <v>1085</v>
      </c>
      <c r="I290" s="14" t="s">
        <v>1086</v>
      </c>
      <c r="J290" s="14">
        <v>1</v>
      </c>
      <c r="K290" s="14" t="s">
        <v>37</v>
      </c>
      <c r="L290" s="14" t="s">
        <v>363</v>
      </c>
      <c r="M290" s="15" t="s">
        <v>89</v>
      </c>
      <c r="N290" s="15" t="s">
        <v>89</v>
      </c>
      <c r="O290" s="15">
        <v>0</v>
      </c>
      <c r="P290" s="15">
        <v>0</v>
      </c>
      <c r="Q290" s="15"/>
      <c r="R290" s="15" t="s">
        <v>165</v>
      </c>
      <c r="S290" s="25">
        <v>45807</v>
      </c>
      <c r="T290" s="25">
        <v>45788</v>
      </c>
      <c r="U290" s="25">
        <v>45799</v>
      </c>
      <c r="V290" s="15" t="s">
        <v>506</v>
      </c>
      <c r="W290" s="15"/>
      <c r="X290" s="27">
        <v>354.38</v>
      </c>
      <c r="Y290" s="27">
        <f>Table2[[#This Row],[PREÇO UNITARIO]]*Table2[[#This Row],[QUANTIDADE]]</f>
        <v>354.38</v>
      </c>
      <c r="Z290" s="15"/>
      <c r="AA290" s="28">
        <f>MONTH(Table2[[#This Row],[DATA PEDIDO HP]])</f>
        <v>4</v>
      </c>
      <c r="AB290" s="32" t="s">
        <v>42</v>
      </c>
      <c r="AC290" s="5">
        <f t="shared" ca="1" si="4"/>
        <v>46232</v>
      </c>
      <c r="AD290" s="331">
        <f ca="1">_xlfn.DAYS(Table2[[#This Row],[HOJE]],Table2[[#This Row],[DATA PEDIDO HP]])</f>
        <v>468</v>
      </c>
      <c r="AE290" s="336" t="s">
        <v>43</v>
      </c>
    </row>
    <row r="291" spans="1:31" ht="14.45" hidden="1">
      <c r="A291" s="269" t="s">
        <v>1087</v>
      </c>
      <c r="B291" s="26">
        <v>45764</v>
      </c>
      <c r="C291" s="26">
        <v>45705</v>
      </c>
      <c r="D291" s="14" t="s">
        <v>1088</v>
      </c>
      <c r="E291" s="14" t="s">
        <v>103</v>
      </c>
      <c r="F291" s="14" t="s">
        <v>104</v>
      </c>
      <c r="G291" s="14">
        <v>51000136</v>
      </c>
      <c r="H291" s="14" t="s">
        <v>1089</v>
      </c>
      <c r="I291" s="14" t="s">
        <v>1090</v>
      </c>
      <c r="J291" s="14">
        <v>1</v>
      </c>
      <c r="K291" s="14" t="s">
        <v>37</v>
      </c>
      <c r="L291" s="14" t="s">
        <v>363</v>
      </c>
      <c r="M291" s="15" t="s">
        <v>58</v>
      </c>
      <c r="N291" s="15" t="s">
        <v>58</v>
      </c>
      <c r="O291" s="15">
        <v>1</v>
      </c>
      <c r="P291" s="15">
        <v>1</v>
      </c>
      <c r="Q291" s="15"/>
      <c r="R291" s="15" t="s">
        <v>1091</v>
      </c>
      <c r="S291" s="25">
        <v>45807</v>
      </c>
      <c r="T291" s="25">
        <v>45788</v>
      </c>
      <c r="U291" s="25">
        <v>45799</v>
      </c>
      <c r="V291" s="15" t="s">
        <v>506</v>
      </c>
      <c r="W291" s="15"/>
      <c r="X291" s="27">
        <v>62.83</v>
      </c>
      <c r="Y291" s="27">
        <f>Table2[[#This Row],[PREÇO UNITARIO]]*Table2[[#This Row],[QUANTIDADE]]</f>
        <v>62.83</v>
      </c>
      <c r="Z291" s="15"/>
      <c r="AA291" s="28">
        <f>MONTH(Table2[[#This Row],[DATA PEDIDO HP]])</f>
        <v>4</v>
      </c>
      <c r="AB291" s="32" t="s">
        <v>42</v>
      </c>
      <c r="AC291" s="5">
        <f t="shared" ca="1" si="4"/>
        <v>46232</v>
      </c>
      <c r="AD291" s="331">
        <f ca="1">_xlfn.DAYS(Table2[[#This Row],[HOJE]],Table2[[#This Row],[DATA PEDIDO HP]])</f>
        <v>468</v>
      </c>
      <c r="AE291" s="336" t="s">
        <v>43</v>
      </c>
    </row>
    <row r="292" spans="1:31" ht="14.45" hidden="1">
      <c r="A292" s="269" t="s">
        <v>1092</v>
      </c>
      <c r="B292" s="26">
        <v>45764</v>
      </c>
      <c r="C292" s="26">
        <v>45705</v>
      </c>
      <c r="D292" s="14" t="s">
        <v>1093</v>
      </c>
      <c r="E292" s="14" t="s">
        <v>103</v>
      </c>
      <c r="F292" s="14" t="s">
        <v>104</v>
      </c>
      <c r="G292" s="14">
        <v>51000136</v>
      </c>
      <c r="H292" s="14" t="s">
        <v>1094</v>
      </c>
      <c r="I292" s="14" t="s">
        <v>1095</v>
      </c>
      <c r="J292" s="14">
        <v>1</v>
      </c>
      <c r="K292" s="14" t="s">
        <v>37</v>
      </c>
      <c r="L292" s="14" t="s">
        <v>363</v>
      </c>
      <c r="M292" s="15" t="s">
        <v>58</v>
      </c>
      <c r="N292" s="15" t="s">
        <v>58</v>
      </c>
      <c r="O292" s="15">
        <v>1</v>
      </c>
      <c r="P292" s="15">
        <v>1</v>
      </c>
      <c r="Q292" s="15"/>
      <c r="R292" s="15"/>
      <c r="S292" s="25">
        <v>45807</v>
      </c>
      <c r="T292" s="25">
        <v>45788</v>
      </c>
      <c r="U292" s="25">
        <v>45799</v>
      </c>
      <c r="V292" s="15" t="s">
        <v>506</v>
      </c>
      <c r="W292" s="15"/>
      <c r="X292" s="27">
        <v>502.4</v>
      </c>
      <c r="Y292" s="27">
        <f>Table2[[#This Row],[PREÇO UNITARIO]]*Table2[[#This Row],[QUANTIDADE]]</f>
        <v>502.4</v>
      </c>
      <c r="Z292" s="15"/>
      <c r="AA292" s="28">
        <f>MONTH(Table2[[#This Row],[DATA PEDIDO HP]])</f>
        <v>4</v>
      </c>
      <c r="AB292" s="32" t="s">
        <v>42</v>
      </c>
      <c r="AC292" s="5">
        <f t="shared" ca="1" si="4"/>
        <v>46232</v>
      </c>
      <c r="AD292" s="331">
        <f ca="1">_xlfn.DAYS(Table2[[#This Row],[HOJE]],Table2[[#This Row],[DATA PEDIDO HP]])</f>
        <v>468</v>
      </c>
      <c r="AE292" s="336" t="s">
        <v>43</v>
      </c>
    </row>
    <row r="293" spans="1:31" ht="14.45" hidden="1">
      <c r="A293" s="269" t="s">
        <v>1096</v>
      </c>
      <c r="B293" s="26">
        <v>45764</v>
      </c>
      <c r="C293" s="26">
        <v>45705</v>
      </c>
      <c r="D293" s="14" t="s">
        <v>1097</v>
      </c>
      <c r="E293" s="14" t="s">
        <v>103</v>
      </c>
      <c r="F293" s="14" t="s">
        <v>104</v>
      </c>
      <c r="G293" s="14">
        <v>51000323</v>
      </c>
      <c r="H293" s="14" t="s">
        <v>1098</v>
      </c>
      <c r="I293" s="14" t="s">
        <v>1099</v>
      </c>
      <c r="J293" s="14">
        <v>1</v>
      </c>
      <c r="K293" s="14" t="s">
        <v>67</v>
      </c>
      <c r="L293" s="14" t="s">
        <v>363</v>
      </c>
      <c r="M293" s="15" t="s">
        <v>89</v>
      </c>
      <c r="N293" s="15" t="s">
        <v>89</v>
      </c>
      <c r="O293" s="15">
        <v>0</v>
      </c>
      <c r="P293" s="15">
        <v>0</v>
      </c>
      <c r="Q293" s="15"/>
      <c r="R293" s="15" t="s">
        <v>1100</v>
      </c>
      <c r="S293" s="25">
        <v>45807</v>
      </c>
      <c r="T293" s="25">
        <v>45788</v>
      </c>
      <c r="U293" s="25">
        <v>45799</v>
      </c>
      <c r="V293" s="15" t="s">
        <v>506</v>
      </c>
      <c r="W293" s="15"/>
      <c r="X293" s="27">
        <v>1262.3800000000001</v>
      </c>
      <c r="Y293" s="27">
        <f>Table2[[#This Row],[PREÇO UNITARIO]]*Table2[[#This Row],[QUANTIDADE]]</f>
        <v>1262.3800000000001</v>
      </c>
      <c r="Z293" s="15"/>
      <c r="AA293" s="28">
        <f>MONTH(Table2[[#This Row],[DATA PEDIDO HP]])</f>
        <v>4</v>
      </c>
      <c r="AB293" s="32" t="s">
        <v>42</v>
      </c>
      <c r="AC293" s="5">
        <f t="shared" ca="1" si="4"/>
        <v>46232</v>
      </c>
      <c r="AD293" s="331">
        <f ca="1">_xlfn.DAYS(Table2[[#This Row],[HOJE]],Table2[[#This Row],[DATA PEDIDO HP]])</f>
        <v>468</v>
      </c>
      <c r="AE293" s="336" t="s">
        <v>43</v>
      </c>
    </row>
    <row r="294" spans="1:31" ht="14.45" hidden="1">
      <c r="A294" s="269" t="s">
        <v>1101</v>
      </c>
      <c r="B294" s="25">
        <v>45769</v>
      </c>
      <c r="C294" s="26">
        <v>45769</v>
      </c>
      <c r="D294" s="14" t="s">
        <v>1102</v>
      </c>
      <c r="E294" s="14" t="s">
        <v>85</v>
      </c>
      <c r="F294" s="14" t="s">
        <v>74</v>
      </c>
      <c r="G294" s="14">
        <v>50000260</v>
      </c>
      <c r="H294" s="14" t="s">
        <v>1103</v>
      </c>
      <c r="I294" s="14" t="s">
        <v>592</v>
      </c>
      <c r="J294" s="14">
        <v>1</v>
      </c>
      <c r="K294" s="14" t="s">
        <v>37</v>
      </c>
      <c r="L294" s="14" t="s">
        <v>96</v>
      </c>
      <c r="M294" s="15" t="s">
        <v>89</v>
      </c>
      <c r="N294" s="15" t="s">
        <v>58</v>
      </c>
      <c r="O294" s="15">
        <v>1</v>
      </c>
      <c r="P294" s="15"/>
      <c r="Q294" s="15"/>
      <c r="R294" s="15" t="s">
        <v>165</v>
      </c>
      <c r="S294" s="25"/>
      <c r="T294" s="25">
        <v>45788</v>
      </c>
      <c r="U294" s="25">
        <v>45799</v>
      </c>
      <c r="V294" s="15" t="s">
        <v>506</v>
      </c>
      <c r="W294" s="15"/>
      <c r="X294" s="27">
        <v>354.3</v>
      </c>
      <c r="Y294" s="27">
        <f>Table2[[#This Row],[PREÇO UNITARIO]]*Table2[[#This Row],[QUANTIDADE]]</f>
        <v>354.3</v>
      </c>
      <c r="Z294" s="15"/>
      <c r="AA294" s="28">
        <f>MONTH(Table2[[#This Row],[DATA PEDIDO HP]])</f>
        <v>4</v>
      </c>
      <c r="AB294" s="32" t="s">
        <v>42</v>
      </c>
      <c r="AC294" s="5">
        <f t="shared" ca="1" si="4"/>
        <v>46232</v>
      </c>
      <c r="AD294" s="331">
        <f ca="1">_xlfn.DAYS(Table2[[#This Row],[HOJE]],Table2[[#This Row],[DATA PEDIDO HP]])</f>
        <v>463</v>
      </c>
      <c r="AE294" s="5" t="s">
        <v>43</v>
      </c>
    </row>
    <row r="295" spans="1:31" ht="14.45" hidden="1">
      <c r="A295" s="269" t="s">
        <v>1104</v>
      </c>
      <c r="B295" s="25">
        <v>45770</v>
      </c>
      <c r="C295" s="26">
        <v>45769</v>
      </c>
      <c r="D295" s="14" t="s">
        <v>1105</v>
      </c>
      <c r="E295" s="14" t="s">
        <v>1106</v>
      </c>
      <c r="F295" s="14" t="s">
        <v>1107</v>
      </c>
      <c r="G295" s="14">
        <v>51100110</v>
      </c>
      <c r="H295" s="14" t="s">
        <v>1108</v>
      </c>
      <c r="I295" s="14" t="s">
        <v>1109</v>
      </c>
      <c r="J295" s="14">
        <v>1</v>
      </c>
      <c r="K295" s="14" t="s">
        <v>37</v>
      </c>
      <c r="L295" s="14" t="s">
        <v>96</v>
      </c>
      <c r="M295" s="15" t="s">
        <v>58</v>
      </c>
      <c r="N295" s="15" t="s">
        <v>89</v>
      </c>
      <c r="O295" s="15">
        <v>1</v>
      </c>
      <c r="P295" s="15"/>
      <c r="Q295" s="15"/>
      <c r="R295" s="15"/>
      <c r="S295" s="25">
        <v>45806</v>
      </c>
      <c r="T295" s="25">
        <v>45788</v>
      </c>
      <c r="U295" s="25">
        <v>45799</v>
      </c>
      <c r="V295" s="15" t="s">
        <v>506</v>
      </c>
      <c r="W295" s="15"/>
      <c r="X295" s="27">
        <v>2.5499999999999998</v>
      </c>
      <c r="Y295" s="27">
        <f>Table2[[#This Row],[PREÇO UNITARIO]]*Table2[[#This Row],[QUANTIDADE]]</f>
        <v>2.5499999999999998</v>
      </c>
      <c r="Z295" s="15"/>
      <c r="AA295" s="28">
        <f>MONTH(Table2[[#This Row],[DATA PEDIDO HP]])</f>
        <v>4</v>
      </c>
      <c r="AB295" s="32" t="s">
        <v>60</v>
      </c>
      <c r="AC295" s="5">
        <f t="shared" ca="1" si="4"/>
        <v>46232</v>
      </c>
      <c r="AD295" s="331">
        <f ca="1">_xlfn.DAYS(Table2[[#This Row],[HOJE]],Table2[[#This Row],[DATA PEDIDO HP]])</f>
        <v>462</v>
      </c>
      <c r="AE295" s="336" t="s">
        <v>43</v>
      </c>
    </row>
    <row r="296" spans="1:31" ht="14.45" hidden="1">
      <c r="A296" s="269" t="s">
        <v>1110</v>
      </c>
      <c r="B296" s="25">
        <v>45770</v>
      </c>
      <c r="C296" s="26">
        <v>45769</v>
      </c>
      <c r="D296" s="14" t="s">
        <v>1111</v>
      </c>
      <c r="E296" s="14" t="s">
        <v>1106</v>
      </c>
      <c r="F296" s="14" t="s">
        <v>1107</v>
      </c>
      <c r="G296" s="14">
        <v>51100110</v>
      </c>
      <c r="H296" s="14" t="s">
        <v>1112</v>
      </c>
      <c r="I296" s="14" t="s">
        <v>1113</v>
      </c>
      <c r="J296" s="14">
        <v>1</v>
      </c>
      <c r="K296" s="14" t="s">
        <v>37</v>
      </c>
      <c r="L296" s="14" t="s">
        <v>96</v>
      </c>
      <c r="M296" s="15" t="s">
        <v>89</v>
      </c>
      <c r="N296" s="15" t="s">
        <v>58</v>
      </c>
      <c r="O296" s="15">
        <v>0</v>
      </c>
      <c r="P296" s="15"/>
      <c r="Q296" s="15"/>
      <c r="R296" s="15"/>
      <c r="S296" s="25"/>
      <c r="T296" s="25">
        <v>45788</v>
      </c>
      <c r="U296" s="25">
        <v>45799</v>
      </c>
      <c r="V296" s="15" t="s">
        <v>506</v>
      </c>
      <c r="W296" s="15"/>
      <c r="X296" s="27">
        <v>15.02</v>
      </c>
      <c r="Y296" s="27">
        <f>Table2[[#This Row],[PREÇO UNITARIO]]*Table2[[#This Row],[QUANTIDADE]]</f>
        <v>15.02</v>
      </c>
      <c r="Z296" s="15"/>
      <c r="AA296" s="28">
        <f>MONTH(Table2[[#This Row],[DATA PEDIDO HP]])</f>
        <v>4</v>
      </c>
      <c r="AB296" s="32" t="s">
        <v>60</v>
      </c>
      <c r="AC296" s="5">
        <f t="shared" ca="1" si="4"/>
        <v>46232</v>
      </c>
      <c r="AD296" s="331">
        <f ca="1">_xlfn.DAYS(Table2[[#This Row],[HOJE]],Table2[[#This Row],[DATA PEDIDO HP]])</f>
        <v>462</v>
      </c>
      <c r="AE296" s="5" t="s">
        <v>43</v>
      </c>
    </row>
    <row r="297" spans="1:31" ht="14.45" hidden="1">
      <c r="A297" s="269" t="s">
        <v>1114</v>
      </c>
      <c r="B297" s="25">
        <v>45771</v>
      </c>
      <c r="C297" s="26">
        <v>45771</v>
      </c>
      <c r="D297" s="14" t="s">
        <v>1115</v>
      </c>
      <c r="E297" s="14" t="s">
        <v>982</v>
      </c>
      <c r="F297" s="14" t="s">
        <v>983</v>
      </c>
      <c r="G297" s="14">
        <v>46000018</v>
      </c>
      <c r="H297" s="14" t="s">
        <v>1000</v>
      </c>
      <c r="I297" s="14" t="s">
        <v>1001</v>
      </c>
      <c r="J297" s="14">
        <v>1</v>
      </c>
      <c r="K297" s="14" t="s">
        <v>37</v>
      </c>
      <c r="L297" s="14" t="s">
        <v>96</v>
      </c>
      <c r="M297" s="15" t="s">
        <v>58</v>
      </c>
      <c r="N297" s="15" t="s">
        <v>58</v>
      </c>
      <c r="O297" s="15">
        <v>0</v>
      </c>
      <c r="P297" s="15"/>
      <c r="Q297" s="15"/>
      <c r="R297" s="15"/>
      <c r="S297" s="25"/>
      <c r="T297" s="25">
        <v>45838</v>
      </c>
      <c r="U297" s="25">
        <v>45859</v>
      </c>
      <c r="V297" s="15" t="s">
        <v>533</v>
      </c>
      <c r="W297" s="15"/>
      <c r="X297" s="27">
        <v>129.01</v>
      </c>
      <c r="Y297" s="27">
        <f>Table2[[#This Row],[PREÇO UNITARIO]]*Table2[[#This Row],[QUANTIDADE]]</f>
        <v>129.01</v>
      </c>
      <c r="Z297" s="15"/>
      <c r="AA297" s="28">
        <f>MONTH(Table2[[#This Row],[DATA PEDIDO HP]])</f>
        <v>4</v>
      </c>
      <c r="AB297" s="32" t="s">
        <v>60</v>
      </c>
      <c r="AC297" s="5">
        <f t="shared" ca="1" si="4"/>
        <v>46232</v>
      </c>
      <c r="AD297" s="331">
        <f ca="1">_xlfn.DAYS(Table2[[#This Row],[HOJE]],Table2[[#This Row],[DATA PEDIDO HP]])</f>
        <v>461</v>
      </c>
      <c r="AE297" s="5" t="s">
        <v>43</v>
      </c>
    </row>
    <row r="298" spans="1:31" ht="14.45" hidden="1">
      <c r="A298" s="269" t="s">
        <v>1116</v>
      </c>
      <c r="B298" s="25">
        <v>45771</v>
      </c>
      <c r="C298" s="26">
        <v>45771</v>
      </c>
      <c r="D298" s="14" t="s">
        <v>1117</v>
      </c>
      <c r="E298" s="14" t="s">
        <v>109</v>
      </c>
      <c r="F298" s="14" t="s">
        <v>34</v>
      </c>
      <c r="G298" s="14">
        <v>50110229</v>
      </c>
      <c r="H298" s="14" t="s">
        <v>94</v>
      </c>
      <c r="I298" s="14" t="s">
        <v>1118</v>
      </c>
      <c r="J298" s="14">
        <v>1</v>
      </c>
      <c r="K298" s="14" t="s">
        <v>37</v>
      </c>
      <c r="L298" s="14" t="s">
        <v>48</v>
      </c>
      <c r="M298" s="15" t="s">
        <v>39</v>
      </c>
      <c r="N298" s="15" t="s">
        <v>89</v>
      </c>
      <c r="O298" s="15">
        <v>0</v>
      </c>
      <c r="P298" s="15"/>
      <c r="Q298" s="15"/>
      <c r="R298" s="15"/>
      <c r="S298" s="25">
        <v>45805</v>
      </c>
      <c r="T298" s="25">
        <v>45788</v>
      </c>
      <c r="U298" s="25">
        <v>45799</v>
      </c>
      <c r="V298" s="15" t="s">
        <v>506</v>
      </c>
      <c r="W298" s="15"/>
      <c r="X298" s="27">
        <v>207.82</v>
      </c>
      <c r="Y298" s="27">
        <f>Table2[[#This Row],[PREÇO UNITARIO]]*Table2[[#This Row],[QUANTIDADE]]</f>
        <v>207.82</v>
      </c>
      <c r="Z298" s="15"/>
      <c r="AA298" s="28">
        <f>MONTH(Table2[[#This Row],[DATA PEDIDO HP]])</f>
        <v>4</v>
      </c>
      <c r="AB298" s="32" t="s">
        <v>42</v>
      </c>
      <c r="AC298" s="5">
        <f t="shared" ca="1" si="4"/>
        <v>46232</v>
      </c>
      <c r="AD298" s="331">
        <f ca="1">_xlfn.DAYS(Table2[[#This Row],[HOJE]],Table2[[#This Row],[DATA PEDIDO HP]])</f>
        <v>461</v>
      </c>
      <c r="AE298" s="336" t="s">
        <v>43</v>
      </c>
    </row>
    <row r="299" spans="1:31" ht="14.45" hidden="1">
      <c r="A299" s="269" t="s">
        <v>1119</v>
      </c>
      <c r="B299" s="25">
        <v>45775</v>
      </c>
      <c r="C299" s="26">
        <v>45771</v>
      </c>
      <c r="D299" s="14" t="s">
        <v>1120</v>
      </c>
      <c r="E299" s="14" t="s">
        <v>181</v>
      </c>
      <c r="F299" s="14" t="s">
        <v>34</v>
      </c>
      <c r="G299" s="14">
        <v>50110057</v>
      </c>
      <c r="H299" s="14" t="s">
        <v>1121</v>
      </c>
      <c r="I299" s="14" t="s">
        <v>1122</v>
      </c>
      <c r="J299" s="14">
        <v>2</v>
      </c>
      <c r="K299" s="14" t="s">
        <v>37</v>
      </c>
      <c r="L299" s="14" t="s">
        <v>1123</v>
      </c>
      <c r="M299" s="15" t="s">
        <v>58</v>
      </c>
      <c r="N299" s="15" t="s">
        <v>89</v>
      </c>
      <c r="O299" s="15">
        <v>0</v>
      </c>
      <c r="P299" s="15"/>
      <c r="Q299" s="15"/>
      <c r="R299" s="15"/>
      <c r="S299" s="25">
        <v>45861</v>
      </c>
      <c r="T299" s="25">
        <v>45838</v>
      </c>
      <c r="U299" s="25">
        <v>45859</v>
      </c>
      <c r="V299" s="15" t="s">
        <v>533</v>
      </c>
      <c r="W299" s="15"/>
      <c r="X299" s="27">
        <v>8.51</v>
      </c>
      <c r="Y299" s="27">
        <f>Table2[[#This Row],[PREÇO UNITARIO]]*Table2[[#This Row],[QUANTIDADE]]</f>
        <v>17.02</v>
      </c>
      <c r="Z299" s="15"/>
      <c r="AA299" s="28">
        <f>MONTH(Table2[[#This Row],[DATA PEDIDO HP]])</f>
        <v>4</v>
      </c>
      <c r="AB299" s="32" t="s">
        <v>42</v>
      </c>
      <c r="AC299" s="5">
        <f t="shared" ca="1" si="4"/>
        <v>46232</v>
      </c>
      <c r="AD299" s="331">
        <f ca="1">_xlfn.DAYS(Table2[[#This Row],[HOJE]],Table2[[#This Row],[DATA PEDIDO HP]])</f>
        <v>457</v>
      </c>
      <c r="AE299" s="336" t="s">
        <v>43</v>
      </c>
    </row>
    <row r="300" spans="1:31" ht="14.45" hidden="1">
      <c r="A300" s="269" t="s">
        <v>1119</v>
      </c>
      <c r="B300" s="25">
        <v>45775</v>
      </c>
      <c r="C300" s="26">
        <v>45771</v>
      </c>
      <c r="D300" s="14" t="s">
        <v>1120</v>
      </c>
      <c r="E300" s="14" t="s">
        <v>181</v>
      </c>
      <c r="F300" s="14" t="s">
        <v>34</v>
      </c>
      <c r="G300" s="14">
        <v>50110057</v>
      </c>
      <c r="H300" s="14" t="s">
        <v>1124</v>
      </c>
      <c r="I300" s="14" t="s">
        <v>1125</v>
      </c>
      <c r="J300" s="14">
        <v>1</v>
      </c>
      <c r="K300" s="14" t="s">
        <v>37</v>
      </c>
      <c r="L300" s="14" t="s">
        <v>1123</v>
      </c>
      <c r="M300" s="15" t="s">
        <v>58</v>
      </c>
      <c r="N300" s="15" t="s">
        <v>89</v>
      </c>
      <c r="O300" s="15">
        <v>0</v>
      </c>
      <c r="P300" s="15"/>
      <c r="Q300" s="15"/>
      <c r="R300" s="15"/>
      <c r="S300" s="25">
        <v>45861</v>
      </c>
      <c r="T300" s="25">
        <v>45838</v>
      </c>
      <c r="U300" s="25">
        <v>45859</v>
      </c>
      <c r="V300" s="15" t="s">
        <v>533</v>
      </c>
      <c r="W300" s="15"/>
      <c r="X300" s="27">
        <v>437.67</v>
      </c>
      <c r="Y300" s="27">
        <f>Table2[[#This Row],[PREÇO UNITARIO]]*Table2[[#This Row],[QUANTIDADE]]</f>
        <v>437.67</v>
      </c>
      <c r="Z300" s="15"/>
      <c r="AA300" s="28">
        <f>MONTH(Table2[[#This Row],[DATA PEDIDO HP]])</f>
        <v>4</v>
      </c>
      <c r="AB300" s="32" t="s">
        <v>42</v>
      </c>
      <c r="AC300" s="5">
        <f t="shared" ca="1" si="4"/>
        <v>46232</v>
      </c>
      <c r="AD300" s="331">
        <f ca="1">_xlfn.DAYS(Table2[[#This Row],[HOJE]],Table2[[#This Row],[DATA PEDIDO HP]])</f>
        <v>457</v>
      </c>
      <c r="AE300" s="336" t="s">
        <v>43</v>
      </c>
    </row>
    <row r="301" spans="1:31" ht="14.45" hidden="1">
      <c r="A301" s="269" t="s">
        <v>1119</v>
      </c>
      <c r="B301" s="25">
        <v>45775</v>
      </c>
      <c r="C301" s="26">
        <v>45771</v>
      </c>
      <c r="D301" s="14" t="s">
        <v>1120</v>
      </c>
      <c r="E301" s="14" t="s">
        <v>181</v>
      </c>
      <c r="F301" s="14" t="s">
        <v>34</v>
      </c>
      <c r="G301" s="14">
        <v>50110057</v>
      </c>
      <c r="H301" s="14" t="s">
        <v>879</v>
      </c>
      <c r="I301" s="14" t="s">
        <v>1126</v>
      </c>
      <c r="J301" s="14">
        <v>2</v>
      </c>
      <c r="K301" s="14" t="s">
        <v>37</v>
      </c>
      <c r="L301" s="14" t="s">
        <v>1123</v>
      </c>
      <c r="M301" s="15" t="s">
        <v>58</v>
      </c>
      <c r="N301" s="15" t="s">
        <v>58</v>
      </c>
      <c r="O301" s="15">
        <v>1</v>
      </c>
      <c r="P301" s="15"/>
      <c r="Q301" s="15"/>
      <c r="R301" s="15"/>
      <c r="S301" s="25"/>
      <c r="T301" s="25">
        <v>45838</v>
      </c>
      <c r="U301" s="25">
        <v>45859</v>
      </c>
      <c r="V301" s="15" t="s">
        <v>533</v>
      </c>
      <c r="W301" s="15"/>
      <c r="X301" s="27">
        <v>317.92</v>
      </c>
      <c r="Y301" s="27">
        <f>Table2[[#This Row],[PREÇO UNITARIO]]*Table2[[#This Row],[QUANTIDADE]]</f>
        <v>635.84</v>
      </c>
      <c r="Z301" s="15"/>
      <c r="AA301" s="28">
        <f>MONTH(Table2[[#This Row],[DATA PEDIDO HP]])</f>
        <v>4</v>
      </c>
      <c r="AB301" s="32" t="s">
        <v>42</v>
      </c>
      <c r="AC301" s="5">
        <f t="shared" ca="1" si="4"/>
        <v>46232</v>
      </c>
      <c r="AD301" s="331">
        <f ca="1">_xlfn.DAYS(Table2[[#This Row],[HOJE]],Table2[[#This Row],[DATA PEDIDO HP]])</f>
        <v>457</v>
      </c>
      <c r="AE301" s="5" t="s">
        <v>43</v>
      </c>
    </row>
    <row r="302" spans="1:31" ht="14.45" hidden="1">
      <c r="A302" s="269" t="s">
        <v>1127</v>
      </c>
      <c r="B302" s="25">
        <v>45775</v>
      </c>
      <c r="C302" s="26">
        <v>45775</v>
      </c>
      <c r="D302" s="14" t="s">
        <v>1128</v>
      </c>
      <c r="E302" s="14" t="s">
        <v>202</v>
      </c>
      <c r="F302" s="14" t="s">
        <v>203</v>
      </c>
      <c r="G302" s="14">
        <v>60002072</v>
      </c>
      <c r="H302" s="14" t="s">
        <v>820</v>
      </c>
      <c r="I302" s="14" t="s">
        <v>821</v>
      </c>
      <c r="J302" s="14">
        <v>4</v>
      </c>
      <c r="K302" s="14" t="s">
        <v>67</v>
      </c>
      <c r="L302" s="14" t="s">
        <v>346</v>
      </c>
      <c r="M302" s="15" t="s">
        <v>58</v>
      </c>
      <c r="N302" s="15" t="s">
        <v>89</v>
      </c>
      <c r="O302" s="15">
        <v>0</v>
      </c>
      <c r="P302" s="15"/>
      <c r="Q302" s="15"/>
      <c r="R302" s="15"/>
      <c r="S302" s="25"/>
      <c r="T302" s="25">
        <v>45798</v>
      </c>
      <c r="U302" s="25">
        <v>45821</v>
      </c>
      <c r="V302" s="15" t="s">
        <v>69</v>
      </c>
      <c r="W302" s="15"/>
      <c r="X302" s="27">
        <v>24.99</v>
      </c>
      <c r="Y302" s="27">
        <f>Table2[[#This Row],[PREÇO UNITARIO]]*Table2[[#This Row],[QUANTIDADE]]</f>
        <v>99.96</v>
      </c>
      <c r="Z302" s="15"/>
      <c r="AA302" s="28">
        <f>MONTH(Table2[[#This Row],[DATA PEDIDO HP]])</f>
        <v>4</v>
      </c>
      <c r="AB302" s="32" t="s">
        <v>60</v>
      </c>
      <c r="AC302" s="5">
        <f t="shared" ca="1" si="4"/>
        <v>46232</v>
      </c>
      <c r="AD302" s="331">
        <f ca="1">_xlfn.DAYS(Table2[[#This Row],[HOJE]],Table2[[#This Row],[DATA PEDIDO HP]])</f>
        <v>457</v>
      </c>
      <c r="AE302" s="5" t="s">
        <v>43</v>
      </c>
    </row>
    <row r="303" spans="1:31" ht="14.45" hidden="1">
      <c r="A303" s="269" t="s">
        <v>1129</v>
      </c>
      <c r="B303" s="25">
        <v>45775</v>
      </c>
      <c r="C303" s="26">
        <v>45771</v>
      </c>
      <c r="D303" s="14" t="s">
        <v>1130</v>
      </c>
      <c r="E303" s="14" t="s">
        <v>181</v>
      </c>
      <c r="F303" s="14" t="s">
        <v>34</v>
      </c>
      <c r="G303" s="14">
        <v>50110057</v>
      </c>
      <c r="H303" s="14" t="s">
        <v>1131</v>
      </c>
      <c r="I303" s="14" t="s">
        <v>1132</v>
      </c>
      <c r="J303" s="14">
        <v>1</v>
      </c>
      <c r="K303" s="14" t="s">
        <v>37</v>
      </c>
      <c r="L303" s="14" t="s">
        <v>1123</v>
      </c>
      <c r="M303" s="15" t="s">
        <v>89</v>
      </c>
      <c r="N303" s="15" t="s">
        <v>89</v>
      </c>
      <c r="O303" s="15">
        <v>0</v>
      </c>
      <c r="P303" s="15"/>
      <c r="Q303" s="15"/>
      <c r="R303" s="15"/>
      <c r="S303" s="25">
        <v>45861</v>
      </c>
      <c r="T303" s="25">
        <v>45838</v>
      </c>
      <c r="U303" s="25">
        <v>45859</v>
      </c>
      <c r="V303" s="15" t="s">
        <v>533</v>
      </c>
      <c r="W303" s="15"/>
      <c r="X303" s="27">
        <v>202.65</v>
      </c>
      <c r="Y303" s="27">
        <f>Table2[[#This Row],[PREÇO UNITARIO]]*Table2[[#This Row],[QUANTIDADE]]</f>
        <v>202.65</v>
      </c>
      <c r="Z303" s="15"/>
      <c r="AA303" s="28">
        <f>MONTH(Table2[[#This Row],[DATA PEDIDO HP]])</f>
        <v>4</v>
      </c>
      <c r="AB303" s="32" t="s">
        <v>42</v>
      </c>
      <c r="AC303" s="5">
        <f t="shared" ca="1" si="4"/>
        <v>46232</v>
      </c>
      <c r="AD303" s="331">
        <f ca="1">_xlfn.DAYS(Table2[[#This Row],[HOJE]],Table2[[#This Row],[DATA PEDIDO HP]])</f>
        <v>457</v>
      </c>
      <c r="AE303" s="336" t="s">
        <v>43</v>
      </c>
    </row>
    <row r="304" spans="1:31" ht="14.45" hidden="1">
      <c r="A304" s="269" t="s">
        <v>1133</v>
      </c>
      <c r="B304" s="25">
        <v>45775</v>
      </c>
      <c r="C304" s="26">
        <v>45772</v>
      </c>
      <c r="D304" s="14" t="s">
        <v>1134</v>
      </c>
      <c r="E304" s="14" t="s">
        <v>63</v>
      </c>
      <c r="F304" s="14" t="s">
        <v>55</v>
      </c>
      <c r="G304" s="14">
        <v>44000059</v>
      </c>
      <c r="H304" s="14" t="s">
        <v>1135</v>
      </c>
      <c r="I304" s="14" t="s">
        <v>1136</v>
      </c>
      <c r="J304" s="14">
        <v>1</v>
      </c>
      <c r="K304" s="14" t="s">
        <v>37</v>
      </c>
      <c r="L304" s="14" t="s">
        <v>96</v>
      </c>
      <c r="M304" s="15" t="s">
        <v>89</v>
      </c>
      <c r="N304" s="15" t="s">
        <v>58</v>
      </c>
      <c r="O304" s="15">
        <v>1</v>
      </c>
      <c r="P304" s="15"/>
      <c r="Q304" s="15"/>
      <c r="R304" s="15"/>
      <c r="S304" s="25"/>
      <c r="T304" s="25">
        <v>45838</v>
      </c>
      <c r="U304" s="25">
        <v>45859</v>
      </c>
      <c r="V304" s="15" t="s">
        <v>533</v>
      </c>
      <c r="W304" s="15"/>
      <c r="X304" s="27">
        <v>79.989999999999995</v>
      </c>
      <c r="Y304" s="27">
        <f>Table2[[#This Row],[PREÇO UNITARIO]]*Table2[[#This Row],[QUANTIDADE]]</f>
        <v>79.989999999999995</v>
      </c>
      <c r="Z304" s="15"/>
      <c r="AA304" s="28">
        <f>MONTH(Table2[[#This Row],[DATA PEDIDO HP]])</f>
        <v>4</v>
      </c>
      <c r="AB304" s="32" t="s">
        <v>60</v>
      </c>
      <c r="AC304" s="5">
        <f t="shared" ca="1" si="4"/>
        <v>46232</v>
      </c>
      <c r="AD304" s="331">
        <f ca="1">_xlfn.DAYS(Table2[[#This Row],[HOJE]],Table2[[#This Row],[DATA PEDIDO HP]])</f>
        <v>457</v>
      </c>
      <c r="AE304" s="5" t="s">
        <v>43</v>
      </c>
    </row>
    <row r="305" spans="1:31" ht="14.45" hidden="1">
      <c r="A305" s="269" t="s">
        <v>1137</v>
      </c>
      <c r="B305" s="25">
        <v>45775</v>
      </c>
      <c r="C305" s="26">
        <v>45775</v>
      </c>
      <c r="D305" s="14" t="s">
        <v>1138</v>
      </c>
      <c r="E305" s="14" t="s">
        <v>73</v>
      </c>
      <c r="F305" s="14" t="s">
        <v>34</v>
      </c>
      <c r="G305" s="14">
        <v>50110372</v>
      </c>
      <c r="H305" s="14" t="s">
        <v>265</v>
      </c>
      <c r="I305" s="14" t="s">
        <v>266</v>
      </c>
      <c r="J305" s="14">
        <v>1</v>
      </c>
      <c r="K305" s="14" t="s">
        <v>37</v>
      </c>
      <c r="L305" s="14" t="s">
        <v>346</v>
      </c>
      <c r="M305" s="15" t="s">
        <v>58</v>
      </c>
      <c r="N305" s="15" t="s">
        <v>89</v>
      </c>
      <c r="O305" s="15">
        <v>0</v>
      </c>
      <c r="P305" s="15"/>
      <c r="Q305" s="15"/>
      <c r="R305" s="15"/>
      <c r="S305" s="25">
        <v>45860</v>
      </c>
      <c r="T305" s="25">
        <v>45838</v>
      </c>
      <c r="U305" s="25">
        <v>45859</v>
      </c>
      <c r="V305" s="15" t="s">
        <v>533</v>
      </c>
      <c r="W305" s="15"/>
      <c r="X305" s="27">
        <v>138.81</v>
      </c>
      <c r="Y305" s="27">
        <f>Table2[[#This Row],[PREÇO UNITARIO]]*Table2[[#This Row],[QUANTIDADE]]</f>
        <v>138.81</v>
      </c>
      <c r="Z305" s="15"/>
      <c r="AA305" s="28">
        <f>MONTH(Table2[[#This Row],[DATA PEDIDO HP]])</f>
        <v>4</v>
      </c>
      <c r="AB305" s="32" t="s">
        <v>42</v>
      </c>
      <c r="AC305" s="5">
        <f t="shared" ca="1" si="4"/>
        <v>46232</v>
      </c>
      <c r="AD305" s="331">
        <f ca="1">_xlfn.DAYS(Table2[[#This Row],[HOJE]],Table2[[#This Row],[DATA PEDIDO HP]])</f>
        <v>457</v>
      </c>
      <c r="AE305" s="336" t="s">
        <v>43</v>
      </c>
    </row>
    <row r="306" spans="1:31" ht="14.45" hidden="1">
      <c r="A306" s="269" t="s">
        <v>1139</v>
      </c>
      <c r="B306" s="26">
        <v>45775</v>
      </c>
      <c r="C306" s="26">
        <v>45775</v>
      </c>
      <c r="D306" s="14" t="s">
        <v>1140</v>
      </c>
      <c r="E306" s="14" t="s">
        <v>73</v>
      </c>
      <c r="F306" s="14" t="s">
        <v>203</v>
      </c>
      <c r="G306" s="14">
        <v>60002095</v>
      </c>
      <c r="H306" s="14" t="s">
        <v>1141</v>
      </c>
      <c r="I306" s="14" t="s">
        <v>1142</v>
      </c>
      <c r="J306" s="14">
        <v>1</v>
      </c>
      <c r="K306" s="14" t="s">
        <v>37</v>
      </c>
      <c r="L306" s="14" t="s">
        <v>346</v>
      </c>
      <c r="M306" s="15" t="s">
        <v>58</v>
      </c>
      <c r="N306" s="15" t="s">
        <v>39</v>
      </c>
      <c r="O306" s="15">
        <v>0</v>
      </c>
      <c r="P306" s="15"/>
      <c r="Q306" s="15"/>
      <c r="R306" s="15"/>
      <c r="S306" s="25">
        <v>45860</v>
      </c>
      <c r="T306" s="25">
        <v>45838</v>
      </c>
      <c r="U306" s="25">
        <v>45859</v>
      </c>
      <c r="V306" s="15" t="s">
        <v>533</v>
      </c>
      <c r="W306" s="15"/>
      <c r="X306" s="27">
        <v>62</v>
      </c>
      <c r="Y306" s="27">
        <f>Table2[[#This Row],[PREÇO UNITARIO]]*Table2[[#This Row],[QUANTIDADE]]</f>
        <v>62</v>
      </c>
      <c r="Z306" s="15"/>
      <c r="AA306" s="28">
        <f>MONTH(Table2[[#This Row],[DATA PEDIDO HP]])</f>
        <v>4</v>
      </c>
      <c r="AB306" s="32" t="s">
        <v>42</v>
      </c>
      <c r="AC306" s="5">
        <f t="shared" ca="1" si="4"/>
        <v>46232</v>
      </c>
      <c r="AD306" s="331">
        <f ca="1">_xlfn.DAYS(Table2[[#This Row],[HOJE]],Table2[[#This Row],[DATA PEDIDO HP]])</f>
        <v>457</v>
      </c>
      <c r="AE306" s="336" t="s">
        <v>43</v>
      </c>
    </row>
    <row r="307" spans="1:31" ht="14.45" hidden="1">
      <c r="A307" s="269" t="s">
        <v>1143</v>
      </c>
      <c r="B307" s="26">
        <v>45776</v>
      </c>
      <c r="C307" s="26">
        <v>45776</v>
      </c>
      <c r="D307" s="14" t="s">
        <v>1144</v>
      </c>
      <c r="E307" s="14" t="s">
        <v>982</v>
      </c>
      <c r="F307" s="14" t="s">
        <v>983</v>
      </c>
      <c r="G307" s="14">
        <v>46000018</v>
      </c>
      <c r="H307" s="14" t="s">
        <v>996</v>
      </c>
      <c r="I307" s="14" t="s">
        <v>1145</v>
      </c>
      <c r="J307" s="14">
        <v>1</v>
      </c>
      <c r="K307" s="14" t="s">
        <v>37</v>
      </c>
      <c r="L307" s="14" t="s">
        <v>96</v>
      </c>
      <c r="M307" s="15" t="s">
        <v>58</v>
      </c>
      <c r="N307" s="15" t="s">
        <v>58</v>
      </c>
      <c r="O307" s="15">
        <v>1</v>
      </c>
      <c r="P307" s="15"/>
      <c r="Q307" s="15"/>
      <c r="R307" s="15"/>
      <c r="S307" s="25"/>
      <c r="T307" s="25">
        <v>45838</v>
      </c>
      <c r="U307" s="25">
        <v>45859</v>
      </c>
      <c r="V307" s="15" t="s">
        <v>533</v>
      </c>
      <c r="W307" s="15"/>
      <c r="X307" s="27">
        <v>180.46</v>
      </c>
      <c r="Y307" s="27">
        <f>Table2[[#This Row],[PREÇO UNITARIO]]*Table2[[#This Row],[QUANTIDADE]]</f>
        <v>180.46</v>
      </c>
      <c r="Z307" s="15"/>
      <c r="AA307" s="28">
        <f>MONTH(Table2[[#This Row],[DATA PEDIDO HP]])</f>
        <v>4</v>
      </c>
      <c r="AB307" s="32" t="s">
        <v>60</v>
      </c>
      <c r="AC307" s="5">
        <f t="shared" ca="1" si="4"/>
        <v>46232</v>
      </c>
      <c r="AD307" s="331">
        <f ca="1">_xlfn.DAYS(Table2[[#This Row],[HOJE]],Table2[[#This Row],[DATA PEDIDO HP]])</f>
        <v>456</v>
      </c>
      <c r="AE307" s="5" t="s">
        <v>43</v>
      </c>
    </row>
    <row r="308" spans="1:31" ht="14.45" hidden="1">
      <c r="A308" s="269" t="s">
        <v>1146</v>
      </c>
      <c r="B308" s="26">
        <v>45776</v>
      </c>
      <c r="C308" s="26">
        <v>45776</v>
      </c>
      <c r="D308" s="14" t="s">
        <v>1147</v>
      </c>
      <c r="E308" s="14" t="s">
        <v>33</v>
      </c>
      <c r="F308" s="14" t="s">
        <v>34</v>
      </c>
      <c r="G308" s="14">
        <v>50110193</v>
      </c>
      <c r="H308" s="14" t="s">
        <v>1148</v>
      </c>
      <c r="I308" s="14" t="s">
        <v>1149</v>
      </c>
      <c r="J308" s="14">
        <v>1</v>
      </c>
      <c r="K308" s="14" t="s">
        <v>37</v>
      </c>
      <c r="L308" s="14" t="s">
        <v>96</v>
      </c>
      <c r="M308" s="15" t="s">
        <v>89</v>
      </c>
      <c r="N308" s="15" t="s">
        <v>89</v>
      </c>
      <c r="O308" s="15">
        <v>0</v>
      </c>
      <c r="P308" s="15"/>
      <c r="Q308" s="15"/>
      <c r="R308" s="15" t="s">
        <v>1150</v>
      </c>
      <c r="S308" s="25">
        <v>45903</v>
      </c>
      <c r="T308" s="25">
        <v>45888</v>
      </c>
      <c r="U308" s="25">
        <v>45898</v>
      </c>
      <c r="V308" s="15" t="s">
        <v>420</v>
      </c>
      <c r="W308" s="15"/>
      <c r="X308" s="27">
        <v>639.37</v>
      </c>
      <c r="Y308" s="27">
        <f>Table2[[#This Row],[PREÇO UNITARIO]]*Table2[[#This Row],[QUANTIDADE]]</f>
        <v>639.37</v>
      </c>
      <c r="Z308" s="15"/>
      <c r="AA308" s="28">
        <f>MONTH(Table2[[#This Row],[DATA PEDIDO HP]])</f>
        <v>4</v>
      </c>
      <c r="AB308" s="32" t="s">
        <v>42</v>
      </c>
      <c r="AC308" s="5">
        <f t="shared" ca="1" si="4"/>
        <v>46232</v>
      </c>
      <c r="AD308" s="331">
        <f ca="1">_xlfn.DAYS(Table2[[#This Row],[HOJE]],Table2[[#This Row],[DATA PEDIDO HP]])</f>
        <v>456</v>
      </c>
      <c r="AE308" s="336" t="s">
        <v>43</v>
      </c>
    </row>
    <row r="309" spans="1:31" ht="14.45" hidden="1">
      <c r="A309" s="269" t="s">
        <v>1146</v>
      </c>
      <c r="B309" s="26">
        <v>45776</v>
      </c>
      <c r="C309" s="26">
        <v>45776</v>
      </c>
      <c r="D309" s="14" t="s">
        <v>1147</v>
      </c>
      <c r="E309" s="14" t="s">
        <v>33</v>
      </c>
      <c r="F309" s="14" t="s">
        <v>34</v>
      </c>
      <c r="G309" s="14">
        <v>50110193</v>
      </c>
      <c r="H309" s="14" t="s">
        <v>1151</v>
      </c>
      <c r="I309" s="14" t="s">
        <v>1152</v>
      </c>
      <c r="J309" s="14">
        <v>1</v>
      </c>
      <c r="K309" s="14" t="s">
        <v>37</v>
      </c>
      <c r="L309" s="14" t="s">
        <v>96</v>
      </c>
      <c r="M309" s="15" t="s">
        <v>58</v>
      </c>
      <c r="N309" s="15" t="s">
        <v>89</v>
      </c>
      <c r="O309" s="15">
        <v>0</v>
      </c>
      <c r="P309" s="15"/>
      <c r="Q309" s="15"/>
      <c r="R309" s="15"/>
      <c r="S309" s="25">
        <v>45936</v>
      </c>
      <c r="T309" s="25">
        <v>45927</v>
      </c>
      <c r="U309" s="25">
        <v>45932</v>
      </c>
      <c r="V309" s="15" t="s">
        <v>1153</v>
      </c>
      <c r="W309" s="15"/>
      <c r="X309" s="159">
        <v>453.2</v>
      </c>
      <c r="Y309" s="159">
        <f>Table2[[#This Row],[PREÇO UNITARIO]]*Table2[[#This Row],[QUANTIDADE]]</f>
        <v>453.2</v>
      </c>
      <c r="Z309" s="15"/>
      <c r="AA309" s="28">
        <f>MONTH(Table2[[#This Row],[DATA PEDIDO HP]])</f>
        <v>4</v>
      </c>
      <c r="AB309" s="32" t="s">
        <v>42</v>
      </c>
      <c r="AC309" s="5">
        <f t="shared" ca="1" si="4"/>
        <v>46232</v>
      </c>
      <c r="AD309" s="331">
        <f ca="1">_xlfn.DAYS(Table2[[#This Row],[HOJE]],Table2[[#This Row],[DATA PEDIDO HP]])</f>
        <v>456</v>
      </c>
      <c r="AE309" s="336" t="s">
        <v>43</v>
      </c>
    </row>
    <row r="310" spans="1:31" ht="14.45" hidden="1">
      <c r="A310" s="271" t="s">
        <v>1154</v>
      </c>
      <c r="B310" s="26">
        <v>45777</v>
      </c>
      <c r="C310" s="26">
        <v>45776</v>
      </c>
      <c r="D310" s="14" t="s">
        <v>1155</v>
      </c>
      <c r="E310" s="14" t="s">
        <v>515</v>
      </c>
      <c r="F310" s="14" t="s">
        <v>516</v>
      </c>
      <c r="G310" s="14">
        <v>61000037</v>
      </c>
      <c r="H310" s="14" t="s">
        <v>1156</v>
      </c>
      <c r="I310" s="14" t="s">
        <v>1157</v>
      </c>
      <c r="J310" s="14">
        <v>1</v>
      </c>
      <c r="K310" s="14" t="s">
        <v>37</v>
      </c>
      <c r="L310" s="14" t="s">
        <v>412</v>
      </c>
      <c r="M310" s="15" t="s">
        <v>58</v>
      </c>
      <c r="N310" s="15" t="s">
        <v>58</v>
      </c>
      <c r="O310" s="15">
        <v>1</v>
      </c>
      <c r="P310" s="15"/>
      <c r="Q310" s="15"/>
      <c r="R310" s="15" t="s">
        <v>1158</v>
      </c>
      <c r="S310" s="25"/>
      <c r="T310" s="25">
        <v>45838</v>
      </c>
      <c r="U310" s="25">
        <v>45859</v>
      </c>
      <c r="V310" s="15" t="s">
        <v>533</v>
      </c>
      <c r="W310" s="15"/>
      <c r="X310" s="27">
        <v>478.5</v>
      </c>
      <c r="Y310" s="27">
        <f>Table2[[#This Row],[PREÇO UNITARIO]]*Table2[[#This Row],[QUANTIDADE]]</f>
        <v>478.5</v>
      </c>
      <c r="Z310" s="15"/>
      <c r="AA310" s="28">
        <f>MONTH(Table2[[#This Row],[DATA PEDIDO HP]])</f>
        <v>4</v>
      </c>
      <c r="AB310" s="32" t="s">
        <v>60</v>
      </c>
      <c r="AC310" s="5">
        <f t="shared" ca="1" si="4"/>
        <v>46232</v>
      </c>
      <c r="AD310" s="331">
        <f ca="1">_xlfn.DAYS(Table2[[#This Row],[HOJE]],Table2[[#This Row],[DATA PEDIDO HP]])</f>
        <v>455</v>
      </c>
      <c r="AE310" s="5" t="s">
        <v>43</v>
      </c>
    </row>
    <row r="311" spans="1:31" ht="14.45" hidden="1">
      <c r="A311" s="271" t="s">
        <v>1154</v>
      </c>
      <c r="B311" s="26">
        <v>45777</v>
      </c>
      <c r="C311" s="26">
        <v>45776</v>
      </c>
      <c r="D311" s="14" t="s">
        <v>1155</v>
      </c>
      <c r="E311" s="14" t="s">
        <v>515</v>
      </c>
      <c r="F311" s="14" t="s">
        <v>516</v>
      </c>
      <c r="G311" s="14">
        <v>61000037</v>
      </c>
      <c r="H311" s="14" t="s">
        <v>1159</v>
      </c>
      <c r="I311" s="14" t="s">
        <v>1160</v>
      </c>
      <c r="J311" s="14">
        <v>1</v>
      </c>
      <c r="K311" s="14" t="s">
        <v>37</v>
      </c>
      <c r="L311" s="14" t="s">
        <v>412</v>
      </c>
      <c r="M311" s="15" t="s">
        <v>39</v>
      </c>
      <c r="N311" s="15" t="s">
        <v>58</v>
      </c>
      <c r="O311" s="15">
        <v>1</v>
      </c>
      <c r="P311" s="15"/>
      <c r="Q311" s="15"/>
      <c r="R311" s="15"/>
      <c r="S311" s="25"/>
      <c r="T311" s="25">
        <v>45838</v>
      </c>
      <c r="U311" s="25">
        <v>45859</v>
      </c>
      <c r="V311" s="15" t="s">
        <v>533</v>
      </c>
      <c r="W311" s="15"/>
      <c r="X311" s="27">
        <v>1026.07</v>
      </c>
      <c r="Y311" s="27">
        <f>Table2[[#This Row],[PREÇO UNITARIO]]*Table2[[#This Row],[QUANTIDADE]]</f>
        <v>1026.07</v>
      </c>
      <c r="Z311" s="15"/>
      <c r="AA311" s="28">
        <f>MONTH(Table2[[#This Row],[DATA PEDIDO HP]])</f>
        <v>4</v>
      </c>
      <c r="AB311" s="32" t="s">
        <v>60</v>
      </c>
      <c r="AC311" s="5">
        <f t="shared" ca="1" si="4"/>
        <v>46232</v>
      </c>
      <c r="AD311" s="331">
        <f ca="1">_xlfn.DAYS(Table2[[#This Row],[HOJE]],Table2[[#This Row],[DATA PEDIDO HP]])</f>
        <v>455</v>
      </c>
      <c r="AE311" s="5" t="s">
        <v>43</v>
      </c>
    </row>
    <row r="312" spans="1:31" ht="14.45" hidden="1">
      <c r="A312" s="271" t="s">
        <v>1161</v>
      </c>
      <c r="B312" s="25">
        <v>45782</v>
      </c>
      <c r="C312" s="26">
        <v>45779</v>
      </c>
      <c r="D312" s="14" t="s">
        <v>1162</v>
      </c>
      <c r="E312" s="14" t="s">
        <v>109</v>
      </c>
      <c r="F312" s="14" t="s">
        <v>34</v>
      </c>
      <c r="G312" s="14">
        <v>50110229</v>
      </c>
      <c r="H312" s="14" t="s">
        <v>330</v>
      </c>
      <c r="I312" s="14" t="s">
        <v>1163</v>
      </c>
      <c r="J312" s="14">
        <v>1</v>
      </c>
      <c r="K312" s="14" t="s">
        <v>37</v>
      </c>
      <c r="L312" s="14" t="s">
        <v>48</v>
      </c>
      <c r="M312" s="15" t="s">
        <v>89</v>
      </c>
      <c r="N312" s="15" t="s">
        <v>39</v>
      </c>
      <c r="O312" s="15">
        <v>1</v>
      </c>
      <c r="P312" s="15"/>
      <c r="Q312" s="15"/>
      <c r="R312" s="15"/>
      <c r="S312" s="25">
        <v>45861</v>
      </c>
      <c r="T312" s="25">
        <v>45838</v>
      </c>
      <c r="U312" s="25">
        <v>45859</v>
      </c>
      <c r="V312" s="15" t="s">
        <v>533</v>
      </c>
      <c r="W312" s="15"/>
      <c r="X312" s="27">
        <v>35.19</v>
      </c>
      <c r="Y312" s="27">
        <f>Table2[[#This Row],[PREÇO UNITARIO]]*Table2[[#This Row],[QUANTIDADE]]</f>
        <v>35.19</v>
      </c>
      <c r="Z312" s="15"/>
      <c r="AA312" s="28">
        <f>MONTH(Table2[[#This Row],[DATA PEDIDO HP]])</f>
        <v>5</v>
      </c>
      <c r="AB312" s="32" t="s">
        <v>42</v>
      </c>
      <c r="AC312" s="5">
        <f t="shared" ca="1" si="4"/>
        <v>46232</v>
      </c>
      <c r="AD312" s="331">
        <f ca="1">_xlfn.DAYS(Table2[[#This Row],[HOJE]],Table2[[#This Row],[DATA PEDIDO HP]])</f>
        <v>450</v>
      </c>
      <c r="AE312" s="336" t="s">
        <v>43</v>
      </c>
    </row>
    <row r="313" spans="1:31" ht="14.45" hidden="1">
      <c r="A313" s="271" t="s">
        <v>1164</v>
      </c>
      <c r="B313" s="25">
        <v>45782</v>
      </c>
      <c r="C313" s="26">
        <v>45779</v>
      </c>
      <c r="D313" s="14" t="s">
        <v>1165</v>
      </c>
      <c r="E313" s="14" t="s">
        <v>109</v>
      </c>
      <c r="F313" s="14" t="s">
        <v>34</v>
      </c>
      <c r="G313" s="14">
        <v>50110229</v>
      </c>
      <c r="H313" s="14" t="s">
        <v>75</v>
      </c>
      <c r="I313" s="14" t="s">
        <v>1166</v>
      </c>
      <c r="J313" s="14">
        <v>1</v>
      </c>
      <c r="K313" s="14" t="s">
        <v>37</v>
      </c>
      <c r="L313" s="14" t="s">
        <v>48</v>
      </c>
      <c r="M313" s="15" t="s">
        <v>39</v>
      </c>
      <c r="N313" s="15" t="s">
        <v>58</v>
      </c>
      <c r="O313" s="15">
        <v>1</v>
      </c>
      <c r="P313" s="15"/>
      <c r="Q313" s="15"/>
      <c r="R313" s="15"/>
      <c r="S313" s="25"/>
      <c r="T313" s="25">
        <v>45888</v>
      </c>
      <c r="U313" s="25">
        <v>45898</v>
      </c>
      <c r="V313" s="15" t="s">
        <v>420</v>
      </c>
      <c r="W313" s="15"/>
      <c r="X313" s="27">
        <v>1187.4100000000001</v>
      </c>
      <c r="Y313" s="27">
        <f>Table2[[#This Row],[PREÇO UNITARIO]]*Table2[[#This Row],[QUANTIDADE]]</f>
        <v>1187.4100000000001</v>
      </c>
      <c r="Z313" s="15"/>
      <c r="AA313" s="28">
        <f>MONTH(Table2[[#This Row],[DATA PEDIDO HP]])</f>
        <v>5</v>
      </c>
      <c r="AB313" s="32" t="s">
        <v>42</v>
      </c>
      <c r="AC313" s="5">
        <f t="shared" ca="1" si="4"/>
        <v>46232</v>
      </c>
      <c r="AD313" s="331">
        <f ca="1">_xlfn.DAYS(Table2[[#This Row],[HOJE]],Table2[[#This Row],[DATA PEDIDO HP]])</f>
        <v>450</v>
      </c>
      <c r="AE313" s="5" t="s">
        <v>43</v>
      </c>
    </row>
    <row r="314" spans="1:31" ht="14.45" hidden="1">
      <c r="A314" s="271" t="s">
        <v>1167</v>
      </c>
      <c r="B314" s="25">
        <v>45782</v>
      </c>
      <c r="C314" s="25">
        <v>45782</v>
      </c>
      <c r="D314" s="14" t="s">
        <v>1168</v>
      </c>
      <c r="E314" s="14" t="s">
        <v>1169</v>
      </c>
      <c r="F314" s="14" t="s">
        <v>173</v>
      </c>
      <c r="G314" s="14">
        <v>48300400</v>
      </c>
      <c r="H314" s="14" t="s">
        <v>280</v>
      </c>
      <c r="I314" s="14" t="s">
        <v>1170</v>
      </c>
      <c r="J314" s="14">
        <v>1</v>
      </c>
      <c r="K314" s="14" t="s">
        <v>37</v>
      </c>
      <c r="L314" s="14" t="s">
        <v>1171</v>
      </c>
      <c r="M314" s="15" t="s">
        <v>58</v>
      </c>
      <c r="N314" s="15" t="s">
        <v>58</v>
      </c>
      <c r="O314" s="15">
        <v>1</v>
      </c>
      <c r="P314" s="15"/>
      <c r="Q314" s="15"/>
      <c r="R314" s="15"/>
      <c r="S314" s="25"/>
      <c r="T314" s="25">
        <v>45838</v>
      </c>
      <c r="U314" s="25">
        <v>45859</v>
      </c>
      <c r="V314" s="15" t="s">
        <v>533</v>
      </c>
      <c r="W314" s="15"/>
      <c r="X314" s="27">
        <v>341.82</v>
      </c>
      <c r="Y314" s="27">
        <f>Table2[[#This Row],[PREÇO UNITARIO]]*Table2[[#This Row],[QUANTIDADE]]</f>
        <v>341.82</v>
      </c>
      <c r="Z314" s="15"/>
      <c r="AA314" s="28">
        <f>MONTH(Table2[[#This Row],[DATA PEDIDO HP]])</f>
        <v>5</v>
      </c>
      <c r="AB314" s="32" t="s">
        <v>60</v>
      </c>
      <c r="AC314" s="5">
        <f t="shared" ca="1" si="4"/>
        <v>46232</v>
      </c>
      <c r="AD314" s="331">
        <f ca="1">_xlfn.DAYS(Table2[[#This Row],[HOJE]],Table2[[#This Row],[DATA PEDIDO HP]])</f>
        <v>450</v>
      </c>
      <c r="AE314" s="5" t="s">
        <v>43</v>
      </c>
    </row>
    <row r="315" spans="1:31" ht="14.45" hidden="1">
      <c r="A315" s="271" t="s">
        <v>1172</v>
      </c>
      <c r="B315" s="25">
        <v>45782</v>
      </c>
      <c r="C315" s="26">
        <v>45777</v>
      </c>
      <c r="D315" s="14" t="s">
        <v>1173</v>
      </c>
      <c r="E315" s="14" t="s">
        <v>109</v>
      </c>
      <c r="F315" s="14" t="s">
        <v>34</v>
      </c>
      <c r="G315" s="14">
        <v>50110229</v>
      </c>
      <c r="H315" s="14" t="s">
        <v>1174</v>
      </c>
      <c r="I315" s="14" t="s">
        <v>1175</v>
      </c>
      <c r="J315" s="14">
        <v>2</v>
      </c>
      <c r="K315" s="14" t="s">
        <v>37</v>
      </c>
      <c r="L315" s="14" t="s">
        <v>48</v>
      </c>
      <c r="M315" s="15" t="s">
        <v>58</v>
      </c>
      <c r="N315" s="15" t="s">
        <v>89</v>
      </c>
      <c r="O315" s="15">
        <v>0</v>
      </c>
      <c r="P315" s="15"/>
      <c r="Q315" s="15"/>
      <c r="R315" s="15"/>
      <c r="S315" s="25">
        <v>45861</v>
      </c>
      <c r="T315" s="25">
        <v>45838</v>
      </c>
      <c r="U315" s="25">
        <v>45859</v>
      </c>
      <c r="V315" s="15" t="s">
        <v>533</v>
      </c>
      <c r="W315" s="15"/>
      <c r="X315" s="27">
        <v>305.67</v>
      </c>
      <c r="Y315" s="27">
        <f>Table2[[#This Row],[PREÇO UNITARIO]]*Table2[[#This Row],[QUANTIDADE]]</f>
        <v>611.34</v>
      </c>
      <c r="Z315" s="15"/>
      <c r="AA315" s="28">
        <f>MONTH(Table2[[#This Row],[DATA PEDIDO HP]])</f>
        <v>5</v>
      </c>
      <c r="AB315" s="32" t="s">
        <v>42</v>
      </c>
      <c r="AC315" s="5">
        <f t="shared" ca="1" si="4"/>
        <v>46232</v>
      </c>
      <c r="AD315" s="331">
        <f ca="1">_xlfn.DAYS(Table2[[#This Row],[HOJE]],Table2[[#This Row],[DATA PEDIDO HP]])</f>
        <v>450</v>
      </c>
      <c r="AE315" s="336" t="s">
        <v>43</v>
      </c>
    </row>
    <row r="316" spans="1:31" ht="14.45" hidden="1">
      <c r="A316" s="271" t="s">
        <v>1176</v>
      </c>
      <c r="B316" s="25">
        <v>45782</v>
      </c>
      <c r="C316" s="26">
        <v>45782</v>
      </c>
      <c r="D316" s="14" t="s">
        <v>1177</v>
      </c>
      <c r="E316" s="14" t="s">
        <v>109</v>
      </c>
      <c r="F316" s="14" t="s">
        <v>34</v>
      </c>
      <c r="G316" s="14">
        <v>50110229</v>
      </c>
      <c r="H316" s="14" t="s">
        <v>1178</v>
      </c>
      <c r="I316" s="14" t="s">
        <v>1179</v>
      </c>
      <c r="J316" s="14">
        <v>1</v>
      </c>
      <c r="K316" s="14" t="s">
        <v>37</v>
      </c>
      <c r="L316" s="14" t="s">
        <v>48</v>
      </c>
      <c r="M316" s="15" t="s">
        <v>58</v>
      </c>
      <c r="N316" s="15" t="s">
        <v>58</v>
      </c>
      <c r="O316" s="15">
        <v>1</v>
      </c>
      <c r="P316" s="15"/>
      <c r="Q316" s="15"/>
      <c r="R316" s="15"/>
      <c r="S316" s="25"/>
      <c r="T316" s="25">
        <v>45888</v>
      </c>
      <c r="U316" s="25">
        <v>45898</v>
      </c>
      <c r="V316" s="15" t="s">
        <v>420</v>
      </c>
      <c r="W316" s="15"/>
      <c r="X316" s="27">
        <v>604.77</v>
      </c>
      <c r="Y316" s="27">
        <f>Table2[[#This Row],[PREÇO UNITARIO]]*Table2[[#This Row],[QUANTIDADE]]</f>
        <v>604.77</v>
      </c>
      <c r="Z316" s="15"/>
      <c r="AA316" s="28">
        <f>MONTH(Table2[[#This Row],[DATA PEDIDO HP]])</f>
        <v>5</v>
      </c>
      <c r="AB316" s="32" t="s">
        <v>42</v>
      </c>
      <c r="AC316" s="5">
        <f t="shared" ca="1" si="4"/>
        <v>46232</v>
      </c>
      <c r="AD316" s="331">
        <f ca="1">_xlfn.DAYS(Table2[[#This Row],[HOJE]],Table2[[#This Row],[DATA PEDIDO HP]])</f>
        <v>450</v>
      </c>
      <c r="AE316" s="5" t="s">
        <v>43</v>
      </c>
    </row>
    <row r="317" spans="1:31" ht="14.45" hidden="1">
      <c r="A317" s="271" t="s">
        <v>1180</v>
      </c>
      <c r="B317" s="25">
        <v>45782</v>
      </c>
      <c r="C317" s="26">
        <v>45782</v>
      </c>
      <c r="D317" s="14" t="s">
        <v>1181</v>
      </c>
      <c r="E317" s="14" t="s">
        <v>73</v>
      </c>
      <c r="F317" s="14" t="s">
        <v>203</v>
      </c>
      <c r="G317" s="14">
        <v>60002095</v>
      </c>
      <c r="H317" s="14" t="s">
        <v>446</v>
      </c>
      <c r="I317" s="14" t="s">
        <v>1182</v>
      </c>
      <c r="J317" s="14">
        <v>1</v>
      </c>
      <c r="K317" s="14" t="s">
        <v>37</v>
      </c>
      <c r="L317" s="14" t="s">
        <v>96</v>
      </c>
      <c r="M317" s="15" t="s">
        <v>58</v>
      </c>
      <c r="N317" s="15" t="s">
        <v>58</v>
      </c>
      <c r="O317" s="15">
        <v>1</v>
      </c>
      <c r="P317" s="15"/>
      <c r="Q317" s="15"/>
      <c r="R317" s="15"/>
      <c r="S317" s="25"/>
      <c r="T317" s="25">
        <v>45838</v>
      </c>
      <c r="U317" s="25">
        <v>45859</v>
      </c>
      <c r="V317" s="15" t="s">
        <v>533</v>
      </c>
      <c r="W317" s="15"/>
      <c r="X317" s="27">
        <v>83.29</v>
      </c>
      <c r="Y317" s="27">
        <f>Table2[[#This Row],[PREÇO UNITARIO]]*Table2[[#This Row],[QUANTIDADE]]</f>
        <v>83.29</v>
      </c>
      <c r="Z317" s="15"/>
      <c r="AA317" s="28">
        <f>MONTH(Table2[[#This Row],[DATA PEDIDO HP]])</f>
        <v>5</v>
      </c>
      <c r="AB317" s="32" t="s">
        <v>42</v>
      </c>
      <c r="AC317" s="5">
        <f t="shared" ca="1" si="4"/>
        <v>46232</v>
      </c>
      <c r="AD317" s="331">
        <f ca="1">_xlfn.DAYS(Table2[[#This Row],[HOJE]],Table2[[#This Row],[DATA PEDIDO HP]])</f>
        <v>450</v>
      </c>
      <c r="AE317" s="5" t="s">
        <v>43</v>
      </c>
    </row>
    <row r="318" spans="1:31" ht="14.45" hidden="1">
      <c r="A318" s="271" t="s">
        <v>1183</v>
      </c>
      <c r="B318" s="26">
        <v>45782</v>
      </c>
      <c r="C318" s="26">
        <v>45782</v>
      </c>
      <c r="D318" s="14" t="s">
        <v>1184</v>
      </c>
      <c r="E318" s="14" t="s">
        <v>109</v>
      </c>
      <c r="F318" s="14" t="s">
        <v>34</v>
      </c>
      <c r="G318" s="14">
        <v>50110229</v>
      </c>
      <c r="H318" s="14" t="s">
        <v>1185</v>
      </c>
      <c r="I318" s="14" t="s">
        <v>1186</v>
      </c>
      <c r="J318" s="14">
        <v>1</v>
      </c>
      <c r="K318" s="14" t="s">
        <v>37</v>
      </c>
      <c r="L318" s="14" t="s">
        <v>48</v>
      </c>
      <c r="M318" s="15" t="s">
        <v>89</v>
      </c>
      <c r="N318" s="15" t="s">
        <v>39</v>
      </c>
      <c r="O318" s="15">
        <v>0</v>
      </c>
      <c r="P318" s="15"/>
      <c r="Q318" s="15"/>
      <c r="R318" s="15"/>
      <c r="S318" s="25">
        <v>45861</v>
      </c>
      <c r="T318" s="25">
        <v>45838</v>
      </c>
      <c r="U318" s="25">
        <v>45859</v>
      </c>
      <c r="V318" s="15" t="s">
        <v>533</v>
      </c>
      <c r="W318" s="15"/>
      <c r="X318" s="27">
        <v>16.329999999999998</v>
      </c>
      <c r="Y318" s="27">
        <f>Table2[[#This Row],[PREÇO UNITARIO]]*Table2[[#This Row],[QUANTIDADE]]</f>
        <v>16.329999999999998</v>
      </c>
      <c r="Z318" s="15"/>
      <c r="AA318" s="28">
        <f>MONTH(Table2[[#This Row],[DATA PEDIDO HP]])</f>
        <v>5</v>
      </c>
      <c r="AB318" s="32" t="s">
        <v>42</v>
      </c>
      <c r="AC318" s="5">
        <f t="shared" ca="1" si="4"/>
        <v>46232</v>
      </c>
      <c r="AD318" s="331">
        <f ca="1">_xlfn.DAYS(Table2[[#This Row],[HOJE]],Table2[[#This Row],[DATA PEDIDO HP]])</f>
        <v>450</v>
      </c>
      <c r="AE318" s="336" t="s">
        <v>43</v>
      </c>
    </row>
    <row r="319" spans="1:31" ht="14.45" hidden="1">
      <c r="A319" s="271" t="s">
        <v>1183</v>
      </c>
      <c r="B319" s="26">
        <v>45782</v>
      </c>
      <c r="C319" s="26">
        <v>45782</v>
      </c>
      <c r="D319" s="14" t="s">
        <v>1184</v>
      </c>
      <c r="E319" s="14" t="s">
        <v>109</v>
      </c>
      <c r="F319" s="14" t="s">
        <v>34</v>
      </c>
      <c r="G319" s="14">
        <v>50110229</v>
      </c>
      <c r="H319" s="14" t="s">
        <v>1187</v>
      </c>
      <c r="I319" s="14" t="s">
        <v>1188</v>
      </c>
      <c r="J319" s="14">
        <v>1</v>
      </c>
      <c r="K319" s="14" t="s">
        <v>37</v>
      </c>
      <c r="L319" s="14" t="s">
        <v>48</v>
      </c>
      <c r="M319" s="15" t="s">
        <v>39</v>
      </c>
      <c r="N319" s="15" t="s">
        <v>39</v>
      </c>
      <c r="O319" s="15">
        <v>1</v>
      </c>
      <c r="P319" s="15"/>
      <c r="Q319" s="15"/>
      <c r="R319" s="15"/>
      <c r="S319" s="25">
        <v>45861</v>
      </c>
      <c r="T319" s="25">
        <v>45838</v>
      </c>
      <c r="U319" s="25">
        <v>45859</v>
      </c>
      <c r="V319" s="15" t="s">
        <v>533</v>
      </c>
      <c r="W319" s="15"/>
      <c r="X319" s="27">
        <v>12.09</v>
      </c>
      <c r="Y319" s="27">
        <f>Table2[[#This Row],[PREÇO UNITARIO]]*Table2[[#This Row],[QUANTIDADE]]</f>
        <v>12.09</v>
      </c>
      <c r="Z319" s="15"/>
      <c r="AA319" s="28">
        <f>MONTH(Table2[[#This Row],[DATA PEDIDO HP]])</f>
        <v>5</v>
      </c>
      <c r="AB319" s="32" t="s">
        <v>42</v>
      </c>
      <c r="AC319" s="5">
        <f t="shared" ca="1" si="4"/>
        <v>46232</v>
      </c>
      <c r="AD319" s="331">
        <f ca="1">_xlfn.DAYS(Table2[[#This Row],[HOJE]],Table2[[#This Row],[DATA PEDIDO HP]])</f>
        <v>450</v>
      </c>
      <c r="AE319" s="336" t="s">
        <v>43</v>
      </c>
    </row>
    <row r="320" spans="1:31" ht="14.45" hidden="1">
      <c r="A320" s="271" t="s">
        <v>1183</v>
      </c>
      <c r="B320" s="26">
        <v>45782</v>
      </c>
      <c r="C320" s="26">
        <v>45782</v>
      </c>
      <c r="D320" s="14" t="s">
        <v>1184</v>
      </c>
      <c r="E320" s="14" t="s">
        <v>109</v>
      </c>
      <c r="F320" s="14" t="s">
        <v>34</v>
      </c>
      <c r="G320" s="14">
        <v>50110229</v>
      </c>
      <c r="H320" s="14" t="s">
        <v>1189</v>
      </c>
      <c r="I320" s="14" t="s">
        <v>1190</v>
      </c>
      <c r="J320" s="14">
        <v>1</v>
      </c>
      <c r="K320" s="14" t="s">
        <v>37</v>
      </c>
      <c r="L320" s="14" t="s">
        <v>48</v>
      </c>
      <c r="M320" s="15" t="s">
        <v>39</v>
      </c>
      <c r="N320" s="15" t="s">
        <v>39</v>
      </c>
      <c r="O320" s="15">
        <v>1</v>
      </c>
      <c r="P320" s="15"/>
      <c r="Q320" s="15"/>
      <c r="R320" s="15"/>
      <c r="S320" s="25">
        <v>45861</v>
      </c>
      <c r="T320" s="25">
        <v>45838</v>
      </c>
      <c r="U320" s="25">
        <v>45859</v>
      </c>
      <c r="V320" s="15" t="s">
        <v>533</v>
      </c>
      <c r="W320" s="15"/>
      <c r="X320" s="27">
        <v>16.329999999999998</v>
      </c>
      <c r="Y320" s="27">
        <f>Table2[[#This Row],[PREÇO UNITARIO]]*Table2[[#This Row],[QUANTIDADE]]</f>
        <v>16.329999999999998</v>
      </c>
      <c r="Z320" s="15"/>
      <c r="AA320" s="28">
        <f>MONTH(Table2[[#This Row],[DATA PEDIDO HP]])</f>
        <v>5</v>
      </c>
      <c r="AB320" s="32" t="s">
        <v>42</v>
      </c>
      <c r="AC320" s="5">
        <f t="shared" ca="1" si="4"/>
        <v>46232</v>
      </c>
      <c r="AD320" s="331">
        <f ca="1">_xlfn.DAYS(Table2[[#This Row],[HOJE]],Table2[[#This Row],[DATA PEDIDO HP]])</f>
        <v>450</v>
      </c>
      <c r="AE320" s="336" t="s">
        <v>43</v>
      </c>
    </row>
    <row r="321" spans="1:31" ht="14.45" hidden="1">
      <c r="A321" s="271" t="s">
        <v>1191</v>
      </c>
      <c r="B321" s="26">
        <v>45783</v>
      </c>
      <c r="C321" s="26">
        <v>45783</v>
      </c>
      <c r="D321" s="14" t="s">
        <v>1192</v>
      </c>
      <c r="E321" s="14" t="s">
        <v>109</v>
      </c>
      <c r="F321" s="14" t="s">
        <v>34</v>
      </c>
      <c r="G321" s="14">
        <v>50110229</v>
      </c>
      <c r="H321" s="14" t="s">
        <v>1193</v>
      </c>
      <c r="I321" s="14" t="s">
        <v>1194</v>
      </c>
      <c r="J321" s="14">
        <v>1</v>
      </c>
      <c r="K321" s="14" t="s">
        <v>67</v>
      </c>
      <c r="L321" s="14" t="s">
        <v>217</v>
      </c>
      <c r="M321" s="15" t="s">
        <v>58</v>
      </c>
      <c r="N321" s="15" t="s">
        <v>89</v>
      </c>
      <c r="O321" s="15">
        <v>0</v>
      </c>
      <c r="P321" s="15"/>
      <c r="Q321" s="15"/>
      <c r="R321" s="15"/>
      <c r="S321" s="25">
        <v>45861</v>
      </c>
      <c r="T321" s="25">
        <v>45838</v>
      </c>
      <c r="U321" s="25">
        <v>45859</v>
      </c>
      <c r="V321" s="15" t="s">
        <v>533</v>
      </c>
      <c r="W321" s="15"/>
      <c r="X321" s="27">
        <v>18.78</v>
      </c>
      <c r="Y321" s="27">
        <f>Table2[[#This Row],[PREÇO UNITARIO]]*Table2[[#This Row],[QUANTIDADE]]</f>
        <v>18.78</v>
      </c>
      <c r="Z321" s="15"/>
      <c r="AA321" s="28">
        <f>MONTH(Table2[[#This Row],[DATA PEDIDO HP]])</f>
        <v>5</v>
      </c>
      <c r="AB321" s="32" t="s">
        <v>42</v>
      </c>
      <c r="AC321" s="5">
        <f t="shared" ca="1" si="4"/>
        <v>46232</v>
      </c>
      <c r="AD321" s="331">
        <f ca="1">_xlfn.DAYS(Table2[[#This Row],[HOJE]],Table2[[#This Row],[DATA PEDIDO HP]])</f>
        <v>449</v>
      </c>
      <c r="AE321" s="336" t="s">
        <v>43</v>
      </c>
    </row>
    <row r="322" spans="1:31" ht="14.45" hidden="1">
      <c r="A322" s="271" t="s">
        <v>1195</v>
      </c>
      <c r="B322" s="26">
        <v>45783</v>
      </c>
      <c r="C322" s="26">
        <v>45782</v>
      </c>
      <c r="D322" s="14"/>
      <c r="E322" s="14" t="s">
        <v>1196</v>
      </c>
      <c r="F322" s="14" t="s">
        <v>1197</v>
      </c>
      <c r="G322" s="14">
        <v>51100064</v>
      </c>
      <c r="H322" s="14"/>
      <c r="I322" s="14"/>
      <c r="J322" s="14">
        <v>1</v>
      </c>
      <c r="K322" s="14"/>
      <c r="L322" s="14"/>
      <c r="M322" s="15" t="s">
        <v>58</v>
      </c>
      <c r="N322" s="15" t="s">
        <v>384</v>
      </c>
      <c r="O322" s="15">
        <v>1</v>
      </c>
      <c r="P322" s="15"/>
      <c r="Q322" s="15"/>
      <c r="R322" s="15"/>
      <c r="S322" s="25"/>
      <c r="T322" s="25">
        <v>45838</v>
      </c>
      <c r="U322" s="25">
        <v>45859</v>
      </c>
      <c r="V322" s="15" t="s">
        <v>533</v>
      </c>
      <c r="W322" s="15"/>
      <c r="X322" s="27"/>
      <c r="Y322" s="27"/>
      <c r="Z322" s="14" t="s">
        <v>1198</v>
      </c>
      <c r="AA322" s="28">
        <f>MONTH(Table2[[#This Row],[DATA PEDIDO HP]])</f>
        <v>5</v>
      </c>
      <c r="AB322" s="32"/>
      <c r="AC322" s="5">
        <f t="shared" ref="AC322:AC385" ca="1" si="5">TODAY()</f>
        <v>46232</v>
      </c>
      <c r="AD322" s="331">
        <f ca="1">_xlfn.DAYS(Table2[[#This Row],[HOJE]],Table2[[#This Row],[DATA PEDIDO HP]])</f>
        <v>449</v>
      </c>
      <c r="AE322" s="5" t="s">
        <v>43</v>
      </c>
    </row>
    <row r="323" spans="1:31" ht="14.45" hidden="1">
      <c r="A323" s="271" t="s">
        <v>1199</v>
      </c>
      <c r="B323" s="26">
        <v>45783</v>
      </c>
      <c r="C323" s="26">
        <v>45783</v>
      </c>
      <c r="D323" s="14" t="s">
        <v>1200</v>
      </c>
      <c r="E323" s="14" t="s">
        <v>63</v>
      </c>
      <c r="F323" s="14" t="s">
        <v>64</v>
      </c>
      <c r="G323" s="14">
        <v>48000432</v>
      </c>
      <c r="H323" s="14" t="s">
        <v>1201</v>
      </c>
      <c r="I323" s="14" t="s">
        <v>1001</v>
      </c>
      <c r="J323" s="14">
        <v>1</v>
      </c>
      <c r="K323" s="14" t="s">
        <v>37</v>
      </c>
      <c r="L323" s="14" t="s">
        <v>96</v>
      </c>
      <c r="M323" s="15" t="s">
        <v>58</v>
      </c>
      <c r="N323" s="15" t="s">
        <v>39</v>
      </c>
      <c r="O323" s="15">
        <v>0</v>
      </c>
      <c r="P323" s="15"/>
      <c r="Q323" s="15"/>
      <c r="R323" s="15"/>
      <c r="S323" s="25"/>
      <c r="T323" s="25">
        <v>45838</v>
      </c>
      <c r="U323" s="25">
        <v>45859</v>
      </c>
      <c r="V323" s="15" t="s">
        <v>533</v>
      </c>
      <c r="W323" s="15"/>
      <c r="X323" s="27">
        <v>129.01</v>
      </c>
      <c r="Y323" s="27">
        <f>Table2[[#This Row],[PREÇO UNITARIO]]*Table2[[#This Row],[QUANTIDADE]]</f>
        <v>129.01</v>
      </c>
      <c r="Z323" s="15"/>
      <c r="AA323" s="28">
        <f>MONTH(Table2[[#This Row],[DATA PEDIDO HP]])</f>
        <v>5</v>
      </c>
      <c r="AB323" s="32" t="s">
        <v>60</v>
      </c>
      <c r="AC323" s="5">
        <f t="shared" ca="1" si="5"/>
        <v>46232</v>
      </c>
      <c r="AD323" s="331">
        <f ca="1">_xlfn.DAYS(Table2[[#This Row],[HOJE]],Table2[[#This Row],[DATA PEDIDO HP]])</f>
        <v>449</v>
      </c>
      <c r="AE323" s="5" t="s">
        <v>43</v>
      </c>
    </row>
    <row r="324" spans="1:31" ht="14.45" hidden="1">
      <c r="A324" s="271" t="s">
        <v>1202</v>
      </c>
      <c r="B324" s="26">
        <v>45784</v>
      </c>
      <c r="C324" s="26">
        <v>45784</v>
      </c>
      <c r="D324" s="14" t="s">
        <v>1203</v>
      </c>
      <c r="E324" s="14" t="s">
        <v>445</v>
      </c>
      <c r="F324" s="14" t="s">
        <v>74</v>
      </c>
      <c r="G324" s="14">
        <v>50000351</v>
      </c>
      <c r="H324" s="14" t="s">
        <v>1204</v>
      </c>
      <c r="I324" s="14" t="s">
        <v>1205</v>
      </c>
      <c r="J324" s="14">
        <v>5</v>
      </c>
      <c r="K324" s="14" t="s">
        <v>37</v>
      </c>
      <c r="L324" s="14" t="s">
        <v>363</v>
      </c>
      <c r="M324" s="15" t="s">
        <v>58</v>
      </c>
      <c r="N324" s="15" t="s">
        <v>58</v>
      </c>
      <c r="O324" s="15">
        <v>5</v>
      </c>
      <c r="P324" s="15"/>
      <c r="Q324" s="15"/>
      <c r="R324" s="15"/>
      <c r="S324" s="25"/>
      <c r="T324" s="25">
        <v>45838</v>
      </c>
      <c r="U324" s="25">
        <v>45859</v>
      </c>
      <c r="V324" s="15" t="s">
        <v>533</v>
      </c>
      <c r="W324" s="15"/>
      <c r="X324" s="27">
        <v>26.7</v>
      </c>
      <c r="Y324" s="27">
        <f>Table2[[#This Row],[PREÇO UNITARIO]]*Table2[[#This Row],[QUANTIDADE]]</f>
        <v>133.5</v>
      </c>
      <c r="Z324" s="15"/>
      <c r="AA324" s="28">
        <f>MONTH(Table2[[#This Row],[DATA PEDIDO HP]])</f>
        <v>5</v>
      </c>
      <c r="AB324" s="32" t="s">
        <v>60</v>
      </c>
      <c r="AC324" s="5">
        <f t="shared" ca="1" si="5"/>
        <v>46232</v>
      </c>
      <c r="AD324" s="331">
        <f ca="1">_xlfn.DAYS(Table2[[#This Row],[HOJE]],Table2[[#This Row],[DATA PEDIDO HP]])</f>
        <v>448</v>
      </c>
      <c r="AE324" s="5" t="s">
        <v>43</v>
      </c>
    </row>
    <row r="325" spans="1:31" ht="14.45" hidden="1">
      <c r="A325" s="271" t="s">
        <v>1202</v>
      </c>
      <c r="B325" s="26">
        <v>45784</v>
      </c>
      <c r="C325" s="26">
        <v>45784</v>
      </c>
      <c r="D325" s="14" t="s">
        <v>1203</v>
      </c>
      <c r="E325" s="14" t="s">
        <v>445</v>
      </c>
      <c r="F325" s="14" t="s">
        <v>74</v>
      </c>
      <c r="G325" s="14">
        <v>50000351</v>
      </c>
      <c r="H325" s="14" t="s">
        <v>1206</v>
      </c>
      <c r="I325" s="14" t="s">
        <v>1207</v>
      </c>
      <c r="J325" s="14">
        <v>5</v>
      </c>
      <c r="K325" s="14" t="s">
        <v>37</v>
      </c>
      <c r="L325" s="14" t="s">
        <v>363</v>
      </c>
      <c r="M325" s="15" t="s">
        <v>58</v>
      </c>
      <c r="N325" s="15" t="s">
        <v>58</v>
      </c>
      <c r="O325" s="15">
        <v>5</v>
      </c>
      <c r="P325" s="15"/>
      <c r="Q325" s="15"/>
      <c r="R325" s="15" t="s">
        <v>1208</v>
      </c>
      <c r="S325" s="25"/>
      <c r="T325" s="25">
        <v>45838</v>
      </c>
      <c r="U325" s="25">
        <v>45859</v>
      </c>
      <c r="V325" s="15" t="s">
        <v>533</v>
      </c>
      <c r="W325" s="15"/>
      <c r="X325" s="27">
        <v>19.52</v>
      </c>
      <c r="Y325" s="27">
        <f>Table2[[#This Row],[PREÇO UNITARIO]]*Table2[[#This Row],[QUANTIDADE]]</f>
        <v>97.6</v>
      </c>
      <c r="Z325" s="15"/>
      <c r="AA325" s="28">
        <f>MONTH(Table2[[#This Row],[DATA PEDIDO HP]])</f>
        <v>5</v>
      </c>
      <c r="AB325" s="32" t="s">
        <v>60</v>
      </c>
      <c r="AC325" s="5">
        <f t="shared" ca="1" si="5"/>
        <v>46232</v>
      </c>
      <c r="AD325" s="331">
        <f ca="1">_xlfn.DAYS(Table2[[#This Row],[HOJE]],Table2[[#This Row],[DATA PEDIDO HP]])</f>
        <v>448</v>
      </c>
      <c r="AE325" s="5" t="s">
        <v>43</v>
      </c>
    </row>
    <row r="326" spans="1:31" ht="14.45" hidden="1">
      <c r="A326" s="271" t="s">
        <v>1209</v>
      </c>
      <c r="B326" s="26">
        <v>45784</v>
      </c>
      <c r="C326" s="26">
        <v>45783</v>
      </c>
      <c r="D326" s="14" t="s">
        <v>1210</v>
      </c>
      <c r="E326" s="14" t="s">
        <v>103</v>
      </c>
      <c r="F326" s="14" t="s">
        <v>104</v>
      </c>
      <c r="G326" s="14">
        <v>51000136</v>
      </c>
      <c r="H326" s="14" t="s">
        <v>1211</v>
      </c>
      <c r="I326" s="14" t="s">
        <v>1212</v>
      </c>
      <c r="J326" s="14">
        <v>8</v>
      </c>
      <c r="K326" s="14" t="s">
        <v>37</v>
      </c>
      <c r="L326" s="14" t="s">
        <v>363</v>
      </c>
      <c r="M326" s="15" t="s">
        <v>89</v>
      </c>
      <c r="N326" s="15" t="s">
        <v>58</v>
      </c>
      <c r="O326" s="15">
        <v>8</v>
      </c>
      <c r="P326" s="15"/>
      <c r="Q326" s="15"/>
      <c r="R326" s="15"/>
      <c r="S326" s="25"/>
      <c r="T326" s="25">
        <v>45838</v>
      </c>
      <c r="U326" s="25">
        <v>45859</v>
      </c>
      <c r="V326" s="15" t="s">
        <v>533</v>
      </c>
      <c r="W326" s="15"/>
      <c r="X326" s="27">
        <v>32.659999999999997</v>
      </c>
      <c r="Y326" s="27">
        <f>Table2[[#This Row],[PREÇO UNITARIO]]*Table2[[#This Row],[QUANTIDADE]]</f>
        <v>261.27999999999997</v>
      </c>
      <c r="Z326" s="15"/>
      <c r="AA326" s="28">
        <f>MONTH(Table2[[#This Row],[DATA PEDIDO HP]])</f>
        <v>5</v>
      </c>
      <c r="AB326" s="32" t="s">
        <v>42</v>
      </c>
      <c r="AC326" s="5">
        <f t="shared" ca="1" si="5"/>
        <v>46232</v>
      </c>
      <c r="AD326" s="331">
        <f ca="1">_xlfn.DAYS(Table2[[#This Row],[HOJE]],Table2[[#This Row],[DATA PEDIDO HP]])</f>
        <v>448</v>
      </c>
      <c r="AE326" s="5" t="s">
        <v>43</v>
      </c>
    </row>
    <row r="327" spans="1:31" ht="14.45" hidden="1">
      <c r="A327" s="271" t="s">
        <v>1213</v>
      </c>
      <c r="B327" s="26">
        <v>45784</v>
      </c>
      <c r="C327" s="26">
        <v>45783</v>
      </c>
      <c r="D327" s="14" t="s">
        <v>1214</v>
      </c>
      <c r="E327" s="14" t="s">
        <v>103</v>
      </c>
      <c r="F327" s="14" t="s">
        <v>104</v>
      </c>
      <c r="G327" s="14">
        <v>51000136</v>
      </c>
      <c r="H327" s="14" t="s">
        <v>436</v>
      </c>
      <c r="I327" s="14" t="s">
        <v>1215</v>
      </c>
      <c r="J327" s="14">
        <v>2</v>
      </c>
      <c r="K327" s="14" t="s">
        <v>37</v>
      </c>
      <c r="L327" s="14" t="s">
        <v>363</v>
      </c>
      <c r="M327" s="15" t="s">
        <v>58</v>
      </c>
      <c r="N327" s="15" t="s">
        <v>89</v>
      </c>
      <c r="O327" s="15">
        <v>2</v>
      </c>
      <c r="P327" s="15"/>
      <c r="Q327" s="15"/>
      <c r="R327" s="15"/>
      <c r="S327" s="25">
        <v>45861</v>
      </c>
      <c r="T327" s="25">
        <v>45838</v>
      </c>
      <c r="U327" s="25">
        <v>45859</v>
      </c>
      <c r="V327" s="15" t="s">
        <v>533</v>
      </c>
      <c r="W327" s="15"/>
      <c r="X327" s="27">
        <v>248.73</v>
      </c>
      <c r="Y327" s="27">
        <f>Table2[[#This Row],[PREÇO UNITARIO]]*Table2[[#This Row],[QUANTIDADE]]</f>
        <v>497.46</v>
      </c>
      <c r="Z327" s="15"/>
      <c r="AA327" s="28">
        <f>MONTH(Table2[[#This Row],[DATA PEDIDO HP]])</f>
        <v>5</v>
      </c>
      <c r="AB327" s="32" t="s">
        <v>42</v>
      </c>
      <c r="AC327" s="5">
        <f t="shared" ca="1" si="5"/>
        <v>46232</v>
      </c>
      <c r="AD327" s="331">
        <f ca="1">_xlfn.DAYS(Table2[[#This Row],[HOJE]],Table2[[#This Row],[DATA PEDIDO HP]])</f>
        <v>448</v>
      </c>
      <c r="AE327" s="336" t="s">
        <v>43</v>
      </c>
    </row>
    <row r="328" spans="1:31" ht="14.45" hidden="1">
      <c r="A328" s="271" t="s">
        <v>1216</v>
      </c>
      <c r="B328" s="26">
        <v>45784</v>
      </c>
      <c r="C328" s="26">
        <v>45783</v>
      </c>
      <c r="D328" s="14" t="s">
        <v>1217</v>
      </c>
      <c r="E328" s="14" t="s">
        <v>109</v>
      </c>
      <c r="F328" s="14" t="s">
        <v>34</v>
      </c>
      <c r="G328" s="14">
        <v>50110229</v>
      </c>
      <c r="H328" s="14" t="s">
        <v>1066</v>
      </c>
      <c r="I328" s="14" t="s">
        <v>1218</v>
      </c>
      <c r="J328" s="14">
        <v>1</v>
      </c>
      <c r="K328" s="14" t="s">
        <v>37</v>
      </c>
      <c r="L328" s="14" t="s">
        <v>48</v>
      </c>
      <c r="M328" s="15" t="s">
        <v>58</v>
      </c>
      <c r="N328" s="15" t="s">
        <v>89</v>
      </c>
      <c r="O328" s="15">
        <v>0</v>
      </c>
      <c r="P328" s="15"/>
      <c r="Q328" s="15"/>
      <c r="R328" s="15"/>
      <c r="S328" s="25">
        <v>45904</v>
      </c>
      <c r="T328" s="25">
        <v>45888</v>
      </c>
      <c r="U328" s="25">
        <v>45898</v>
      </c>
      <c r="V328" s="15" t="s">
        <v>420</v>
      </c>
      <c r="W328" s="15"/>
      <c r="X328" s="27">
        <v>882.92</v>
      </c>
      <c r="Y328" s="27">
        <f>Table2[[#This Row],[PREÇO UNITARIO]]*Table2[[#This Row],[QUANTIDADE]]</f>
        <v>882.92</v>
      </c>
      <c r="Z328" s="15"/>
      <c r="AA328" s="28">
        <f>MONTH(Table2[[#This Row],[DATA PEDIDO HP]])</f>
        <v>5</v>
      </c>
      <c r="AB328" s="32" t="s">
        <v>42</v>
      </c>
      <c r="AC328" s="5">
        <f t="shared" ca="1" si="5"/>
        <v>46232</v>
      </c>
      <c r="AD328" s="331">
        <f ca="1">_xlfn.DAYS(Table2[[#This Row],[HOJE]],Table2[[#This Row],[DATA PEDIDO HP]])</f>
        <v>448</v>
      </c>
      <c r="AE328" s="336" t="s">
        <v>43</v>
      </c>
    </row>
    <row r="329" spans="1:31" ht="14.45" hidden="1">
      <c r="A329" s="271" t="s">
        <v>1219</v>
      </c>
      <c r="B329" s="26">
        <v>45785</v>
      </c>
      <c r="C329" s="26">
        <v>45785</v>
      </c>
      <c r="D329" s="14" t="s">
        <v>1220</v>
      </c>
      <c r="E329" s="14" t="s">
        <v>152</v>
      </c>
      <c r="F329" s="14" t="s">
        <v>64</v>
      </c>
      <c r="G329" s="14">
        <v>48000482</v>
      </c>
      <c r="H329" s="14" t="s">
        <v>1221</v>
      </c>
      <c r="I329" s="14" t="s">
        <v>1222</v>
      </c>
      <c r="J329" s="14">
        <v>1</v>
      </c>
      <c r="K329" s="14" t="s">
        <v>37</v>
      </c>
      <c r="L329" s="14" t="s">
        <v>96</v>
      </c>
      <c r="M329" s="15" t="s">
        <v>58</v>
      </c>
      <c r="N329" s="15" t="s">
        <v>89</v>
      </c>
      <c r="O329" s="15">
        <v>0</v>
      </c>
      <c r="P329" s="15"/>
      <c r="Q329" s="15"/>
      <c r="R329" s="15" t="s">
        <v>1223</v>
      </c>
      <c r="S329" s="25">
        <v>45811</v>
      </c>
      <c r="T329" s="25">
        <v>45804</v>
      </c>
      <c r="U329" s="25">
        <v>45810</v>
      </c>
      <c r="V329" s="15" t="s">
        <v>69</v>
      </c>
      <c r="W329" s="15"/>
      <c r="X329" s="27">
        <v>427.1</v>
      </c>
      <c r="Y329" s="27">
        <f>Table2[[#This Row],[PREÇO UNITARIO]]*Table2[[#This Row],[QUANTIDADE]]</f>
        <v>427.1</v>
      </c>
      <c r="Z329" s="15"/>
      <c r="AA329" s="28">
        <f>MONTH(Table2[[#This Row],[DATA PEDIDO HP]])</f>
        <v>5</v>
      </c>
      <c r="AB329" s="32" t="s">
        <v>60</v>
      </c>
      <c r="AC329" s="5">
        <f t="shared" ca="1" si="5"/>
        <v>46232</v>
      </c>
      <c r="AD329" s="331">
        <f ca="1">_xlfn.DAYS(Table2[[#This Row],[HOJE]],Table2[[#This Row],[DATA PEDIDO HP]])</f>
        <v>447</v>
      </c>
      <c r="AE329" s="336" t="s">
        <v>43</v>
      </c>
    </row>
    <row r="330" spans="1:31" ht="14.45" hidden="1">
      <c r="A330" s="271" t="s">
        <v>1224</v>
      </c>
      <c r="B330" s="26">
        <v>45785</v>
      </c>
      <c r="C330" s="26">
        <v>45785</v>
      </c>
      <c r="D330" s="14" t="s">
        <v>1225</v>
      </c>
      <c r="E330" s="14" t="s">
        <v>85</v>
      </c>
      <c r="F330" s="14" t="s">
        <v>34</v>
      </c>
      <c r="G330" s="14">
        <v>50000260</v>
      </c>
      <c r="H330" s="14" t="s">
        <v>1226</v>
      </c>
      <c r="I330" s="14" t="s">
        <v>1227</v>
      </c>
      <c r="J330" s="14">
        <v>1</v>
      </c>
      <c r="K330" s="14" t="s">
        <v>37</v>
      </c>
      <c r="L330" s="14" t="s">
        <v>48</v>
      </c>
      <c r="M330" s="15" t="s">
        <v>58</v>
      </c>
      <c r="N330" s="15" t="s">
        <v>58</v>
      </c>
      <c r="O330" s="15">
        <v>1</v>
      </c>
      <c r="P330" s="15"/>
      <c r="Q330" s="15"/>
      <c r="R330" s="15"/>
      <c r="S330" s="25"/>
      <c r="T330" s="25">
        <v>45838</v>
      </c>
      <c r="U330" s="25">
        <v>45859</v>
      </c>
      <c r="V330" s="15" t="s">
        <v>533</v>
      </c>
      <c r="W330" s="15"/>
      <c r="X330" s="27">
        <v>40.770000000000003</v>
      </c>
      <c r="Y330" s="27">
        <f>Table2[[#This Row],[PREÇO UNITARIO]]*Table2[[#This Row],[QUANTIDADE]]</f>
        <v>40.770000000000003</v>
      </c>
      <c r="Z330" s="15"/>
      <c r="AA330" s="28">
        <f>MONTH(Table2[[#This Row],[DATA PEDIDO HP]])</f>
        <v>5</v>
      </c>
      <c r="AB330" s="32" t="s">
        <v>42</v>
      </c>
      <c r="AC330" s="5">
        <f t="shared" ca="1" si="5"/>
        <v>46232</v>
      </c>
      <c r="AD330" s="331">
        <f ca="1">_xlfn.DAYS(Table2[[#This Row],[HOJE]],Table2[[#This Row],[DATA PEDIDO HP]])</f>
        <v>447</v>
      </c>
      <c r="AE330" s="5" t="s">
        <v>43</v>
      </c>
    </row>
    <row r="331" spans="1:31" ht="14.45" hidden="1">
      <c r="A331" s="271" t="s">
        <v>1228</v>
      </c>
      <c r="B331" s="26">
        <v>45785</v>
      </c>
      <c r="C331" s="26">
        <v>45785</v>
      </c>
      <c r="D331" s="14" t="s">
        <v>1229</v>
      </c>
      <c r="E331" s="14" t="s">
        <v>109</v>
      </c>
      <c r="F331" s="14" t="s">
        <v>34</v>
      </c>
      <c r="G331" s="14">
        <v>50110229</v>
      </c>
      <c r="H331" s="14" t="s">
        <v>1230</v>
      </c>
      <c r="I331" s="14" t="s">
        <v>1231</v>
      </c>
      <c r="J331" s="14">
        <v>1</v>
      </c>
      <c r="K331" s="14" t="s">
        <v>37</v>
      </c>
      <c r="L331" s="14" t="s">
        <v>48</v>
      </c>
      <c r="M331" s="15" t="s">
        <v>89</v>
      </c>
      <c r="N331" s="15" t="s">
        <v>89</v>
      </c>
      <c r="O331" s="15">
        <v>0</v>
      </c>
      <c r="P331" s="15"/>
      <c r="Q331" s="15"/>
      <c r="R331" s="15"/>
      <c r="S331" s="25">
        <v>45861</v>
      </c>
      <c r="T331" s="25">
        <v>45838</v>
      </c>
      <c r="U331" s="25">
        <v>45859</v>
      </c>
      <c r="V331" s="15" t="s">
        <v>533</v>
      </c>
      <c r="W331" s="15"/>
      <c r="X331" s="27">
        <v>219.2</v>
      </c>
      <c r="Y331" s="27">
        <f>Table2[[#This Row],[PREÇO UNITARIO]]*Table2[[#This Row],[QUANTIDADE]]</f>
        <v>219.2</v>
      </c>
      <c r="Z331" s="15"/>
      <c r="AA331" s="28">
        <f>MONTH(Table2[[#This Row],[DATA PEDIDO HP]])</f>
        <v>5</v>
      </c>
      <c r="AB331" s="32" t="s">
        <v>42</v>
      </c>
      <c r="AC331" s="5">
        <f t="shared" ca="1" si="5"/>
        <v>46232</v>
      </c>
      <c r="AD331" s="331">
        <f ca="1">_xlfn.DAYS(Table2[[#This Row],[HOJE]],Table2[[#This Row],[DATA PEDIDO HP]])</f>
        <v>447</v>
      </c>
      <c r="AE331" s="336" t="s">
        <v>43</v>
      </c>
    </row>
    <row r="332" spans="1:31" ht="14.45" hidden="1">
      <c r="A332" s="271" t="s">
        <v>1232</v>
      </c>
      <c r="B332" s="26">
        <v>45789</v>
      </c>
      <c r="C332" s="26">
        <v>45786</v>
      </c>
      <c r="D332" s="14" t="s">
        <v>1233</v>
      </c>
      <c r="E332" s="14" t="s">
        <v>63</v>
      </c>
      <c r="F332" s="14" t="s">
        <v>55</v>
      </c>
      <c r="G332" s="14">
        <v>44000059</v>
      </c>
      <c r="H332" s="14" t="s">
        <v>540</v>
      </c>
      <c r="I332" s="14" t="s">
        <v>1234</v>
      </c>
      <c r="J332" s="14">
        <v>1</v>
      </c>
      <c r="K332" s="14" t="s">
        <v>37</v>
      </c>
      <c r="L332" s="14" t="s">
        <v>217</v>
      </c>
      <c r="M332" s="15" t="s">
        <v>39</v>
      </c>
      <c r="N332" s="15" t="s">
        <v>58</v>
      </c>
      <c r="O332" s="15">
        <v>1</v>
      </c>
      <c r="P332" s="15"/>
      <c r="Q332" s="15"/>
      <c r="R332" s="15" t="s">
        <v>542</v>
      </c>
      <c r="S332" s="25"/>
      <c r="T332" s="25">
        <v>45838</v>
      </c>
      <c r="U332" s="25">
        <v>45859</v>
      </c>
      <c r="V332" s="15" t="s">
        <v>533</v>
      </c>
      <c r="W332" s="15"/>
      <c r="X332" s="27">
        <v>1240.6400000000001</v>
      </c>
      <c r="Y332" s="27">
        <f>Table2[[#This Row],[PREÇO UNITARIO]]*Table2[[#This Row],[QUANTIDADE]]</f>
        <v>1240.6400000000001</v>
      </c>
      <c r="Z332" s="15"/>
      <c r="AA332" s="28">
        <f>MONTH(Table2[[#This Row],[DATA PEDIDO HP]])</f>
        <v>5</v>
      </c>
      <c r="AB332" s="32" t="s">
        <v>60</v>
      </c>
      <c r="AC332" s="5">
        <f t="shared" ca="1" si="5"/>
        <v>46232</v>
      </c>
      <c r="AD332" s="331">
        <f ca="1">_xlfn.DAYS(Table2[[#This Row],[HOJE]],Table2[[#This Row],[DATA PEDIDO HP]])</f>
        <v>443</v>
      </c>
      <c r="AE332" s="5" t="s">
        <v>43</v>
      </c>
    </row>
    <row r="333" spans="1:31" ht="14.45" hidden="1">
      <c r="A333" s="271" t="s">
        <v>1235</v>
      </c>
      <c r="B333" s="26">
        <v>45789</v>
      </c>
      <c r="C333" s="26">
        <v>45785</v>
      </c>
      <c r="D333" s="14" t="s">
        <v>1236</v>
      </c>
      <c r="E333" s="14" t="s">
        <v>202</v>
      </c>
      <c r="F333" s="14" t="s">
        <v>203</v>
      </c>
      <c r="G333" s="14">
        <v>60002072</v>
      </c>
      <c r="H333" s="14" t="s">
        <v>1237</v>
      </c>
      <c r="I333" s="14" t="s">
        <v>1238</v>
      </c>
      <c r="J333" s="14">
        <v>4</v>
      </c>
      <c r="K333" s="14" t="s">
        <v>37</v>
      </c>
      <c r="L333" s="14" t="s">
        <v>346</v>
      </c>
      <c r="M333" s="15" t="s">
        <v>58</v>
      </c>
      <c r="N333" s="15" t="s">
        <v>89</v>
      </c>
      <c r="O333" s="15">
        <v>4</v>
      </c>
      <c r="P333" s="15"/>
      <c r="Q333" s="15"/>
      <c r="R333" s="15"/>
      <c r="S333" s="25">
        <v>45861</v>
      </c>
      <c r="T333" s="25">
        <v>45838</v>
      </c>
      <c r="U333" s="25">
        <v>45859</v>
      </c>
      <c r="V333" s="15" t="s">
        <v>533</v>
      </c>
      <c r="W333" s="15"/>
      <c r="X333" s="27">
        <v>60.75</v>
      </c>
      <c r="Y333" s="27">
        <f>Table2[[#This Row],[PREÇO UNITARIO]]*Table2[[#This Row],[QUANTIDADE]]</f>
        <v>243</v>
      </c>
      <c r="Z333" s="15"/>
      <c r="AA333" s="28">
        <f>MONTH(Table2[[#This Row],[DATA PEDIDO HP]])</f>
        <v>5</v>
      </c>
      <c r="AB333" s="32" t="s">
        <v>60</v>
      </c>
      <c r="AC333" s="5">
        <f t="shared" ca="1" si="5"/>
        <v>46232</v>
      </c>
      <c r="AD333" s="331">
        <f ca="1">_xlfn.DAYS(Table2[[#This Row],[HOJE]],Table2[[#This Row],[DATA PEDIDO HP]])</f>
        <v>443</v>
      </c>
      <c r="AE333" s="336" t="s">
        <v>43</v>
      </c>
    </row>
    <row r="334" spans="1:31" ht="14.45" hidden="1">
      <c r="A334" s="271" t="s">
        <v>1239</v>
      </c>
      <c r="B334" s="26">
        <v>45789</v>
      </c>
      <c r="C334" s="26">
        <v>45785</v>
      </c>
      <c r="D334" s="14" t="s">
        <v>1240</v>
      </c>
      <c r="E334" s="14" t="s">
        <v>103</v>
      </c>
      <c r="F334" s="14" t="s">
        <v>104</v>
      </c>
      <c r="G334" s="14">
        <v>51000323</v>
      </c>
      <c r="H334" s="14" t="s">
        <v>1241</v>
      </c>
      <c r="I334" s="14" t="s">
        <v>497</v>
      </c>
      <c r="J334" s="14">
        <v>2</v>
      </c>
      <c r="K334" s="14" t="s">
        <v>37</v>
      </c>
      <c r="L334" s="14" t="s">
        <v>48</v>
      </c>
      <c r="M334" s="15" t="s">
        <v>89</v>
      </c>
      <c r="N334" s="15" t="s">
        <v>58</v>
      </c>
      <c r="O334" s="15">
        <v>2</v>
      </c>
      <c r="P334" s="15"/>
      <c r="Q334" s="15"/>
      <c r="R334" s="15"/>
      <c r="S334" s="25"/>
      <c r="T334" s="25">
        <v>45838</v>
      </c>
      <c r="U334" s="25">
        <v>45859</v>
      </c>
      <c r="V334" s="15" t="s">
        <v>533</v>
      </c>
      <c r="W334" s="15"/>
      <c r="X334" s="27">
        <v>17.28</v>
      </c>
      <c r="Y334" s="27">
        <f>Table2[[#This Row],[PREÇO UNITARIO]]*Table2[[#This Row],[QUANTIDADE]]</f>
        <v>34.56</v>
      </c>
      <c r="Z334" s="15"/>
      <c r="AA334" s="28">
        <f>MONTH(Table2[[#This Row],[DATA PEDIDO HP]])</f>
        <v>5</v>
      </c>
      <c r="AB334" s="32" t="s">
        <v>42</v>
      </c>
      <c r="AC334" s="5">
        <f t="shared" ca="1" si="5"/>
        <v>46232</v>
      </c>
      <c r="AD334" s="331">
        <f ca="1">_xlfn.DAYS(Table2[[#This Row],[HOJE]],Table2[[#This Row],[DATA PEDIDO HP]])</f>
        <v>443</v>
      </c>
      <c r="AE334" s="5" t="s">
        <v>43</v>
      </c>
    </row>
    <row r="335" spans="1:31" ht="14.45" hidden="1">
      <c r="A335" s="271" t="s">
        <v>1242</v>
      </c>
      <c r="B335" s="26">
        <v>45789</v>
      </c>
      <c r="C335" s="26">
        <v>45785</v>
      </c>
      <c r="D335" s="14" t="s">
        <v>1243</v>
      </c>
      <c r="E335" s="14" t="s">
        <v>103</v>
      </c>
      <c r="F335" s="14" t="s">
        <v>104</v>
      </c>
      <c r="G335" s="14">
        <v>51000136</v>
      </c>
      <c r="H335" s="14" t="s">
        <v>1241</v>
      </c>
      <c r="I335" s="14" t="s">
        <v>497</v>
      </c>
      <c r="J335" s="14">
        <v>2</v>
      </c>
      <c r="K335" s="14" t="s">
        <v>37</v>
      </c>
      <c r="L335" s="14" t="s">
        <v>48</v>
      </c>
      <c r="M335" s="15" t="s">
        <v>89</v>
      </c>
      <c r="N335" s="15" t="s">
        <v>58</v>
      </c>
      <c r="O335" s="15">
        <v>2</v>
      </c>
      <c r="P335" s="15"/>
      <c r="Q335" s="15"/>
      <c r="R335" s="15"/>
      <c r="S335" s="25"/>
      <c r="T335" s="25">
        <v>45838</v>
      </c>
      <c r="U335" s="25">
        <v>45859</v>
      </c>
      <c r="V335" s="15" t="s">
        <v>533</v>
      </c>
      <c r="W335" s="15"/>
      <c r="X335" s="27">
        <v>17.28</v>
      </c>
      <c r="Y335" s="27">
        <f>Table2[[#This Row],[PREÇO UNITARIO]]*Table2[[#This Row],[QUANTIDADE]]</f>
        <v>34.56</v>
      </c>
      <c r="Z335" s="15"/>
      <c r="AA335" s="28">
        <f>MONTH(Table2[[#This Row],[DATA PEDIDO HP]])</f>
        <v>5</v>
      </c>
      <c r="AB335" s="32" t="s">
        <v>42</v>
      </c>
      <c r="AC335" s="5">
        <f t="shared" ca="1" si="5"/>
        <v>46232</v>
      </c>
      <c r="AD335" s="331">
        <f ca="1">_xlfn.DAYS(Table2[[#This Row],[HOJE]],Table2[[#This Row],[DATA PEDIDO HP]])</f>
        <v>443</v>
      </c>
      <c r="AE335" s="5" t="s">
        <v>43</v>
      </c>
    </row>
    <row r="336" spans="1:31" ht="14.45" hidden="1">
      <c r="A336" s="271" t="s">
        <v>1244</v>
      </c>
      <c r="B336" s="26">
        <v>45789</v>
      </c>
      <c r="C336" s="26">
        <v>45786</v>
      </c>
      <c r="D336" s="14" t="s">
        <v>1245</v>
      </c>
      <c r="E336" s="14" t="s">
        <v>63</v>
      </c>
      <c r="F336" s="14" t="s">
        <v>64</v>
      </c>
      <c r="G336" s="14">
        <v>48000432</v>
      </c>
      <c r="H336" s="14" t="s">
        <v>1246</v>
      </c>
      <c r="I336" s="14" t="s">
        <v>1247</v>
      </c>
      <c r="J336" s="14">
        <v>1</v>
      </c>
      <c r="K336" s="14" t="s">
        <v>37</v>
      </c>
      <c r="L336" s="14" t="s">
        <v>217</v>
      </c>
      <c r="M336" s="15" t="s">
        <v>89</v>
      </c>
      <c r="N336" s="15" t="s">
        <v>89</v>
      </c>
      <c r="O336" s="15">
        <v>1</v>
      </c>
      <c r="P336" s="15"/>
      <c r="Q336" s="15"/>
      <c r="R336" s="15"/>
      <c r="S336" s="25">
        <v>45861</v>
      </c>
      <c r="T336" s="25">
        <v>45838</v>
      </c>
      <c r="U336" s="25">
        <v>45859</v>
      </c>
      <c r="V336" s="15" t="s">
        <v>533</v>
      </c>
      <c r="W336" s="15"/>
      <c r="X336" s="27">
        <v>565.12</v>
      </c>
      <c r="Y336" s="27">
        <f>Table2[[#This Row],[PREÇO UNITARIO]]*Table2[[#This Row],[QUANTIDADE]]</f>
        <v>565.12</v>
      </c>
      <c r="Z336" s="15"/>
      <c r="AA336" s="28">
        <f>MONTH(Table2[[#This Row],[DATA PEDIDO HP]])</f>
        <v>5</v>
      </c>
      <c r="AB336" s="32" t="s">
        <v>60</v>
      </c>
      <c r="AC336" s="5">
        <f t="shared" ca="1" si="5"/>
        <v>46232</v>
      </c>
      <c r="AD336" s="331">
        <f ca="1">_xlfn.DAYS(Table2[[#This Row],[HOJE]],Table2[[#This Row],[DATA PEDIDO HP]])</f>
        <v>443</v>
      </c>
      <c r="AE336" s="336" t="s">
        <v>43</v>
      </c>
    </row>
    <row r="337" spans="1:31" ht="14.45" hidden="1">
      <c r="A337" s="271" t="s">
        <v>1248</v>
      </c>
      <c r="B337" s="26">
        <v>45789</v>
      </c>
      <c r="C337" s="26">
        <v>45786</v>
      </c>
      <c r="D337" s="14" t="s">
        <v>1249</v>
      </c>
      <c r="E337" s="14" t="s">
        <v>181</v>
      </c>
      <c r="F337" s="14" t="s">
        <v>34</v>
      </c>
      <c r="G337" s="14">
        <v>50110057</v>
      </c>
      <c r="H337" s="14" t="s">
        <v>1250</v>
      </c>
      <c r="I337" s="14" t="s">
        <v>1251</v>
      </c>
      <c r="J337" s="14">
        <v>1</v>
      </c>
      <c r="K337" s="14" t="s">
        <v>37</v>
      </c>
      <c r="L337" s="14" t="s">
        <v>1123</v>
      </c>
      <c r="M337" s="15" t="s">
        <v>58</v>
      </c>
      <c r="N337" s="15" t="s">
        <v>89</v>
      </c>
      <c r="O337" s="15">
        <v>1</v>
      </c>
      <c r="P337" s="15"/>
      <c r="Q337" s="15"/>
      <c r="R337" s="15"/>
      <c r="S337" s="25">
        <v>45861</v>
      </c>
      <c r="T337" s="25">
        <v>45838</v>
      </c>
      <c r="U337" s="25">
        <v>45859</v>
      </c>
      <c r="V337" s="15" t="s">
        <v>533</v>
      </c>
      <c r="W337" s="15"/>
      <c r="X337" s="27">
        <v>418.07</v>
      </c>
      <c r="Y337" s="27">
        <f>Table2[[#This Row],[PREÇO UNITARIO]]*Table2[[#This Row],[QUANTIDADE]]</f>
        <v>418.07</v>
      </c>
      <c r="Z337" s="15"/>
      <c r="AA337" s="28">
        <f>MONTH(Table2[[#This Row],[DATA PEDIDO HP]])</f>
        <v>5</v>
      </c>
      <c r="AB337" s="32" t="s">
        <v>42</v>
      </c>
      <c r="AC337" s="5">
        <f t="shared" ca="1" si="5"/>
        <v>46232</v>
      </c>
      <c r="AD337" s="331">
        <f ca="1">_xlfn.DAYS(Table2[[#This Row],[HOJE]],Table2[[#This Row],[DATA PEDIDO HP]])</f>
        <v>443</v>
      </c>
      <c r="AE337" s="336" t="s">
        <v>43</v>
      </c>
    </row>
    <row r="338" spans="1:31" ht="14.45" hidden="1">
      <c r="A338" s="271" t="s">
        <v>1252</v>
      </c>
      <c r="B338" s="26">
        <v>45789</v>
      </c>
      <c r="C338" s="26">
        <v>45789</v>
      </c>
      <c r="D338" s="14" t="s">
        <v>1253</v>
      </c>
      <c r="E338" s="14" t="s">
        <v>73</v>
      </c>
      <c r="F338" s="14" t="s">
        <v>203</v>
      </c>
      <c r="G338" s="14">
        <v>60002095</v>
      </c>
      <c r="H338" s="14" t="s">
        <v>1254</v>
      </c>
      <c r="I338" s="14" t="s">
        <v>1255</v>
      </c>
      <c r="J338" s="14">
        <v>1</v>
      </c>
      <c r="K338" s="14" t="s">
        <v>37</v>
      </c>
      <c r="L338" s="14" t="s">
        <v>68</v>
      </c>
      <c r="M338" s="15" t="s">
        <v>58</v>
      </c>
      <c r="N338" s="15" t="s">
        <v>58</v>
      </c>
      <c r="O338" s="15">
        <v>1</v>
      </c>
      <c r="P338" s="15"/>
      <c r="Q338" s="15"/>
      <c r="R338" s="15" t="s">
        <v>1256</v>
      </c>
      <c r="S338" s="25"/>
      <c r="T338" s="25">
        <v>45838</v>
      </c>
      <c r="U338" s="25">
        <v>45859</v>
      </c>
      <c r="V338" s="15" t="s">
        <v>533</v>
      </c>
      <c r="W338" s="15"/>
      <c r="X338" s="27">
        <v>2686.44</v>
      </c>
      <c r="Y338" s="27">
        <f>Table2[[#This Row],[PREÇO UNITARIO]]*Table2[[#This Row],[QUANTIDADE]]</f>
        <v>2686.44</v>
      </c>
      <c r="Z338" s="15"/>
      <c r="AA338" s="28">
        <f>MONTH(Table2[[#This Row],[DATA PEDIDO HP]])</f>
        <v>5</v>
      </c>
      <c r="AB338" s="32" t="s">
        <v>42</v>
      </c>
      <c r="AC338" s="5">
        <f t="shared" ca="1" si="5"/>
        <v>46232</v>
      </c>
      <c r="AD338" s="331">
        <f ca="1">_xlfn.DAYS(Table2[[#This Row],[HOJE]],Table2[[#This Row],[DATA PEDIDO HP]])</f>
        <v>443</v>
      </c>
      <c r="AE338" s="5" t="s">
        <v>43</v>
      </c>
    </row>
    <row r="339" spans="1:31" ht="14.45" hidden="1">
      <c r="A339" s="271" t="s">
        <v>1257</v>
      </c>
      <c r="B339" s="26">
        <v>45789</v>
      </c>
      <c r="C339" s="26">
        <v>45789</v>
      </c>
      <c r="D339" s="14" t="s">
        <v>1258</v>
      </c>
      <c r="E339" s="14" t="s">
        <v>73</v>
      </c>
      <c r="F339" s="14" t="s">
        <v>34</v>
      </c>
      <c r="G339" s="14">
        <v>50110372</v>
      </c>
      <c r="H339" s="14" t="s">
        <v>1178</v>
      </c>
      <c r="I339" s="14" t="s">
        <v>1179</v>
      </c>
      <c r="J339" s="14">
        <v>1</v>
      </c>
      <c r="K339" s="14" t="s">
        <v>37</v>
      </c>
      <c r="L339" s="14" t="s">
        <v>68</v>
      </c>
      <c r="M339" s="15" t="s">
        <v>58</v>
      </c>
      <c r="N339" s="15" t="s">
        <v>89</v>
      </c>
      <c r="O339" s="15">
        <v>1</v>
      </c>
      <c r="P339" s="15"/>
      <c r="Q339" s="15"/>
      <c r="R339" s="15"/>
      <c r="S339" s="25">
        <v>45905</v>
      </c>
      <c r="T339" s="25">
        <v>45888</v>
      </c>
      <c r="U339" s="25">
        <v>45898</v>
      </c>
      <c r="V339" s="15" t="s">
        <v>420</v>
      </c>
      <c r="W339" s="15"/>
      <c r="X339" s="27">
        <v>604.77</v>
      </c>
      <c r="Y339" s="27">
        <f>Table2[[#This Row],[PREÇO UNITARIO]]*Table2[[#This Row],[QUANTIDADE]]</f>
        <v>604.77</v>
      </c>
      <c r="Z339" s="15"/>
      <c r="AA339" s="28">
        <f>MONTH(Table2[[#This Row],[DATA PEDIDO HP]])</f>
        <v>5</v>
      </c>
      <c r="AB339" s="32" t="s">
        <v>42</v>
      </c>
      <c r="AC339" s="5">
        <f t="shared" ca="1" si="5"/>
        <v>46232</v>
      </c>
      <c r="AD339" s="331">
        <f ca="1">_xlfn.DAYS(Table2[[#This Row],[HOJE]],Table2[[#This Row],[DATA PEDIDO HP]])</f>
        <v>443</v>
      </c>
      <c r="AE339" s="336" t="s">
        <v>43</v>
      </c>
    </row>
    <row r="340" spans="1:31" ht="14.45" hidden="1">
      <c r="A340" s="271" t="s">
        <v>1257</v>
      </c>
      <c r="B340" s="26">
        <v>45789</v>
      </c>
      <c r="C340" s="26">
        <v>45789</v>
      </c>
      <c r="D340" s="14" t="s">
        <v>1258</v>
      </c>
      <c r="E340" s="14" t="s">
        <v>73</v>
      </c>
      <c r="F340" s="14" t="s">
        <v>34</v>
      </c>
      <c r="G340" s="14">
        <v>50110372</v>
      </c>
      <c r="H340" s="14" t="s">
        <v>126</v>
      </c>
      <c r="I340" s="14" t="s">
        <v>127</v>
      </c>
      <c r="J340" s="14">
        <v>1</v>
      </c>
      <c r="K340" s="14" t="s">
        <v>37</v>
      </c>
      <c r="L340" s="14" t="s">
        <v>68</v>
      </c>
      <c r="M340" s="15" t="s">
        <v>39</v>
      </c>
      <c r="N340" s="15" t="s">
        <v>58</v>
      </c>
      <c r="O340" s="15">
        <v>1</v>
      </c>
      <c r="P340" s="15"/>
      <c r="Q340" s="15"/>
      <c r="R340" s="15"/>
      <c r="S340" s="25"/>
      <c r="T340" s="25">
        <v>45888</v>
      </c>
      <c r="U340" s="25">
        <v>45898</v>
      </c>
      <c r="V340" s="15" t="s">
        <v>420</v>
      </c>
      <c r="W340" s="15"/>
      <c r="X340" s="27">
        <v>459.53</v>
      </c>
      <c r="Y340" s="27">
        <f>Table2[[#This Row],[PREÇO UNITARIO]]*Table2[[#This Row],[QUANTIDADE]]</f>
        <v>459.53</v>
      </c>
      <c r="Z340" s="15"/>
      <c r="AA340" s="28">
        <f>MONTH(Table2[[#This Row],[DATA PEDIDO HP]])</f>
        <v>5</v>
      </c>
      <c r="AB340" s="32" t="s">
        <v>42</v>
      </c>
      <c r="AC340" s="5">
        <f t="shared" ca="1" si="5"/>
        <v>46232</v>
      </c>
      <c r="AD340" s="331">
        <f ca="1">_xlfn.DAYS(Table2[[#This Row],[HOJE]],Table2[[#This Row],[DATA PEDIDO HP]])</f>
        <v>443</v>
      </c>
      <c r="AE340" s="5" t="s">
        <v>43</v>
      </c>
    </row>
    <row r="341" spans="1:31" ht="14.45" hidden="1">
      <c r="A341" s="271" t="s">
        <v>1259</v>
      </c>
      <c r="B341" s="26">
        <v>45792</v>
      </c>
      <c r="C341" s="26">
        <v>45792</v>
      </c>
      <c r="D341" s="14" t="s">
        <v>1260</v>
      </c>
      <c r="E341" s="14" t="s">
        <v>73</v>
      </c>
      <c r="F341" s="14" t="s">
        <v>203</v>
      </c>
      <c r="G341" s="14">
        <v>60002095</v>
      </c>
      <c r="H341" s="14" t="s">
        <v>1261</v>
      </c>
      <c r="I341" s="14" t="s">
        <v>1262</v>
      </c>
      <c r="J341" s="14">
        <v>1</v>
      </c>
      <c r="K341" s="14" t="s">
        <v>37</v>
      </c>
      <c r="L341" s="14" t="s">
        <v>96</v>
      </c>
      <c r="M341" s="15" t="s">
        <v>58</v>
      </c>
      <c r="N341" s="15" t="s">
        <v>39</v>
      </c>
      <c r="O341" s="15">
        <v>1</v>
      </c>
      <c r="P341" s="15"/>
      <c r="Q341" s="15"/>
      <c r="R341" s="15"/>
      <c r="S341" s="25">
        <v>45860</v>
      </c>
      <c r="T341" s="25">
        <v>45838</v>
      </c>
      <c r="U341" s="25">
        <v>45859</v>
      </c>
      <c r="V341" s="15" t="s">
        <v>533</v>
      </c>
      <c r="W341" s="15"/>
      <c r="X341" s="27">
        <v>101.25</v>
      </c>
      <c r="Y341" s="27">
        <f>Table2[[#This Row],[PREÇO UNITARIO]]*Table2[[#This Row],[QUANTIDADE]]</f>
        <v>101.25</v>
      </c>
      <c r="Z341" s="15"/>
      <c r="AA341" s="28">
        <f>MONTH(Table2[[#This Row],[DATA PEDIDO HP]])</f>
        <v>5</v>
      </c>
      <c r="AB341" s="32" t="s">
        <v>42</v>
      </c>
      <c r="AC341" s="5">
        <f t="shared" ca="1" si="5"/>
        <v>46232</v>
      </c>
      <c r="AD341" s="331">
        <f ca="1">_xlfn.DAYS(Table2[[#This Row],[HOJE]],Table2[[#This Row],[DATA PEDIDO HP]])</f>
        <v>440</v>
      </c>
      <c r="AE341" s="336" t="s">
        <v>43</v>
      </c>
    </row>
    <row r="342" spans="1:31" ht="14.45" hidden="1">
      <c r="A342" s="271" t="s">
        <v>1263</v>
      </c>
      <c r="B342" s="26">
        <v>45792</v>
      </c>
      <c r="C342" s="26">
        <v>45792</v>
      </c>
      <c r="D342" s="14" t="s">
        <v>1264</v>
      </c>
      <c r="E342" s="14" t="s">
        <v>33</v>
      </c>
      <c r="F342" s="14" t="s">
        <v>34</v>
      </c>
      <c r="G342" s="14">
        <v>50110193</v>
      </c>
      <c r="H342" s="14" t="s">
        <v>136</v>
      </c>
      <c r="I342" s="14" t="s">
        <v>137</v>
      </c>
      <c r="J342" s="14">
        <v>1</v>
      </c>
      <c r="K342" s="14" t="s">
        <v>37</v>
      </c>
      <c r="L342" s="14" t="s">
        <v>96</v>
      </c>
      <c r="M342" s="15" t="s">
        <v>58</v>
      </c>
      <c r="N342" s="15" t="s">
        <v>58</v>
      </c>
      <c r="O342" s="15">
        <v>1</v>
      </c>
      <c r="P342" s="15"/>
      <c r="Q342" s="15"/>
      <c r="R342" s="15"/>
      <c r="S342" s="25"/>
      <c r="T342" s="25">
        <v>45838</v>
      </c>
      <c r="U342" s="25">
        <v>45859</v>
      </c>
      <c r="V342" s="15" t="s">
        <v>533</v>
      </c>
      <c r="W342" s="15"/>
      <c r="X342" s="27">
        <v>19.600000000000001</v>
      </c>
      <c r="Y342" s="27">
        <f>Table2[[#This Row],[PREÇO UNITARIO]]*Table2[[#This Row],[QUANTIDADE]]</f>
        <v>19.600000000000001</v>
      </c>
      <c r="Z342" s="15"/>
      <c r="AA342" s="28">
        <f>MONTH(Table2[[#This Row],[DATA PEDIDO HP]])</f>
        <v>5</v>
      </c>
      <c r="AB342" s="32" t="s">
        <v>42</v>
      </c>
      <c r="AC342" s="5">
        <f t="shared" ca="1" si="5"/>
        <v>46232</v>
      </c>
      <c r="AD342" s="331">
        <f ca="1">_xlfn.DAYS(Table2[[#This Row],[HOJE]],Table2[[#This Row],[DATA PEDIDO HP]])</f>
        <v>440</v>
      </c>
      <c r="AE342" s="5" t="s">
        <v>43</v>
      </c>
    </row>
    <row r="343" spans="1:31" ht="14.45" hidden="1">
      <c r="A343" s="271" t="s">
        <v>1263</v>
      </c>
      <c r="B343" s="26">
        <v>45792</v>
      </c>
      <c r="C343" s="26">
        <v>45792</v>
      </c>
      <c r="D343" s="14" t="s">
        <v>1264</v>
      </c>
      <c r="E343" s="14" t="s">
        <v>33</v>
      </c>
      <c r="F343" s="14" t="s">
        <v>34</v>
      </c>
      <c r="G343" s="14">
        <v>50110193</v>
      </c>
      <c r="H343" s="14" t="s">
        <v>1265</v>
      </c>
      <c r="I343" s="14" t="s">
        <v>1266</v>
      </c>
      <c r="J343" s="14">
        <v>1</v>
      </c>
      <c r="K343" s="14" t="s">
        <v>37</v>
      </c>
      <c r="L343" s="14" t="s">
        <v>96</v>
      </c>
      <c r="M343" s="15" t="s">
        <v>89</v>
      </c>
      <c r="N343" s="15" t="s">
        <v>58</v>
      </c>
      <c r="O343" s="15">
        <v>1</v>
      </c>
      <c r="P343" s="15"/>
      <c r="Q343" s="15"/>
      <c r="R343" s="15"/>
      <c r="S343" s="25"/>
      <c r="T343" s="25">
        <v>45838</v>
      </c>
      <c r="U343" s="25">
        <v>45859</v>
      </c>
      <c r="V343" s="15" t="s">
        <v>533</v>
      </c>
      <c r="W343" s="15"/>
      <c r="X343" s="27">
        <v>42.46</v>
      </c>
      <c r="Y343" s="27">
        <f>Table2[[#This Row],[PREÇO UNITARIO]]*Table2[[#This Row],[QUANTIDADE]]</f>
        <v>42.46</v>
      </c>
      <c r="Z343" s="15"/>
      <c r="AA343" s="28">
        <f>MONTH(Table2[[#This Row],[DATA PEDIDO HP]])</f>
        <v>5</v>
      </c>
      <c r="AB343" s="32" t="s">
        <v>42</v>
      </c>
      <c r="AC343" s="5">
        <f t="shared" ca="1" si="5"/>
        <v>46232</v>
      </c>
      <c r="AD343" s="331">
        <f ca="1">_xlfn.DAYS(Table2[[#This Row],[HOJE]],Table2[[#This Row],[DATA PEDIDO HP]])</f>
        <v>440</v>
      </c>
      <c r="AE343" s="5" t="s">
        <v>43</v>
      </c>
    </row>
    <row r="344" spans="1:31" ht="14.45" hidden="1">
      <c r="A344" s="271" t="s">
        <v>1267</v>
      </c>
      <c r="B344" s="26">
        <v>45792</v>
      </c>
      <c r="C344" s="26">
        <v>45792</v>
      </c>
      <c r="D344" s="14" t="s">
        <v>1268</v>
      </c>
      <c r="E344" s="14" t="s">
        <v>103</v>
      </c>
      <c r="F344" s="14" t="s">
        <v>104</v>
      </c>
      <c r="G344" s="14">
        <v>51000323</v>
      </c>
      <c r="H344" s="14" t="s">
        <v>1269</v>
      </c>
      <c r="I344" s="14" t="s">
        <v>1270</v>
      </c>
      <c r="J344" s="14">
        <v>2</v>
      </c>
      <c r="K344" s="14" t="s">
        <v>37</v>
      </c>
      <c r="L344" s="14" t="s">
        <v>96</v>
      </c>
      <c r="M344" s="15" t="s">
        <v>58</v>
      </c>
      <c r="N344" s="15" t="s">
        <v>58</v>
      </c>
      <c r="O344" s="15">
        <v>2</v>
      </c>
      <c r="P344" s="15"/>
      <c r="Q344" s="15"/>
      <c r="R344" s="15"/>
      <c r="S344" s="25"/>
      <c r="T344" s="25">
        <v>45838</v>
      </c>
      <c r="U344" s="25">
        <v>45859</v>
      </c>
      <c r="V344" s="15" t="s">
        <v>533</v>
      </c>
      <c r="W344" s="15"/>
      <c r="X344" s="27">
        <v>7.35</v>
      </c>
      <c r="Y344" s="27">
        <f>Table2[[#This Row],[PREÇO UNITARIO]]*Table2[[#This Row],[QUANTIDADE]]</f>
        <v>14.7</v>
      </c>
      <c r="Z344" s="15"/>
      <c r="AA344" s="28">
        <f>MONTH(Table2[[#This Row],[DATA PEDIDO HP]])</f>
        <v>5</v>
      </c>
      <c r="AB344" s="32" t="s">
        <v>42</v>
      </c>
      <c r="AC344" s="5">
        <f t="shared" ca="1" si="5"/>
        <v>46232</v>
      </c>
      <c r="AD344" s="331">
        <f ca="1">_xlfn.DAYS(Table2[[#This Row],[HOJE]],Table2[[#This Row],[DATA PEDIDO HP]])</f>
        <v>440</v>
      </c>
      <c r="AE344" s="5" t="s">
        <v>43</v>
      </c>
    </row>
    <row r="345" spans="1:31" ht="14.45" hidden="1">
      <c r="A345" s="271" t="s">
        <v>1271</v>
      </c>
      <c r="B345" s="26">
        <v>45793</v>
      </c>
      <c r="C345" s="26">
        <v>45793</v>
      </c>
      <c r="D345" s="14" t="s">
        <v>1272</v>
      </c>
      <c r="E345" s="14" t="s">
        <v>33</v>
      </c>
      <c r="F345" s="14" t="s">
        <v>34</v>
      </c>
      <c r="G345" s="14">
        <v>50110193</v>
      </c>
      <c r="H345" s="14" t="s">
        <v>1273</v>
      </c>
      <c r="I345" s="14" t="s">
        <v>1274</v>
      </c>
      <c r="J345" s="14">
        <v>1</v>
      </c>
      <c r="K345" s="14" t="s">
        <v>37</v>
      </c>
      <c r="L345" s="14" t="s">
        <v>48</v>
      </c>
      <c r="M345" s="15" t="s">
        <v>58</v>
      </c>
      <c r="N345" s="15" t="s">
        <v>58</v>
      </c>
      <c r="O345" s="15">
        <v>1</v>
      </c>
      <c r="P345" s="15"/>
      <c r="Q345" s="15"/>
      <c r="R345" s="15"/>
      <c r="S345" s="25"/>
      <c r="T345" s="25">
        <v>45838</v>
      </c>
      <c r="U345" s="25">
        <v>45859</v>
      </c>
      <c r="V345" s="15" t="s">
        <v>533</v>
      </c>
      <c r="W345" s="15"/>
      <c r="X345" s="27">
        <v>20.25</v>
      </c>
      <c r="Y345" s="27">
        <f>Table2[[#This Row],[PREÇO UNITARIO]]*Table2[[#This Row],[QUANTIDADE]]</f>
        <v>20.25</v>
      </c>
      <c r="Z345" s="15"/>
      <c r="AA345" s="28">
        <f>MONTH(Table2[[#This Row],[DATA PEDIDO HP]])</f>
        <v>5</v>
      </c>
      <c r="AB345" s="32" t="s">
        <v>42</v>
      </c>
      <c r="AC345" s="5">
        <f t="shared" ca="1" si="5"/>
        <v>46232</v>
      </c>
      <c r="AD345" s="331">
        <f ca="1">_xlfn.DAYS(Table2[[#This Row],[HOJE]],Table2[[#This Row],[DATA PEDIDO HP]])</f>
        <v>439</v>
      </c>
      <c r="AE345" s="5" t="s">
        <v>43</v>
      </c>
    </row>
    <row r="346" spans="1:31" ht="14.45" hidden="1">
      <c r="A346" s="271" t="s">
        <v>1275</v>
      </c>
      <c r="B346" s="26">
        <v>45793</v>
      </c>
      <c r="C346" s="26">
        <v>45793</v>
      </c>
      <c r="D346" s="14" t="s">
        <v>1276</v>
      </c>
      <c r="E346" s="14" t="s">
        <v>445</v>
      </c>
      <c r="F346" s="14" t="s">
        <v>403</v>
      </c>
      <c r="G346" s="14">
        <v>50300097</v>
      </c>
      <c r="H346" s="14" t="s">
        <v>1277</v>
      </c>
      <c r="I346" s="14" t="s">
        <v>767</v>
      </c>
      <c r="J346" s="14">
        <v>1</v>
      </c>
      <c r="K346" s="14" t="s">
        <v>37</v>
      </c>
      <c r="L346" s="14" t="s">
        <v>217</v>
      </c>
      <c r="M346" s="15" t="s">
        <v>58</v>
      </c>
      <c r="N346" s="15" t="s">
        <v>89</v>
      </c>
      <c r="O346" s="15">
        <v>0</v>
      </c>
      <c r="P346" s="15"/>
      <c r="Q346" s="15"/>
      <c r="R346" s="15" t="s">
        <v>768</v>
      </c>
      <c r="S346" s="25"/>
      <c r="T346" s="25">
        <v>45812</v>
      </c>
      <c r="U346" s="25">
        <v>45818</v>
      </c>
      <c r="V346" s="15" t="s">
        <v>69</v>
      </c>
      <c r="W346" s="15" t="s">
        <v>1278</v>
      </c>
      <c r="X346" s="27">
        <v>232.03</v>
      </c>
      <c r="Y346" s="27">
        <f>Table2[[#This Row],[PREÇO UNITARIO]]*Table2[[#This Row],[QUANTIDADE]]</f>
        <v>232.03</v>
      </c>
      <c r="Z346" s="15"/>
      <c r="AA346" s="28">
        <f>MONTH(Table2[[#This Row],[DATA PEDIDO HP]])</f>
        <v>5</v>
      </c>
      <c r="AB346" s="32" t="s">
        <v>60</v>
      </c>
      <c r="AC346" s="5">
        <f t="shared" ca="1" si="5"/>
        <v>46232</v>
      </c>
      <c r="AD346" s="331">
        <f ca="1">_xlfn.DAYS(Table2[[#This Row],[HOJE]],Table2[[#This Row],[DATA PEDIDO HP]])</f>
        <v>439</v>
      </c>
      <c r="AE346" s="5" t="s">
        <v>43</v>
      </c>
    </row>
    <row r="347" spans="1:31" ht="14.45" hidden="1">
      <c r="A347" s="271" t="s">
        <v>1275</v>
      </c>
      <c r="B347" s="26">
        <v>45793</v>
      </c>
      <c r="C347" s="26">
        <v>45793</v>
      </c>
      <c r="D347" s="14" t="s">
        <v>1276</v>
      </c>
      <c r="E347" s="14" t="s">
        <v>445</v>
      </c>
      <c r="F347" s="14" t="s">
        <v>403</v>
      </c>
      <c r="G347" s="14">
        <v>50300098</v>
      </c>
      <c r="H347" s="14" t="s">
        <v>1148</v>
      </c>
      <c r="I347" s="14" t="s">
        <v>1279</v>
      </c>
      <c r="J347" s="14">
        <v>1</v>
      </c>
      <c r="K347" s="14" t="s">
        <v>37</v>
      </c>
      <c r="L347" s="14" t="s">
        <v>217</v>
      </c>
      <c r="M347" s="15" t="s">
        <v>39</v>
      </c>
      <c r="N347" s="15" t="s">
        <v>89</v>
      </c>
      <c r="O347" s="15">
        <v>1</v>
      </c>
      <c r="P347" s="15"/>
      <c r="Q347" s="15"/>
      <c r="R347" s="15" t="s">
        <v>1150</v>
      </c>
      <c r="S347" s="25">
        <v>45905</v>
      </c>
      <c r="T347" s="25">
        <v>45888</v>
      </c>
      <c r="U347" s="25">
        <v>45898</v>
      </c>
      <c r="V347" s="15" t="s">
        <v>420</v>
      </c>
      <c r="W347" s="15"/>
      <c r="X347" s="27">
        <v>639.37</v>
      </c>
      <c r="Y347" s="27">
        <f>Table2[[#This Row],[PREÇO UNITARIO]]*Table2[[#This Row],[QUANTIDADE]]</f>
        <v>639.37</v>
      </c>
      <c r="Z347" s="15"/>
      <c r="AA347" s="28">
        <f>MONTH(Table2[[#This Row],[DATA PEDIDO HP]])</f>
        <v>5</v>
      </c>
      <c r="AB347" s="32" t="s">
        <v>60</v>
      </c>
      <c r="AC347" s="5">
        <f t="shared" ca="1" si="5"/>
        <v>46232</v>
      </c>
      <c r="AD347" s="331">
        <f ca="1">_xlfn.DAYS(Table2[[#This Row],[HOJE]],Table2[[#This Row],[DATA PEDIDO HP]])</f>
        <v>439</v>
      </c>
      <c r="AE347" s="336" t="s">
        <v>43</v>
      </c>
    </row>
    <row r="348" spans="1:31" ht="14.45" hidden="1">
      <c r="A348" s="271" t="s">
        <v>1280</v>
      </c>
      <c r="B348" s="26">
        <v>45793</v>
      </c>
      <c r="C348" s="26">
        <v>45793</v>
      </c>
      <c r="D348" s="14" t="s">
        <v>1281</v>
      </c>
      <c r="E348" s="14" t="s">
        <v>118</v>
      </c>
      <c r="F348" s="14" t="s">
        <v>64</v>
      </c>
      <c r="G348" s="14">
        <v>48000044</v>
      </c>
      <c r="H348" s="14" t="s">
        <v>153</v>
      </c>
      <c r="I348" s="14" t="s">
        <v>154</v>
      </c>
      <c r="J348" s="14">
        <v>1</v>
      </c>
      <c r="K348" s="14" t="s">
        <v>37</v>
      </c>
      <c r="L348" s="14" t="s">
        <v>48</v>
      </c>
      <c r="M348" s="15" t="s">
        <v>89</v>
      </c>
      <c r="N348" s="15" t="s">
        <v>58</v>
      </c>
      <c r="O348" s="15">
        <v>1</v>
      </c>
      <c r="P348" s="15"/>
      <c r="Q348" s="15"/>
      <c r="R348" s="15"/>
      <c r="S348" s="25"/>
      <c r="T348" s="25">
        <v>45838</v>
      </c>
      <c r="U348" s="25">
        <v>45859</v>
      </c>
      <c r="V348" s="15" t="s">
        <v>533</v>
      </c>
      <c r="W348" s="15"/>
      <c r="X348" s="27">
        <v>227.98</v>
      </c>
      <c r="Y348" s="27">
        <f>Table2[[#This Row],[PREÇO UNITARIO]]*Table2[[#This Row],[QUANTIDADE]]</f>
        <v>227.98</v>
      </c>
      <c r="Z348" s="15"/>
      <c r="AA348" s="28">
        <f>MONTH(Table2[[#This Row],[DATA PEDIDO HP]])</f>
        <v>5</v>
      </c>
      <c r="AB348" s="32" t="s">
        <v>60</v>
      </c>
      <c r="AC348" s="5">
        <f t="shared" ca="1" si="5"/>
        <v>46232</v>
      </c>
      <c r="AD348" s="331">
        <f ca="1">_xlfn.DAYS(Table2[[#This Row],[HOJE]],Table2[[#This Row],[DATA PEDIDO HP]])</f>
        <v>439</v>
      </c>
      <c r="AE348" s="5" t="s">
        <v>43</v>
      </c>
    </row>
    <row r="349" spans="1:31" ht="14.45" hidden="1">
      <c r="A349" s="271" t="s">
        <v>1282</v>
      </c>
      <c r="B349" s="26">
        <v>45793</v>
      </c>
      <c r="C349" s="26">
        <v>45792</v>
      </c>
      <c r="D349" s="14" t="s">
        <v>1283</v>
      </c>
      <c r="E349" s="14" t="s">
        <v>225</v>
      </c>
      <c r="F349" s="14" t="s">
        <v>34</v>
      </c>
      <c r="G349" s="14">
        <v>50110261</v>
      </c>
      <c r="H349" s="14" t="s">
        <v>1284</v>
      </c>
      <c r="I349" s="14" t="s">
        <v>1285</v>
      </c>
      <c r="J349" s="14">
        <v>1</v>
      </c>
      <c r="K349" s="14" t="s">
        <v>37</v>
      </c>
      <c r="L349" s="14" t="s">
        <v>96</v>
      </c>
      <c r="M349" s="15" t="s">
        <v>89</v>
      </c>
      <c r="N349" s="15" t="s">
        <v>58</v>
      </c>
      <c r="O349" s="15">
        <v>1</v>
      </c>
      <c r="P349" s="15">
        <v>1</v>
      </c>
      <c r="Q349" s="15"/>
      <c r="R349" s="15"/>
      <c r="S349" s="25"/>
      <c r="T349" s="25">
        <v>45838</v>
      </c>
      <c r="U349" s="25">
        <v>45859</v>
      </c>
      <c r="V349" s="15" t="s">
        <v>533</v>
      </c>
      <c r="W349" s="15"/>
      <c r="X349" s="27">
        <v>32.619999999999997</v>
      </c>
      <c r="Y349" s="27">
        <f>Table2[[#This Row],[PREÇO UNITARIO]]*Table2[[#This Row],[QUANTIDADE]]</f>
        <v>32.619999999999997</v>
      </c>
      <c r="Z349" s="15"/>
      <c r="AA349" s="32">
        <f>MONTH(Table2[[#This Row],[DATA PEDIDO HP]])</f>
        <v>5</v>
      </c>
      <c r="AB349" s="32" t="s">
        <v>60</v>
      </c>
      <c r="AC349" s="5">
        <f t="shared" ca="1" si="5"/>
        <v>46232</v>
      </c>
      <c r="AD349" s="331">
        <f ca="1">_xlfn.DAYS(Table2[[#This Row],[HOJE]],Table2[[#This Row],[DATA PEDIDO HP]])</f>
        <v>439</v>
      </c>
      <c r="AE349" s="5" t="s">
        <v>43</v>
      </c>
    </row>
    <row r="350" spans="1:31" ht="14.45" hidden="1">
      <c r="A350" s="271" t="s">
        <v>1282</v>
      </c>
      <c r="B350" s="26">
        <v>45793</v>
      </c>
      <c r="C350" s="26">
        <v>45792</v>
      </c>
      <c r="D350" s="14" t="s">
        <v>1283</v>
      </c>
      <c r="E350" s="14" t="s">
        <v>225</v>
      </c>
      <c r="F350" s="14" t="s">
        <v>34</v>
      </c>
      <c r="G350" s="14">
        <v>50110261</v>
      </c>
      <c r="H350" s="14" t="s">
        <v>1286</v>
      </c>
      <c r="I350" s="14" t="s">
        <v>1287</v>
      </c>
      <c r="J350" s="14">
        <v>1</v>
      </c>
      <c r="K350" s="14" t="s">
        <v>37</v>
      </c>
      <c r="L350" s="14" t="s">
        <v>96</v>
      </c>
      <c r="M350" s="15" t="s">
        <v>89</v>
      </c>
      <c r="N350" s="15" t="s">
        <v>58</v>
      </c>
      <c r="O350" s="15">
        <v>1</v>
      </c>
      <c r="P350" s="15">
        <v>1</v>
      </c>
      <c r="Q350" s="15"/>
      <c r="R350" s="15"/>
      <c r="S350" s="25"/>
      <c r="T350" s="25">
        <v>45838</v>
      </c>
      <c r="U350" s="25">
        <v>45859</v>
      </c>
      <c r="V350" s="15" t="s">
        <v>533</v>
      </c>
      <c r="W350" s="15"/>
      <c r="X350" s="27">
        <v>31.55</v>
      </c>
      <c r="Y350" s="27">
        <f>Table2[[#This Row],[PREÇO UNITARIO]]*Table2[[#This Row],[QUANTIDADE]]</f>
        <v>31.55</v>
      </c>
      <c r="Z350" s="15"/>
      <c r="AA350" s="32">
        <f>MONTH(Table2[[#This Row],[DATA PEDIDO HP]])</f>
        <v>5</v>
      </c>
      <c r="AB350" s="32" t="s">
        <v>60</v>
      </c>
      <c r="AC350" s="5">
        <f t="shared" ca="1" si="5"/>
        <v>46232</v>
      </c>
      <c r="AD350" s="331">
        <f ca="1">_xlfn.DAYS(Table2[[#This Row],[HOJE]],Table2[[#This Row],[DATA PEDIDO HP]])</f>
        <v>439</v>
      </c>
      <c r="AE350" s="5" t="s">
        <v>43</v>
      </c>
    </row>
    <row r="351" spans="1:31" ht="14.45" hidden="1">
      <c r="A351" s="298" t="s">
        <v>1282</v>
      </c>
      <c r="B351" s="26">
        <v>45793</v>
      </c>
      <c r="C351" s="26">
        <v>45792</v>
      </c>
      <c r="D351" s="14" t="s">
        <v>1283</v>
      </c>
      <c r="E351" s="14" t="s">
        <v>225</v>
      </c>
      <c r="F351" s="14" t="s">
        <v>34</v>
      </c>
      <c r="G351" s="14">
        <v>50110261</v>
      </c>
      <c r="H351" s="229" t="s">
        <v>1288</v>
      </c>
      <c r="I351" s="14" t="s">
        <v>1289</v>
      </c>
      <c r="J351" s="14">
        <v>1</v>
      </c>
      <c r="K351" s="14" t="s">
        <v>37</v>
      </c>
      <c r="L351" s="14" t="s">
        <v>96</v>
      </c>
      <c r="M351" s="15" t="s">
        <v>89</v>
      </c>
      <c r="N351" s="15" t="s">
        <v>89</v>
      </c>
      <c r="O351" s="15">
        <v>0</v>
      </c>
      <c r="P351" s="15">
        <v>0</v>
      </c>
      <c r="Q351" s="15"/>
      <c r="R351" s="15"/>
      <c r="S351" s="25">
        <v>45996</v>
      </c>
      <c r="T351" s="25">
        <v>45979</v>
      </c>
      <c r="U351" s="25">
        <v>45993</v>
      </c>
      <c r="V351" s="15" t="s">
        <v>1290</v>
      </c>
      <c r="W351" s="15"/>
      <c r="X351" s="27">
        <v>119.54</v>
      </c>
      <c r="Y351" s="27">
        <f>Table2[[#This Row],[PREÇO UNITARIO]]*Table2[[#This Row],[QUANTIDADE]]</f>
        <v>119.54</v>
      </c>
      <c r="Z351" s="15"/>
      <c r="AA351" s="32">
        <f>MONTH(Table2[[#This Row],[DATA PEDIDO HP]])</f>
        <v>5</v>
      </c>
      <c r="AB351" s="32" t="s">
        <v>60</v>
      </c>
      <c r="AC351" s="5">
        <f t="shared" ca="1" si="5"/>
        <v>46232</v>
      </c>
      <c r="AD351" s="331">
        <f ca="1">_xlfn.DAYS(Table2[[#This Row],[HOJE]],Table2[[#This Row],[DATA PEDIDO HP]])</f>
        <v>439</v>
      </c>
      <c r="AE351" s="336" t="s">
        <v>43</v>
      </c>
    </row>
    <row r="352" spans="1:31" ht="14.45" hidden="1">
      <c r="A352" s="271" t="s">
        <v>1291</v>
      </c>
      <c r="B352" s="26">
        <v>45793</v>
      </c>
      <c r="C352" s="26">
        <v>45793</v>
      </c>
      <c r="D352" s="14" t="s">
        <v>1292</v>
      </c>
      <c r="E352" s="14" t="s">
        <v>109</v>
      </c>
      <c r="F352" s="14" t="s">
        <v>34</v>
      </c>
      <c r="G352" s="14">
        <v>50110229</v>
      </c>
      <c r="H352" s="14" t="s">
        <v>1293</v>
      </c>
      <c r="I352" s="14" t="s">
        <v>1294</v>
      </c>
      <c r="J352" s="14">
        <v>1</v>
      </c>
      <c r="K352" s="14" t="s">
        <v>37</v>
      </c>
      <c r="L352" s="14" t="s">
        <v>96</v>
      </c>
      <c r="M352" s="15" t="s">
        <v>89</v>
      </c>
      <c r="N352" s="15" t="s">
        <v>58</v>
      </c>
      <c r="O352" s="15">
        <v>1</v>
      </c>
      <c r="P352" s="15"/>
      <c r="Q352" s="15"/>
      <c r="R352" s="15"/>
      <c r="S352" s="25"/>
      <c r="T352" s="25">
        <v>45838</v>
      </c>
      <c r="U352" s="25">
        <v>45859</v>
      </c>
      <c r="V352" s="15" t="s">
        <v>533</v>
      </c>
      <c r="W352" s="15"/>
      <c r="X352" s="159">
        <v>19.600000000000001</v>
      </c>
      <c r="Y352" s="159">
        <f>Table2[[#This Row],[PREÇO UNITARIO]]*Table2[[#This Row],[QUANTIDADE]]</f>
        <v>19.600000000000001</v>
      </c>
      <c r="Z352" s="15"/>
      <c r="AA352" s="28">
        <f>MONTH(Table2[[#This Row],[DATA PEDIDO HP]])</f>
        <v>5</v>
      </c>
      <c r="AB352" s="32" t="s">
        <v>42</v>
      </c>
      <c r="AC352" s="5">
        <f t="shared" ca="1" si="5"/>
        <v>46232</v>
      </c>
      <c r="AD352" s="331">
        <f ca="1">_xlfn.DAYS(Table2[[#This Row],[HOJE]],Table2[[#This Row],[DATA PEDIDO HP]])</f>
        <v>439</v>
      </c>
      <c r="AE352" s="5" t="s">
        <v>43</v>
      </c>
    </row>
    <row r="353" spans="1:31" ht="14.45" hidden="1">
      <c r="A353" s="271" t="s">
        <v>1295</v>
      </c>
      <c r="B353" s="26">
        <v>45793</v>
      </c>
      <c r="C353" s="26">
        <v>45793</v>
      </c>
      <c r="D353" s="14" t="s">
        <v>1296</v>
      </c>
      <c r="E353" s="14" t="s">
        <v>103</v>
      </c>
      <c r="F353" s="14" t="s">
        <v>104</v>
      </c>
      <c r="G353" s="14">
        <v>51000136</v>
      </c>
      <c r="H353" s="14" t="s">
        <v>597</v>
      </c>
      <c r="I353" s="14" t="s">
        <v>1297</v>
      </c>
      <c r="J353" s="14">
        <v>1</v>
      </c>
      <c r="K353" s="14" t="s">
        <v>37</v>
      </c>
      <c r="L353" s="14" t="s">
        <v>48</v>
      </c>
      <c r="M353" s="15" t="s">
        <v>89</v>
      </c>
      <c r="N353" s="15" t="s">
        <v>58</v>
      </c>
      <c r="O353" s="15">
        <v>1</v>
      </c>
      <c r="P353" s="15"/>
      <c r="Q353" s="15"/>
      <c r="R353" s="15"/>
      <c r="S353" s="25"/>
      <c r="T353" s="25">
        <v>45838</v>
      </c>
      <c r="U353" s="25">
        <v>45859</v>
      </c>
      <c r="V353" s="15" t="s">
        <v>533</v>
      </c>
      <c r="W353" s="15"/>
      <c r="X353" s="27">
        <v>720.36</v>
      </c>
      <c r="Y353" s="27">
        <f>Table2[[#This Row],[PREÇO UNITARIO]]*Table2[[#This Row],[QUANTIDADE]]</f>
        <v>720.36</v>
      </c>
      <c r="Z353" s="15"/>
      <c r="AA353" s="28">
        <f>MONTH(Table2[[#This Row],[DATA PEDIDO HP]])</f>
        <v>5</v>
      </c>
      <c r="AB353" s="32" t="s">
        <v>42</v>
      </c>
      <c r="AC353" s="5">
        <f t="shared" ca="1" si="5"/>
        <v>46232</v>
      </c>
      <c r="AD353" s="331">
        <f ca="1">_xlfn.DAYS(Table2[[#This Row],[HOJE]],Table2[[#This Row],[DATA PEDIDO HP]])</f>
        <v>439</v>
      </c>
      <c r="AE353" s="5" t="s">
        <v>43</v>
      </c>
    </row>
    <row r="354" spans="1:31" ht="14.45" hidden="1">
      <c r="A354" s="271" t="s">
        <v>1295</v>
      </c>
      <c r="B354" s="26">
        <v>45793</v>
      </c>
      <c r="C354" s="26">
        <v>45793</v>
      </c>
      <c r="D354" s="14" t="s">
        <v>1296</v>
      </c>
      <c r="E354" s="14" t="s">
        <v>103</v>
      </c>
      <c r="F354" s="14" t="s">
        <v>104</v>
      </c>
      <c r="G354" s="14">
        <v>51000136</v>
      </c>
      <c r="H354" s="14" t="s">
        <v>1298</v>
      </c>
      <c r="I354" s="14" t="s">
        <v>1299</v>
      </c>
      <c r="J354" s="14">
        <v>1</v>
      </c>
      <c r="K354" s="14" t="s">
        <v>37</v>
      </c>
      <c r="L354" s="14" t="s">
        <v>48</v>
      </c>
      <c r="M354" s="15" t="s">
        <v>89</v>
      </c>
      <c r="N354" s="15" t="s">
        <v>39</v>
      </c>
      <c r="O354" s="15">
        <v>1</v>
      </c>
      <c r="P354" s="15"/>
      <c r="Q354" s="15"/>
      <c r="R354" s="15"/>
      <c r="S354" s="25">
        <v>45861</v>
      </c>
      <c r="T354" s="25">
        <v>45838</v>
      </c>
      <c r="U354" s="25">
        <v>45859</v>
      </c>
      <c r="V354" s="15" t="s">
        <v>533</v>
      </c>
      <c r="W354" s="15"/>
      <c r="X354" s="27">
        <v>260.14999999999998</v>
      </c>
      <c r="Y354" s="27">
        <f>Table2[[#This Row],[PREÇO UNITARIO]]*Table2[[#This Row],[QUANTIDADE]]</f>
        <v>260.14999999999998</v>
      </c>
      <c r="Z354" s="15"/>
      <c r="AA354" s="28">
        <f>MONTH(Table2[[#This Row],[DATA PEDIDO HP]])</f>
        <v>5</v>
      </c>
      <c r="AB354" s="32" t="s">
        <v>42</v>
      </c>
      <c r="AC354" s="5">
        <f t="shared" ca="1" si="5"/>
        <v>46232</v>
      </c>
      <c r="AD354" s="331">
        <f ca="1">_xlfn.DAYS(Table2[[#This Row],[HOJE]],Table2[[#This Row],[DATA PEDIDO HP]])</f>
        <v>439</v>
      </c>
      <c r="AE354" s="336" t="s">
        <v>43</v>
      </c>
    </row>
    <row r="355" spans="1:31" ht="14.45" hidden="1">
      <c r="A355" s="271" t="s">
        <v>1300</v>
      </c>
      <c r="B355" s="26">
        <v>45797</v>
      </c>
      <c r="C355" s="26">
        <v>45797</v>
      </c>
      <c r="D355" s="14" t="s">
        <v>1301</v>
      </c>
      <c r="E355" s="14" t="s">
        <v>33</v>
      </c>
      <c r="F355" s="14" t="s">
        <v>34</v>
      </c>
      <c r="G355" s="14">
        <v>50110193</v>
      </c>
      <c r="H355" s="14" t="s">
        <v>1302</v>
      </c>
      <c r="I355" s="14" t="s">
        <v>1303</v>
      </c>
      <c r="J355" s="14">
        <v>1</v>
      </c>
      <c r="K355" s="14" t="s">
        <v>37</v>
      </c>
      <c r="L355" s="14" t="s">
        <v>96</v>
      </c>
      <c r="M355" s="15" t="s">
        <v>89</v>
      </c>
      <c r="N355" s="15" t="s">
        <v>89</v>
      </c>
      <c r="O355" s="15">
        <v>1</v>
      </c>
      <c r="P355" s="15"/>
      <c r="Q355" s="15"/>
      <c r="R355" s="15"/>
      <c r="S355" s="25">
        <v>45861</v>
      </c>
      <c r="T355" s="25">
        <v>45838</v>
      </c>
      <c r="U355" s="25">
        <v>45859</v>
      </c>
      <c r="V355" s="15" t="s">
        <v>533</v>
      </c>
      <c r="W355" s="15"/>
      <c r="X355" s="27">
        <v>109.04</v>
      </c>
      <c r="Y355" s="27">
        <f>Table2[[#This Row],[PREÇO UNITARIO]]*Table2[[#This Row],[QUANTIDADE]]</f>
        <v>109.04</v>
      </c>
      <c r="Z355" s="15"/>
      <c r="AA355" s="28">
        <f>MONTH(Table2[[#This Row],[DATA PEDIDO HP]])</f>
        <v>5</v>
      </c>
      <c r="AB355" s="32" t="s">
        <v>42</v>
      </c>
      <c r="AC355" s="5">
        <f t="shared" ca="1" si="5"/>
        <v>46232</v>
      </c>
      <c r="AD355" s="331">
        <f ca="1">_xlfn.DAYS(Table2[[#This Row],[HOJE]],Table2[[#This Row],[DATA PEDIDO HP]])</f>
        <v>435</v>
      </c>
      <c r="AE355" s="336" t="s">
        <v>43</v>
      </c>
    </row>
    <row r="356" spans="1:31" ht="14.45" hidden="1">
      <c r="A356" s="271" t="s">
        <v>1304</v>
      </c>
      <c r="B356" s="26">
        <v>45797</v>
      </c>
      <c r="C356" s="26">
        <v>45797</v>
      </c>
      <c r="D356" s="14" t="s">
        <v>1305</v>
      </c>
      <c r="E356" s="14" t="s">
        <v>73</v>
      </c>
      <c r="F356" s="14" t="s">
        <v>34</v>
      </c>
      <c r="G356" s="14">
        <v>50110372</v>
      </c>
      <c r="H356" s="14" t="s">
        <v>1306</v>
      </c>
      <c r="I356" s="14" t="s">
        <v>1307</v>
      </c>
      <c r="J356" s="14">
        <v>1</v>
      </c>
      <c r="K356" s="14" t="s">
        <v>37</v>
      </c>
      <c r="L356" s="14" t="s">
        <v>96</v>
      </c>
      <c r="M356" s="15" t="s">
        <v>58</v>
      </c>
      <c r="N356" s="15" t="s">
        <v>39</v>
      </c>
      <c r="O356" s="15">
        <v>1</v>
      </c>
      <c r="P356" s="15"/>
      <c r="Q356" s="15"/>
      <c r="R356" s="15"/>
      <c r="S356" s="25">
        <v>45860</v>
      </c>
      <c r="T356" s="25">
        <v>45838</v>
      </c>
      <c r="U356" s="25">
        <v>45859</v>
      </c>
      <c r="V356" s="15" t="s">
        <v>533</v>
      </c>
      <c r="W356" s="15"/>
      <c r="X356" s="27">
        <v>73.489999999999995</v>
      </c>
      <c r="Y356" s="27">
        <f>Table2[[#This Row],[PREÇO UNITARIO]]*Table2[[#This Row],[QUANTIDADE]]</f>
        <v>73.489999999999995</v>
      </c>
      <c r="Z356" s="15"/>
      <c r="AA356" s="28">
        <f>MONTH(Table2[[#This Row],[DATA PEDIDO HP]])</f>
        <v>5</v>
      </c>
      <c r="AB356" s="32" t="s">
        <v>42</v>
      </c>
      <c r="AC356" s="5">
        <f t="shared" ca="1" si="5"/>
        <v>46232</v>
      </c>
      <c r="AD356" s="331">
        <f ca="1">_xlfn.DAYS(Table2[[#This Row],[HOJE]],Table2[[#This Row],[DATA PEDIDO HP]])</f>
        <v>435</v>
      </c>
      <c r="AE356" s="336" t="s">
        <v>43</v>
      </c>
    </row>
    <row r="357" spans="1:31" ht="14.45" hidden="1">
      <c r="A357" s="271" t="s">
        <v>1308</v>
      </c>
      <c r="B357" s="26">
        <v>45797</v>
      </c>
      <c r="C357" s="26">
        <v>45797</v>
      </c>
      <c r="D357" s="14" t="s">
        <v>1309</v>
      </c>
      <c r="E357" s="14" t="s">
        <v>54</v>
      </c>
      <c r="F357" s="14" t="s">
        <v>55</v>
      </c>
      <c r="G357" s="14">
        <v>44000216</v>
      </c>
      <c r="H357" s="14" t="s">
        <v>736</v>
      </c>
      <c r="I357" s="14" t="s">
        <v>1310</v>
      </c>
      <c r="J357" s="14">
        <v>1</v>
      </c>
      <c r="K357" s="14" t="s">
        <v>37</v>
      </c>
      <c r="L357" s="14" t="s">
        <v>96</v>
      </c>
      <c r="M357" s="15" t="s">
        <v>58</v>
      </c>
      <c r="N357" s="15" t="s">
        <v>58</v>
      </c>
      <c r="O357" s="15">
        <v>1</v>
      </c>
      <c r="P357" s="15"/>
      <c r="Q357" s="15"/>
      <c r="R357" s="15"/>
      <c r="S357" s="25"/>
      <c r="T357" s="25">
        <v>45838</v>
      </c>
      <c r="U357" s="25">
        <v>45859</v>
      </c>
      <c r="V357" s="15" t="s">
        <v>533</v>
      </c>
      <c r="W357" s="15"/>
      <c r="X357" s="27">
        <v>180.46</v>
      </c>
      <c r="Y357" s="27">
        <f>Table2[[#This Row],[PREÇO UNITARIO]]*Table2[[#This Row],[QUANTIDADE]]</f>
        <v>180.46</v>
      </c>
      <c r="Z357" s="15"/>
      <c r="AA357" s="28">
        <f>MONTH(Table2[[#This Row],[DATA PEDIDO HP]])</f>
        <v>5</v>
      </c>
      <c r="AB357" s="32" t="s">
        <v>60</v>
      </c>
      <c r="AC357" s="5">
        <f t="shared" ca="1" si="5"/>
        <v>46232</v>
      </c>
      <c r="AD357" s="331">
        <f ca="1">_xlfn.DAYS(Table2[[#This Row],[HOJE]],Table2[[#This Row],[DATA PEDIDO HP]])</f>
        <v>435</v>
      </c>
      <c r="AE357" s="5" t="s">
        <v>43</v>
      </c>
    </row>
    <row r="358" spans="1:31" ht="14.45" hidden="1">
      <c r="A358" s="271" t="s">
        <v>1311</v>
      </c>
      <c r="B358" s="26">
        <v>45800</v>
      </c>
      <c r="C358" s="26">
        <v>45800</v>
      </c>
      <c r="D358" s="14" t="s">
        <v>1312</v>
      </c>
      <c r="E358" s="14" t="s">
        <v>73</v>
      </c>
      <c r="F358" s="14" t="s">
        <v>34</v>
      </c>
      <c r="G358" s="14">
        <v>50110372</v>
      </c>
      <c r="H358" s="14" t="s">
        <v>80</v>
      </c>
      <c r="I358" s="14" t="s">
        <v>907</v>
      </c>
      <c r="J358" s="14">
        <v>1</v>
      </c>
      <c r="K358" s="14" t="s">
        <v>37</v>
      </c>
      <c r="L358" s="14" t="s">
        <v>96</v>
      </c>
      <c r="M358" s="15" t="s">
        <v>58</v>
      </c>
      <c r="N358" s="15" t="s">
        <v>58</v>
      </c>
      <c r="O358" s="15">
        <v>1</v>
      </c>
      <c r="P358" s="15"/>
      <c r="Q358" s="15"/>
      <c r="R358" s="15"/>
      <c r="S358" s="25"/>
      <c r="T358" s="25">
        <v>45838</v>
      </c>
      <c r="U358" s="25">
        <v>45859</v>
      </c>
      <c r="V358" s="15" t="s">
        <v>533</v>
      </c>
      <c r="W358" s="15"/>
      <c r="X358" s="27">
        <v>49.81</v>
      </c>
      <c r="Y358" s="27">
        <f>Table2[[#This Row],[PREÇO UNITARIO]]*Table2[[#This Row],[QUANTIDADE]]</f>
        <v>49.81</v>
      </c>
      <c r="Z358" s="15"/>
      <c r="AA358" s="28">
        <f>MONTH(Table2[[#This Row],[DATA PEDIDO HP]])</f>
        <v>5</v>
      </c>
      <c r="AB358" s="32" t="s">
        <v>42</v>
      </c>
      <c r="AC358" s="5">
        <f t="shared" ca="1" si="5"/>
        <v>46232</v>
      </c>
      <c r="AD358" s="331">
        <f ca="1">_xlfn.DAYS(Table2[[#This Row],[HOJE]],Table2[[#This Row],[DATA PEDIDO HP]])</f>
        <v>432</v>
      </c>
      <c r="AE358" s="5" t="s">
        <v>43</v>
      </c>
    </row>
    <row r="359" spans="1:31" ht="14.45" hidden="1">
      <c r="A359" s="271" t="s">
        <v>1313</v>
      </c>
      <c r="B359" s="26">
        <v>45803</v>
      </c>
      <c r="C359" s="26">
        <v>45803</v>
      </c>
      <c r="D359" s="14" t="s">
        <v>1314</v>
      </c>
      <c r="E359" s="14" t="s">
        <v>181</v>
      </c>
      <c r="F359" s="14" t="s">
        <v>34</v>
      </c>
      <c r="G359" s="14">
        <v>50110057</v>
      </c>
      <c r="H359" s="14" t="s">
        <v>1315</v>
      </c>
      <c r="I359" s="14" t="s">
        <v>1316</v>
      </c>
      <c r="J359" s="14">
        <v>1</v>
      </c>
      <c r="K359" s="14" t="s">
        <v>37</v>
      </c>
      <c r="L359" s="14" t="s">
        <v>48</v>
      </c>
      <c r="M359" s="15" t="s">
        <v>58</v>
      </c>
      <c r="N359" s="15" t="s">
        <v>58</v>
      </c>
      <c r="O359" s="15">
        <v>1</v>
      </c>
      <c r="P359" s="15"/>
      <c r="Q359" s="15"/>
      <c r="R359" s="15"/>
      <c r="S359" s="25"/>
      <c r="T359" s="25">
        <v>45838</v>
      </c>
      <c r="U359" s="25">
        <v>45859</v>
      </c>
      <c r="V359" s="15" t="s">
        <v>533</v>
      </c>
      <c r="W359" s="15"/>
      <c r="X359" s="27">
        <v>1845.54</v>
      </c>
      <c r="Y359" s="27">
        <f>Table2[[#This Row],[PREÇO UNITARIO]]*Table2[[#This Row],[QUANTIDADE]]</f>
        <v>1845.54</v>
      </c>
      <c r="Z359" s="15" t="s">
        <v>1317</v>
      </c>
      <c r="AA359" s="32">
        <f>MONTH(Table2[[#This Row],[DATA PEDIDO HP]])</f>
        <v>5</v>
      </c>
      <c r="AB359" s="32" t="s">
        <v>42</v>
      </c>
      <c r="AC359" s="5">
        <f t="shared" ca="1" si="5"/>
        <v>46232</v>
      </c>
      <c r="AD359" s="331">
        <f ca="1">_xlfn.DAYS(Table2[[#This Row],[HOJE]],Table2[[#This Row],[DATA PEDIDO HP]])</f>
        <v>429</v>
      </c>
      <c r="AE359" s="5" t="s">
        <v>43</v>
      </c>
    </row>
    <row r="360" spans="1:31" ht="14.45" hidden="1">
      <c r="A360" s="271" t="s">
        <v>1318</v>
      </c>
      <c r="B360" s="26">
        <v>45803</v>
      </c>
      <c r="C360" s="26">
        <v>45803</v>
      </c>
      <c r="D360" s="14" t="s">
        <v>1319</v>
      </c>
      <c r="E360" s="14" t="s">
        <v>79</v>
      </c>
      <c r="F360" s="14" t="s">
        <v>74</v>
      </c>
      <c r="G360" s="14">
        <v>50000530</v>
      </c>
      <c r="H360" s="14" t="s">
        <v>879</v>
      </c>
      <c r="I360" s="14" t="s">
        <v>1320</v>
      </c>
      <c r="J360" s="14">
        <v>2</v>
      </c>
      <c r="K360" s="14" t="s">
        <v>37</v>
      </c>
      <c r="L360" s="14" t="s">
        <v>217</v>
      </c>
      <c r="M360" s="15" t="s">
        <v>39</v>
      </c>
      <c r="N360" s="15" t="s">
        <v>58</v>
      </c>
      <c r="O360" s="15">
        <v>2</v>
      </c>
      <c r="P360" s="15"/>
      <c r="Q360" s="15"/>
      <c r="R360" s="15"/>
      <c r="S360" s="25"/>
      <c r="T360" s="25">
        <v>45888</v>
      </c>
      <c r="U360" s="25">
        <v>45898</v>
      </c>
      <c r="V360" s="15" t="s">
        <v>1321</v>
      </c>
      <c r="W360" s="15"/>
      <c r="X360" s="27">
        <v>317.92</v>
      </c>
      <c r="Y360" s="27">
        <f>Table2[[#This Row],[PREÇO UNITARIO]]*Table2[[#This Row],[QUANTIDADE]]</f>
        <v>635.84</v>
      </c>
      <c r="Z360" s="15"/>
      <c r="AA360" s="28">
        <f>MONTH(Table2[[#This Row],[DATA PEDIDO HP]])</f>
        <v>5</v>
      </c>
      <c r="AB360" s="32" t="s">
        <v>60</v>
      </c>
      <c r="AC360" s="5">
        <f t="shared" ca="1" si="5"/>
        <v>46232</v>
      </c>
      <c r="AD360" s="331">
        <f ca="1">_xlfn.DAYS(Table2[[#This Row],[HOJE]],Table2[[#This Row],[DATA PEDIDO HP]])</f>
        <v>429</v>
      </c>
      <c r="AE360" s="5" t="s">
        <v>43</v>
      </c>
    </row>
    <row r="361" spans="1:31" ht="14.45" hidden="1">
      <c r="A361" s="271" t="s">
        <v>1318</v>
      </c>
      <c r="B361" s="26">
        <v>45803</v>
      </c>
      <c r="C361" s="26">
        <v>45803</v>
      </c>
      <c r="D361" s="14" t="s">
        <v>1319</v>
      </c>
      <c r="E361" s="14" t="s">
        <v>79</v>
      </c>
      <c r="F361" s="14" t="s">
        <v>74</v>
      </c>
      <c r="G361" s="14">
        <v>50000530</v>
      </c>
      <c r="H361" s="14" t="s">
        <v>1174</v>
      </c>
      <c r="I361" s="14" t="s">
        <v>1322</v>
      </c>
      <c r="J361" s="14">
        <v>4</v>
      </c>
      <c r="K361" s="14" t="s">
        <v>37</v>
      </c>
      <c r="L361" s="14" t="s">
        <v>217</v>
      </c>
      <c r="M361" s="15" t="s">
        <v>58</v>
      </c>
      <c r="N361" s="15" t="s">
        <v>89</v>
      </c>
      <c r="O361" s="15">
        <v>4</v>
      </c>
      <c r="P361" s="15"/>
      <c r="Q361" s="15"/>
      <c r="R361" s="15"/>
      <c r="S361" s="25">
        <v>45861</v>
      </c>
      <c r="T361" s="25">
        <v>45838</v>
      </c>
      <c r="U361" s="25">
        <v>45859</v>
      </c>
      <c r="V361" s="15" t="s">
        <v>533</v>
      </c>
      <c r="W361" s="15"/>
      <c r="X361" s="27">
        <v>305.67</v>
      </c>
      <c r="Y361" s="27">
        <f>Table2[[#This Row],[PREÇO UNITARIO]]*Table2[[#This Row],[QUANTIDADE]]</f>
        <v>1222.68</v>
      </c>
      <c r="Z361" s="15"/>
      <c r="AA361" s="28">
        <f>MONTH(Table2[[#This Row],[DATA PEDIDO HP]])</f>
        <v>5</v>
      </c>
      <c r="AB361" s="32" t="s">
        <v>60</v>
      </c>
      <c r="AC361" s="5">
        <f t="shared" ca="1" si="5"/>
        <v>46232</v>
      </c>
      <c r="AD361" s="331">
        <f ca="1">_xlfn.DAYS(Table2[[#This Row],[HOJE]],Table2[[#This Row],[DATA PEDIDO HP]])</f>
        <v>429</v>
      </c>
      <c r="AE361" s="336" t="s">
        <v>43</v>
      </c>
    </row>
    <row r="362" spans="1:31" ht="14.45" hidden="1">
      <c r="A362" s="271" t="s">
        <v>1323</v>
      </c>
      <c r="B362" s="26">
        <v>45803</v>
      </c>
      <c r="C362" s="26">
        <v>45803</v>
      </c>
      <c r="D362" s="14" t="s">
        <v>1324</v>
      </c>
      <c r="E362" s="14" t="s">
        <v>233</v>
      </c>
      <c r="F362" s="14" t="s">
        <v>234</v>
      </c>
      <c r="G362" s="14">
        <v>47100399</v>
      </c>
      <c r="H362" s="14" t="s">
        <v>1325</v>
      </c>
      <c r="I362" s="14" t="s">
        <v>1326</v>
      </c>
      <c r="J362" s="14">
        <v>2</v>
      </c>
      <c r="K362" s="14" t="s">
        <v>37</v>
      </c>
      <c r="L362" s="14" t="s">
        <v>96</v>
      </c>
      <c r="M362" s="15" t="s">
        <v>58</v>
      </c>
      <c r="N362" s="15" t="s">
        <v>39</v>
      </c>
      <c r="O362" s="15">
        <v>2</v>
      </c>
      <c r="P362" s="15"/>
      <c r="Q362" s="15"/>
      <c r="R362" s="15"/>
      <c r="S362" s="25">
        <v>45861</v>
      </c>
      <c r="T362" s="25">
        <v>45838</v>
      </c>
      <c r="U362" s="25">
        <v>45859</v>
      </c>
      <c r="V362" s="15" t="s">
        <v>533</v>
      </c>
      <c r="W362" s="15"/>
      <c r="X362" s="27">
        <v>138.81</v>
      </c>
      <c r="Y362" s="27">
        <f>Table2[[#This Row],[PREÇO UNITARIO]]*Table2[[#This Row],[QUANTIDADE]]</f>
        <v>277.62</v>
      </c>
      <c r="Z362" s="15"/>
      <c r="AA362" s="28">
        <f>MONTH(Table2[[#This Row],[DATA PEDIDO HP]])</f>
        <v>5</v>
      </c>
      <c r="AB362" s="32" t="s">
        <v>60</v>
      </c>
      <c r="AC362" s="5">
        <f t="shared" ca="1" si="5"/>
        <v>46232</v>
      </c>
      <c r="AD362" s="331">
        <f ca="1">_xlfn.DAYS(Table2[[#This Row],[HOJE]],Table2[[#This Row],[DATA PEDIDO HP]])</f>
        <v>429</v>
      </c>
      <c r="AE362" s="336" t="s">
        <v>43</v>
      </c>
    </row>
    <row r="363" spans="1:31" ht="14.45" hidden="1">
      <c r="A363" s="271" t="s">
        <v>1327</v>
      </c>
      <c r="B363" s="26">
        <v>45803</v>
      </c>
      <c r="C363" s="26">
        <v>45799</v>
      </c>
      <c r="D363" s="14" t="s">
        <v>1328</v>
      </c>
      <c r="E363" s="14" t="s">
        <v>109</v>
      </c>
      <c r="F363" s="14" t="s">
        <v>34</v>
      </c>
      <c r="G363" s="14">
        <v>50110229</v>
      </c>
      <c r="H363" s="14" t="s">
        <v>94</v>
      </c>
      <c r="I363" s="14" t="s">
        <v>162</v>
      </c>
      <c r="J363" s="14">
        <v>1</v>
      </c>
      <c r="K363" s="14" t="s">
        <v>37</v>
      </c>
      <c r="L363" s="14" t="s">
        <v>48</v>
      </c>
      <c r="M363" s="15" t="s">
        <v>39</v>
      </c>
      <c r="N363" s="15" t="s">
        <v>39</v>
      </c>
      <c r="O363" s="15">
        <v>1</v>
      </c>
      <c r="P363" s="15"/>
      <c r="Q363" s="15"/>
      <c r="R363" s="15"/>
      <c r="S363" s="25">
        <v>45861</v>
      </c>
      <c r="T363" s="25">
        <v>45838</v>
      </c>
      <c r="U363" s="25">
        <v>45859</v>
      </c>
      <c r="V363" s="15" t="s">
        <v>533</v>
      </c>
      <c r="W363" s="15"/>
      <c r="X363" s="27">
        <v>207.82</v>
      </c>
      <c r="Y363" s="27">
        <f>Table2[[#This Row],[PREÇO UNITARIO]]*Table2[[#This Row],[QUANTIDADE]]</f>
        <v>207.82</v>
      </c>
      <c r="Z363" s="15"/>
      <c r="AA363" s="28">
        <f>MONTH(Table2[[#This Row],[DATA PEDIDO HP]])</f>
        <v>5</v>
      </c>
      <c r="AB363" s="32" t="s">
        <v>42</v>
      </c>
      <c r="AC363" s="5">
        <f t="shared" ca="1" si="5"/>
        <v>46232</v>
      </c>
      <c r="AD363" s="331">
        <f ca="1">_xlfn.DAYS(Table2[[#This Row],[HOJE]],Table2[[#This Row],[DATA PEDIDO HP]])</f>
        <v>429</v>
      </c>
      <c r="AE363" s="336" t="s">
        <v>43</v>
      </c>
    </row>
    <row r="364" spans="1:31" ht="14.45" hidden="1">
      <c r="A364" s="271" t="s">
        <v>1329</v>
      </c>
      <c r="B364" s="26">
        <v>45803</v>
      </c>
      <c r="C364" s="26">
        <v>45803</v>
      </c>
      <c r="D364" s="14" t="s">
        <v>1330</v>
      </c>
      <c r="E364" s="14" t="s">
        <v>202</v>
      </c>
      <c r="F364" s="14" t="s">
        <v>203</v>
      </c>
      <c r="G364" s="14">
        <v>60002072</v>
      </c>
      <c r="H364" s="14" t="s">
        <v>1331</v>
      </c>
      <c r="I364" s="14" t="s">
        <v>1332</v>
      </c>
      <c r="J364" s="14">
        <v>1</v>
      </c>
      <c r="K364" s="14" t="s">
        <v>37</v>
      </c>
      <c r="L364" s="14" t="s">
        <v>346</v>
      </c>
      <c r="M364" s="15" t="s">
        <v>89</v>
      </c>
      <c r="N364" s="15" t="s">
        <v>58</v>
      </c>
      <c r="O364" s="15">
        <v>1</v>
      </c>
      <c r="P364" s="15"/>
      <c r="Q364" s="15"/>
      <c r="R364" s="15"/>
      <c r="S364" s="25"/>
      <c r="T364" s="25">
        <v>45838</v>
      </c>
      <c r="U364" s="25">
        <v>45859</v>
      </c>
      <c r="V364" s="15" t="s">
        <v>533</v>
      </c>
      <c r="W364" s="15"/>
      <c r="X364" s="27">
        <v>886.36</v>
      </c>
      <c r="Y364" s="27">
        <f>Table2[[#This Row],[PREÇO UNITARIO]]*Table2[[#This Row],[QUANTIDADE]]</f>
        <v>886.36</v>
      </c>
      <c r="Z364" s="15"/>
      <c r="AA364" s="28">
        <f>MONTH(Table2[[#This Row],[DATA PEDIDO HP]])</f>
        <v>5</v>
      </c>
      <c r="AB364" s="32" t="s">
        <v>60</v>
      </c>
      <c r="AC364" s="5">
        <f t="shared" ca="1" si="5"/>
        <v>46232</v>
      </c>
      <c r="AD364" s="331">
        <f ca="1">_xlfn.DAYS(Table2[[#This Row],[HOJE]],Table2[[#This Row],[DATA PEDIDO HP]])</f>
        <v>429</v>
      </c>
      <c r="AE364" s="5" t="s">
        <v>43</v>
      </c>
    </row>
    <row r="365" spans="1:31" ht="14.45" hidden="1">
      <c r="A365" s="271" t="s">
        <v>1333</v>
      </c>
      <c r="B365" s="26">
        <v>45803</v>
      </c>
      <c r="C365" s="26">
        <v>45803</v>
      </c>
      <c r="D365" s="14" t="s">
        <v>1334</v>
      </c>
      <c r="E365" s="14" t="s">
        <v>202</v>
      </c>
      <c r="F365" s="14" t="s">
        <v>203</v>
      </c>
      <c r="G365" s="14">
        <v>60002072</v>
      </c>
      <c r="H365" s="14" t="s">
        <v>1331</v>
      </c>
      <c r="I365" s="14" t="s">
        <v>1332</v>
      </c>
      <c r="J365" s="14">
        <v>1</v>
      </c>
      <c r="K365" s="14" t="s">
        <v>37</v>
      </c>
      <c r="L365" s="14" t="s">
        <v>346</v>
      </c>
      <c r="M365" s="15" t="s">
        <v>89</v>
      </c>
      <c r="N365" s="15" t="s">
        <v>58</v>
      </c>
      <c r="O365" s="15">
        <v>1</v>
      </c>
      <c r="P365" s="15"/>
      <c r="Q365" s="15"/>
      <c r="R365" s="15"/>
      <c r="S365" s="25"/>
      <c r="T365" s="25">
        <v>45838</v>
      </c>
      <c r="U365" s="25">
        <v>45859</v>
      </c>
      <c r="V365" s="15" t="s">
        <v>533</v>
      </c>
      <c r="W365" s="15"/>
      <c r="X365" s="159">
        <v>886.36</v>
      </c>
      <c r="Y365" s="159">
        <f>Table2[[#This Row],[PREÇO UNITARIO]]*Table2[[#This Row],[QUANTIDADE]]</f>
        <v>886.36</v>
      </c>
      <c r="Z365" s="15"/>
      <c r="AA365" s="28">
        <f>MONTH(Table2[[#This Row],[DATA PEDIDO HP]])</f>
        <v>5</v>
      </c>
      <c r="AB365" s="32" t="s">
        <v>60</v>
      </c>
      <c r="AC365" s="5">
        <f t="shared" ca="1" si="5"/>
        <v>46232</v>
      </c>
      <c r="AD365" s="331">
        <f ca="1">_xlfn.DAYS(Table2[[#This Row],[HOJE]],Table2[[#This Row],[DATA PEDIDO HP]])</f>
        <v>429</v>
      </c>
      <c r="AE365" s="5" t="s">
        <v>43</v>
      </c>
    </row>
    <row r="366" spans="1:31" ht="14.45" hidden="1">
      <c r="A366" s="271" t="s">
        <v>1335</v>
      </c>
      <c r="B366" s="26">
        <v>45803</v>
      </c>
      <c r="C366" s="26">
        <v>45803</v>
      </c>
      <c r="D366" s="14" t="s">
        <v>1336</v>
      </c>
      <c r="E366" s="14" t="s">
        <v>103</v>
      </c>
      <c r="F366" s="14" t="s">
        <v>104</v>
      </c>
      <c r="G366" s="14">
        <v>51000323</v>
      </c>
      <c r="H366" s="14" t="s">
        <v>158</v>
      </c>
      <c r="I366" s="14" t="s">
        <v>159</v>
      </c>
      <c r="J366" s="14">
        <v>1</v>
      </c>
      <c r="K366" s="14" t="s">
        <v>37</v>
      </c>
      <c r="L366" s="14" t="s">
        <v>48</v>
      </c>
      <c r="M366" s="15" t="s">
        <v>39</v>
      </c>
      <c r="N366" s="15" t="s">
        <v>58</v>
      </c>
      <c r="O366" s="15">
        <v>1</v>
      </c>
      <c r="P366" s="15"/>
      <c r="Q366" s="15"/>
      <c r="R366" s="15" t="s">
        <v>545</v>
      </c>
      <c r="S366" s="25"/>
      <c r="T366" s="25">
        <v>45838</v>
      </c>
      <c r="U366" s="25">
        <v>45859</v>
      </c>
      <c r="V366" s="15" t="s">
        <v>533</v>
      </c>
      <c r="W366" s="15"/>
      <c r="X366" s="27">
        <v>475.51</v>
      </c>
      <c r="Y366" s="27">
        <f>Table2[[#This Row],[PREÇO UNITARIO]]*Table2[[#This Row],[QUANTIDADE]]</f>
        <v>475.51</v>
      </c>
      <c r="Z366" s="15"/>
      <c r="AA366" s="28">
        <f>MONTH(Table2[[#This Row],[DATA PEDIDO HP]])</f>
        <v>5</v>
      </c>
      <c r="AB366" s="32" t="s">
        <v>42</v>
      </c>
      <c r="AC366" s="5">
        <f t="shared" ca="1" si="5"/>
        <v>46232</v>
      </c>
      <c r="AD366" s="331">
        <f ca="1">_xlfn.DAYS(Table2[[#This Row],[HOJE]],Table2[[#This Row],[DATA PEDIDO HP]])</f>
        <v>429</v>
      </c>
      <c r="AE366" s="5" t="s">
        <v>43</v>
      </c>
    </row>
    <row r="367" spans="1:31" ht="14.45" hidden="1">
      <c r="A367" s="271" t="s">
        <v>1337</v>
      </c>
      <c r="B367" s="26">
        <v>45804</v>
      </c>
      <c r="C367" s="26">
        <v>45804</v>
      </c>
      <c r="D367" s="14" t="s">
        <v>1338</v>
      </c>
      <c r="E367" s="14" t="s">
        <v>1339</v>
      </c>
      <c r="F367" s="14" t="s">
        <v>899</v>
      </c>
      <c r="G367" s="14">
        <v>48500556</v>
      </c>
      <c r="H367" s="14" t="s">
        <v>1340</v>
      </c>
      <c r="I367" s="14" t="s">
        <v>1341</v>
      </c>
      <c r="J367" s="14">
        <v>1</v>
      </c>
      <c r="K367" s="14" t="s">
        <v>37</v>
      </c>
      <c r="L367" s="14" t="s">
        <v>217</v>
      </c>
      <c r="M367" s="15" t="s">
        <v>58</v>
      </c>
      <c r="N367" s="15" t="s">
        <v>58</v>
      </c>
      <c r="O367" s="15">
        <v>1</v>
      </c>
      <c r="P367" s="15"/>
      <c r="Q367" s="15"/>
      <c r="R367" s="15"/>
      <c r="S367" s="25"/>
      <c r="T367" s="25">
        <v>45838</v>
      </c>
      <c r="U367" s="25">
        <v>45859</v>
      </c>
      <c r="V367" s="15" t="s">
        <v>533</v>
      </c>
      <c r="W367" s="15"/>
      <c r="X367" s="27">
        <v>8.98</v>
      </c>
      <c r="Y367" s="27">
        <f>Table2[[#This Row],[PREÇO UNITARIO]]*Table2[[#This Row],[QUANTIDADE]]</f>
        <v>8.98</v>
      </c>
      <c r="Z367" s="15"/>
      <c r="AA367" s="28">
        <f>MONTH(Table2[[#This Row],[DATA PEDIDO HP]])</f>
        <v>5</v>
      </c>
      <c r="AB367" s="32" t="s">
        <v>60</v>
      </c>
      <c r="AC367" s="5">
        <f t="shared" ca="1" si="5"/>
        <v>46232</v>
      </c>
      <c r="AD367" s="331">
        <f ca="1">_xlfn.DAYS(Table2[[#This Row],[HOJE]],Table2[[#This Row],[DATA PEDIDO HP]])</f>
        <v>428</v>
      </c>
      <c r="AE367" s="5" t="s">
        <v>43</v>
      </c>
    </row>
    <row r="368" spans="1:31" ht="14.45" hidden="1">
      <c r="A368" s="271" t="s">
        <v>1342</v>
      </c>
      <c r="B368" s="26">
        <v>45804</v>
      </c>
      <c r="C368" s="26">
        <v>45804</v>
      </c>
      <c r="D368" s="14" t="s">
        <v>1343</v>
      </c>
      <c r="E368" s="14" t="s">
        <v>428</v>
      </c>
      <c r="F368" s="14" t="s">
        <v>173</v>
      </c>
      <c r="G368" s="14">
        <v>48300375</v>
      </c>
      <c r="H368" s="14" t="s">
        <v>304</v>
      </c>
      <c r="I368" s="14" t="s">
        <v>1344</v>
      </c>
      <c r="J368" s="14">
        <v>1</v>
      </c>
      <c r="K368" s="14" t="s">
        <v>37</v>
      </c>
      <c r="L368" s="14" t="s">
        <v>48</v>
      </c>
      <c r="M368" s="15" t="s">
        <v>58</v>
      </c>
      <c r="N368" s="15" t="s">
        <v>58</v>
      </c>
      <c r="O368" s="15">
        <v>1</v>
      </c>
      <c r="P368" s="15"/>
      <c r="Q368" s="15"/>
      <c r="R368" s="15"/>
      <c r="S368" s="25"/>
      <c r="T368" s="25">
        <v>45838</v>
      </c>
      <c r="U368" s="25">
        <v>45859</v>
      </c>
      <c r="V368" s="15" t="s">
        <v>533</v>
      </c>
      <c r="W368" s="15"/>
      <c r="X368" s="27">
        <v>697.33</v>
      </c>
      <c r="Y368" s="27">
        <f>Table2[[#This Row],[PREÇO UNITARIO]]*Table2[[#This Row],[QUANTIDADE]]</f>
        <v>697.33</v>
      </c>
      <c r="Z368" s="15"/>
      <c r="AA368" s="28">
        <f>MONTH(Table2[[#This Row],[DATA PEDIDO HP]])</f>
        <v>5</v>
      </c>
      <c r="AB368" s="32" t="s">
        <v>60</v>
      </c>
      <c r="AC368" s="5">
        <f t="shared" ca="1" si="5"/>
        <v>46232</v>
      </c>
      <c r="AD368" s="331">
        <f ca="1">_xlfn.DAYS(Table2[[#This Row],[HOJE]],Table2[[#This Row],[DATA PEDIDO HP]])</f>
        <v>428</v>
      </c>
      <c r="AE368" s="5" t="s">
        <v>43</v>
      </c>
    </row>
    <row r="369" spans="1:37" ht="14.45" hidden="1">
      <c r="A369" s="271" t="s">
        <v>1345</v>
      </c>
      <c r="B369" s="26">
        <v>45804</v>
      </c>
      <c r="C369" s="26">
        <v>45804</v>
      </c>
      <c r="D369" s="14" t="s">
        <v>1346</v>
      </c>
      <c r="E369" s="14" t="s">
        <v>192</v>
      </c>
      <c r="F369" s="14" t="s">
        <v>1347</v>
      </c>
      <c r="G369" s="14">
        <v>48300253</v>
      </c>
      <c r="H369" s="14" t="s">
        <v>1348</v>
      </c>
      <c r="I369" s="14" t="s">
        <v>1349</v>
      </c>
      <c r="J369" s="14">
        <v>1</v>
      </c>
      <c r="K369" s="14" t="s">
        <v>37</v>
      </c>
      <c r="L369" s="14" t="s">
        <v>1123</v>
      </c>
      <c r="M369" s="15" t="s">
        <v>89</v>
      </c>
      <c r="N369" s="15" t="s">
        <v>89</v>
      </c>
      <c r="O369" s="15">
        <v>1</v>
      </c>
      <c r="P369" s="15"/>
      <c r="Q369" s="15"/>
      <c r="R369" s="15"/>
      <c r="S369" s="25">
        <v>45860</v>
      </c>
      <c r="T369" s="25">
        <v>45838</v>
      </c>
      <c r="U369" s="25">
        <v>45859</v>
      </c>
      <c r="V369" s="15" t="s">
        <v>533</v>
      </c>
      <c r="W369" s="15"/>
      <c r="X369" s="27">
        <v>468.76</v>
      </c>
      <c r="Y369" s="27">
        <f>Table2[[#This Row],[PREÇO UNITARIO]]*Table2[[#This Row],[QUANTIDADE]]</f>
        <v>468.76</v>
      </c>
      <c r="Z369" s="15"/>
      <c r="AA369" s="28">
        <f>MONTH(Table2[[#This Row],[DATA PEDIDO HP]])</f>
        <v>5</v>
      </c>
      <c r="AB369" s="32" t="s">
        <v>60</v>
      </c>
      <c r="AC369" s="5">
        <f t="shared" ca="1" si="5"/>
        <v>46232</v>
      </c>
      <c r="AD369" s="331">
        <f ca="1">_xlfn.DAYS(Table2[[#This Row],[HOJE]],Table2[[#This Row],[DATA PEDIDO HP]])</f>
        <v>428</v>
      </c>
      <c r="AE369" s="336" t="s">
        <v>43</v>
      </c>
    </row>
    <row r="370" spans="1:37" ht="14.45" hidden="1">
      <c r="A370" s="271" t="s">
        <v>1350</v>
      </c>
      <c r="B370" s="26">
        <v>45804</v>
      </c>
      <c r="C370" s="26">
        <v>45804</v>
      </c>
      <c r="D370" s="14" t="s">
        <v>1351</v>
      </c>
      <c r="E370" s="14" t="s">
        <v>780</v>
      </c>
      <c r="F370" s="14" t="s">
        <v>403</v>
      </c>
      <c r="G370" s="14">
        <v>50300129</v>
      </c>
      <c r="H370" s="14" t="s">
        <v>1352</v>
      </c>
      <c r="I370" s="14" t="s">
        <v>1353</v>
      </c>
      <c r="J370" s="14">
        <v>1</v>
      </c>
      <c r="K370" s="14" t="s">
        <v>37</v>
      </c>
      <c r="L370" s="14" t="s">
        <v>217</v>
      </c>
      <c r="M370" s="15" t="s">
        <v>58</v>
      </c>
      <c r="N370" s="15" t="s">
        <v>58</v>
      </c>
      <c r="O370" s="15">
        <v>1</v>
      </c>
      <c r="P370" s="15"/>
      <c r="Q370" s="15"/>
      <c r="R370" s="15"/>
      <c r="S370" s="25"/>
      <c r="T370" s="25">
        <v>45838</v>
      </c>
      <c r="U370" s="25">
        <v>45859</v>
      </c>
      <c r="V370" s="15" t="s">
        <v>533</v>
      </c>
      <c r="W370" s="15"/>
      <c r="X370" s="27">
        <v>17.28</v>
      </c>
      <c r="Y370" s="27">
        <f>Table2[[#This Row],[PREÇO UNITARIO]]*Table2[[#This Row],[QUANTIDADE]]</f>
        <v>17.28</v>
      </c>
      <c r="Z370" s="15"/>
      <c r="AA370" s="28">
        <f>MONTH(Table2[[#This Row],[DATA PEDIDO HP]])</f>
        <v>5</v>
      </c>
      <c r="AB370" s="32" t="s">
        <v>60</v>
      </c>
      <c r="AC370" s="5">
        <f t="shared" ca="1" si="5"/>
        <v>46232</v>
      </c>
      <c r="AD370" s="331">
        <f ca="1">_xlfn.DAYS(Table2[[#This Row],[HOJE]],Table2[[#This Row],[DATA PEDIDO HP]])</f>
        <v>428</v>
      </c>
      <c r="AE370" s="5" t="s">
        <v>43</v>
      </c>
    </row>
    <row r="371" spans="1:37" ht="14.45" hidden="1">
      <c r="A371" s="271" t="s">
        <v>1350</v>
      </c>
      <c r="B371" s="26">
        <v>45804</v>
      </c>
      <c r="C371" s="26">
        <v>45804</v>
      </c>
      <c r="D371" s="14" t="s">
        <v>1351</v>
      </c>
      <c r="E371" s="14" t="s">
        <v>780</v>
      </c>
      <c r="F371" s="14" t="s">
        <v>403</v>
      </c>
      <c r="G371" s="14">
        <v>50300129</v>
      </c>
      <c r="H371" s="14" t="s">
        <v>1354</v>
      </c>
      <c r="I371" s="14" t="s">
        <v>1355</v>
      </c>
      <c r="J371" s="14">
        <v>1</v>
      </c>
      <c r="K371" s="14" t="s">
        <v>37</v>
      </c>
      <c r="L371" s="14" t="s">
        <v>217</v>
      </c>
      <c r="M371" s="15" t="s">
        <v>58</v>
      </c>
      <c r="N371" s="15" t="s">
        <v>58</v>
      </c>
      <c r="O371" s="15">
        <v>1</v>
      </c>
      <c r="P371" s="15"/>
      <c r="Q371" s="15"/>
      <c r="R371" s="15" t="s">
        <v>100</v>
      </c>
      <c r="S371" s="25"/>
      <c r="T371" s="25">
        <v>45838</v>
      </c>
      <c r="U371" s="25">
        <v>45859</v>
      </c>
      <c r="V371" s="15" t="s">
        <v>533</v>
      </c>
      <c r="W371" s="15"/>
      <c r="X371" s="27">
        <v>285.29000000000002</v>
      </c>
      <c r="Y371" s="27">
        <f>Table2[[#This Row],[PREÇO UNITARIO]]*Table2[[#This Row],[QUANTIDADE]]</f>
        <v>285.29000000000002</v>
      </c>
      <c r="Z371" s="15"/>
      <c r="AA371" s="28">
        <f>MONTH(Table2[[#This Row],[DATA PEDIDO HP]])</f>
        <v>5</v>
      </c>
      <c r="AB371" s="32" t="s">
        <v>60</v>
      </c>
      <c r="AC371" s="5">
        <f t="shared" ca="1" si="5"/>
        <v>46232</v>
      </c>
      <c r="AD371" s="331">
        <f ca="1">_xlfn.DAYS(Table2[[#This Row],[HOJE]],Table2[[#This Row],[DATA PEDIDO HP]])</f>
        <v>428</v>
      </c>
      <c r="AE371" s="5" t="s">
        <v>43</v>
      </c>
    </row>
    <row r="372" spans="1:37" ht="14.45" hidden="1">
      <c r="A372" s="271" t="s">
        <v>1350</v>
      </c>
      <c r="B372" s="26">
        <v>45804</v>
      </c>
      <c r="C372" s="26">
        <v>45804</v>
      </c>
      <c r="D372" s="14" t="s">
        <v>1351</v>
      </c>
      <c r="E372" s="14" t="s">
        <v>780</v>
      </c>
      <c r="F372" s="14" t="s">
        <v>403</v>
      </c>
      <c r="G372" s="14">
        <v>50300129</v>
      </c>
      <c r="H372" s="14" t="s">
        <v>1356</v>
      </c>
      <c r="I372" s="14" t="s">
        <v>1357</v>
      </c>
      <c r="J372" s="14">
        <v>1</v>
      </c>
      <c r="K372" s="14" t="s">
        <v>37</v>
      </c>
      <c r="L372" s="14" t="s">
        <v>217</v>
      </c>
      <c r="M372" s="15" t="s">
        <v>89</v>
      </c>
      <c r="N372" s="15" t="s">
        <v>58</v>
      </c>
      <c r="O372" s="15">
        <v>1</v>
      </c>
      <c r="P372" s="15"/>
      <c r="Q372" s="15"/>
      <c r="R372" s="15"/>
      <c r="S372" s="25"/>
      <c r="T372" s="25">
        <v>45838</v>
      </c>
      <c r="U372" s="25">
        <v>45859</v>
      </c>
      <c r="V372" s="15" t="s">
        <v>533</v>
      </c>
      <c r="W372" s="15"/>
      <c r="X372" s="27">
        <v>106.15</v>
      </c>
      <c r="Y372" s="27">
        <f>Table2[[#This Row],[PREÇO UNITARIO]]*Table2[[#This Row],[QUANTIDADE]]</f>
        <v>106.15</v>
      </c>
      <c r="Z372" s="15"/>
      <c r="AA372" s="28">
        <f>MONTH(Table2[[#This Row],[DATA PEDIDO HP]])</f>
        <v>5</v>
      </c>
      <c r="AB372" s="32" t="s">
        <v>60</v>
      </c>
      <c r="AC372" s="5">
        <f t="shared" ca="1" si="5"/>
        <v>46232</v>
      </c>
      <c r="AD372" s="331">
        <f ca="1">_xlfn.DAYS(Table2[[#This Row],[HOJE]],Table2[[#This Row],[DATA PEDIDO HP]])</f>
        <v>428</v>
      </c>
      <c r="AE372" s="5" t="s">
        <v>43</v>
      </c>
    </row>
    <row r="373" spans="1:37" ht="14.45" hidden="1">
      <c r="A373" s="271" t="s">
        <v>1350</v>
      </c>
      <c r="B373" s="26">
        <v>45804</v>
      </c>
      <c r="C373" s="26">
        <v>45804</v>
      </c>
      <c r="D373" s="14" t="s">
        <v>1351</v>
      </c>
      <c r="E373" s="14" t="s">
        <v>780</v>
      </c>
      <c r="F373" s="14" t="s">
        <v>403</v>
      </c>
      <c r="G373" s="14">
        <v>50300129</v>
      </c>
      <c r="H373" s="14" t="s">
        <v>1358</v>
      </c>
      <c r="I373" s="14" t="s">
        <v>1359</v>
      </c>
      <c r="J373" s="14">
        <v>1</v>
      </c>
      <c r="K373" s="14" t="s">
        <v>37</v>
      </c>
      <c r="L373" s="14" t="s">
        <v>217</v>
      </c>
      <c r="M373" s="15" t="s">
        <v>58</v>
      </c>
      <c r="N373" s="15" t="s">
        <v>58</v>
      </c>
      <c r="O373" s="15">
        <v>1</v>
      </c>
      <c r="P373" s="15"/>
      <c r="Q373" s="15"/>
      <c r="R373" s="15" t="s">
        <v>1360</v>
      </c>
      <c r="S373" s="25"/>
      <c r="T373" s="25">
        <v>45838</v>
      </c>
      <c r="U373" s="25">
        <v>45859</v>
      </c>
      <c r="V373" s="15" t="s">
        <v>533</v>
      </c>
      <c r="W373" s="15"/>
      <c r="X373" s="27">
        <v>238.43</v>
      </c>
      <c r="Y373" s="27">
        <f>Table2[[#This Row],[PREÇO UNITARIO]]*Table2[[#This Row],[QUANTIDADE]]</f>
        <v>238.43</v>
      </c>
      <c r="Z373" s="15"/>
      <c r="AA373" s="28">
        <f>MONTH(Table2[[#This Row],[DATA PEDIDO HP]])</f>
        <v>5</v>
      </c>
      <c r="AB373" s="32" t="s">
        <v>60</v>
      </c>
      <c r="AC373" s="5">
        <f t="shared" ca="1" si="5"/>
        <v>46232</v>
      </c>
      <c r="AD373" s="331">
        <f ca="1">_xlfn.DAYS(Table2[[#This Row],[HOJE]],Table2[[#This Row],[DATA PEDIDO HP]])</f>
        <v>428</v>
      </c>
      <c r="AE373" s="5" t="s">
        <v>43</v>
      </c>
    </row>
    <row r="374" spans="1:37" s="202" customFormat="1" ht="14.45" hidden="1">
      <c r="A374" s="271" t="s">
        <v>1361</v>
      </c>
      <c r="B374" s="26">
        <v>45805</v>
      </c>
      <c r="C374" s="26">
        <v>45805</v>
      </c>
      <c r="D374" s="14" t="s">
        <v>283</v>
      </c>
      <c r="E374" s="14" t="s">
        <v>181</v>
      </c>
      <c r="F374" s="14" t="s">
        <v>34</v>
      </c>
      <c r="G374" s="14">
        <v>50110057</v>
      </c>
      <c r="H374" s="14" t="s">
        <v>1362</v>
      </c>
      <c r="I374" s="14" t="s">
        <v>1363</v>
      </c>
      <c r="J374" s="14">
        <v>1</v>
      </c>
      <c r="K374" s="14" t="s">
        <v>37</v>
      </c>
      <c r="L374" s="14"/>
      <c r="M374" s="15" t="s">
        <v>58</v>
      </c>
      <c r="N374" s="15" t="s">
        <v>384</v>
      </c>
      <c r="O374" s="15">
        <v>0</v>
      </c>
      <c r="P374" s="15">
        <v>0</v>
      </c>
      <c r="Q374" s="15"/>
      <c r="R374" s="15"/>
      <c r="S374" s="25"/>
      <c r="T374" s="25">
        <v>46176</v>
      </c>
      <c r="U374" s="25">
        <v>45832</v>
      </c>
      <c r="V374" s="15" t="s">
        <v>1361</v>
      </c>
      <c r="W374" s="15"/>
      <c r="X374" s="27">
        <v>0</v>
      </c>
      <c r="Y374" s="27">
        <v>0</v>
      </c>
      <c r="Z374" s="27">
        <v>34349.89</v>
      </c>
      <c r="AA374" s="28">
        <f>MONTH(Table2[[#This Row],[DATA PEDIDO HP]])</f>
        <v>5</v>
      </c>
      <c r="AB374" s="32"/>
      <c r="AC374" s="5">
        <f t="shared" ca="1" si="5"/>
        <v>46232</v>
      </c>
      <c r="AD374" s="331">
        <f ca="1">_xlfn.DAYS(Table2[[#This Row],[HOJE]],Table2[[#This Row],[DATA PEDIDO HP]])</f>
        <v>427</v>
      </c>
      <c r="AE374" s="5" t="s">
        <v>43</v>
      </c>
      <c r="AF374" s="1"/>
      <c r="AG374" s="1"/>
      <c r="AH374" s="1"/>
      <c r="AI374" s="1"/>
      <c r="AJ374" s="1"/>
      <c r="AK374" s="1"/>
    </row>
    <row r="375" spans="1:37" ht="14.45" hidden="1">
      <c r="A375" s="271" t="s">
        <v>1364</v>
      </c>
      <c r="B375" s="26">
        <v>45805</v>
      </c>
      <c r="C375" s="26">
        <v>45805</v>
      </c>
      <c r="D375" s="14" t="s">
        <v>1365</v>
      </c>
      <c r="E375" s="14" t="s">
        <v>225</v>
      </c>
      <c r="F375" s="14" t="s">
        <v>34</v>
      </c>
      <c r="G375" s="14">
        <v>50110261</v>
      </c>
      <c r="H375" s="14" t="s">
        <v>1366</v>
      </c>
      <c r="I375" s="14" t="s">
        <v>1175</v>
      </c>
      <c r="J375" s="14">
        <v>4</v>
      </c>
      <c r="K375" s="14" t="s">
        <v>37</v>
      </c>
      <c r="L375" s="14" t="s">
        <v>48</v>
      </c>
      <c r="M375" s="15" t="s">
        <v>58</v>
      </c>
      <c r="N375" s="15" t="s">
        <v>89</v>
      </c>
      <c r="O375" s="15">
        <v>0</v>
      </c>
      <c r="P375" s="15"/>
      <c r="Q375" s="15"/>
      <c r="R375" s="15"/>
      <c r="S375" s="25">
        <v>45861</v>
      </c>
      <c r="T375" s="25">
        <v>45838</v>
      </c>
      <c r="U375" s="25">
        <v>45859</v>
      </c>
      <c r="V375" s="15" t="s">
        <v>533</v>
      </c>
      <c r="W375" s="15"/>
      <c r="X375" s="27">
        <v>305.67</v>
      </c>
      <c r="Y375" s="27">
        <f>Table2[[#This Row],[PREÇO UNITARIO]]*Table2[[#This Row],[QUANTIDADE]]</f>
        <v>1222.68</v>
      </c>
      <c r="Z375" s="15"/>
      <c r="AA375" s="32">
        <f>MONTH(Table2[[#This Row],[DATA PEDIDO HP]])</f>
        <v>5</v>
      </c>
      <c r="AB375" s="32" t="s">
        <v>60</v>
      </c>
      <c r="AC375" s="5">
        <f t="shared" ca="1" si="5"/>
        <v>46232</v>
      </c>
      <c r="AD375" s="331">
        <f ca="1">_xlfn.DAYS(Table2[[#This Row],[HOJE]],Table2[[#This Row],[DATA PEDIDO HP]])</f>
        <v>427</v>
      </c>
      <c r="AE375" s="336" t="s">
        <v>43</v>
      </c>
    </row>
    <row r="376" spans="1:37" ht="14.45" hidden="1">
      <c r="A376" s="271" t="s">
        <v>1367</v>
      </c>
      <c r="B376" s="26">
        <v>45806</v>
      </c>
      <c r="C376" s="26">
        <v>45806</v>
      </c>
      <c r="D376" s="14" t="s">
        <v>1368</v>
      </c>
      <c r="E376" s="14" t="s">
        <v>225</v>
      </c>
      <c r="F376" s="14" t="s">
        <v>34</v>
      </c>
      <c r="G376" s="14">
        <v>50110261</v>
      </c>
      <c r="H376" s="14" t="s">
        <v>80</v>
      </c>
      <c r="I376" s="14" t="s">
        <v>81</v>
      </c>
      <c r="J376" s="14">
        <v>1</v>
      </c>
      <c r="K376" s="14" t="s">
        <v>37</v>
      </c>
      <c r="L376" s="14" t="s">
        <v>48</v>
      </c>
      <c r="M376" s="15" t="s">
        <v>39</v>
      </c>
      <c r="N376" s="15" t="s">
        <v>39</v>
      </c>
      <c r="O376" s="15">
        <v>1</v>
      </c>
      <c r="P376" s="15"/>
      <c r="Q376" s="15"/>
      <c r="R376" s="15"/>
      <c r="S376" s="25">
        <v>45861</v>
      </c>
      <c r="T376" s="25">
        <v>45838</v>
      </c>
      <c r="U376" s="25">
        <v>45859</v>
      </c>
      <c r="V376" s="15" t="s">
        <v>533</v>
      </c>
      <c r="W376" s="15"/>
      <c r="X376" s="27">
        <v>49.81</v>
      </c>
      <c r="Y376" s="27">
        <f>Table2[[#This Row],[PREÇO UNITARIO]]*Table2[[#This Row],[QUANTIDADE]]</f>
        <v>49.81</v>
      </c>
      <c r="Z376" s="15"/>
      <c r="AA376" s="28">
        <f>MONTH(Table2[[#This Row],[DATA PEDIDO HP]])</f>
        <v>5</v>
      </c>
      <c r="AB376" s="32" t="s">
        <v>60</v>
      </c>
      <c r="AC376" s="5">
        <f t="shared" ca="1" si="5"/>
        <v>46232</v>
      </c>
      <c r="AD376" s="331">
        <f ca="1">_xlfn.DAYS(Table2[[#This Row],[HOJE]],Table2[[#This Row],[DATA PEDIDO HP]])</f>
        <v>426</v>
      </c>
      <c r="AE376" s="336" t="s">
        <v>43</v>
      </c>
    </row>
    <row r="377" spans="1:37" ht="14.45" hidden="1">
      <c r="A377" s="271" t="s">
        <v>1369</v>
      </c>
      <c r="B377" s="26">
        <v>45806</v>
      </c>
      <c r="C377" s="26">
        <v>45806</v>
      </c>
      <c r="D377" s="14" t="s">
        <v>1370</v>
      </c>
      <c r="E377" s="14" t="s">
        <v>225</v>
      </c>
      <c r="F377" s="14" t="s">
        <v>34</v>
      </c>
      <c r="G377" s="14">
        <v>50110261</v>
      </c>
      <c r="H377" s="14" t="s">
        <v>1371</v>
      </c>
      <c r="I377" s="14" t="s">
        <v>1372</v>
      </c>
      <c r="J377" s="14">
        <v>2</v>
      </c>
      <c r="K377" s="14" t="s">
        <v>37</v>
      </c>
      <c r="L377" s="14" t="s">
        <v>96</v>
      </c>
      <c r="M377" s="15" t="s">
        <v>58</v>
      </c>
      <c r="N377" s="15" t="s">
        <v>58</v>
      </c>
      <c r="O377" s="15">
        <v>2</v>
      </c>
      <c r="P377" s="15">
        <v>2</v>
      </c>
      <c r="Q377" s="15"/>
      <c r="R377" s="15" t="s">
        <v>1373</v>
      </c>
      <c r="S377" s="25"/>
      <c r="T377" s="25">
        <v>45838</v>
      </c>
      <c r="U377" s="25">
        <v>45859</v>
      </c>
      <c r="V377" s="15" t="s">
        <v>533</v>
      </c>
      <c r="W377" s="15"/>
      <c r="X377" s="159">
        <v>253.13</v>
      </c>
      <c r="Y377" s="159">
        <f>Table2[[#This Row],[PREÇO UNITARIO]]*Table2[[#This Row],[QUANTIDADE]]</f>
        <v>506.26</v>
      </c>
      <c r="Z377" s="15"/>
      <c r="AA377" s="28">
        <f>MONTH(Table2[[#This Row],[DATA PEDIDO HP]])</f>
        <v>5</v>
      </c>
      <c r="AB377" s="32" t="s">
        <v>60</v>
      </c>
      <c r="AC377" s="5">
        <f t="shared" ca="1" si="5"/>
        <v>46232</v>
      </c>
      <c r="AD377" s="331">
        <f ca="1">_xlfn.DAYS(Table2[[#This Row],[HOJE]],Table2[[#This Row],[DATA PEDIDO HP]])</f>
        <v>426</v>
      </c>
      <c r="AE377" s="5" t="s">
        <v>43</v>
      </c>
    </row>
    <row r="378" spans="1:37" ht="14.45" hidden="1">
      <c r="A378" s="271" t="s">
        <v>1374</v>
      </c>
      <c r="B378" s="25">
        <v>45810</v>
      </c>
      <c r="C378" s="26">
        <v>45807</v>
      </c>
      <c r="D378" s="14" t="s">
        <v>1375</v>
      </c>
      <c r="E378" s="14" t="s">
        <v>103</v>
      </c>
      <c r="F378" s="14" t="s">
        <v>104</v>
      </c>
      <c r="G378" s="14">
        <v>51000136</v>
      </c>
      <c r="H378" s="14" t="s">
        <v>1376</v>
      </c>
      <c r="I378" s="14" t="s">
        <v>1377</v>
      </c>
      <c r="J378" s="14">
        <v>4</v>
      </c>
      <c r="K378" s="14" t="s">
        <v>37</v>
      </c>
      <c r="L378" s="14" t="s">
        <v>363</v>
      </c>
      <c r="M378" s="15" t="s">
        <v>58</v>
      </c>
      <c r="N378" s="15" t="s">
        <v>89</v>
      </c>
      <c r="O378" s="15">
        <v>0</v>
      </c>
      <c r="P378" s="15">
        <v>4</v>
      </c>
      <c r="Q378" s="15"/>
      <c r="R378" s="15"/>
      <c r="S378" s="25">
        <v>45861</v>
      </c>
      <c r="T378" s="25">
        <v>45838</v>
      </c>
      <c r="U378" s="25">
        <v>45859</v>
      </c>
      <c r="V378" s="15" t="s">
        <v>533</v>
      </c>
      <c r="W378" s="15"/>
      <c r="X378" s="159">
        <v>169.16</v>
      </c>
      <c r="Y378" s="159">
        <f>Table2[[#This Row],[PREÇO UNITARIO]]*Table2[[#This Row],[QUANTIDADE]]</f>
        <v>676.64</v>
      </c>
      <c r="Z378" s="15"/>
      <c r="AA378" s="28">
        <f>MONTH(Table2[[#This Row],[DATA PEDIDO HP]])</f>
        <v>6</v>
      </c>
      <c r="AB378" s="32" t="s">
        <v>42</v>
      </c>
      <c r="AC378" s="5">
        <f t="shared" ca="1" si="5"/>
        <v>46232</v>
      </c>
      <c r="AD378" s="331">
        <f ca="1">_xlfn.DAYS(Table2[[#This Row],[HOJE]],Table2[[#This Row],[DATA PEDIDO HP]])</f>
        <v>422</v>
      </c>
      <c r="AE378" s="336" t="s">
        <v>43</v>
      </c>
    </row>
    <row r="379" spans="1:37" ht="14.45" hidden="1">
      <c r="A379" s="271" t="s">
        <v>1378</v>
      </c>
      <c r="B379" s="25">
        <v>45810</v>
      </c>
      <c r="C379" s="26">
        <v>45807</v>
      </c>
      <c r="D379" s="14" t="s">
        <v>1379</v>
      </c>
      <c r="E379" s="14" t="s">
        <v>152</v>
      </c>
      <c r="F379" s="14" t="s">
        <v>64</v>
      </c>
      <c r="G379" s="14">
        <v>48000482</v>
      </c>
      <c r="H379" s="14" t="s">
        <v>1380</v>
      </c>
      <c r="I379" s="14" t="s">
        <v>1381</v>
      </c>
      <c r="J379" s="14">
        <v>4</v>
      </c>
      <c r="K379" s="14" t="s">
        <v>37</v>
      </c>
      <c r="L379" s="14" t="s">
        <v>48</v>
      </c>
      <c r="M379" s="15" t="s">
        <v>89</v>
      </c>
      <c r="N379" s="15" t="s">
        <v>89</v>
      </c>
      <c r="O379" s="15">
        <v>0</v>
      </c>
      <c r="P379" s="15">
        <v>4</v>
      </c>
      <c r="Q379" s="15"/>
      <c r="R379" s="15"/>
      <c r="S379" s="25">
        <v>45905</v>
      </c>
      <c r="T379" s="25">
        <v>45888</v>
      </c>
      <c r="U379" s="25">
        <v>45898</v>
      </c>
      <c r="V379" s="15" t="s">
        <v>420</v>
      </c>
      <c r="W379" s="15"/>
      <c r="X379" s="159">
        <v>15.51</v>
      </c>
      <c r="Y379" s="159">
        <f>Table2[[#This Row],[PREÇO UNITARIO]]*Table2[[#This Row],[QUANTIDADE]]</f>
        <v>62.04</v>
      </c>
      <c r="Z379" s="15"/>
      <c r="AA379" s="28">
        <f>MONTH(Table2[[#This Row],[DATA PEDIDO HP]])</f>
        <v>6</v>
      </c>
      <c r="AB379" s="32" t="s">
        <v>60</v>
      </c>
      <c r="AC379" s="5">
        <f t="shared" ca="1" si="5"/>
        <v>46232</v>
      </c>
      <c r="AD379" s="331">
        <f ca="1">_xlfn.DAYS(Table2[[#This Row],[HOJE]],Table2[[#This Row],[DATA PEDIDO HP]])</f>
        <v>422</v>
      </c>
      <c r="AE379" s="336" t="s">
        <v>43</v>
      </c>
    </row>
    <row r="380" spans="1:37" ht="14.45" hidden="1">
      <c r="A380" s="271" t="s">
        <v>1378</v>
      </c>
      <c r="B380" s="25">
        <v>45810</v>
      </c>
      <c r="C380" s="26">
        <v>45807</v>
      </c>
      <c r="D380" s="14" t="s">
        <v>1379</v>
      </c>
      <c r="E380" s="14" t="s">
        <v>152</v>
      </c>
      <c r="F380" s="14" t="s">
        <v>64</v>
      </c>
      <c r="G380" s="14">
        <v>48000482</v>
      </c>
      <c r="H380" s="14" t="s">
        <v>1382</v>
      </c>
      <c r="I380" s="14" t="s">
        <v>1383</v>
      </c>
      <c r="J380" s="14">
        <v>1</v>
      </c>
      <c r="K380" s="14" t="s">
        <v>37</v>
      </c>
      <c r="L380" s="14" t="s">
        <v>48</v>
      </c>
      <c r="M380" s="15" t="s">
        <v>89</v>
      </c>
      <c r="N380" s="15" t="s">
        <v>89</v>
      </c>
      <c r="O380" s="15">
        <v>0</v>
      </c>
      <c r="P380" s="15"/>
      <c r="Q380" s="15"/>
      <c r="R380" s="15"/>
      <c r="S380" s="25">
        <v>45861</v>
      </c>
      <c r="T380" s="25">
        <v>45838</v>
      </c>
      <c r="U380" s="25">
        <v>45859</v>
      </c>
      <c r="V380" s="15" t="s">
        <v>533</v>
      </c>
      <c r="W380" s="15"/>
      <c r="X380" s="159">
        <v>256</v>
      </c>
      <c r="Y380" s="159">
        <f>Table2[[#This Row],[PREÇO UNITARIO]]*Table2[[#This Row],[QUANTIDADE]]</f>
        <v>256</v>
      </c>
      <c r="Z380" s="15"/>
      <c r="AA380" s="28">
        <f>MONTH(Table2[[#This Row],[DATA PEDIDO HP]])</f>
        <v>6</v>
      </c>
      <c r="AB380" s="32" t="s">
        <v>60</v>
      </c>
      <c r="AC380" s="5">
        <f t="shared" ca="1" si="5"/>
        <v>46232</v>
      </c>
      <c r="AD380" s="331">
        <f ca="1">_xlfn.DAYS(Table2[[#This Row],[HOJE]],Table2[[#This Row],[DATA PEDIDO HP]])</f>
        <v>422</v>
      </c>
      <c r="AE380" s="336" t="s">
        <v>43</v>
      </c>
    </row>
    <row r="381" spans="1:37" ht="14.45" hidden="1">
      <c r="A381" s="271" t="s">
        <v>1384</v>
      </c>
      <c r="B381" s="26">
        <v>45810</v>
      </c>
      <c r="C381" s="26">
        <v>45810</v>
      </c>
      <c r="D381" s="14" t="s">
        <v>1385</v>
      </c>
      <c r="E381" s="14" t="s">
        <v>73</v>
      </c>
      <c r="F381" s="14" t="s">
        <v>34</v>
      </c>
      <c r="G381" s="14">
        <v>50110372</v>
      </c>
      <c r="H381" s="14" t="s">
        <v>134</v>
      </c>
      <c r="I381" s="14" t="s">
        <v>1386</v>
      </c>
      <c r="J381" s="14">
        <v>1</v>
      </c>
      <c r="K381" s="14" t="s">
        <v>37</v>
      </c>
      <c r="L381" s="14" t="s">
        <v>48</v>
      </c>
      <c r="M381" s="15" t="s">
        <v>89</v>
      </c>
      <c r="N381" s="15" t="s">
        <v>58</v>
      </c>
      <c r="O381" s="15">
        <v>1</v>
      </c>
      <c r="P381" s="15"/>
      <c r="Q381" s="15"/>
      <c r="R381" s="15"/>
      <c r="S381" s="25"/>
      <c r="T381" s="25">
        <v>45838</v>
      </c>
      <c r="U381" s="25">
        <v>45859</v>
      </c>
      <c r="V381" s="15" t="s">
        <v>533</v>
      </c>
      <c r="W381" s="15"/>
      <c r="X381" s="159">
        <v>42.46</v>
      </c>
      <c r="Y381" s="159">
        <f>Table2[[#This Row],[PREÇO UNITARIO]]*Table2[[#This Row],[QUANTIDADE]]</f>
        <v>42.46</v>
      </c>
      <c r="Z381" s="15"/>
      <c r="AA381" s="28">
        <f>MONTH(Table2[[#This Row],[DATA PEDIDO HP]])</f>
        <v>6</v>
      </c>
      <c r="AB381" s="32" t="s">
        <v>42</v>
      </c>
      <c r="AC381" s="5">
        <f t="shared" ca="1" si="5"/>
        <v>46232</v>
      </c>
      <c r="AD381" s="331">
        <f ca="1">_xlfn.DAYS(Table2[[#This Row],[HOJE]],Table2[[#This Row],[DATA PEDIDO HP]])</f>
        <v>422</v>
      </c>
      <c r="AE381" s="5" t="s">
        <v>43</v>
      </c>
    </row>
    <row r="382" spans="1:37" ht="14.45" hidden="1">
      <c r="A382" s="271" t="s">
        <v>1387</v>
      </c>
      <c r="B382" s="26">
        <v>45811</v>
      </c>
      <c r="C382" s="26">
        <v>45811</v>
      </c>
      <c r="D382" s="14" t="s">
        <v>1388</v>
      </c>
      <c r="E382" s="14" t="s">
        <v>1106</v>
      </c>
      <c r="F382" s="14" t="s">
        <v>1107</v>
      </c>
      <c r="G382" s="14">
        <v>51100110</v>
      </c>
      <c r="H382" s="14" t="s">
        <v>1108</v>
      </c>
      <c r="I382" s="14" t="s">
        <v>1389</v>
      </c>
      <c r="J382" s="14">
        <v>1</v>
      </c>
      <c r="K382" s="14" t="s">
        <v>37</v>
      </c>
      <c r="L382" s="14" t="s">
        <v>48</v>
      </c>
      <c r="M382" s="15" t="s">
        <v>89</v>
      </c>
      <c r="N382" s="15" t="s">
        <v>58</v>
      </c>
      <c r="O382" s="15">
        <v>1</v>
      </c>
      <c r="P382" s="15"/>
      <c r="Q382" s="15"/>
      <c r="R382" s="15"/>
      <c r="S382" s="25"/>
      <c r="T382" s="25">
        <v>45838</v>
      </c>
      <c r="U382" s="25">
        <v>45859</v>
      </c>
      <c r="V382" s="15" t="s">
        <v>533</v>
      </c>
      <c r="W382" s="15"/>
      <c r="X382" s="159">
        <v>2.5499999999999998</v>
      </c>
      <c r="Y382" s="159">
        <f>Table2[[#This Row],[PREÇO UNITARIO]]*Table2[[#This Row],[QUANTIDADE]]</f>
        <v>2.5499999999999998</v>
      </c>
      <c r="Z382" s="15"/>
      <c r="AA382" s="28">
        <f>MONTH(Table2[[#This Row],[DATA PEDIDO HP]])</f>
        <v>6</v>
      </c>
      <c r="AB382" s="32" t="s">
        <v>60</v>
      </c>
      <c r="AC382" s="5">
        <f t="shared" ca="1" si="5"/>
        <v>46232</v>
      </c>
      <c r="AD382" s="331">
        <f ca="1">_xlfn.DAYS(Table2[[#This Row],[HOJE]],Table2[[#This Row],[DATA PEDIDO HP]])</f>
        <v>421</v>
      </c>
      <c r="AE382" s="5" t="s">
        <v>43</v>
      </c>
    </row>
    <row r="383" spans="1:37" ht="14.45" hidden="1">
      <c r="A383" s="271" t="s">
        <v>1387</v>
      </c>
      <c r="B383" s="26">
        <v>45811</v>
      </c>
      <c r="C383" s="26">
        <v>45811</v>
      </c>
      <c r="D383" s="14" t="s">
        <v>1388</v>
      </c>
      <c r="E383" s="14" t="s">
        <v>1106</v>
      </c>
      <c r="F383" s="14" t="s">
        <v>1107</v>
      </c>
      <c r="G383" s="14">
        <v>51100110</v>
      </c>
      <c r="H383" s="14" t="s">
        <v>1112</v>
      </c>
      <c r="I383" s="14" t="s">
        <v>1113</v>
      </c>
      <c r="J383" s="14">
        <v>1</v>
      </c>
      <c r="K383" s="14" t="s">
        <v>37</v>
      </c>
      <c r="L383" s="14" t="s">
        <v>48</v>
      </c>
      <c r="M383" s="15" t="s">
        <v>89</v>
      </c>
      <c r="N383" s="15" t="s">
        <v>58</v>
      </c>
      <c r="O383" s="15">
        <v>1</v>
      </c>
      <c r="P383" s="15"/>
      <c r="Q383" s="15"/>
      <c r="R383" s="15"/>
      <c r="S383" s="25"/>
      <c r="T383" s="25">
        <v>45838</v>
      </c>
      <c r="U383" s="25">
        <v>45859</v>
      </c>
      <c r="V383" s="15" t="s">
        <v>533</v>
      </c>
      <c r="W383" s="15"/>
      <c r="X383" s="159">
        <v>15.02</v>
      </c>
      <c r="Y383" s="159">
        <f>Table2[[#This Row],[PREÇO UNITARIO]]*Table2[[#This Row],[QUANTIDADE]]</f>
        <v>15.02</v>
      </c>
      <c r="Z383" s="15"/>
      <c r="AA383" s="28">
        <f>MONTH(Table2[[#This Row],[DATA PEDIDO HP]])</f>
        <v>6</v>
      </c>
      <c r="AB383" s="32" t="s">
        <v>60</v>
      </c>
      <c r="AC383" s="5">
        <f t="shared" ca="1" si="5"/>
        <v>46232</v>
      </c>
      <c r="AD383" s="331">
        <f ca="1">_xlfn.DAYS(Table2[[#This Row],[HOJE]],Table2[[#This Row],[DATA PEDIDO HP]])</f>
        <v>421</v>
      </c>
      <c r="AE383" s="5" t="s">
        <v>43</v>
      </c>
    </row>
    <row r="384" spans="1:37" ht="14.45" hidden="1">
      <c r="A384" s="271" t="s">
        <v>1390</v>
      </c>
      <c r="B384" s="26">
        <v>45812</v>
      </c>
      <c r="C384" s="26">
        <v>45812</v>
      </c>
      <c r="D384" s="14" t="s">
        <v>1391</v>
      </c>
      <c r="E384" s="14" t="s">
        <v>73</v>
      </c>
      <c r="F384" s="14" t="s">
        <v>34</v>
      </c>
      <c r="G384" s="14">
        <v>50110372</v>
      </c>
      <c r="H384" s="14" t="s">
        <v>130</v>
      </c>
      <c r="I384" s="14" t="s">
        <v>497</v>
      </c>
      <c r="J384" s="14">
        <v>1</v>
      </c>
      <c r="K384" s="14" t="s">
        <v>37</v>
      </c>
      <c r="L384" s="14" t="s">
        <v>48</v>
      </c>
      <c r="M384" s="15" t="s">
        <v>89</v>
      </c>
      <c r="N384" s="15" t="s">
        <v>39</v>
      </c>
      <c r="O384" s="15">
        <v>0</v>
      </c>
      <c r="P384" s="15">
        <v>1</v>
      </c>
      <c r="Q384" s="15"/>
      <c r="R384" s="15"/>
      <c r="S384" s="25">
        <v>45860</v>
      </c>
      <c r="T384" s="25">
        <v>45838</v>
      </c>
      <c r="U384" s="25">
        <v>45859</v>
      </c>
      <c r="V384" s="15" t="s">
        <v>533</v>
      </c>
      <c r="W384" s="15"/>
      <c r="X384" s="159">
        <v>17.28</v>
      </c>
      <c r="Y384" s="159">
        <f>Table2[[#This Row],[PREÇO UNITARIO]]*Table2[[#This Row],[QUANTIDADE]]</f>
        <v>17.28</v>
      </c>
      <c r="Z384" s="15"/>
      <c r="AA384" s="28">
        <f>MONTH(Table2[[#This Row],[DATA PEDIDO HP]])</f>
        <v>6</v>
      </c>
      <c r="AB384" s="32" t="s">
        <v>42</v>
      </c>
      <c r="AC384" s="5">
        <f t="shared" ca="1" si="5"/>
        <v>46232</v>
      </c>
      <c r="AD384" s="331">
        <f ca="1">_xlfn.DAYS(Table2[[#This Row],[HOJE]],Table2[[#This Row],[DATA PEDIDO HP]])</f>
        <v>420</v>
      </c>
      <c r="AE384" s="336" t="s">
        <v>43</v>
      </c>
    </row>
    <row r="385" spans="1:31" ht="14.45" hidden="1">
      <c r="A385" s="271" t="s">
        <v>1390</v>
      </c>
      <c r="B385" s="26">
        <v>45812</v>
      </c>
      <c r="C385" s="26">
        <v>45812</v>
      </c>
      <c r="D385" s="14" t="s">
        <v>1391</v>
      </c>
      <c r="E385" s="14" t="s">
        <v>73</v>
      </c>
      <c r="F385" s="14" t="s">
        <v>34</v>
      </c>
      <c r="G385" s="14">
        <v>50110372</v>
      </c>
      <c r="H385" s="14" t="s">
        <v>446</v>
      </c>
      <c r="I385" s="14" t="s">
        <v>1392</v>
      </c>
      <c r="J385" s="14">
        <v>1</v>
      </c>
      <c r="K385" s="14" t="s">
        <v>37</v>
      </c>
      <c r="L385" s="14" t="s">
        <v>48</v>
      </c>
      <c r="M385" s="15" t="s">
        <v>89</v>
      </c>
      <c r="N385" s="15" t="s">
        <v>58</v>
      </c>
      <c r="O385" s="15">
        <v>1</v>
      </c>
      <c r="P385" s="15"/>
      <c r="Q385" s="15"/>
      <c r="R385" s="15"/>
      <c r="S385" s="25"/>
      <c r="T385" s="25">
        <v>45838</v>
      </c>
      <c r="U385" s="25">
        <v>45859</v>
      </c>
      <c r="V385" s="15" t="s">
        <v>533</v>
      </c>
      <c r="W385" s="15"/>
      <c r="X385" s="159">
        <v>83.29</v>
      </c>
      <c r="Y385" s="159">
        <f>Table2[[#This Row],[PREÇO UNITARIO]]*Table2[[#This Row],[QUANTIDADE]]</f>
        <v>83.29</v>
      </c>
      <c r="Z385" s="15"/>
      <c r="AA385" s="28">
        <f>MONTH(Table2[[#This Row],[DATA PEDIDO HP]])</f>
        <v>6</v>
      </c>
      <c r="AB385" s="32" t="s">
        <v>42</v>
      </c>
      <c r="AC385" s="5">
        <f t="shared" ca="1" si="5"/>
        <v>46232</v>
      </c>
      <c r="AD385" s="331">
        <f ca="1">_xlfn.DAYS(Table2[[#This Row],[HOJE]],Table2[[#This Row],[DATA PEDIDO HP]])</f>
        <v>420</v>
      </c>
      <c r="AE385" s="5" t="s">
        <v>43</v>
      </c>
    </row>
    <row r="386" spans="1:31" ht="14.45" hidden="1">
      <c r="A386" s="271" t="s">
        <v>1393</v>
      </c>
      <c r="B386" s="26">
        <v>45812</v>
      </c>
      <c r="C386" s="26">
        <v>45812</v>
      </c>
      <c r="D386" s="14" t="s">
        <v>1394</v>
      </c>
      <c r="E386" s="14" t="s">
        <v>33</v>
      </c>
      <c r="F386" s="14" t="s">
        <v>34</v>
      </c>
      <c r="G386" s="14">
        <v>50110193</v>
      </c>
      <c r="H386" s="14" t="s">
        <v>134</v>
      </c>
      <c r="I386" s="14" t="s">
        <v>1395</v>
      </c>
      <c r="J386" s="14">
        <v>1</v>
      </c>
      <c r="K386" s="14" t="s">
        <v>37</v>
      </c>
      <c r="L386" s="14" t="s">
        <v>96</v>
      </c>
      <c r="M386" s="15" t="s">
        <v>89</v>
      </c>
      <c r="N386" s="15" t="s">
        <v>58</v>
      </c>
      <c r="O386" s="15">
        <v>1</v>
      </c>
      <c r="P386" s="15"/>
      <c r="Q386" s="15"/>
      <c r="R386" s="15"/>
      <c r="S386" s="25"/>
      <c r="T386" s="25">
        <v>45838</v>
      </c>
      <c r="U386" s="25">
        <v>45859</v>
      </c>
      <c r="V386" s="15" t="s">
        <v>533</v>
      </c>
      <c r="W386" s="15"/>
      <c r="X386" s="159">
        <v>42.46</v>
      </c>
      <c r="Y386" s="159">
        <f>Table2[[#This Row],[PREÇO UNITARIO]]*Table2[[#This Row],[QUANTIDADE]]</f>
        <v>42.46</v>
      </c>
      <c r="Z386" s="15"/>
      <c r="AA386" s="28">
        <f>MONTH(Table2[[#This Row],[DATA PEDIDO HP]])</f>
        <v>6</v>
      </c>
      <c r="AB386" s="32" t="s">
        <v>42</v>
      </c>
      <c r="AC386" s="5">
        <f t="shared" ref="AC386:AC449" ca="1" si="6">TODAY()</f>
        <v>46232</v>
      </c>
      <c r="AD386" s="331">
        <f ca="1">_xlfn.DAYS(Table2[[#This Row],[HOJE]],Table2[[#This Row],[DATA PEDIDO HP]])</f>
        <v>420</v>
      </c>
      <c r="AE386" s="5" t="s">
        <v>43</v>
      </c>
    </row>
    <row r="387" spans="1:31" ht="14.45" hidden="1">
      <c r="A387" s="271" t="s">
        <v>1396</v>
      </c>
      <c r="B387" s="26">
        <v>45812</v>
      </c>
      <c r="C387" s="26">
        <v>45812</v>
      </c>
      <c r="D387" s="14" t="s">
        <v>1397</v>
      </c>
      <c r="E387" s="14" t="s">
        <v>103</v>
      </c>
      <c r="F387" s="14" t="s">
        <v>104</v>
      </c>
      <c r="G387" s="14">
        <v>51000136</v>
      </c>
      <c r="H387" s="14" t="s">
        <v>1398</v>
      </c>
      <c r="I387" s="14" t="s">
        <v>1399</v>
      </c>
      <c r="J387" s="14">
        <v>2</v>
      </c>
      <c r="K387" s="14" t="s">
        <v>37</v>
      </c>
      <c r="L387" s="14" t="s">
        <v>96</v>
      </c>
      <c r="M387" s="15" t="s">
        <v>89</v>
      </c>
      <c r="N387" s="15" t="s">
        <v>89</v>
      </c>
      <c r="O387" s="15">
        <v>0</v>
      </c>
      <c r="P387" s="15">
        <v>2</v>
      </c>
      <c r="Q387" s="15"/>
      <c r="R387" s="15"/>
      <c r="S387" s="25">
        <v>45861</v>
      </c>
      <c r="T387" s="25">
        <v>45838</v>
      </c>
      <c r="U387" s="25">
        <v>45859</v>
      </c>
      <c r="V387" s="15" t="s">
        <v>533</v>
      </c>
      <c r="W387" s="15"/>
      <c r="X387" s="159">
        <v>112.22</v>
      </c>
      <c r="Y387" s="159">
        <f>Table2[[#This Row],[PREÇO UNITARIO]]*Table2[[#This Row],[QUANTIDADE]]</f>
        <v>224.44</v>
      </c>
      <c r="Z387" s="15"/>
      <c r="AA387" s="28">
        <f>MONTH(Table2[[#This Row],[DATA PEDIDO HP]])</f>
        <v>6</v>
      </c>
      <c r="AB387" s="32" t="s">
        <v>42</v>
      </c>
      <c r="AC387" s="5">
        <f t="shared" ca="1" si="6"/>
        <v>46232</v>
      </c>
      <c r="AD387" s="331">
        <f ca="1">_xlfn.DAYS(Table2[[#This Row],[HOJE]],Table2[[#This Row],[DATA PEDIDO HP]])</f>
        <v>420</v>
      </c>
      <c r="AE387" s="336" t="s">
        <v>43</v>
      </c>
    </row>
    <row r="388" spans="1:31" ht="14.45" hidden="1">
      <c r="A388" s="271" t="s">
        <v>1396</v>
      </c>
      <c r="B388" s="26">
        <v>45812</v>
      </c>
      <c r="C388" s="26">
        <v>45812</v>
      </c>
      <c r="D388" s="14" t="s">
        <v>1397</v>
      </c>
      <c r="E388" s="14" t="s">
        <v>103</v>
      </c>
      <c r="F388" s="14" t="s">
        <v>104</v>
      </c>
      <c r="G388" s="14">
        <v>51000136</v>
      </c>
      <c r="H388" s="14" t="s">
        <v>1400</v>
      </c>
      <c r="I388" s="14" t="s">
        <v>1401</v>
      </c>
      <c r="J388" s="14">
        <v>2</v>
      </c>
      <c r="K388" s="14" t="s">
        <v>37</v>
      </c>
      <c r="L388" s="14" t="s">
        <v>96</v>
      </c>
      <c r="M388" s="15" t="s">
        <v>89</v>
      </c>
      <c r="N388" s="15" t="s">
        <v>89</v>
      </c>
      <c r="O388" s="15">
        <v>0</v>
      </c>
      <c r="P388" s="15">
        <v>2</v>
      </c>
      <c r="Q388" s="15"/>
      <c r="R388" s="15"/>
      <c r="S388" s="25">
        <v>45861</v>
      </c>
      <c r="T388" s="25">
        <v>45838</v>
      </c>
      <c r="U388" s="25">
        <v>45859</v>
      </c>
      <c r="V388" s="15" t="s">
        <v>533</v>
      </c>
      <c r="W388" s="15"/>
      <c r="X388" s="159">
        <v>84.92</v>
      </c>
      <c r="Y388" s="159">
        <f>Table2[[#This Row],[PREÇO UNITARIO]]*Table2[[#This Row],[QUANTIDADE]]</f>
        <v>169.84</v>
      </c>
      <c r="Z388" s="15"/>
      <c r="AA388" s="28">
        <f>MONTH(Table2[[#This Row],[DATA PEDIDO HP]])</f>
        <v>6</v>
      </c>
      <c r="AB388" s="32" t="s">
        <v>42</v>
      </c>
      <c r="AC388" s="5">
        <f t="shared" ca="1" si="6"/>
        <v>46232</v>
      </c>
      <c r="AD388" s="331">
        <f ca="1">_xlfn.DAYS(Table2[[#This Row],[HOJE]],Table2[[#This Row],[DATA PEDIDO HP]])</f>
        <v>420</v>
      </c>
      <c r="AE388" s="336" t="s">
        <v>43</v>
      </c>
    </row>
    <row r="389" spans="1:31" ht="14.45" hidden="1">
      <c r="A389" s="271" t="s">
        <v>1402</v>
      </c>
      <c r="B389" s="26">
        <v>45812</v>
      </c>
      <c r="C389" s="26">
        <v>45812</v>
      </c>
      <c r="D389" s="14" t="s">
        <v>1403</v>
      </c>
      <c r="E389" s="14" t="s">
        <v>73</v>
      </c>
      <c r="F389" s="14" t="s">
        <v>34</v>
      </c>
      <c r="G389" s="14">
        <v>50110372</v>
      </c>
      <c r="H389" s="14" t="s">
        <v>1404</v>
      </c>
      <c r="I389" s="14" t="s">
        <v>1405</v>
      </c>
      <c r="J389" s="14">
        <v>4</v>
      </c>
      <c r="K389" s="14" t="s">
        <v>37</v>
      </c>
      <c r="L389" s="14" t="s">
        <v>217</v>
      </c>
      <c r="M389" s="15" t="s">
        <v>89</v>
      </c>
      <c r="N389" s="15" t="s">
        <v>58</v>
      </c>
      <c r="O389" s="15">
        <v>4</v>
      </c>
      <c r="P389" s="15"/>
      <c r="Q389" s="15"/>
      <c r="R389" s="15"/>
      <c r="S389" s="25"/>
      <c r="T389" s="25">
        <v>45888</v>
      </c>
      <c r="U389" s="25">
        <v>45898</v>
      </c>
      <c r="V389" s="15" t="s">
        <v>420</v>
      </c>
      <c r="W389" s="15"/>
      <c r="X389" s="159">
        <v>24.06</v>
      </c>
      <c r="Y389" s="159">
        <f>Table2[[#This Row],[PREÇO UNITARIO]]*Table2[[#This Row],[QUANTIDADE]]</f>
        <v>96.24</v>
      </c>
      <c r="Z389" s="15"/>
      <c r="AA389" s="28">
        <f>MONTH(Table2[[#This Row],[DATA PEDIDO HP]])</f>
        <v>6</v>
      </c>
      <c r="AB389" s="32" t="s">
        <v>42</v>
      </c>
      <c r="AC389" s="5">
        <f t="shared" ca="1" si="6"/>
        <v>46232</v>
      </c>
      <c r="AD389" s="331">
        <f ca="1">_xlfn.DAYS(Table2[[#This Row],[HOJE]],Table2[[#This Row],[DATA PEDIDO HP]])</f>
        <v>420</v>
      </c>
      <c r="AE389" s="5" t="s">
        <v>43</v>
      </c>
    </row>
    <row r="390" spans="1:31" ht="14.45" hidden="1">
      <c r="A390" s="271" t="s">
        <v>1406</v>
      </c>
      <c r="B390" s="26">
        <v>45812</v>
      </c>
      <c r="C390" s="26">
        <v>45812</v>
      </c>
      <c r="D390" s="14" t="s">
        <v>1407</v>
      </c>
      <c r="E390" s="14" t="s">
        <v>225</v>
      </c>
      <c r="F390" s="14" t="s">
        <v>34</v>
      </c>
      <c r="G390" s="14">
        <v>50110261</v>
      </c>
      <c r="H390" s="14" t="s">
        <v>1408</v>
      </c>
      <c r="I390" s="14" t="s">
        <v>1409</v>
      </c>
      <c r="J390" s="14">
        <v>1</v>
      </c>
      <c r="K390" s="14" t="s">
        <v>67</v>
      </c>
      <c r="L390" s="14" t="s">
        <v>68</v>
      </c>
      <c r="M390" s="15" t="s">
        <v>89</v>
      </c>
      <c r="N390" s="15" t="s">
        <v>58</v>
      </c>
      <c r="O390" s="15">
        <v>1</v>
      </c>
      <c r="P390" s="15"/>
      <c r="Q390" s="15"/>
      <c r="R390" s="15"/>
      <c r="S390" s="25"/>
      <c r="T390" s="25">
        <v>45838</v>
      </c>
      <c r="U390" s="25">
        <v>45859</v>
      </c>
      <c r="V390" s="15" t="s">
        <v>533</v>
      </c>
      <c r="W390" s="15"/>
      <c r="X390" s="159">
        <v>1542.6</v>
      </c>
      <c r="Y390" s="159">
        <f>Table2[[#This Row],[PREÇO UNITARIO]]*Table2[[#This Row],[QUANTIDADE]]</f>
        <v>1542.6</v>
      </c>
      <c r="Z390" s="15"/>
      <c r="AA390" s="28">
        <f>MONTH(Table2[[#This Row],[DATA PEDIDO HP]])</f>
        <v>6</v>
      </c>
      <c r="AB390" s="32" t="s">
        <v>60</v>
      </c>
      <c r="AC390" s="5">
        <f t="shared" ca="1" si="6"/>
        <v>46232</v>
      </c>
      <c r="AD390" s="331">
        <f ca="1">_xlfn.DAYS(Table2[[#This Row],[HOJE]],Table2[[#This Row],[DATA PEDIDO HP]])</f>
        <v>420</v>
      </c>
      <c r="AE390" s="5" t="s">
        <v>43</v>
      </c>
    </row>
    <row r="391" spans="1:31" ht="14.45" hidden="1">
      <c r="A391" s="271" t="s">
        <v>1406</v>
      </c>
      <c r="B391" s="26">
        <v>45812</v>
      </c>
      <c r="C391" s="26">
        <v>45812</v>
      </c>
      <c r="D391" s="14" t="s">
        <v>1407</v>
      </c>
      <c r="E391" s="14" t="s">
        <v>225</v>
      </c>
      <c r="F391" s="14" t="s">
        <v>34</v>
      </c>
      <c r="G391" s="14">
        <v>50110261</v>
      </c>
      <c r="H391" s="14" t="s">
        <v>1410</v>
      </c>
      <c r="I391" s="14" t="s">
        <v>1411</v>
      </c>
      <c r="J391" s="14">
        <v>1</v>
      </c>
      <c r="K391" s="14" t="s">
        <v>67</v>
      </c>
      <c r="L391" s="14" t="s">
        <v>68</v>
      </c>
      <c r="M391" s="15" t="s">
        <v>39</v>
      </c>
      <c r="N391" s="15" t="s">
        <v>58</v>
      </c>
      <c r="O391" s="15">
        <v>1</v>
      </c>
      <c r="P391" s="15"/>
      <c r="Q391" s="15"/>
      <c r="R391" s="15"/>
      <c r="S391" s="25"/>
      <c r="T391" s="25">
        <v>45838</v>
      </c>
      <c r="U391" s="25">
        <v>45859</v>
      </c>
      <c r="V391" s="15" t="s">
        <v>533</v>
      </c>
      <c r="W391" s="15"/>
      <c r="X391" s="159">
        <v>2308.5</v>
      </c>
      <c r="Y391" s="159">
        <f>Table2[[#This Row],[PREÇO UNITARIO]]*Table2[[#This Row],[QUANTIDADE]]</f>
        <v>2308.5</v>
      </c>
      <c r="Z391" s="15"/>
      <c r="AA391" s="28">
        <f>MONTH(Table2[[#This Row],[DATA PEDIDO HP]])</f>
        <v>6</v>
      </c>
      <c r="AB391" s="32" t="s">
        <v>60</v>
      </c>
      <c r="AC391" s="5">
        <f t="shared" ca="1" si="6"/>
        <v>46232</v>
      </c>
      <c r="AD391" s="331">
        <f ca="1">_xlfn.DAYS(Table2[[#This Row],[HOJE]],Table2[[#This Row],[DATA PEDIDO HP]])</f>
        <v>420</v>
      </c>
      <c r="AE391" s="5" t="s">
        <v>43</v>
      </c>
    </row>
    <row r="392" spans="1:31" ht="14.45" hidden="1">
      <c r="A392" s="271" t="s">
        <v>1412</v>
      </c>
      <c r="B392" s="26">
        <v>45813</v>
      </c>
      <c r="C392" s="26">
        <v>45813</v>
      </c>
      <c r="D392" s="14" t="s">
        <v>1413</v>
      </c>
      <c r="E392" s="14" t="s">
        <v>73</v>
      </c>
      <c r="F392" s="14" t="s">
        <v>34</v>
      </c>
      <c r="G392" s="14">
        <v>50110372</v>
      </c>
      <c r="H392" s="14" t="s">
        <v>100</v>
      </c>
      <c r="I392" s="14" t="s">
        <v>99</v>
      </c>
      <c r="J392" s="14">
        <v>2</v>
      </c>
      <c r="K392" s="14" t="s">
        <v>37</v>
      </c>
      <c r="L392" s="14" t="s">
        <v>96</v>
      </c>
      <c r="M392" s="15" t="s">
        <v>58</v>
      </c>
      <c r="N392" s="15" t="s">
        <v>39</v>
      </c>
      <c r="O392" s="15">
        <v>0</v>
      </c>
      <c r="P392" s="15">
        <v>2</v>
      </c>
      <c r="Q392" s="15"/>
      <c r="R392" s="15" t="s">
        <v>98</v>
      </c>
      <c r="S392" s="25">
        <v>45860</v>
      </c>
      <c r="T392" s="25">
        <v>45838</v>
      </c>
      <c r="U392" s="25">
        <v>45859</v>
      </c>
      <c r="V392" s="15" t="s">
        <v>533</v>
      </c>
      <c r="W392" s="15"/>
      <c r="X392" s="159">
        <v>255.99</v>
      </c>
      <c r="Y392" s="159">
        <f>Table2[[#This Row],[PREÇO UNITARIO]]*Table2[[#This Row],[QUANTIDADE]]</f>
        <v>511.98</v>
      </c>
      <c r="Z392" s="15"/>
      <c r="AA392" s="28">
        <f>MONTH(Table2[[#This Row],[DATA PEDIDO HP]])</f>
        <v>6</v>
      </c>
      <c r="AB392" s="32" t="s">
        <v>42</v>
      </c>
      <c r="AC392" s="5">
        <f t="shared" ca="1" si="6"/>
        <v>46232</v>
      </c>
      <c r="AD392" s="331">
        <f ca="1">_xlfn.DAYS(Table2[[#This Row],[HOJE]],Table2[[#This Row],[DATA PEDIDO HP]])</f>
        <v>419</v>
      </c>
      <c r="AE392" s="336" t="s">
        <v>43</v>
      </c>
    </row>
    <row r="393" spans="1:31" ht="14.45" hidden="1">
      <c r="A393" s="271" t="s">
        <v>1414</v>
      </c>
      <c r="B393" s="26">
        <v>45813</v>
      </c>
      <c r="C393" s="26">
        <v>45813</v>
      </c>
      <c r="D393" s="14" t="s">
        <v>1415</v>
      </c>
      <c r="E393" s="14" t="s">
        <v>33</v>
      </c>
      <c r="F393" s="14" t="s">
        <v>34</v>
      </c>
      <c r="G393" s="14">
        <v>50110193</v>
      </c>
      <c r="H393" s="14" t="s">
        <v>1416</v>
      </c>
      <c r="I393" s="14" t="s">
        <v>1417</v>
      </c>
      <c r="J393" s="14">
        <v>2</v>
      </c>
      <c r="K393" s="14" t="s">
        <v>67</v>
      </c>
      <c r="L393" s="14" t="s">
        <v>48</v>
      </c>
      <c r="M393" s="15" t="s">
        <v>58</v>
      </c>
      <c r="N393" s="15" t="s">
        <v>89</v>
      </c>
      <c r="O393" s="15">
        <v>0</v>
      </c>
      <c r="P393" s="15"/>
      <c r="Q393" s="15"/>
      <c r="R393" s="15"/>
      <c r="S393" s="25">
        <v>45861</v>
      </c>
      <c r="T393" s="25">
        <v>45838</v>
      </c>
      <c r="U393" s="25">
        <v>45859</v>
      </c>
      <c r="V393" s="15" t="s">
        <v>533</v>
      </c>
      <c r="W393" s="15"/>
      <c r="X393" s="159">
        <v>83.71</v>
      </c>
      <c r="Y393" s="159">
        <f>Table2[[#This Row],[PREÇO UNITARIO]]*Table2[[#This Row],[QUANTIDADE]]</f>
        <v>167.42</v>
      </c>
      <c r="Z393" s="15"/>
      <c r="AA393" s="28">
        <f>MONTH(Table2[[#This Row],[DATA PEDIDO HP]])</f>
        <v>6</v>
      </c>
      <c r="AB393" s="32" t="s">
        <v>42</v>
      </c>
      <c r="AC393" s="5">
        <f t="shared" ca="1" si="6"/>
        <v>46232</v>
      </c>
      <c r="AD393" s="331">
        <f ca="1">_xlfn.DAYS(Table2[[#This Row],[HOJE]],Table2[[#This Row],[DATA PEDIDO HP]])</f>
        <v>419</v>
      </c>
      <c r="AE393" s="336" t="s">
        <v>43</v>
      </c>
    </row>
    <row r="394" spans="1:31" ht="14.45" hidden="1">
      <c r="A394" s="271" t="s">
        <v>1414</v>
      </c>
      <c r="B394" s="26">
        <v>45813</v>
      </c>
      <c r="C394" s="26">
        <v>45813</v>
      </c>
      <c r="D394" s="14" t="s">
        <v>1415</v>
      </c>
      <c r="E394" s="14" t="s">
        <v>33</v>
      </c>
      <c r="F394" s="14" t="s">
        <v>34</v>
      </c>
      <c r="G394" s="14">
        <v>50110193</v>
      </c>
      <c r="H394" s="14" t="s">
        <v>1418</v>
      </c>
      <c r="I394" s="14" t="s">
        <v>1419</v>
      </c>
      <c r="J394" s="14">
        <v>1</v>
      </c>
      <c r="K394" s="14" t="s">
        <v>67</v>
      </c>
      <c r="L394" s="14" t="s">
        <v>48</v>
      </c>
      <c r="M394" s="15" t="s">
        <v>39</v>
      </c>
      <c r="N394" s="15" t="s">
        <v>89</v>
      </c>
      <c r="O394" s="15">
        <v>0</v>
      </c>
      <c r="P394" s="15"/>
      <c r="Q394" s="15"/>
      <c r="R394" s="15" t="s">
        <v>185</v>
      </c>
      <c r="S394" s="25">
        <v>45861</v>
      </c>
      <c r="T394" s="25">
        <v>45838</v>
      </c>
      <c r="U394" s="25">
        <v>45859</v>
      </c>
      <c r="V394" s="15" t="s">
        <v>533</v>
      </c>
      <c r="W394" s="15"/>
      <c r="X394" s="159">
        <v>29.9</v>
      </c>
      <c r="Y394" s="159">
        <f>Table2[[#This Row],[PREÇO UNITARIO]]*Table2[[#This Row],[QUANTIDADE]]</f>
        <v>29.9</v>
      </c>
      <c r="Z394" s="15"/>
      <c r="AA394" s="28">
        <f>MONTH(Table2[[#This Row],[DATA PEDIDO HP]])</f>
        <v>6</v>
      </c>
      <c r="AB394" s="32" t="s">
        <v>42</v>
      </c>
      <c r="AC394" s="5">
        <f t="shared" ca="1" si="6"/>
        <v>46232</v>
      </c>
      <c r="AD394" s="331">
        <f ca="1">_xlfn.DAYS(Table2[[#This Row],[HOJE]],Table2[[#This Row],[DATA PEDIDO HP]])</f>
        <v>419</v>
      </c>
      <c r="AE394" s="336" t="s">
        <v>43</v>
      </c>
    </row>
    <row r="395" spans="1:31" ht="14.45" hidden="1">
      <c r="A395" s="271" t="s">
        <v>1414</v>
      </c>
      <c r="B395" s="26">
        <v>45813</v>
      </c>
      <c r="C395" s="26">
        <v>45813</v>
      </c>
      <c r="D395" s="14" t="s">
        <v>1415</v>
      </c>
      <c r="E395" s="14" t="s">
        <v>33</v>
      </c>
      <c r="F395" s="14" t="s">
        <v>34</v>
      </c>
      <c r="G395" s="14">
        <v>50110193</v>
      </c>
      <c r="H395" s="14" t="s">
        <v>245</v>
      </c>
      <c r="I395" s="14" t="s">
        <v>246</v>
      </c>
      <c r="J395" s="14">
        <v>1</v>
      </c>
      <c r="K395" s="14" t="s">
        <v>67</v>
      </c>
      <c r="L395" s="14" t="s">
        <v>48</v>
      </c>
      <c r="M395" s="15" t="s">
        <v>39</v>
      </c>
      <c r="N395" s="15" t="s">
        <v>89</v>
      </c>
      <c r="O395" s="15">
        <v>0</v>
      </c>
      <c r="P395" s="15">
        <v>1</v>
      </c>
      <c r="Q395" s="15"/>
      <c r="R395" s="15" t="s">
        <v>247</v>
      </c>
      <c r="S395" s="25">
        <v>45861</v>
      </c>
      <c r="T395" s="25">
        <v>45838</v>
      </c>
      <c r="U395" s="25">
        <v>45859</v>
      </c>
      <c r="V395" s="15" t="s">
        <v>533</v>
      </c>
      <c r="W395" s="15"/>
      <c r="X395" s="159">
        <v>80.180000000000007</v>
      </c>
      <c r="Y395" s="159">
        <f>Table2[[#This Row],[PREÇO UNITARIO]]*Table2[[#This Row],[QUANTIDADE]]</f>
        <v>80.180000000000007</v>
      </c>
      <c r="Z395" s="15"/>
      <c r="AA395" s="28">
        <f>MONTH(Table2[[#This Row],[DATA PEDIDO HP]])</f>
        <v>6</v>
      </c>
      <c r="AB395" s="32" t="s">
        <v>42</v>
      </c>
      <c r="AC395" s="5">
        <f t="shared" ca="1" si="6"/>
        <v>46232</v>
      </c>
      <c r="AD395" s="331">
        <f ca="1">_xlfn.DAYS(Table2[[#This Row],[HOJE]],Table2[[#This Row],[DATA PEDIDO HP]])</f>
        <v>419</v>
      </c>
      <c r="AE395" s="336" t="s">
        <v>43</v>
      </c>
    </row>
    <row r="396" spans="1:31" ht="14.45" hidden="1">
      <c r="A396" s="271" t="s">
        <v>1414</v>
      </c>
      <c r="B396" s="26">
        <v>45813</v>
      </c>
      <c r="C396" s="26">
        <v>45813</v>
      </c>
      <c r="D396" s="14" t="s">
        <v>1415</v>
      </c>
      <c r="E396" s="14" t="s">
        <v>33</v>
      </c>
      <c r="F396" s="14" t="s">
        <v>34</v>
      </c>
      <c r="G396" s="14">
        <v>50110193</v>
      </c>
      <c r="H396" s="14" t="s">
        <v>1420</v>
      </c>
      <c r="I396" s="14" t="s">
        <v>1421</v>
      </c>
      <c r="J396" s="14">
        <v>4</v>
      </c>
      <c r="K396" s="14" t="s">
        <v>67</v>
      </c>
      <c r="L396" s="14" t="s">
        <v>48</v>
      </c>
      <c r="M396" s="15" t="s">
        <v>89</v>
      </c>
      <c r="N396" s="15" t="s">
        <v>89</v>
      </c>
      <c r="O396" s="15">
        <v>0</v>
      </c>
      <c r="P396" s="15">
        <v>4</v>
      </c>
      <c r="Q396" s="15"/>
      <c r="R396" s="15"/>
      <c r="S396" s="25">
        <v>45903</v>
      </c>
      <c r="T396" s="25">
        <v>45888</v>
      </c>
      <c r="U396" s="25">
        <v>45898</v>
      </c>
      <c r="V396" s="15" t="s">
        <v>420</v>
      </c>
      <c r="W396" s="15"/>
      <c r="X396" s="159">
        <v>11.76</v>
      </c>
      <c r="Y396" s="159">
        <f>Table2[[#This Row],[PREÇO UNITARIO]]*Table2[[#This Row],[QUANTIDADE]]</f>
        <v>47.04</v>
      </c>
      <c r="Z396" s="15"/>
      <c r="AA396" s="28">
        <f>MONTH(Table2[[#This Row],[DATA PEDIDO HP]])</f>
        <v>6</v>
      </c>
      <c r="AB396" s="32" t="s">
        <v>42</v>
      </c>
      <c r="AC396" s="5">
        <f t="shared" ca="1" si="6"/>
        <v>46232</v>
      </c>
      <c r="AD396" s="331">
        <f ca="1">_xlfn.DAYS(Table2[[#This Row],[HOJE]],Table2[[#This Row],[DATA PEDIDO HP]])</f>
        <v>419</v>
      </c>
      <c r="AE396" s="336" t="s">
        <v>43</v>
      </c>
    </row>
    <row r="397" spans="1:31" ht="14.45" hidden="1">
      <c r="A397" s="271" t="s">
        <v>1422</v>
      </c>
      <c r="B397" s="26">
        <v>45813</v>
      </c>
      <c r="C397" s="26">
        <v>45813</v>
      </c>
      <c r="D397" s="14" t="s">
        <v>1423</v>
      </c>
      <c r="E397" s="14" t="s">
        <v>103</v>
      </c>
      <c r="F397" s="14" t="s">
        <v>104</v>
      </c>
      <c r="G397" s="14">
        <v>51000323</v>
      </c>
      <c r="H397" s="14" t="s">
        <v>1424</v>
      </c>
      <c r="I397" s="14" t="s">
        <v>1425</v>
      </c>
      <c r="J397" s="14">
        <v>1</v>
      </c>
      <c r="K397" s="14" t="s">
        <v>67</v>
      </c>
      <c r="L397" s="14" t="s">
        <v>48</v>
      </c>
      <c r="M397" s="15" t="s">
        <v>89</v>
      </c>
      <c r="N397" s="15" t="s">
        <v>89</v>
      </c>
      <c r="O397" s="15">
        <v>1</v>
      </c>
      <c r="P397" s="15"/>
      <c r="Q397" s="15"/>
      <c r="R397" s="15"/>
      <c r="S397" s="25">
        <v>45861</v>
      </c>
      <c r="T397" s="25">
        <v>45838</v>
      </c>
      <c r="U397" s="25">
        <v>45859</v>
      </c>
      <c r="V397" s="15" t="s">
        <v>533</v>
      </c>
      <c r="W397" s="15"/>
      <c r="X397" s="159">
        <v>49.96</v>
      </c>
      <c r="Y397" s="159">
        <f>Table2[[#This Row],[PREÇO UNITARIO]]*Table2[[#This Row],[QUANTIDADE]]</f>
        <v>49.96</v>
      </c>
      <c r="Z397" s="15"/>
      <c r="AA397" s="28">
        <f>MONTH(Table2[[#This Row],[DATA PEDIDO HP]])</f>
        <v>6</v>
      </c>
      <c r="AB397" s="32" t="s">
        <v>42</v>
      </c>
      <c r="AC397" s="5">
        <f t="shared" ca="1" si="6"/>
        <v>46232</v>
      </c>
      <c r="AD397" s="331">
        <f ca="1">_xlfn.DAYS(Table2[[#This Row],[HOJE]],Table2[[#This Row],[DATA PEDIDO HP]])</f>
        <v>419</v>
      </c>
      <c r="AE397" s="336" t="s">
        <v>43</v>
      </c>
    </row>
    <row r="398" spans="1:31" ht="14.45" hidden="1">
      <c r="A398" s="271" t="s">
        <v>1426</v>
      </c>
      <c r="B398" s="26">
        <v>45814</v>
      </c>
      <c r="C398" s="26">
        <v>45813</v>
      </c>
      <c r="D398" s="14" t="s">
        <v>1427</v>
      </c>
      <c r="E398" s="14" t="s">
        <v>569</v>
      </c>
      <c r="F398" s="14" t="s">
        <v>1428</v>
      </c>
      <c r="G398" s="14">
        <v>44000058</v>
      </c>
      <c r="H398" s="14" t="s">
        <v>1429</v>
      </c>
      <c r="I398" s="14" t="s">
        <v>1430</v>
      </c>
      <c r="J398" s="14">
        <v>1</v>
      </c>
      <c r="K398" s="14" t="s">
        <v>37</v>
      </c>
      <c r="L398" s="14" t="s">
        <v>459</v>
      </c>
      <c r="M398" s="15" t="s">
        <v>58</v>
      </c>
      <c r="N398" s="15" t="s">
        <v>89</v>
      </c>
      <c r="O398" s="15">
        <v>0</v>
      </c>
      <c r="P398" s="15"/>
      <c r="Q398" s="15"/>
      <c r="R398" s="15"/>
      <c r="S398" s="25">
        <v>45860</v>
      </c>
      <c r="T398" s="25">
        <v>45838</v>
      </c>
      <c r="U398" s="25">
        <v>45859</v>
      </c>
      <c r="V398" s="15" t="s">
        <v>533</v>
      </c>
      <c r="W398" s="15"/>
      <c r="X398" s="159">
        <v>106.15</v>
      </c>
      <c r="Y398" s="159">
        <f>Table2[[#This Row],[PREÇO UNITARIO]]*Table2[[#This Row],[QUANTIDADE]]</f>
        <v>106.15</v>
      </c>
      <c r="Z398" s="15"/>
      <c r="AA398" s="28">
        <f>MONTH(Table2[[#This Row],[DATA PEDIDO HP]])</f>
        <v>6</v>
      </c>
      <c r="AB398" s="32" t="s">
        <v>60</v>
      </c>
      <c r="AC398" s="5">
        <f t="shared" ca="1" si="6"/>
        <v>46232</v>
      </c>
      <c r="AD398" s="331">
        <f ca="1">_xlfn.DAYS(Table2[[#This Row],[HOJE]],Table2[[#This Row],[DATA PEDIDO HP]])</f>
        <v>418</v>
      </c>
      <c r="AE398" s="336" t="s">
        <v>43</v>
      </c>
    </row>
    <row r="399" spans="1:31" ht="14.45" hidden="1">
      <c r="A399" s="271" t="s">
        <v>1431</v>
      </c>
      <c r="B399" s="26">
        <v>45814</v>
      </c>
      <c r="C399" s="26">
        <v>45814</v>
      </c>
      <c r="D399" s="14" t="s">
        <v>1432</v>
      </c>
      <c r="E399" s="14" t="s">
        <v>103</v>
      </c>
      <c r="F399" s="14" t="s">
        <v>104</v>
      </c>
      <c r="G399" s="14">
        <v>51000136</v>
      </c>
      <c r="H399" s="14" t="s">
        <v>1433</v>
      </c>
      <c r="I399" s="14" t="s">
        <v>1434</v>
      </c>
      <c r="J399" s="14">
        <v>1</v>
      </c>
      <c r="K399" s="14" t="s">
        <v>37</v>
      </c>
      <c r="L399" s="14" t="s">
        <v>48</v>
      </c>
      <c r="M399" s="15" t="s">
        <v>89</v>
      </c>
      <c r="N399" s="15" t="s">
        <v>89</v>
      </c>
      <c r="O399" s="15">
        <v>0</v>
      </c>
      <c r="P399" s="15"/>
      <c r="Q399" s="15"/>
      <c r="R399" s="15"/>
      <c r="S399" s="25"/>
      <c r="T399" s="25">
        <v>45838</v>
      </c>
      <c r="U399" s="25">
        <v>45859</v>
      </c>
      <c r="V399" s="15" t="s">
        <v>533</v>
      </c>
      <c r="W399" s="15"/>
      <c r="X399" s="159">
        <v>64.510000000000005</v>
      </c>
      <c r="Y399" s="159">
        <f>Table2[[#This Row],[PREÇO UNITARIO]]*Table2[[#This Row],[QUANTIDADE]]</f>
        <v>64.510000000000005</v>
      </c>
      <c r="Z399" s="15"/>
      <c r="AA399" s="28">
        <f>MONTH(Table2[[#This Row],[DATA PEDIDO HP]])</f>
        <v>6</v>
      </c>
      <c r="AB399" s="32" t="s">
        <v>42</v>
      </c>
      <c r="AC399" s="5">
        <f t="shared" ca="1" si="6"/>
        <v>46232</v>
      </c>
      <c r="AD399" s="331">
        <f ca="1">_xlfn.DAYS(Table2[[#This Row],[HOJE]],Table2[[#This Row],[DATA PEDIDO HP]])</f>
        <v>418</v>
      </c>
      <c r="AE399" s="5" t="s">
        <v>43</v>
      </c>
    </row>
    <row r="400" spans="1:31" ht="14.45" hidden="1">
      <c r="A400" s="271" t="s">
        <v>1435</v>
      </c>
      <c r="B400" s="26">
        <v>45814</v>
      </c>
      <c r="C400" s="26">
        <v>45814</v>
      </c>
      <c r="D400" s="14" t="s">
        <v>1436</v>
      </c>
      <c r="E400" s="14" t="s">
        <v>445</v>
      </c>
      <c r="F400" s="14" t="s">
        <v>74</v>
      </c>
      <c r="G400" s="14">
        <v>50000351</v>
      </c>
      <c r="H400" s="14" t="s">
        <v>75</v>
      </c>
      <c r="I400" s="14" t="s">
        <v>1166</v>
      </c>
      <c r="J400" s="14">
        <v>1</v>
      </c>
      <c r="K400" s="14" t="s">
        <v>67</v>
      </c>
      <c r="L400" s="14" t="s">
        <v>660</v>
      </c>
      <c r="M400" s="15" t="s">
        <v>89</v>
      </c>
      <c r="N400" s="15" t="s">
        <v>58</v>
      </c>
      <c r="O400" s="15">
        <v>1</v>
      </c>
      <c r="P400" s="15"/>
      <c r="Q400" s="15"/>
      <c r="R400" s="15"/>
      <c r="S400" s="25"/>
      <c r="T400" s="25">
        <v>45888</v>
      </c>
      <c r="U400" s="25">
        <v>45898</v>
      </c>
      <c r="V400" s="15" t="s">
        <v>420</v>
      </c>
      <c r="W400" s="15"/>
      <c r="X400" s="159">
        <v>1187.4100000000001</v>
      </c>
      <c r="Y400" s="159">
        <f>Table2[[#This Row],[PREÇO UNITARIO]]*Table2[[#This Row],[QUANTIDADE]]</f>
        <v>1187.4100000000001</v>
      </c>
      <c r="Z400" s="15"/>
      <c r="AA400" s="28">
        <f>MONTH(Table2[[#This Row],[DATA PEDIDO HP]])</f>
        <v>6</v>
      </c>
      <c r="AB400" s="32" t="s">
        <v>60</v>
      </c>
      <c r="AC400" s="5">
        <f t="shared" ca="1" si="6"/>
        <v>46232</v>
      </c>
      <c r="AD400" s="331">
        <f ca="1">_xlfn.DAYS(Table2[[#This Row],[HOJE]],Table2[[#This Row],[DATA PEDIDO HP]])</f>
        <v>418</v>
      </c>
      <c r="AE400" s="5" t="s">
        <v>43</v>
      </c>
    </row>
    <row r="401" spans="1:31" ht="14.45" hidden="1">
      <c r="A401" s="271" t="s">
        <v>1437</v>
      </c>
      <c r="B401" s="26">
        <v>45817</v>
      </c>
      <c r="C401" s="26">
        <v>45817</v>
      </c>
      <c r="D401" s="14" t="s">
        <v>1438</v>
      </c>
      <c r="E401" s="14" t="s">
        <v>63</v>
      </c>
      <c r="F401" s="14" t="s">
        <v>55</v>
      </c>
      <c r="G401" s="14">
        <v>44000059</v>
      </c>
      <c r="H401" s="14" t="s">
        <v>1439</v>
      </c>
      <c r="I401" s="14" t="s">
        <v>1440</v>
      </c>
      <c r="J401" s="14">
        <v>2</v>
      </c>
      <c r="K401" s="14" t="s">
        <v>37</v>
      </c>
      <c r="L401" s="14" t="s">
        <v>48</v>
      </c>
      <c r="M401" s="15" t="s">
        <v>58</v>
      </c>
      <c r="N401" s="15" t="s">
        <v>58</v>
      </c>
      <c r="O401" s="15">
        <v>2</v>
      </c>
      <c r="P401" s="15"/>
      <c r="Q401" s="15"/>
      <c r="R401" s="15" t="s">
        <v>1441</v>
      </c>
      <c r="S401" s="25"/>
      <c r="T401" s="25">
        <v>45838</v>
      </c>
      <c r="U401" s="25">
        <v>45859</v>
      </c>
      <c r="V401" s="15" t="s">
        <v>533</v>
      </c>
      <c r="W401" s="15"/>
      <c r="X401" s="159">
        <v>357.65</v>
      </c>
      <c r="Y401" s="159">
        <f>Table2[[#This Row],[PREÇO UNITARIO]]*Table2[[#This Row],[QUANTIDADE]]</f>
        <v>715.3</v>
      </c>
      <c r="Z401" s="15"/>
      <c r="AA401" s="28">
        <f>MONTH(Table2[[#This Row],[DATA PEDIDO HP]])</f>
        <v>6</v>
      </c>
      <c r="AB401" s="32" t="s">
        <v>60</v>
      </c>
      <c r="AC401" s="5">
        <f t="shared" ca="1" si="6"/>
        <v>46232</v>
      </c>
      <c r="AD401" s="331">
        <f ca="1">_xlfn.DAYS(Table2[[#This Row],[HOJE]],Table2[[#This Row],[DATA PEDIDO HP]])</f>
        <v>415</v>
      </c>
      <c r="AE401" s="5" t="s">
        <v>43</v>
      </c>
    </row>
    <row r="402" spans="1:31" ht="14.45" hidden="1">
      <c r="A402" s="271" t="s">
        <v>1437</v>
      </c>
      <c r="B402" s="26">
        <v>45817</v>
      </c>
      <c r="C402" s="26">
        <v>45817</v>
      </c>
      <c r="D402" s="14" t="s">
        <v>1438</v>
      </c>
      <c r="E402" s="14" t="s">
        <v>63</v>
      </c>
      <c r="F402" s="14" t="s">
        <v>55</v>
      </c>
      <c r="G402" s="14">
        <v>44000059</v>
      </c>
      <c r="H402" s="14" t="s">
        <v>1442</v>
      </c>
      <c r="I402" s="14" t="s">
        <v>1443</v>
      </c>
      <c r="J402" s="14">
        <v>1</v>
      </c>
      <c r="K402" s="14" t="s">
        <v>37</v>
      </c>
      <c r="L402" s="14" t="s">
        <v>48</v>
      </c>
      <c r="M402" s="15" t="s">
        <v>39</v>
      </c>
      <c r="N402" s="15" t="s">
        <v>58</v>
      </c>
      <c r="O402" s="15">
        <v>1</v>
      </c>
      <c r="P402" s="15"/>
      <c r="Q402" s="15"/>
      <c r="R402" s="15"/>
      <c r="S402" s="25"/>
      <c r="T402" s="25">
        <v>45838</v>
      </c>
      <c r="U402" s="25">
        <v>45859</v>
      </c>
      <c r="V402" s="15" t="s">
        <v>533</v>
      </c>
      <c r="W402" s="15"/>
      <c r="X402" s="159">
        <v>111.05</v>
      </c>
      <c r="Y402" s="159">
        <f>Table2[[#This Row],[PREÇO UNITARIO]]*Table2[[#This Row],[QUANTIDADE]]</f>
        <v>111.05</v>
      </c>
      <c r="Z402" s="15"/>
      <c r="AA402" s="28">
        <f>MONTH(Table2[[#This Row],[DATA PEDIDO HP]])</f>
        <v>6</v>
      </c>
      <c r="AB402" s="32" t="s">
        <v>60</v>
      </c>
      <c r="AC402" s="5">
        <f t="shared" ca="1" si="6"/>
        <v>46232</v>
      </c>
      <c r="AD402" s="331">
        <f ca="1">_xlfn.DAYS(Table2[[#This Row],[HOJE]],Table2[[#This Row],[DATA PEDIDO HP]])</f>
        <v>415</v>
      </c>
      <c r="AE402" s="5" t="s">
        <v>43</v>
      </c>
    </row>
    <row r="403" spans="1:31" ht="14.45" hidden="1">
      <c r="A403" s="271" t="s">
        <v>1444</v>
      </c>
      <c r="B403" s="26">
        <v>45817</v>
      </c>
      <c r="C403" s="26">
        <v>45817</v>
      </c>
      <c r="D403" s="14" t="s">
        <v>1445</v>
      </c>
      <c r="E403" s="14" t="s">
        <v>225</v>
      </c>
      <c r="F403" s="14" t="s">
        <v>34</v>
      </c>
      <c r="G403" s="14">
        <v>50110261</v>
      </c>
      <c r="H403" s="14" t="s">
        <v>1103</v>
      </c>
      <c r="I403" s="14" t="s">
        <v>592</v>
      </c>
      <c r="J403" s="14">
        <v>1</v>
      </c>
      <c r="K403" s="14" t="s">
        <v>37</v>
      </c>
      <c r="L403" s="14" t="s">
        <v>68</v>
      </c>
      <c r="M403" s="15" t="s">
        <v>89</v>
      </c>
      <c r="N403" s="15" t="s">
        <v>58</v>
      </c>
      <c r="O403" s="15">
        <v>0</v>
      </c>
      <c r="P403" s="15">
        <v>1</v>
      </c>
      <c r="Q403" s="15"/>
      <c r="R403" s="15" t="s">
        <v>165</v>
      </c>
      <c r="S403" s="25"/>
      <c r="T403" s="25">
        <v>45838</v>
      </c>
      <c r="U403" s="25">
        <v>45859</v>
      </c>
      <c r="V403" s="15" t="s">
        <v>533</v>
      </c>
      <c r="W403" s="15"/>
      <c r="X403" s="159">
        <v>354.38</v>
      </c>
      <c r="Y403" s="159">
        <f>Table2[[#This Row],[PREÇO UNITARIO]]*Table2[[#This Row],[QUANTIDADE]]</f>
        <v>354.38</v>
      </c>
      <c r="Z403" s="15"/>
      <c r="AA403" s="28">
        <f>MONTH(Table2[[#This Row],[DATA PEDIDO HP]])</f>
        <v>6</v>
      </c>
      <c r="AB403" s="32" t="s">
        <v>60</v>
      </c>
      <c r="AC403" s="5">
        <f t="shared" ca="1" si="6"/>
        <v>46232</v>
      </c>
      <c r="AD403" s="331">
        <f ca="1">_xlfn.DAYS(Table2[[#This Row],[HOJE]],Table2[[#This Row],[DATA PEDIDO HP]])</f>
        <v>415</v>
      </c>
      <c r="AE403" s="5" t="s">
        <v>43</v>
      </c>
    </row>
    <row r="404" spans="1:31" ht="14.45" hidden="1">
      <c r="A404" s="271" t="s">
        <v>1446</v>
      </c>
      <c r="B404" s="26">
        <v>45817</v>
      </c>
      <c r="C404" s="26">
        <v>45817</v>
      </c>
      <c r="D404" s="14" t="s">
        <v>1447</v>
      </c>
      <c r="E404" s="14" t="s">
        <v>202</v>
      </c>
      <c r="F404" s="14" t="s">
        <v>203</v>
      </c>
      <c r="G404" s="14">
        <v>60002072</v>
      </c>
      <c r="H404" s="14" t="s">
        <v>158</v>
      </c>
      <c r="I404" s="14" t="s">
        <v>159</v>
      </c>
      <c r="J404" s="14">
        <v>1</v>
      </c>
      <c r="K404" s="14" t="s">
        <v>37</v>
      </c>
      <c r="L404" s="14" t="s">
        <v>48</v>
      </c>
      <c r="M404" s="15" t="s">
        <v>58</v>
      </c>
      <c r="N404" s="15" t="s">
        <v>39</v>
      </c>
      <c r="O404" s="15">
        <v>0</v>
      </c>
      <c r="P404" s="15">
        <v>1</v>
      </c>
      <c r="Q404" s="15"/>
      <c r="R404" s="15" t="s">
        <v>222</v>
      </c>
      <c r="S404" s="25">
        <v>45904</v>
      </c>
      <c r="T404" s="25">
        <v>45888</v>
      </c>
      <c r="U404" s="25">
        <v>45898</v>
      </c>
      <c r="V404" s="15" t="s">
        <v>420</v>
      </c>
      <c r="W404" s="15"/>
      <c r="X404" s="159">
        <v>898.2</v>
      </c>
      <c r="Y404" s="159">
        <f>Table2[[#This Row],[PREÇO UNITARIO]]*Table2[[#This Row],[QUANTIDADE]]</f>
        <v>898.2</v>
      </c>
      <c r="Z404" s="15"/>
      <c r="AA404" s="28">
        <f>MONTH(Table2[[#This Row],[DATA PEDIDO HP]])</f>
        <v>6</v>
      </c>
      <c r="AB404" s="32" t="s">
        <v>60</v>
      </c>
      <c r="AC404" s="5">
        <f t="shared" ca="1" si="6"/>
        <v>46232</v>
      </c>
      <c r="AD404" s="331">
        <f ca="1">_xlfn.DAYS(Table2[[#This Row],[HOJE]],Table2[[#This Row],[DATA PEDIDO HP]])</f>
        <v>415</v>
      </c>
      <c r="AE404" s="336" t="s">
        <v>43</v>
      </c>
    </row>
    <row r="405" spans="1:31" ht="14.45" hidden="1">
      <c r="A405" s="271" t="s">
        <v>1448</v>
      </c>
      <c r="B405" s="26">
        <v>45817</v>
      </c>
      <c r="C405" s="26">
        <v>45817</v>
      </c>
      <c r="D405" s="14" t="s">
        <v>1449</v>
      </c>
      <c r="E405" s="14" t="s">
        <v>152</v>
      </c>
      <c r="F405" s="14" t="s">
        <v>64</v>
      </c>
      <c r="G405" s="14">
        <v>48000482</v>
      </c>
      <c r="H405" s="14" t="s">
        <v>570</v>
      </c>
      <c r="I405" s="14" t="s">
        <v>1450</v>
      </c>
      <c r="J405" s="14">
        <v>1</v>
      </c>
      <c r="K405" s="14" t="s">
        <v>37</v>
      </c>
      <c r="L405" s="14" t="s">
        <v>48</v>
      </c>
      <c r="M405" s="15" t="s">
        <v>89</v>
      </c>
      <c r="N405" s="15" t="s">
        <v>58</v>
      </c>
      <c r="O405" s="15">
        <v>1</v>
      </c>
      <c r="P405" s="15"/>
      <c r="Q405" s="15"/>
      <c r="R405" s="15"/>
      <c r="S405" s="25"/>
      <c r="T405" s="25">
        <v>45838</v>
      </c>
      <c r="U405" s="25">
        <v>45859</v>
      </c>
      <c r="V405" s="15" t="s">
        <v>533</v>
      </c>
      <c r="W405" s="15"/>
      <c r="X405" s="159">
        <v>1429.35</v>
      </c>
      <c r="Y405" s="159">
        <f>Table2[[#This Row],[PREÇO UNITARIO]]*Table2[[#This Row],[QUANTIDADE]]</f>
        <v>1429.35</v>
      </c>
      <c r="Z405" s="15"/>
      <c r="AA405" s="28">
        <f>MONTH(Table2[[#This Row],[DATA PEDIDO HP]])</f>
        <v>6</v>
      </c>
      <c r="AB405" s="32" t="s">
        <v>60</v>
      </c>
      <c r="AC405" s="5">
        <f t="shared" ca="1" si="6"/>
        <v>46232</v>
      </c>
      <c r="AD405" s="331">
        <f ca="1">_xlfn.DAYS(Table2[[#This Row],[HOJE]],Table2[[#This Row],[DATA PEDIDO HP]])</f>
        <v>415</v>
      </c>
      <c r="AE405" s="5" t="s">
        <v>43</v>
      </c>
    </row>
    <row r="406" spans="1:31" ht="14.45" hidden="1">
      <c r="A406" s="271" t="s">
        <v>1448</v>
      </c>
      <c r="B406" s="26">
        <v>45817</v>
      </c>
      <c r="C406" s="26">
        <v>45817</v>
      </c>
      <c r="D406" s="14" t="s">
        <v>1449</v>
      </c>
      <c r="E406" s="14" t="s">
        <v>152</v>
      </c>
      <c r="F406" s="14" t="s">
        <v>64</v>
      </c>
      <c r="G406" s="14">
        <v>48000482</v>
      </c>
      <c r="H406" s="14" t="s">
        <v>1451</v>
      </c>
      <c r="I406" s="14" t="s">
        <v>1452</v>
      </c>
      <c r="J406" s="14">
        <v>1</v>
      </c>
      <c r="K406" s="14" t="s">
        <v>37</v>
      </c>
      <c r="L406" s="14" t="s">
        <v>48</v>
      </c>
      <c r="M406" s="15" t="s">
        <v>39</v>
      </c>
      <c r="N406" s="15" t="s">
        <v>58</v>
      </c>
      <c r="O406" s="15">
        <v>1</v>
      </c>
      <c r="P406" s="15"/>
      <c r="Q406" s="15"/>
      <c r="R406" s="15"/>
      <c r="S406" s="25"/>
      <c r="T406" s="25">
        <v>45838</v>
      </c>
      <c r="U406" s="25">
        <v>45859</v>
      </c>
      <c r="V406" s="15" t="s">
        <v>533</v>
      </c>
      <c r="W406" s="15"/>
      <c r="X406" s="159">
        <v>213.86</v>
      </c>
      <c r="Y406" s="159">
        <f>Table2[[#This Row],[PREÇO UNITARIO]]*Table2[[#This Row],[QUANTIDADE]]</f>
        <v>213.86</v>
      </c>
      <c r="Z406" s="15"/>
      <c r="AA406" s="28">
        <f>MONTH(Table2[[#This Row],[DATA PEDIDO HP]])</f>
        <v>6</v>
      </c>
      <c r="AB406" s="32" t="s">
        <v>60</v>
      </c>
      <c r="AC406" s="5">
        <f t="shared" ca="1" si="6"/>
        <v>46232</v>
      </c>
      <c r="AD406" s="331">
        <f ca="1">_xlfn.DAYS(Table2[[#This Row],[HOJE]],Table2[[#This Row],[DATA PEDIDO HP]])</f>
        <v>415</v>
      </c>
      <c r="AE406" s="5" t="s">
        <v>43</v>
      </c>
    </row>
    <row r="407" spans="1:31" ht="14.45" hidden="1">
      <c r="A407" s="271" t="s">
        <v>1453</v>
      </c>
      <c r="B407" s="25">
        <v>45818</v>
      </c>
      <c r="C407" s="26">
        <v>45818</v>
      </c>
      <c r="D407" s="14" t="s">
        <v>1454</v>
      </c>
      <c r="E407" s="14" t="s">
        <v>33</v>
      </c>
      <c r="F407" s="14" t="s">
        <v>34</v>
      </c>
      <c r="G407" s="14">
        <v>50110193</v>
      </c>
      <c r="H407" s="14" t="s">
        <v>1455</v>
      </c>
      <c r="I407" s="14" t="s">
        <v>1456</v>
      </c>
      <c r="J407" s="14">
        <v>1</v>
      </c>
      <c r="K407" s="14" t="s">
        <v>37</v>
      </c>
      <c r="L407" s="14" t="s">
        <v>96</v>
      </c>
      <c r="M407" s="15" t="s">
        <v>89</v>
      </c>
      <c r="N407" s="15" t="s">
        <v>39</v>
      </c>
      <c r="O407" s="15">
        <v>0</v>
      </c>
      <c r="P407" s="15">
        <v>1</v>
      </c>
      <c r="Q407" s="15"/>
      <c r="R407" s="15"/>
      <c r="S407" s="25">
        <v>45861</v>
      </c>
      <c r="T407" s="25">
        <v>45838</v>
      </c>
      <c r="U407" s="25">
        <v>45859</v>
      </c>
      <c r="V407" s="15" t="s">
        <v>533</v>
      </c>
      <c r="W407" s="15"/>
      <c r="X407" s="159">
        <v>120.85</v>
      </c>
      <c r="Y407" s="159">
        <f>Table2[[#This Row],[PREÇO UNITARIO]]*Table2[[#This Row],[QUANTIDADE]]</f>
        <v>120.85</v>
      </c>
      <c r="Z407" s="15"/>
      <c r="AA407" s="28">
        <f>MONTH(Table2[[#This Row],[DATA PEDIDO HP]])</f>
        <v>6</v>
      </c>
      <c r="AB407" s="32" t="s">
        <v>42</v>
      </c>
      <c r="AC407" s="5">
        <f t="shared" ca="1" si="6"/>
        <v>46232</v>
      </c>
      <c r="AD407" s="331">
        <f ca="1">_xlfn.DAYS(Table2[[#This Row],[HOJE]],Table2[[#This Row],[DATA PEDIDO HP]])</f>
        <v>414</v>
      </c>
      <c r="AE407" s="336" t="s">
        <v>43</v>
      </c>
    </row>
    <row r="408" spans="1:31" ht="14.45" hidden="1">
      <c r="A408" s="271" t="s">
        <v>1457</v>
      </c>
      <c r="B408" s="25">
        <v>45818</v>
      </c>
      <c r="C408" s="26">
        <v>45818</v>
      </c>
      <c r="D408" s="14" t="s">
        <v>1458</v>
      </c>
      <c r="E408" s="14" t="s">
        <v>73</v>
      </c>
      <c r="F408" s="14" t="s">
        <v>34</v>
      </c>
      <c r="G408" s="14">
        <v>50110372</v>
      </c>
      <c r="H408" s="14" t="s">
        <v>1459</v>
      </c>
      <c r="I408" s="14" t="s">
        <v>1460</v>
      </c>
      <c r="J408" s="14">
        <v>2</v>
      </c>
      <c r="K408" s="14" t="s">
        <v>37</v>
      </c>
      <c r="L408" s="14" t="s">
        <v>96</v>
      </c>
      <c r="M408" s="15" t="s">
        <v>89</v>
      </c>
      <c r="N408" s="15" t="s">
        <v>89</v>
      </c>
      <c r="O408" s="15">
        <v>0</v>
      </c>
      <c r="P408" s="15">
        <v>2</v>
      </c>
      <c r="Q408" s="15"/>
      <c r="R408" s="15"/>
      <c r="S408" s="25">
        <v>45860</v>
      </c>
      <c r="T408" s="25">
        <v>45838</v>
      </c>
      <c r="U408" s="25">
        <v>45859</v>
      </c>
      <c r="V408" s="15" t="s">
        <v>533</v>
      </c>
      <c r="W408" s="15"/>
      <c r="X408" s="159">
        <v>57.79</v>
      </c>
      <c r="Y408" s="159">
        <f>Table2[[#This Row],[PREÇO UNITARIO]]*Table2[[#This Row],[QUANTIDADE]]</f>
        <v>115.58</v>
      </c>
      <c r="Z408" s="15"/>
      <c r="AA408" s="28">
        <f>MONTH(Table2[[#This Row],[DATA PEDIDO HP]])</f>
        <v>6</v>
      </c>
      <c r="AB408" s="32" t="s">
        <v>42</v>
      </c>
      <c r="AC408" s="5">
        <f t="shared" ca="1" si="6"/>
        <v>46232</v>
      </c>
      <c r="AD408" s="331">
        <f ca="1">_xlfn.DAYS(Table2[[#This Row],[HOJE]],Table2[[#This Row],[DATA PEDIDO HP]])</f>
        <v>414</v>
      </c>
      <c r="AE408" s="336" t="s">
        <v>43</v>
      </c>
    </row>
    <row r="409" spans="1:31" ht="14.45" hidden="1">
      <c r="A409" s="271" t="s">
        <v>1461</v>
      </c>
      <c r="B409" s="25">
        <v>45818</v>
      </c>
      <c r="C409" s="26">
        <v>45818</v>
      </c>
      <c r="D409" s="14" t="s">
        <v>1462</v>
      </c>
      <c r="E409" s="14" t="s">
        <v>73</v>
      </c>
      <c r="F409" s="14" t="s">
        <v>203</v>
      </c>
      <c r="G409" s="14">
        <v>60002095</v>
      </c>
      <c r="H409" s="14" t="s">
        <v>691</v>
      </c>
      <c r="I409" s="14" t="s">
        <v>1463</v>
      </c>
      <c r="J409" s="14">
        <v>1</v>
      </c>
      <c r="K409" s="14" t="s">
        <v>67</v>
      </c>
      <c r="L409" s="14" t="s">
        <v>217</v>
      </c>
      <c r="M409" s="15" t="s">
        <v>89</v>
      </c>
      <c r="N409" s="15" t="s">
        <v>89</v>
      </c>
      <c r="O409" s="15">
        <v>0</v>
      </c>
      <c r="P409" s="15">
        <v>1</v>
      </c>
      <c r="Q409" s="15"/>
      <c r="R409" s="15"/>
      <c r="S409" s="25">
        <v>45855</v>
      </c>
      <c r="T409" s="25">
        <v>45844</v>
      </c>
      <c r="U409" s="25">
        <v>45853</v>
      </c>
      <c r="V409" s="15" t="s">
        <v>1461</v>
      </c>
      <c r="W409" s="15"/>
      <c r="X409" s="159">
        <v>2040.97</v>
      </c>
      <c r="Y409" s="159">
        <f>Table2[[#This Row],[PREÇO UNITARIO]]*Table2[[#This Row],[QUANTIDADE]]</f>
        <v>2040.97</v>
      </c>
      <c r="Z409" s="15"/>
      <c r="AA409" s="28">
        <f>MONTH(Table2[[#This Row],[DATA PEDIDO HP]])</f>
        <v>6</v>
      </c>
      <c r="AB409" s="32" t="s">
        <v>42</v>
      </c>
      <c r="AC409" s="5">
        <f t="shared" ca="1" si="6"/>
        <v>46232</v>
      </c>
      <c r="AD409" s="331">
        <f ca="1">_xlfn.DAYS(Table2[[#This Row],[HOJE]],Table2[[#This Row],[DATA PEDIDO HP]])</f>
        <v>414</v>
      </c>
      <c r="AE409" s="336" t="s">
        <v>43</v>
      </c>
    </row>
    <row r="410" spans="1:31" ht="14.45" hidden="1">
      <c r="A410" s="271" t="s">
        <v>1464</v>
      </c>
      <c r="B410" s="25">
        <v>45818</v>
      </c>
      <c r="C410" s="26">
        <v>45818</v>
      </c>
      <c r="D410" s="14" t="s">
        <v>1465</v>
      </c>
      <c r="E410" s="14" t="s">
        <v>73</v>
      </c>
      <c r="F410" s="14" t="s">
        <v>203</v>
      </c>
      <c r="G410" s="14">
        <v>60002095</v>
      </c>
      <c r="H410" s="14" t="s">
        <v>136</v>
      </c>
      <c r="I410" s="14" t="s">
        <v>137</v>
      </c>
      <c r="J410" s="14">
        <v>1</v>
      </c>
      <c r="K410" s="14" t="s">
        <v>37</v>
      </c>
      <c r="L410" s="14" t="s">
        <v>217</v>
      </c>
      <c r="M410" s="15" t="s">
        <v>89</v>
      </c>
      <c r="N410" s="15" t="s">
        <v>39</v>
      </c>
      <c r="O410" s="15">
        <v>0</v>
      </c>
      <c r="P410" s="15">
        <v>1</v>
      </c>
      <c r="Q410" s="15"/>
      <c r="R410" s="15"/>
      <c r="S410" s="25">
        <v>45860</v>
      </c>
      <c r="T410" s="25">
        <v>45838</v>
      </c>
      <c r="U410" s="25">
        <v>45859</v>
      </c>
      <c r="V410" s="15" t="s">
        <v>533</v>
      </c>
      <c r="W410" s="15"/>
      <c r="X410" s="159">
        <v>19.600000000000001</v>
      </c>
      <c r="Y410" s="159">
        <f>Table2[[#This Row],[PREÇO UNITARIO]]*Table2[[#This Row],[QUANTIDADE]]</f>
        <v>19.600000000000001</v>
      </c>
      <c r="Z410" s="15"/>
      <c r="AA410" s="28">
        <f>MONTH(Table2[[#This Row],[DATA PEDIDO HP]])</f>
        <v>6</v>
      </c>
      <c r="AB410" s="32" t="s">
        <v>42</v>
      </c>
      <c r="AC410" s="5">
        <f t="shared" ca="1" si="6"/>
        <v>46232</v>
      </c>
      <c r="AD410" s="331">
        <f ca="1">_xlfn.DAYS(Table2[[#This Row],[HOJE]],Table2[[#This Row],[DATA PEDIDO HP]])</f>
        <v>414</v>
      </c>
      <c r="AE410" s="336" t="s">
        <v>43</v>
      </c>
    </row>
    <row r="411" spans="1:31" ht="14.45" hidden="1">
      <c r="A411" s="271" t="s">
        <v>1464</v>
      </c>
      <c r="B411" s="25">
        <v>45818</v>
      </c>
      <c r="C411" s="26">
        <v>45818</v>
      </c>
      <c r="D411" s="14" t="s">
        <v>1465</v>
      </c>
      <c r="E411" s="14" t="s">
        <v>73</v>
      </c>
      <c r="F411" s="14" t="s">
        <v>203</v>
      </c>
      <c r="G411" s="14">
        <v>60002095</v>
      </c>
      <c r="H411" s="14" t="s">
        <v>114</v>
      </c>
      <c r="I411" s="14" t="s">
        <v>1466</v>
      </c>
      <c r="J411" s="14">
        <v>1</v>
      </c>
      <c r="K411" s="14" t="s">
        <v>37</v>
      </c>
      <c r="L411" s="14" t="s">
        <v>217</v>
      </c>
      <c r="M411" s="15" t="s">
        <v>89</v>
      </c>
      <c r="N411" s="15" t="s">
        <v>58</v>
      </c>
      <c r="O411" s="15">
        <v>1</v>
      </c>
      <c r="P411" s="15"/>
      <c r="Q411" s="15"/>
      <c r="R411" s="15"/>
      <c r="S411" s="25"/>
      <c r="T411" s="25">
        <v>45838</v>
      </c>
      <c r="U411" s="25">
        <v>45859</v>
      </c>
      <c r="V411" s="15" t="s">
        <v>533</v>
      </c>
      <c r="W411" s="15"/>
      <c r="X411" s="159">
        <v>77.98</v>
      </c>
      <c r="Y411" s="159">
        <f>Table2[[#This Row],[PREÇO UNITARIO]]*Table2[[#This Row],[QUANTIDADE]]</f>
        <v>77.98</v>
      </c>
      <c r="Z411" s="15"/>
      <c r="AA411" s="28">
        <f>MONTH(Table2[[#This Row],[DATA PEDIDO HP]])</f>
        <v>6</v>
      </c>
      <c r="AB411" s="32" t="s">
        <v>42</v>
      </c>
      <c r="AC411" s="5">
        <f t="shared" ca="1" si="6"/>
        <v>46232</v>
      </c>
      <c r="AD411" s="331">
        <f ca="1">_xlfn.DAYS(Table2[[#This Row],[HOJE]],Table2[[#This Row],[DATA PEDIDO HP]])</f>
        <v>414</v>
      </c>
      <c r="AE411" s="5" t="s">
        <v>43</v>
      </c>
    </row>
    <row r="412" spans="1:31" ht="14.45" hidden="1">
      <c r="A412" s="271" t="s">
        <v>1467</v>
      </c>
      <c r="B412" s="25">
        <v>45819</v>
      </c>
      <c r="C412" s="26">
        <v>45819</v>
      </c>
      <c r="D412" s="14" t="s">
        <v>1468</v>
      </c>
      <c r="E412" s="14" t="s">
        <v>73</v>
      </c>
      <c r="F412" s="14" t="s">
        <v>34</v>
      </c>
      <c r="G412" s="14">
        <v>50110372</v>
      </c>
      <c r="H412" s="14" t="s">
        <v>1469</v>
      </c>
      <c r="I412" s="14" t="s">
        <v>1470</v>
      </c>
      <c r="J412" s="14">
        <v>1</v>
      </c>
      <c r="K412" s="14" t="s">
        <v>67</v>
      </c>
      <c r="L412" s="14" t="s">
        <v>68</v>
      </c>
      <c r="M412" s="15" t="s">
        <v>58</v>
      </c>
      <c r="N412" s="15" t="s">
        <v>58</v>
      </c>
      <c r="O412" s="15">
        <v>0</v>
      </c>
      <c r="P412" s="15">
        <v>1</v>
      </c>
      <c r="Q412" s="15"/>
      <c r="R412" s="15"/>
      <c r="S412" s="25">
        <v>45794</v>
      </c>
      <c r="T412" s="25">
        <v>45838</v>
      </c>
      <c r="U412" s="25">
        <v>45859</v>
      </c>
      <c r="V412" s="15" t="s">
        <v>533</v>
      </c>
      <c r="W412" s="15"/>
      <c r="X412" s="159">
        <v>80.02</v>
      </c>
      <c r="Y412" s="159">
        <f>Table2[[#This Row],[PREÇO UNITARIO]]*Table2[[#This Row],[QUANTIDADE]]</f>
        <v>80.02</v>
      </c>
      <c r="Z412" s="15"/>
      <c r="AA412" s="28">
        <f>MONTH(Table2[[#This Row],[DATA PEDIDO HP]])</f>
        <v>6</v>
      </c>
      <c r="AB412" s="32" t="s">
        <v>42</v>
      </c>
      <c r="AC412" s="5">
        <f t="shared" ca="1" si="6"/>
        <v>46232</v>
      </c>
      <c r="AD412" s="331">
        <f ca="1">_xlfn.DAYS(Table2[[#This Row],[HOJE]],Table2[[#This Row],[DATA PEDIDO HP]])</f>
        <v>413</v>
      </c>
      <c r="AE412" s="336" t="s">
        <v>43</v>
      </c>
    </row>
    <row r="413" spans="1:31" ht="14.45" hidden="1">
      <c r="A413" s="271" t="s">
        <v>1471</v>
      </c>
      <c r="B413" s="25">
        <v>45819</v>
      </c>
      <c r="C413" s="26">
        <v>45819</v>
      </c>
      <c r="D413" s="14" t="s">
        <v>1472</v>
      </c>
      <c r="E413" s="14" t="s">
        <v>73</v>
      </c>
      <c r="F413" s="14" t="s">
        <v>34</v>
      </c>
      <c r="G413" s="14">
        <v>50110372</v>
      </c>
      <c r="H413" s="14" t="s">
        <v>1473</v>
      </c>
      <c r="I413" s="14" t="s">
        <v>1474</v>
      </c>
      <c r="J413" s="14">
        <v>1</v>
      </c>
      <c r="K413" s="14" t="s">
        <v>67</v>
      </c>
      <c r="L413" s="14" t="s">
        <v>68</v>
      </c>
      <c r="M413" s="15" t="s">
        <v>58</v>
      </c>
      <c r="N413" s="15" t="s">
        <v>89</v>
      </c>
      <c r="O413" s="15">
        <v>0</v>
      </c>
      <c r="P413" s="15">
        <v>1</v>
      </c>
      <c r="Q413" s="15"/>
      <c r="R413" s="15" t="s">
        <v>1475</v>
      </c>
      <c r="S413" s="25">
        <v>45860</v>
      </c>
      <c r="T413" s="25">
        <v>45838</v>
      </c>
      <c r="U413" s="25">
        <v>45859</v>
      </c>
      <c r="V413" s="15" t="s">
        <v>533</v>
      </c>
      <c r="W413" s="15"/>
      <c r="X413" s="159">
        <v>121.39</v>
      </c>
      <c r="Y413" s="159">
        <f>Table2[[#This Row],[PREÇO UNITARIO]]*Table2[[#This Row],[QUANTIDADE]]</f>
        <v>121.39</v>
      </c>
      <c r="Z413" s="15"/>
      <c r="AA413" s="28">
        <f>MONTH(Table2[[#This Row],[DATA PEDIDO HP]])</f>
        <v>6</v>
      </c>
      <c r="AB413" s="32" t="s">
        <v>42</v>
      </c>
      <c r="AC413" s="5">
        <f t="shared" ca="1" si="6"/>
        <v>46232</v>
      </c>
      <c r="AD413" s="331">
        <f ca="1">_xlfn.DAYS(Table2[[#This Row],[HOJE]],Table2[[#This Row],[DATA PEDIDO HP]])</f>
        <v>413</v>
      </c>
      <c r="AE413" s="336" t="s">
        <v>43</v>
      </c>
    </row>
    <row r="414" spans="1:31" ht="14.45" hidden="1">
      <c r="A414" s="271" t="s">
        <v>1476</v>
      </c>
      <c r="B414" s="25">
        <v>45819</v>
      </c>
      <c r="C414" s="26">
        <v>45819</v>
      </c>
      <c r="D414" s="14" t="s">
        <v>1477</v>
      </c>
      <c r="E414" s="14" t="s">
        <v>73</v>
      </c>
      <c r="F414" s="14" t="s">
        <v>203</v>
      </c>
      <c r="G414" s="14">
        <v>60002095</v>
      </c>
      <c r="H414" s="14" t="s">
        <v>1478</v>
      </c>
      <c r="I414" s="14" t="s">
        <v>1479</v>
      </c>
      <c r="J414" s="14">
        <v>2</v>
      </c>
      <c r="K414" s="14" t="s">
        <v>67</v>
      </c>
      <c r="L414" s="14" t="s">
        <v>68</v>
      </c>
      <c r="M414" s="15" t="s">
        <v>58</v>
      </c>
      <c r="N414" s="15" t="s">
        <v>58</v>
      </c>
      <c r="O414" s="15">
        <v>0</v>
      </c>
      <c r="P414" s="15">
        <v>2</v>
      </c>
      <c r="Q414" s="15"/>
      <c r="R414" s="15" t="s">
        <v>1480</v>
      </c>
      <c r="S414" s="25">
        <v>45890</v>
      </c>
      <c r="T414" s="25">
        <v>45888</v>
      </c>
      <c r="U414" s="25">
        <v>45898</v>
      </c>
      <c r="V414" s="15" t="s">
        <v>420</v>
      </c>
      <c r="W414" s="15"/>
      <c r="X414" s="159">
        <v>530.75</v>
      </c>
      <c r="Y414" s="159">
        <f>Table2[[#This Row],[PREÇO UNITARIO]]*Table2[[#This Row],[QUANTIDADE]]</f>
        <v>1061.5</v>
      </c>
      <c r="Z414" s="15"/>
      <c r="AA414" s="28">
        <f>MONTH(Table2[[#This Row],[DATA PEDIDO HP]])</f>
        <v>6</v>
      </c>
      <c r="AB414" s="32" t="s">
        <v>42</v>
      </c>
      <c r="AC414" s="5">
        <f t="shared" ca="1" si="6"/>
        <v>46232</v>
      </c>
      <c r="AD414" s="331">
        <f ca="1">_xlfn.DAYS(Table2[[#This Row],[HOJE]],Table2[[#This Row],[DATA PEDIDO HP]])</f>
        <v>413</v>
      </c>
      <c r="AE414" s="336" t="s">
        <v>43</v>
      </c>
    </row>
    <row r="415" spans="1:31" ht="14.45" hidden="1">
      <c r="A415" s="271" t="s">
        <v>1481</v>
      </c>
      <c r="B415" s="25">
        <v>45819</v>
      </c>
      <c r="C415" s="26">
        <v>45819</v>
      </c>
      <c r="D415" s="14" t="s">
        <v>1482</v>
      </c>
      <c r="E415" s="14" t="s">
        <v>445</v>
      </c>
      <c r="F415" s="14" t="s">
        <v>403</v>
      </c>
      <c r="G415" s="14">
        <v>50300097</v>
      </c>
      <c r="H415" s="14" t="s">
        <v>1058</v>
      </c>
      <c r="I415" s="14" t="s">
        <v>1483</v>
      </c>
      <c r="J415" s="14">
        <v>1</v>
      </c>
      <c r="K415" s="14" t="s">
        <v>37</v>
      </c>
      <c r="L415" s="14" t="s">
        <v>68</v>
      </c>
      <c r="M415" s="15" t="s">
        <v>58</v>
      </c>
      <c r="N415" s="15" t="s">
        <v>58</v>
      </c>
      <c r="O415" s="15">
        <v>1</v>
      </c>
      <c r="P415" s="15"/>
      <c r="Q415" s="15"/>
      <c r="R415" s="15"/>
      <c r="S415" s="25"/>
      <c r="T415" s="25">
        <v>45838</v>
      </c>
      <c r="U415" s="25">
        <v>45859</v>
      </c>
      <c r="V415" s="15" t="s">
        <v>533</v>
      </c>
      <c r="W415" s="15"/>
      <c r="X415" s="159">
        <v>131.79</v>
      </c>
      <c r="Y415" s="159">
        <f>Table2[[#This Row],[PREÇO UNITARIO]]*Table2[[#This Row],[QUANTIDADE]]</f>
        <v>131.79</v>
      </c>
      <c r="Z415" s="15"/>
      <c r="AA415" s="28">
        <f>MONTH(Table2[[#This Row],[DATA PEDIDO HP]])</f>
        <v>6</v>
      </c>
      <c r="AB415" s="32" t="s">
        <v>60</v>
      </c>
      <c r="AC415" s="5">
        <f t="shared" ca="1" si="6"/>
        <v>46232</v>
      </c>
      <c r="AD415" s="331">
        <f ca="1">_xlfn.DAYS(Table2[[#This Row],[HOJE]],Table2[[#This Row],[DATA PEDIDO HP]])</f>
        <v>413</v>
      </c>
      <c r="AE415" s="5" t="s">
        <v>43</v>
      </c>
    </row>
    <row r="416" spans="1:31" ht="14.45" hidden="1">
      <c r="A416" s="271" t="s">
        <v>1484</v>
      </c>
      <c r="B416" s="25">
        <v>45819</v>
      </c>
      <c r="C416" s="26">
        <v>45819</v>
      </c>
      <c r="D416" s="14" t="s">
        <v>1485</v>
      </c>
      <c r="E416" s="14" t="s">
        <v>445</v>
      </c>
      <c r="F416" s="14" t="s">
        <v>403</v>
      </c>
      <c r="G416" s="14">
        <v>50300097</v>
      </c>
      <c r="H416" s="14" t="s">
        <v>1486</v>
      </c>
      <c r="I416" s="14" t="s">
        <v>1487</v>
      </c>
      <c r="J416" s="14">
        <v>1</v>
      </c>
      <c r="K416" s="14" t="s">
        <v>67</v>
      </c>
      <c r="L416" s="14" t="s">
        <v>68</v>
      </c>
      <c r="M416" s="15" t="s">
        <v>58</v>
      </c>
      <c r="N416" s="15" t="s">
        <v>89</v>
      </c>
      <c r="O416" s="15">
        <v>0</v>
      </c>
      <c r="P416" s="15">
        <v>1</v>
      </c>
      <c r="Q416" s="15"/>
      <c r="R416" s="15" t="s">
        <v>1016</v>
      </c>
      <c r="S416" s="25">
        <v>45861</v>
      </c>
      <c r="T416" s="25">
        <v>45838</v>
      </c>
      <c r="U416" s="25">
        <v>45859</v>
      </c>
      <c r="V416" s="15" t="s">
        <v>533</v>
      </c>
      <c r="W416" s="15"/>
      <c r="X416" s="159">
        <v>194.66</v>
      </c>
      <c r="Y416" s="159">
        <f>Table2[[#This Row],[PREÇO UNITARIO]]*Table2[[#This Row],[QUANTIDADE]]</f>
        <v>194.66</v>
      </c>
      <c r="Z416" s="15"/>
      <c r="AA416" s="28">
        <f>MONTH(Table2[[#This Row],[DATA PEDIDO HP]])</f>
        <v>6</v>
      </c>
      <c r="AB416" s="32" t="s">
        <v>60</v>
      </c>
      <c r="AC416" s="5">
        <f t="shared" ca="1" si="6"/>
        <v>46232</v>
      </c>
      <c r="AD416" s="331">
        <f ca="1">_xlfn.DAYS(Table2[[#This Row],[HOJE]],Table2[[#This Row],[DATA PEDIDO HP]])</f>
        <v>413</v>
      </c>
      <c r="AE416" s="336" t="s">
        <v>43</v>
      </c>
    </row>
    <row r="417" spans="1:31" ht="14.45" hidden="1">
      <c r="A417" s="271" t="s">
        <v>1488</v>
      </c>
      <c r="B417" s="25">
        <v>45820</v>
      </c>
      <c r="C417" s="26">
        <v>45820</v>
      </c>
      <c r="D417" s="14" t="s">
        <v>1489</v>
      </c>
      <c r="E417" s="14" t="s">
        <v>109</v>
      </c>
      <c r="F417" s="14" t="s">
        <v>34</v>
      </c>
      <c r="G417" s="14">
        <v>60002095</v>
      </c>
      <c r="H417" s="14" t="s">
        <v>80</v>
      </c>
      <c r="I417" s="14" t="s">
        <v>1490</v>
      </c>
      <c r="J417" s="14">
        <v>1</v>
      </c>
      <c r="K417" s="14" t="s">
        <v>37</v>
      </c>
      <c r="L417" s="14" t="s">
        <v>217</v>
      </c>
      <c r="M417" s="15" t="s">
        <v>89</v>
      </c>
      <c r="N417" s="15" t="s">
        <v>58</v>
      </c>
      <c r="O417" s="15">
        <v>1</v>
      </c>
      <c r="P417" s="15"/>
      <c r="Q417" s="15"/>
      <c r="R417" s="15"/>
      <c r="S417" s="25"/>
      <c r="T417" s="25">
        <v>45838</v>
      </c>
      <c r="U417" s="25">
        <v>45859</v>
      </c>
      <c r="V417" s="15" t="s">
        <v>533</v>
      </c>
      <c r="W417" s="15"/>
      <c r="X417" s="159">
        <v>49.81</v>
      </c>
      <c r="Y417" s="159">
        <f>Table2[[#This Row],[PREÇO UNITARIO]]*Table2[[#This Row],[QUANTIDADE]]</f>
        <v>49.81</v>
      </c>
      <c r="Z417" s="15"/>
      <c r="AA417" s="28">
        <f>MONTH(Table2[[#This Row],[DATA PEDIDO HP]])</f>
        <v>6</v>
      </c>
      <c r="AB417" s="32" t="s">
        <v>42</v>
      </c>
      <c r="AC417" s="5">
        <f t="shared" ca="1" si="6"/>
        <v>46232</v>
      </c>
      <c r="AD417" s="331">
        <f ca="1">_xlfn.DAYS(Table2[[#This Row],[HOJE]],Table2[[#This Row],[DATA PEDIDO HP]])</f>
        <v>412</v>
      </c>
      <c r="AE417" s="5" t="s">
        <v>43</v>
      </c>
    </row>
    <row r="418" spans="1:31" ht="14.45" hidden="1">
      <c r="A418" s="271" t="s">
        <v>1488</v>
      </c>
      <c r="B418" s="25">
        <v>45820</v>
      </c>
      <c r="C418" s="26">
        <v>45820</v>
      </c>
      <c r="D418" s="14" t="s">
        <v>1489</v>
      </c>
      <c r="E418" s="14" t="s">
        <v>109</v>
      </c>
      <c r="F418" s="14" t="s">
        <v>34</v>
      </c>
      <c r="G418" s="14">
        <v>60002095</v>
      </c>
      <c r="H418" s="14" t="s">
        <v>136</v>
      </c>
      <c r="I418" s="14" t="s">
        <v>137</v>
      </c>
      <c r="J418" s="14">
        <v>1</v>
      </c>
      <c r="K418" s="14" t="s">
        <v>37</v>
      </c>
      <c r="L418" s="14" t="s">
        <v>217</v>
      </c>
      <c r="M418" s="15" t="s">
        <v>89</v>
      </c>
      <c r="N418" s="15" t="s">
        <v>58</v>
      </c>
      <c r="O418" s="15">
        <v>1</v>
      </c>
      <c r="P418" s="15"/>
      <c r="Q418" s="15"/>
      <c r="R418" s="15"/>
      <c r="S418" s="25"/>
      <c r="T418" s="25">
        <v>45838</v>
      </c>
      <c r="U418" s="25">
        <v>45859</v>
      </c>
      <c r="V418" s="15" t="s">
        <v>533</v>
      </c>
      <c r="W418" s="15"/>
      <c r="X418" s="159">
        <v>19.600000000000001</v>
      </c>
      <c r="Y418" s="159">
        <f>Table2[[#This Row],[PREÇO UNITARIO]]*Table2[[#This Row],[QUANTIDADE]]</f>
        <v>19.600000000000001</v>
      </c>
      <c r="Z418" s="15"/>
      <c r="AA418" s="28">
        <f>MONTH(Table2[[#This Row],[DATA PEDIDO HP]])</f>
        <v>6</v>
      </c>
      <c r="AB418" s="32" t="s">
        <v>42</v>
      </c>
      <c r="AC418" s="5">
        <f t="shared" ca="1" si="6"/>
        <v>46232</v>
      </c>
      <c r="AD418" s="331">
        <f ca="1">_xlfn.DAYS(Table2[[#This Row],[HOJE]],Table2[[#This Row],[DATA PEDIDO HP]])</f>
        <v>412</v>
      </c>
      <c r="AE418" s="5" t="s">
        <v>43</v>
      </c>
    </row>
    <row r="419" spans="1:31" ht="14.45" hidden="1">
      <c r="A419" s="271" t="s">
        <v>1488</v>
      </c>
      <c r="B419" s="25">
        <v>45820</v>
      </c>
      <c r="C419" s="26">
        <v>45820</v>
      </c>
      <c r="D419" s="14" t="s">
        <v>1489</v>
      </c>
      <c r="E419" s="14" t="s">
        <v>109</v>
      </c>
      <c r="F419" s="14" t="s">
        <v>34</v>
      </c>
      <c r="G419" s="14">
        <v>60002095</v>
      </c>
      <c r="H419" s="14" t="s">
        <v>1491</v>
      </c>
      <c r="I419" s="14" t="s">
        <v>1492</v>
      </c>
      <c r="J419" s="14">
        <v>2</v>
      </c>
      <c r="K419" s="14" t="s">
        <v>37</v>
      </c>
      <c r="L419" s="14" t="s">
        <v>217</v>
      </c>
      <c r="M419" s="15" t="s">
        <v>89</v>
      </c>
      <c r="N419" s="15" t="s">
        <v>58</v>
      </c>
      <c r="O419" s="15">
        <v>2</v>
      </c>
      <c r="P419" s="15"/>
      <c r="Q419" s="15"/>
      <c r="R419" s="15"/>
      <c r="S419" s="25"/>
      <c r="T419" s="25">
        <v>45838</v>
      </c>
      <c r="U419" s="25">
        <v>45859</v>
      </c>
      <c r="V419" s="15" t="s">
        <v>533</v>
      </c>
      <c r="W419" s="15"/>
      <c r="X419" s="159">
        <v>2.87</v>
      </c>
      <c r="Y419" s="159">
        <f>Table2[[#This Row],[PREÇO UNITARIO]]*Table2[[#This Row],[QUANTIDADE]]</f>
        <v>5.74</v>
      </c>
      <c r="Z419" s="15"/>
      <c r="AA419" s="28">
        <f>MONTH(Table2[[#This Row],[DATA PEDIDO HP]])</f>
        <v>6</v>
      </c>
      <c r="AB419" s="32" t="s">
        <v>42</v>
      </c>
      <c r="AC419" s="5">
        <f t="shared" ca="1" si="6"/>
        <v>46232</v>
      </c>
      <c r="AD419" s="331">
        <f ca="1">_xlfn.DAYS(Table2[[#This Row],[HOJE]],Table2[[#This Row],[DATA PEDIDO HP]])</f>
        <v>412</v>
      </c>
      <c r="AE419" s="5" t="s">
        <v>43</v>
      </c>
    </row>
    <row r="420" spans="1:31" ht="14.45" hidden="1">
      <c r="A420" s="271" t="s">
        <v>1493</v>
      </c>
      <c r="B420" s="25">
        <v>45820</v>
      </c>
      <c r="C420" s="26">
        <v>45820</v>
      </c>
      <c r="D420" s="14" t="s">
        <v>1494</v>
      </c>
      <c r="E420" s="14" t="s">
        <v>202</v>
      </c>
      <c r="F420" s="14" t="s">
        <v>203</v>
      </c>
      <c r="G420" s="14">
        <v>60002072</v>
      </c>
      <c r="H420" s="14" t="s">
        <v>1495</v>
      </c>
      <c r="I420" s="14" t="s">
        <v>1496</v>
      </c>
      <c r="J420" s="14">
        <v>1</v>
      </c>
      <c r="K420" s="14" t="s">
        <v>37</v>
      </c>
      <c r="L420" s="14" t="s">
        <v>217</v>
      </c>
      <c r="M420" s="15" t="s">
        <v>58</v>
      </c>
      <c r="N420" s="15" t="s">
        <v>39</v>
      </c>
      <c r="O420" s="15">
        <v>0</v>
      </c>
      <c r="P420" s="15">
        <v>1</v>
      </c>
      <c r="Q420" s="15"/>
      <c r="R420" s="15"/>
      <c r="S420" s="25"/>
      <c r="T420" s="25">
        <v>45838</v>
      </c>
      <c r="U420" s="25">
        <v>45859</v>
      </c>
      <c r="V420" s="15" t="s">
        <v>533</v>
      </c>
      <c r="W420" s="15"/>
      <c r="X420" s="159">
        <v>30.32</v>
      </c>
      <c r="Y420" s="159">
        <f>Table2[[#This Row],[PREÇO UNITARIO]]*Table2[[#This Row],[QUANTIDADE]]</f>
        <v>30.32</v>
      </c>
      <c r="Z420" s="15"/>
      <c r="AA420" s="28">
        <f>MONTH(Table2[[#This Row],[DATA PEDIDO HP]])</f>
        <v>6</v>
      </c>
      <c r="AB420" s="32" t="s">
        <v>60</v>
      </c>
      <c r="AC420" s="5">
        <f t="shared" ca="1" si="6"/>
        <v>46232</v>
      </c>
      <c r="AD420" s="331">
        <f ca="1">_xlfn.DAYS(Table2[[#This Row],[HOJE]],Table2[[#This Row],[DATA PEDIDO HP]])</f>
        <v>412</v>
      </c>
      <c r="AE420" s="5" t="s">
        <v>43</v>
      </c>
    </row>
    <row r="421" spans="1:31" ht="14.45" hidden="1">
      <c r="A421" s="271" t="s">
        <v>1497</v>
      </c>
      <c r="B421" s="26">
        <v>45820</v>
      </c>
      <c r="C421" s="26">
        <v>45820</v>
      </c>
      <c r="D421" s="14" t="s">
        <v>1498</v>
      </c>
      <c r="E421" s="14" t="s">
        <v>181</v>
      </c>
      <c r="F421" s="14" t="s">
        <v>34</v>
      </c>
      <c r="G421" s="14">
        <v>50110057</v>
      </c>
      <c r="H421" s="14" t="s">
        <v>1499</v>
      </c>
      <c r="I421" s="14" t="s">
        <v>1500</v>
      </c>
      <c r="J421" s="14">
        <v>1</v>
      </c>
      <c r="K421" s="14" t="s">
        <v>37</v>
      </c>
      <c r="L421" s="14" t="s">
        <v>96</v>
      </c>
      <c r="M421" s="15" t="s">
        <v>39</v>
      </c>
      <c r="N421" s="15" t="s">
        <v>58</v>
      </c>
      <c r="O421" s="15">
        <v>1</v>
      </c>
      <c r="P421" s="15"/>
      <c r="Q421" s="15"/>
      <c r="R421" s="15"/>
      <c r="S421" s="25"/>
      <c r="T421" s="25">
        <v>45838</v>
      </c>
      <c r="U421" s="25">
        <v>45859</v>
      </c>
      <c r="V421" s="15" t="s">
        <v>533</v>
      </c>
      <c r="W421" s="15"/>
      <c r="X421" s="159">
        <v>727.43</v>
      </c>
      <c r="Y421" s="159">
        <f>Table2[[#This Row],[PREÇO UNITARIO]]*Table2[[#This Row],[QUANTIDADE]]</f>
        <v>727.43</v>
      </c>
      <c r="Z421" s="15"/>
      <c r="AA421" s="28">
        <f>MONTH(Table2[[#This Row],[DATA PEDIDO HP]])</f>
        <v>6</v>
      </c>
      <c r="AB421" s="32" t="s">
        <v>42</v>
      </c>
      <c r="AC421" s="5">
        <f t="shared" ca="1" si="6"/>
        <v>46232</v>
      </c>
      <c r="AD421" s="331">
        <f ca="1">_xlfn.DAYS(Table2[[#This Row],[HOJE]],Table2[[#This Row],[DATA PEDIDO HP]])</f>
        <v>412</v>
      </c>
      <c r="AE421" s="5" t="s">
        <v>43</v>
      </c>
    </row>
    <row r="422" spans="1:31" ht="14.45" hidden="1">
      <c r="A422" s="271" t="s">
        <v>1501</v>
      </c>
      <c r="B422" s="26">
        <v>45820</v>
      </c>
      <c r="C422" s="26">
        <v>45820</v>
      </c>
      <c r="D422" s="14" t="s">
        <v>1502</v>
      </c>
      <c r="E422" s="14" t="s">
        <v>79</v>
      </c>
      <c r="F422" s="14" t="s">
        <v>74</v>
      </c>
      <c r="G422" s="14">
        <v>50000530</v>
      </c>
      <c r="H422" s="14" t="s">
        <v>1503</v>
      </c>
      <c r="I422" s="14" t="s">
        <v>1504</v>
      </c>
      <c r="J422" s="14">
        <v>1</v>
      </c>
      <c r="K422" s="14" t="s">
        <v>37</v>
      </c>
      <c r="L422" s="14" t="s">
        <v>96</v>
      </c>
      <c r="M422" s="15" t="s">
        <v>58</v>
      </c>
      <c r="N422" s="15" t="s">
        <v>58</v>
      </c>
      <c r="O422" s="15">
        <v>1</v>
      </c>
      <c r="P422" s="15"/>
      <c r="Q422" s="15"/>
      <c r="R422" s="15"/>
      <c r="S422" s="25"/>
      <c r="T422" s="25">
        <v>45838</v>
      </c>
      <c r="U422" s="25">
        <v>45859</v>
      </c>
      <c r="V422" s="15" t="s">
        <v>533</v>
      </c>
      <c r="W422" s="15"/>
      <c r="X422" s="159">
        <v>706.15</v>
      </c>
      <c r="Y422" s="159">
        <f>Table2[[#This Row],[PREÇO UNITARIO]]*Table2[[#This Row],[QUANTIDADE]]</f>
        <v>706.15</v>
      </c>
      <c r="Z422" s="15"/>
      <c r="AA422" s="28">
        <f>MONTH(Table2[[#This Row],[DATA PEDIDO HP]])</f>
        <v>6</v>
      </c>
      <c r="AB422" s="32" t="s">
        <v>60</v>
      </c>
      <c r="AC422" s="5">
        <f t="shared" ca="1" si="6"/>
        <v>46232</v>
      </c>
      <c r="AD422" s="331">
        <f ca="1">_xlfn.DAYS(Table2[[#This Row],[HOJE]],Table2[[#This Row],[DATA PEDIDO HP]])</f>
        <v>412</v>
      </c>
      <c r="AE422" s="5" t="s">
        <v>43</v>
      </c>
    </row>
    <row r="423" spans="1:31" ht="14.45" hidden="1">
      <c r="A423" s="271" t="s">
        <v>1505</v>
      </c>
      <c r="B423" s="26">
        <v>45821</v>
      </c>
      <c r="C423" s="26">
        <v>45821</v>
      </c>
      <c r="D423" s="14" t="s">
        <v>1506</v>
      </c>
      <c r="E423" s="14" t="s">
        <v>79</v>
      </c>
      <c r="F423" s="14" t="s">
        <v>74</v>
      </c>
      <c r="G423" s="14">
        <v>50000530</v>
      </c>
      <c r="H423" s="14" t="s">
        <v>1507</v>
      </c>
      <c r="I423" s="14" t="s">
        <v>1508</v>
      </c>
      <c r="J423" s="14">
        <v>3</v>
      </c>
      <c r="K423" s="14" t="s">
        <v>37</v>
      </c>
      <c r="L423" s="14" t="s">
        <v>459</v>
      </c>
      <c r="M423" s="15" t="s">
        <v>58</v>
      </c>
      <c r="N423" s="15" t="s">
        <v>89</v>
      </c>
      <c r="O423" s="15">
        <v>0</v>
      </c>
      <c r="P423" s="15">
        <v>3</v>
      </c>
      <c r="Q423" s="15"/>
      <c r="R423" s="15"/>
      <c r="S423" s="25">
        <v>45861</v>
      </c>
      <c r="T423" s="25">
        <v>45838</v>
      </c>
      <c r="U423" s="25">
        <v>45859</v>
      </c>
      <c r="V423" s="15" t="s">
        <v>533</v>
      </c>
      <c r="W423" s="15"/>
      <c r="X423" s="159">
        <v>33.950000000000003</v>
      </c>
      <c r="Y423" s="159">
        <f>Table2[[#This Row],[PREÇO UNITARIO]]*Table2[[#This Row],[QUANTIDADE]]</f>
        <v>101.85000000000001</v>
      </c>
      <c r="Z423" s="15"/>
      <c r="AA423" s="28">
        <f>MONTH(Table2[[#This Row],[DATA PEDIDO HP]])</f>
        <v>6</v>
      </c>
      <c r="AB423" s="32" t="s">
        <v>60</v>
      </c>
      <c r="AC423" s="5">
        <f t="shared" ca="1" si="6"/>
        <v>46232</v>
      </c>
      <c r="AD423" s="331">
        <f ca="1">_xlfn.DAYS(Table2[[#This Row],[HOJE]],Table2[[#This Row],[DATA PEDIDO HP]])</f>
        <v>411</v>
      </c>
      <c r="AE423" s="336" t="s">
        <v>43</v>
      </c>
    </row>
    <row r="424" spans="1:31" ht="14.45" hidden="1">
      <c r="A424" s="271" t="s">
        <v>1505</v>
      </c>
      <c r="B424" s="26">
        <v>45821</v>
      </c>
      <c r="C424" s="26">
        <v>45821</v>
      </c>
      <c r="D424" s="14" t="s">
        <v>1506</v>
      </c>
      <c r="E424" s="14" t="s">
        <v>79</v>
      </c>
      <c r="F424" s="14" t="s">
        <v>74</v>
      </c>
      <c r="G424" s="14">
        <v>50000530</v>
      </c>
      <c r="H424" s="14" t="s">
        <v>354</v>
      </c>
      <c r="I424" s="14" t="s">
        <v>1509</v>
      </c>
      <c r="J424" s="14">
        <v>1</v>
      </c>
      <c r="K424" s="14" t="s">
        <v>37</v>
      </c>
      <c r="L424" s="14" t="s">
        <v>459</v>
      </c>
      <c r="M424" s="15" t="s">
        <v>39</v>
      </c>
      <c r="N424" s="15" t="s">
        <v>89</v>
      </c>
      <c r="O424" s="15">
        <v>0</v>
      </c>
      <c r="P424" s="15"/>
      <c r="Q424" s="15"/>
      <c r="R424" s="15"/>
      <c r="S424" s="25">
        <v>45903</v>
      </c>
      <c r="T424" s="25">
        <v>45888</v>
      </c>
      <c r="U424" s="25">
        <v>45898</v>
      </c>
      <c r="V424" s="15" t="s">
        <v>420</v>
      </c>
      <c r="W424" s="15"/>
      <c r="X424" s="159">
        <v>274.36</v>
      </c>
      <c r="Y424" s="159">
        <f>Table2[[#This Row],[PREÇO UNITARIO]]*Table2[[#This Row],[QUANTIDADE]]</f>
        <v>274.36</v>
      </c>
      <c r="Z424" s="15"/>
      <c r="AA424" s="28">
        <f>MONTH(Table2[[#This Row],[DATA PEDIDO HP]])</f>
        <v>6</v>
      </c>
      <c r="AB424" s="32" t="s">
        <v>60</v>
      </c>
      <c r="AC424" s="5">
        <f t="shared" ca="1" si="6"/>
        <v>46232</v>
      </c>
      <c r="AD424" s="331">
        <f ca="1">_xlfn.DAYS(Table2[[#This Row],[HOJE]],Table2[[#This Row],[DATA PEDIDO HP]])</f>
        <v>411</v>
      </c>
      <c r="AE424" s="336" t="s">
        <v>43</v>
      </c>
    </row>
    <row r="425" spans="1:31" ht="14.45" hidden="1">
      <c r="A425" s="271" t="s">
        <v>1505</v>
      </c>
      <c r="B425" s="26">
        <v>45821</v>
      </c>
      <c r="C425" s="26">
        <v>45821</v>
      </c>
      <c r="D425" s="14" t="s">
        <v>1506</v>
      </c>
      <c r="E425" s="14" t="s">
        <v>79</v>
      </c>
      <c r="F425" s="14" t="s">
        <v>74</v>
      </c>
      <c r="G425" s="14">
        <v>50000530</v>
      </c>
      <c r="H425" s="14" t="s">
        <v>1510</v>
      </c>
      <c r="I425" s="14" t="s">
        <v>611</v>
      </c>
      <c r="J425" s="14">
        <v>1</v>
      </c>
      <c r="K425" s="14" t="s">
        <v>37</v>
      </c>
      <c r="L425" s="14" t="s">
        <v>459</v>
      </c>
      <c r="M425" s="15" t="s">
        <v>58</v>
      </c>
      <c r="N425" s="15" t="s">
        <v>89</v>
      </c>
      <c r="O425" s="15">
        <v>0</v>
      </c>
      <c r="P425" s="15">
        <v>1</v>
      </c>
      <c r="Q425" s="15"/>
      <c r="R425" s="15"/>
      <c r="S425" s="25">
        <v>45861</v>
      </c>
      <c r="T425" s="25">
        <v>45838</v>
      </c>
      <c r="U425" s="25">
        <v>45859</v>
      </c>
      <c r="V425" s="15" t="s">
        <v>533</v>
      </c>
      <c r="W425" s="15"/>
      <c r="X425" s="159">
        <v>140.44999999999999</v>
      </c>
      <c r="Y425" s="159">
        <f>Table2[[#This Row],[PREÇO UNITARIO]]*Table2[[#This Row],[QUANTIDADE]]</f>
        <v>140.44999999999999</v>
      </c>
      <c r="Z425" s="15"/>
      <c r="AA425" s="28">
        <f>MONTH(Table2[[#This Row],[DATA PEDIDO HP]])</f>
        <v>6</v>
      </c>
      <c r="AB425" s="32" t="s">
        <v>60</v>
      </c>
      <c r="AC425" s="5">
        <f t="shared" ca="1" si="6"/>
        <v>46232</v>
      </c>
      <c r="AD425" s="331">
        <f ca="1">_xlfn.DAYS(Table2[[#This Row],[HOJE]],Table2[[#This Row],[DATA PEDIDO HP]])</f>
        <v>411</v>
      </c>
      <c r="AE425" s="336" t="s">
        <v>43</v>
      </c>
    </row>
    <row r="426" spans="1:31" ht="14.45" hidden="1">
      <c r="A426" s="271" t="s">
        <v>1505</v>
      </c>
      <c r="B426" s="26">
        <v>45821</v>
      </c>
      <c r="C426" s="26">
        <v>45821</v>
      </c>
      <c r="D426" s="14" t="s">
        <v>1506</v>
      </c>
      <c r="E426" s="14" t="s">
        <v>79</v>
      </c>
      <c r="F426" s="14" t="s">
        <v>74</v>
      </c>
      <c r="G426" s="14">
        <v>50000530</v>
      </c>
      <c r="H426" s="14" t="s">
        <v>1511</v>
      </c>
      <c r="I426" s="14" t="s">
        <v>99</v>
      </c>
      <c r="J426" s="14">
        <v>8</v>
      </c>
      <c r="K426" s="14" t="s">
        <v>37</v>
      </c>
      <c r="L426" s="14" t="s">
        <v>459</v>
      </c>
      <c r="M426" s="15" t="s">
        <v>89</v>
      </c>
      <c r="N426" s="15" t="s">
        <v>89</v>
      </c>
      <c r="O426" s="15">
        <v>0</v>
      </c>
      <c r="P426" s="15">
        <v>8</v>
      </c>
      <c r="Q426" s="15"/>
      <c r="R426" s="15"/>
      <c r="S426" s="25">
        <v>45861</v>
      </c>
      <c r="T426" s="25">
        <v>45838</v>
      </c>
      <c r="U426" s="25">
        <v>45859</v>
      </c>
      <c r="V426" s="15" t="s">
        <v>533</v>
      </c>
      <c r="W426" s="15"/>
      <c r="X426" s="159">
        <v>255.99</v>
      </c>
      <c r="Y426" s="159">
        <f>Table2[[#This Row],[PREÇO UNITARIO]]*Table2[[#This Row],[QUANTIDADE]]</f>
        <v>2047.92</v>
      </c>
      <c r="Z426" s="15"/>
      <c r="AA426" s="28">
        <f>MONTH(Table2[[#This Row],[DATA PEDIDO HP]])</f>
        <v>6</v>
      </c>
      <c r="AB426" s="32" t="s">
        <v>60</v>
      </c>
      <c r="AC426" s="5">
        <f t="shared" ca="1" si="6"/>
        <v>46232</v>
      </c>
      <c r="AD426" s="331">
        <f ca="1">_xlfn.DAYS(Table2[[#This Row],[HOJE]],Table2[[#This Row],[DATA PEDIDO HP]])</f>
        <v>411</v>
      </c>
      <c r="AE426" s="336" t="s">
        <v>43</v>
      </c>
    </row>
    <row r="427" spans="1:31" ht="14.45" hidden="1">
      <c r="A427" s="271" t="s">
        <v>1505</v>
      </c>
      <c r="B427" s="26">
        <v>45821</v>
      </c>
      <c r="C427" s="26">
        <v>45821</v>
      </c>
      <c r="D427" s="14" t="s">
        <v>1506</v>
      </c>
      <c r="E427" s="14" t="s">
        <v>79</v>
      </c>
      <c r="F427" s="14" t="s">
        <v>74</v>
      </c>
      <c r="G427" s="14">
        <v>50000530</v>
      </c>
      <c r="H427" s="14" t="s">
        <v>1512</v>
      </c>
      <c r="I427" s="14" t="s">
        <v>1513</v>
      </c>
      <c r="J427" s="14">
        <v>1</v>
      </c>
      <c r="K427" s="14" t="s">
        <v>37</v>
      </c>
      <c r="L427" s="14" t="s">
        <v>459</v>
      </c>
      <c r="M427" s="15" t="s">
        <v>89</v>
      </c>
      <c r="N427" s="15" t="s">
        <v>89</v>
      </c>
      <c r="O427" s="15">
        <v>0</v>
      </c>
      <c r="P427" s="15">
        <v>1</v>
      </c>
      <c r="Q427" s="15"/>
      <c r="R427" s="15" t="s">
        <v>218</v>
      </c>
      <c r="S427" s="25">
        <v>45861</v>
      </c>
      <c r="T427" s="25">
        <v>45838</v>
      </c>
      <c r="U427" s="25">
        <v>45859</v>
      </c>
      <c r="V427" s="15" t="s">
        <v>533</v>
      </c>
      <c r="W427" s="15"/>
      <c r="X427" s="159">
        <v>22.54</v>
      </c>
      <c r="Y427" s="159">
        <f>Table2[[#This Row],[PREÇO UNITARIO]]*Table2[[#This Row],[QUANTIDADE]]</f>
        <v>22.54</v>
      </c>
      <c r="Z427" s="15"/>
      <c r="AA427" s="28">
        <f>MONTH(Table2[[#This Row],[DATA PEDIDO HP]])</f>
        <v>6</v>
      </c>
      <c r="AB427" s="32" t="s">
        <v>60</v>
      </c>
      <c r="AC427" s="5">
        <f t="shared" ca="1" si="6"/>
        <v>46232</v>
      </c>
      <c r="AD427" s="331">
        <f ca="1">_xlfn.DAYS(Table2[[#This Row],[HOJE]],Table2[[#This Row],[DATA PEDIDO HP]])</f>
        <v>411</v>
      </c>
      <c r="AE427" s="336" t="s">
        <v>43</v>
      </c>
    </row>
    <row r="428" spans="1:31" ht="14.45" hidden="1">
      <c r="A428" s="271" t="s">
        <v>1505</v>
      </c>
      <c r="B428" s="26">
        <v>45821</v>
      </c>
      <c r="C428" s="26">
        <v>45821</v>
      </c>
      <c r="D428" s="14" t="s">
        <v>1506</v>
      </c>
      <c r="E428" s="14" t="s">
        <v>79</v>
      </c>
      <c r="F428" s="14" t="s">
        <v>74</v>
      </c>
      <c r="G428" s="14">
        <v>50000530</v>
      </c>
      <c r="H428" s="14" t="s">
        <v>1148</v>
      </c>
      <c r="I428" s="14" t="s">
        <v>1514</v>
      </c>
      <c r="J428" s="14">
        <v>1</v>
      </c>
      <c r="K428" s="14" t="s">
        <v>37</v>
      </c>
      <c r="L428" s="14" t="s">
        <v>459</v>
      </c>
      <c r="M428" s="15" t="s">
        <v>58</v>
      </c>
      <c r="N428" s="15" t="s">
        <v>89</v>
      </c>
      <c r="O428" s="15">
        <v>0</v>
      </c>
      <c r="P428" s="15"/>
      <c r="Q428" s="15"/>
      <c r="R428" s="15" t="s">
        <v>1150</v>
      </c>
      <c r="S428" s="25">
        <v>45903</v>
      </c>
      <c r="T428" s="25">
        <v>45888</v>
      </c>
      <c r="U428" s="25">
        <v>45898</v>
      </c>
      <c r="V428" s="15" t="s">
        <v>420</v>
      </c>
      <c r="W428" s="15"/>
      <c r="X428" s="159">
        <v>639.37</v>
      </c>
      <c r="Y428" s="159">
        <f>Table2[[#This Row],[PREÇO UNITARIO]]*Table2[[#This Row],[QUANTIDADE]]</f>
        <v>639.37</v>
      </c>
      <c r="Z428" s="15"/>
      <c r="AA428" s="28">
        <f>MONTH(Table2[[#This Row],[DATA PEDIDO HP]])</f>
        <v>6</v>
      </c>
      <c r="AB428" s="32" t="s">
        <v>60</v>
      </c>
      <c r="AC428" s="5">
        <f t="shared" ca="1" si="6"/>
        <v>46232</v>
      </c>
      <c r="AD428" s="331">
        <f ca="1">_xlfn.DAYS(Table2[[#This Row],[HOJE]],Table2[[#This Row],[DATA PEDIDO HP]])</f>
        <v>411</v>
      </c>
      <c r="AE428" s="336" t="s">
        <v>43</v>
      </c>
    </row>
    <row r="429" spans="1:31" ht="14.45" hidden="1">
      <c r="A429" s="271" t="s">
        <v>1505</v>
      </c>
      <c r="B429" s="26">
        <v>45821</v>
      </c>
      <c r="C429" s="26">
        <v>45821</v>
      </c>
      <c r="D429" s="14" t="s">
        <v>1506</v>
      </c>
      <c r="E429" s="14" t="s">
        <v>79</v>
      </c>
      <c r="F429" s="14" t="s">
        <v>74</v>
      </c>
      <c r="G429" s="14">
        <v>50000530</v>
      </c>
      <c r="H429" s="14" t="s">
        <v>1515</v>
      </c>
      <c r="I429" s="14" t="s">
        <v>1516</v>
      </c>
      <c r="J429" s="14">
        <v>5</v>
      </c>
      <c r="K429" s="14" t="s">
        <v>37</v>
      </c>
      <c r="L429" s="14" t="s">
        <v>459</v>
      </c>
      <c r="M429" s="15" t="s">
        <v>58</v>
      </c>
      <c r="N429" s="15" t="s">
        <v>89</v>
      </c>
      <c r="O429" s="15">
        <v>0</v>
      </c>
      <c r="P429" s="15">
        <v>5</v>
      </c>
      <c r="Q429" s="15"/>
      <c r="R429" s="15"/>
      <c r="S429" s="25">
        <v>45903</v>
      </c>
      <c r="T429" s="25">
        <v>45888</v>
      </c>
      <c r="U429" s="25">
        <v>45898</v>
      </c>
      <c r="V429" s="15" t="s">
        <v>420</v>
      </c>
      <c r="W429" s="15"/>
      <c r="X429" s="159">
        <v>317.92</v>
      </c>
      <c r="Y429" s="159">
        <f>Table2[[#This Row],[PREÇO UNITARIO]]*Table2[[#This Row],[QUANTIDADE]]</f>
        <v>1589.6000000000001</v>
      </c>
      <c r="Z429" s="15"/>
      <c r="AA429" s="28">
        <f>MONTH(Table2[[#This Row],[DATA PEDIDO HP]])</f>
        <v>6</v>
      </c>
      <c r="AB429" s="32" t="s">
        <v>60</v>
      </c>
      <c r="AC429" s="5">
        <f t="shared" ca="1" si="6"/>
        <v>46232</v>
      </c>
      <c r="AD429" s="331">
        <f ca="1">_xlfn.DAYS(Table2[[#This Row],[HOJE]],Table2[[#This Row],[DATA PEDIDO HP]])</f>
        <v>411</v>
      </c>
      <c r="AE429" s="336" t="s">
        <v>43</v>
      </c>
    </row>
    <row r="430" spans="1:31" ht="14.45" hidden="1">
      <c r="A430" s="271" t="s">
        <v>1505</v>
      </c>
      <c r="B430" s="26">
        <v>45821</v>
      </c>
      <c r="C430" s="26">
        <v>45821</v>
      </c>
      <c r="D430" s="14" t="s">
        <v>1506</v>
      </c>
      <c r="E430" s="14" t="s">
        <v>79</v>
      </c>
      <c r="F430" s="14" t="s">
        <v>74</v>
      </c>
      <c r="G430" s="14">
        <v>50000530</v>
      </c>
      <c r="H430" s="14" t="s">
        <v>1517</v>
      </c>
      <c r="I430" s="14" t="s">
        <v>1518</v>
      </c>
      <c r="J430" s="14">
        <v>1</v>
      </c>
      <c r="K430" s="14" t="s">
        <v>37</v>
      </c>
      <c r="L430" s="14" t="s">
        <v>459</v>
      </c>
      <c r="M430" s="15" t="s">
        <v>89</v>
      </c>
      <c r="N430" s="15" t="s">
        <v>89</v>
      </c>
      <c r="O430" s="15">
        <v>0</v>
      </c>
      <c r="P430" s="15">
        <v>1</v>
      </c>
      <c r="Q430" s="15"/>
      <c r="R430" s="15"/>
      <c r="S430" s="25">
        <v>45861</v>
      </c>
      <c r="T430" s="25">
        <v>45838</v>
      </c>
      <c r="U430" s="25">
        <v>45859</v>
      </c>
      <c r="V430" s="15" t="s">
        <v>533</v>
      </c>
      <c r="W430" s="164" t="s">
        <v>1519</v>
      </c>
      <c r="X430" s="159">
        <v>631.67999999999995</v>
      </c>
      <c r="Y430" s="159">
        <f>Table2[[#This Row],[PREÇO UNITARIO]]*Table2[[#This Row],[QUANTIDADE]]</f>
        <v>631.67999999999995</v>
      </c>
      <c r="Z430" s="15"/>
      <c r="AA430" s="28">
        <f>MONTH(Table2[[#This Row],[DATA PEDIDO HP]])</f>
        <v>6</v>
      </c>
      <c r="AB430" s="32" t="s">
        <v>60</v>
      </c>
      <c r="AC430" s="5">
        <f t="shared" ca="1" si="6"/>
        <v>46232</v>
      </c>
      <c r="AD430" s="331">
        <f ca="1">_xlfn.DAYS(Table2[[#This Row],[HOJE]],Table2[[#This Row],[DATA PEDIDO HP]])</f>
        <v>411</v>
      </c>
      <c r="AE430" s="336" t="s">
        <v>43</v>
      </c>
    </row>
    <row r="431" spans="1:31" ht="14.45" hidden="1">
      <c r="A431" s="271" t="s">
        <v>1505</v>
      </c>
      <c r="B431" s="26">
        <v>45821</v>
      </c>
      <c r="C431" s="26">
        <v>45821</v>
      </c>
      <c r="D431" s="14" t="s">
        <v>1506</v>
      </c>
      <c r="E431" s="14" t="s">
        <v>79</v>
      </c>
      <c r="F431" s="14" t="s">
        <v>74</v>
      </c>
      <c r="G431" s="14">
        <v>50000530</v>
      </c>
      <c r="H431" s="14" t="s">
        <v>1520</v>
      </c>
      <c r="I431" s="14" t="s">
        <v>1521</v>
      </c>
      <c r="J431" s="14">
        <v>1</v>
      </c>
      <c r="K431" s="14" t="s">
        <v>37</v>
      </c>
      <c r="L431" s="14" t="s">
        <v>459</v>
      </c>
      <c r="M431" s="15" t="s">
        <v>39</v>
      </c>
      <c r="N431" s="15" t="s">
        <v>89</v>
      </c>
      <c r="O431" s="15">
        <v>0</v>
      </c>
      <c r="P431" s="15"/>
      <c r="Q431" s="15"/>
      <c r="R431" s="15"/>
      <c r="S431" s="25">
        <v>45861</v>
      </c>
      <c r="T431" s="25">
        <v>45838</v>
      </c>
      <c r="U431" s="25">
        <v>45859</v>
      </c>
      <c r="V431" s="15" t="s">
        <v>533</v>
      </c>
      <c r="W431" s="15"/>
      <c r="X431" s="159">
        <v>814.1</v>
      </c>
      <c r="Y431" s="159">
        <f>Table2[[#This Row],[PREÇO UNITARIO]]*Table2[[#This Row],[QUANTIDADE]]</f>
        <v>814.1</v>
      </c>
      <c r="Z431" s="15"/>
      <c r="AA431" s="28">
        <f>MONTH(Table2[[#This Row],[DATA PEDIDO HP]])</f>
        <v>6</v>
      </c>
      <c r="AB431" s="32" t="s">
        <v>60</v>
      </c>
      <c r="AC431" s="5">
        <f t="shared" ca="1" si="6"/>
        <v>46232</v>
      </c>
      <c r="AD431" s="331">
        <f ca="1">_xlfn.DAYS(Table2[[#This Row],[HOJE]],Table2[[#This Row],[DATA PEDIDO HP]])</f>
        <v>411</v>
      </c>
      <c r="AE431" s="336" t="s">
        <v>43</v>
      </c>
    </row>
    <row r="432" spans="1:31" ht="14.45" hidden="1">
      <c r="A432" s="271" t="s">
        <v>1505</v>
      </c>
      <c r="B432" s="26">
        <v>45821</v>
      </c>
      <c r="C432" s="26">
        <v>45821</v>
      </c>
      <c r="D432" s="14" t="s">
        <v>1506</v>
      </c>
      <c r="E432" s="14" t="s">
        <v>79</v>
      </c>
      <c r="F432" s="14" t="s">
        <v>74</v>
      </c>
      <c r="G432" s="14">
        <v>50000530</v>
      </c>
      <c r="H432" s="14" t="s">
        <v>1522</v>
      </c>
      <c r="I432" s="14" t="s">
        <v>1523</v>
      </c>
      <c r="J432" s="14">
        <v>2</v>
      </c>
      <c r="K432" s="14" t="s">
        <v>37</v>
      </c>
      <c r="L432" s="14" t="s">
        <v>459</v>
      </c>
      <c r="M432" s="15" t="s">
        <v>58</v>
      </c>
      <c r="N432" s="15" t="s">
        <v>89</v>
      </c>
      <c r="O432" s="15">
        <v>0</v>
      </c>
      <c r="P432" s="15">
        <v>2</v>
      </c>
      <c r="Q432" s="15"/>
      <c r="R432" s="15" t="s">
        <v>1091</v>
      </c>
      <c r="S432" s="25">
        <v>45861</v>
      </c>
      <c r="T432" s="25">
        <v>45838</v>
      </c>
      <c r="U432" s="25">
        <v>45859</v>
      </c>
      <c r="V432" s="15" t="s">
        <v>533</v>
      </c>
      <c r="W432" s="15"/>
      <c r="X432" s="159">
        <v>62.83</v>
      </c>
      <c r="Y432" s="159">
        <f>Table2[[#This Row],[PREÇO UNITARIO]]*Table2[[#This Row],[QUANTIDADE]]</f>
        <v>125.66</v>
      </c>
      <c r="Z432" s="15"/>
      <c r="AA432" s="28">
        <f>MONTH(Table2[[#This Row],[DATA PEDIDO HP]])</f>
        <v>6</v>
      </c>
      <c r="AB432" s="32" t="s">
        <v>60</v>
      </c>
      <c r="AC432" s="5">
        <f t="shared" ca="1" si="6"/>
        <v>46232</v>
      </c>
      <c r="AD432" s="331">
        <f ca="1">_xlfn.DAYS(Table2[[#This Row],[HOJE]],Table2[[#This Row],[DATA PEDIDO HP]])</f>
        <v>411</v>
      </c>
      <c r="AE432" s="336" t="s">
        <v>43</v>
      </c>
    </row>
    <row r="433" spans="1:31" ht="14.45" hidden="1">
      <c r="A433" s="271" t="s">
        <v>1505</v>
      </c>
      <c r="B433" s="26">
        <v>45821</v>
      </c>
      <c r="C433" s="26">
        <v>45821</v>
      </c>
      <c r="D433" s="14" t="s">
        <v>1506</v>
      </c>
      <c r="E433" s="14" t="s">
        <v>79</v>
      </c>
      <c r="F433" s="14" t="s">
        <v>74</v>
      </c>
      <c r="G433" s="14">
        <v>50000530</v>
      </c>
      <c r="H433" s="14" t="s">
        <v>1524</v>
      </c>
      <c r="I433" s="14" t="s">
        <v>1525</v>
      </c>
      <c r="J433" s="14">
        <v>1</v>
      </c>
      <c r="K433" s="14" t="s">
        <v>37</v>
      </c>
      <c r="L433" s="14" t="s">
        <v>459</v>
      </c>
      <c r="M433" s="15" t="s">
        <v>58</v>
      </c>
      <c r="N433" s="15" t="s">
        <v>89</v>
      </c>
      <c r="O433" s="15">
        <v>0</v>
      </c>
      <c r="P433" s="15"/>
      <c r="Q433" s="15"/>
      <c r="R433" s="15"/>
      <c r="S433" s="25">
        <v>45861</v>
      </c>
      <c r="T433" s="25">
        <v>45838</v>
      </c>
      <c r="U433" s="25">
        <v>45859</v>
      </c>
      <c r="V433" s="15" t="s">
        <v>533</v>
      </c>
      <c r="W433" s="15"/>
      <c r="X433" s="159">
        <v>1370.16</v>
      </c>
      <c r="Y433" s="159">
        <f>Table2[[#This Row],[PREÇO UNITARIO]]*Table2[[#This Row],[QUANTIDADE]]</f>
        <v>1370.16</v>
      </c>
      <c r="Z433" s="15"/>
      <c r="AA433" s="28">
        <f>MONTH(Table2[[#This Row],[DATA PEDIDO HP]])</f>
        <v>6</v>
      </c>
      <c r="AB433" s="32" t="s">
        <v>60</v>
      </c>
      <c r="AC433" s="5">
        <f t="shared" ca="1" si="6"/>
        <v>46232</v>
      </c>
      <c r="AD433" s="331">
        <f ca="1">_xlfn.DAYS(Table2[[#This Row],[HOJE]],Table2[[#This Row],[DATA PEDIDO HP]])</f>
        <v>411</v>
      </c>
      <c r="AE433" s="336" t="s">
        <v>43</v>
      </c>
    </row>
    <row r="434" spans="1:31" ht="14.45" hidden="1">
      <c r="A434" s="271" t="s">
        <v>1526</v>
      </c>
      <c r="B434" s="26">
        <v>45824</v>
      </c>
      <c r="C434" s="26">
        <v>45821</v>
      </c>
      <c r="D434" s="14" t="s">
        <v>1527</v>
      </c>
      <c r="E434" s="14" t="s">
        <v>73</v>
      </c>
      <c r="F434" s="14" t="s">
        <v>203</v>
      </c>
      <c r="G434" s="14">
        <v>60002095</v>
      </c>
      <c r="H434" s="14" t="s">
        <v>1478</v>
      </c>
      <c r="I434" s="14" t="s">
        <v>1528</v>
      </c>
      <c r="J434" s="14">
        <v>1</v>
      </c>
      <c r="K434" s="14" t="s">
        <v>37</v>
      </c>
      <c r="L434" s="14" t="s">
        <v>346</v>
      </c>
      <c r="M434" s="15" t="s">
        <v>89</v>
      </c>
      <c r="N434" s="15" t="s">
        <v>39</v>
      </c>
      <c r="O434" s="15">
        <v>0</v>
      </c>
      <c r="P434" s="15">
        <v>1</v>
      </c>
      <c r="Q434" s="15"/>
      <c r="R434" s="15" t="s">
        <v>1480</v>
      </c>
      <c r="S434" s="25">
        <v>45905</v>
      </c>
      <c r="T434" s="25">
        <v>45888</v>
      </c>
      <c r="U434" s="25">
        <v>45898</v>
      </c>
      <c r="V434" s="15" t="s">
        <v>420</v>
      </c>
      <c r="W434" s="15"/>
      <c r="X434" s="159">
        <v>530.75</v>
      </c>
      <c r="Y434" s="159">
        <f>Table2[[#This Row],[PREÇO UNITARIO]]*Table2[[#This Row],[QUANTIDADE]]</f>
        <v>530.75</v>
      </c>
      <c r="Z434" s="15"/>
      <c r="AA434" s="28">
        <f>MONTH(Table2[[#This Row],[DATA PEDIDO HP]])</f>
        <v>6</v>
      </c>
      <c r="AB434" s="32" t="s">
        <v>42</v>
      </c>
      <c r="AC434" s="5">
        <f t="shared" ca="1" si="6"/>
        <v>46232</v>
      </c>
      <c r="AD434" s="331">
        <f ca="1">_xlfn.DAYS(Table2[[#This Row],[HOJE]],Table2[[#This Row],[DATA PEDIDO HP]])</f>
        <v>408</v>
      </c>
      <c r="AE434" s="336" t="s">
        <v>43</v>
      </c>
    </row>
    <row r="435" spans="1:31" ht="14.45" hidden="1">
      <c r="A435" s="271" t="s">
        <v>1529</v>
      </c>
      <c r="B435" s="26">
        <v>45824</v>
      </c>
      <c r="C435" s="26">
        <v>45817</v>
      </c>
      <c r="D435" s="14" t="s">
        <v>1530</v>
      </c>
      <c r="E435" s="14" t="s">
        <v>152</v>
      </c>
      <c r="F435" s="14" t="s">
        <v>64</v>
      </c>
      <c r="G435" s="14">
        <v>48000482</v>
      </c>
      <c r="H435" s="14" t="s">
        <v>1531</v>
      </c>
      <c r="I435" s="14" t="s">
        <v>1532</v>
      </c>
      <c r="J435" s="14">
        <v>1</v>
      </c>
      <c r="K435" s="14" t="s">
        <v>37</v>
      </c>
      <c r="L435" s="14" t="s">
        <v>48</v>
      </c>
      <c r="M435" s="15" t="s">
        <v>58</v>
      </c>
      <c r="N435" s="15" t="s">
        <v>58</v>
      </c>
      <c r="O435" s="15">
        <v>1</v>
      </c>
      <c r="P435" s="15"/>
      <c r="Q435" s="15"/>
      <c r="R435" s="15"/>
      <c r="S435" s="25"/>
      <c r="T435" s="25">
        <v>45838</v>
      </c>
      <c r="U435" s="25">
        <v>45859</v>
      </c>
      <c r="V435" s="15" t="s">
        <v>533</v>
      </c>
      <c r="W435" s="15"/>
      <c r="X435" s="159">
        <v>867.16</v>
      </c>
      <c r="Y435" s="159">
        <f>Table2[[#This Row],[PREÇO UNITARIO]]*Table2[[#This Row],[QUANTIDADE]]</f>
        <v>867.16</v>
      </c>
      <c r="Z435" s="15"/>
      <c r="AA435" s="28">
        <f>MONTH(Table2[[#This Row],[DATA PEDIDO HP]])</f>
        <v>6</v>
      </c>
      <c r="AB435" s="32" t="s">
        <v>60</v>
      </c>
      <c r="AC435" s="5">
        <f t="shared" ca="1" si="6"/>
        <v>46232</v>
      </c>
      <c r="AD435" s="331">
        <f ca="1">_xlfn.DAYS(Table2[[#This Row],[HOJE]],Table2[[#This Row],[DATA PEDIDO HP]])</f>
        <v>408</v>
      </c>
      <c r="AE435" s="5" t="s">
        <v>43</v>
      </c>
    </row>
    <row r="436" spans="1:31" ht="14.45" hidden="1">
      <c r="A436" s="271" t="s">
        <v>1529</v>
      </c>
      <c r="B436" s="26">
        <v>45824</v>
      </c>
      <c r="C436" s="26">
        <v>45817</v>
      </c>
      <c r="D436" s="14" t="s">
        <v>1530</v>
      </c>
      <c r="E436" s="14" t="s">
        <v>152</v>
      </c>
      <c r="F436" s="14" t="s">
        <v>64</v>
      </c>
      <c r="G436" s="14">
        <v>48000482</v>
      </c>
      <c r="H436" s="14" t="s">
        <v>1533</v>
      </c>
      <c r="I436" s="14" t="s">
        <v>1534</v>
      </c>
      <c r="J436" s="14">
        <v>1</v>
      </c>
      <c r="K436" s="14" t="s">
        <v>37</v>
      </c>
      <c r="L436" s="14" t="s">
        <v>48</v>
      </c>
      <c r="M436" s="15" t="s">
        <v>58</v>
      </c>
      <c r="N436" s="15" t="s">
        <v>58</v>
      </c>
      <c r="O436" s="15">
        <v>1</v>
      </c>
      <c r="P436" s="15"/>
      <c r="Q436" s="15"/>
      <c r="R436" s="15"/>
      <c r="S436" s="25"/>
      <c r="T436" s="25">
        <v>45838</v>
      </c>
      <c r="U436" s="25">
        <v>45859</v>
      </c>
      <c r="V436" s="15" t="s">
        <v>533</v>
      </c>
      <c r="W436" s="15"/>
      <c r="X436" s="159">
        <v>1009.25</v>
      </c>
      <c r="Y436" s="159">
        <f>Table2[[#This Row],[PREÇO UNITARIO]]*Table2[[#This Row],[QUANTIDADE]]</f>
        <v>1009.25</v>
      </c>
      <c r="Z436" s="15"/>
      <c r="AA436" s="28">
        <f>MONTH(Table2[[#This Row],[DATA PEDIDO HP]])</f>
        <v>6</v>
      </c>
      <c r="AB436" s="32" t="s">
        <v>60</v>
      </c>
      <c r="AC436" s="5">
        <f t="shared" ca="1" si="6"/>
        <v>46232</v>
      </c>
      <c r="AD436" s="331">
        <f ca="1">_xlfn.DAYS(Table2[[#This Row],[HOJE]],Table2[[#This Row],[DATA PEDIDO HP]])</f>
        <v>408</v>
      </c>
      <c r="AE436" s="5" t="s">
        <v>43</v>
      </c>
    </row>
    <row r="437" spans="1:31" ht="14.45" hidden="1">
      <c r="A437" s="271" t="s">
        <v>1535</v>
      </c>
      <c r="B437" s="26">
        <v>45824</v>
      </c>
      <c r="C437" s="26">
        <v>45821</v>
      </c>
      <c r="D437" s="14" t="s">
        <v>1536</v>
      </c>
      <c r="E437" s="14" t="s">
        <v>73</v>
      </c>
      <c r="F437" s="14" t="s">
        <v>34</v>
      </c>
      <c r="G437" s="14">
        <v>50110372</v>
      </c>
      <c r="H437" s="14" t="s">
        <v>1293</v>
      </c>
      <c r="I437" s="14" t="s">
        <v>1294</v>
      </c>
      <c r="J437" s="14">
        <v>1</v>
      </c>
      <c r="K437" s="14" t="s">
        <v>37</v>
      </c>
      <c r="L437" s="14" t="s">
        <v>96</v>
      </c>
      <c r="M437" s="15" t="s">
        <v>58</v>
      </c>
      <c r="N437" s="15" t="s">
        <v>39</v>
      </c>
      <c r="O437" s="15">
        <v>0</v>
      </c>
      <c r="P437" s="15">
        <v>1</v>
      </c>
      <c r="Q437" s="15"/>
      <c r="R437" s="15"/>
      <c r="S437" s="25">
        <v>45860</v>
      </c>
      <c r="T437" s="25">
        <v>45838</v>
      </c>
      <c r="U437" s="25">
        <v>45859</v>
      </c>
      <c r="V437" s="15" t="s">
        <v>533</v>
      </c>
      <c r="W437" s="15"/>
      <c r="X437" s="159">
        <v>19.600000000000001</v>
      </c>
      <c r="Y437" s="159">
        <f>Table2[[#This Row],[PREÇO UNITARIO]]*Table2[[#This Row],[QUANTIDADE]]</f>
        <v>19.600000000000001</v>
      </c>
      <c r="Z437" s="15"/>
      <c r="AA437" s="28">
        <f>MONTH(Table2[[#This Row],[DATA PEDIDO HP]])</f>
        <v>6</v>
      </c>
      <c r="AB437" s="32" t="s">
        <v>42</v>
      </c>
      <c r="AC437" s="5">
        <f t="shared" ca="1" si="6"/>
        <v>46232</v>
      </c>
      <c r="AD437" s="331">
        <f ca="1">_xlfn.DAYS(Table2[[#This Row],[HOJE]],Table2[[#This Row],[DATA PEDIDO HP]])</f>
        <v>408</v>
      </c>
      <c r="AE437" s="336" t="s">
        <v>43</v>
      </c>
    </row>
    <row r="438" spans="1:31" ht="14.45" hidden="1">
      <c r="A438" s="271" t="s">
        <v>1537</v>
      </c>
      <c r="B438" s="26">
        <v>45824</v>
      </c>
      <c r="C438" s="26">
        <v>45821</v>
      </c>
      <c r="D438" s="14" t="s">
        <v>1538</v>
      </c>
      <c r="E438" s="14" t="s">
        <v>73</v>
      </c>
      <c r="F438" s="14" t="s">
        <v>203</v>
      </c>
      <c r="G438" s="14">
        <v>60002095</v>
      </c>
      <c r="H438" s="14" t="s">
        <v>1539</v>
      </c>
      <c r="I438" s="14" t="s">
        <v>1540</v>
      </c>
      <c r="J438" s="14">
        <v>1</v>
      </c>
      <c r="K438" s="14" t="s">
        <v>37</v>
      </c>
      <c r="L438" s="14" t="s">
        <v>96</v>
      </c>
      <c r="M438" s="15" t="s">
        <v>89</v>
      </c>
      <c r="N438" s="15" t="s">
        <v>39</v>
      </c>
      <c r="O438" s="15">
        <v>0</v>
      </c>
      <c r="P438" s="15">
        <v>1</v>
      </c>
      <c r="Q438" s="15"/>
      <c r="R438" s="15"/>
      <c r="S438" s="25">
        <v>45860</v>
      </c>
      <c r="T438" s="25">
        <v>45838</v>
      </c>
      <c r="U438" s="25">
        <v>45859</v>
      </c>
      <c r="V438" s="15" t="s">
        <v>533</v>
      </c>
      <c r="W438" s="15"/>
      <c r="X438" s="159">
        <v>8.11</v>
      </c>
      <c r="Y438" s="159">
        <f>Table2[[#This Row],[PREÇO UNITARIO]]*Table2[[#This Row],[QUANTIDADE]]</f>
        <v>8.11</v>
      </c>
      <c r="Z438" s="15"/>
      <c r="AA438" s="28">
        <f>MONTH(Table2[[#This Row],[DATA PEDIDO HP]])</f>
        <v>6</v>
      </c>
      <c r="AB438" s="32" t="s">
        <v>42</v>
      </c>
      <c r="AC438" s="5">
        <f t="shared" ca="1" si="6"/>
        <v>46232</v>
      </c>
      <c r="AD438" s="331">
        <f ca="1">_xlfn.DAYS(Table2[[#This Row],[HOJE]],Table2[[#This Row],[DATA PEDIDO HP]])</f>
        <v>408</v>
      </c>
      <c r="AE438" s="336" t="s">
        <v>43</v>
      </c>
    </row>
    <row r="439" spans="1:31" ht="14.45" hidden="1">
      <c r="A439" s="271" t="s">
        <v>1541</v>
      </c>
      <c r="B439" s="26">
        <v>45824</v>
      </c>
      <c r="C439" s="26">
        <v>45821</v>
      </c>
      <c r="D439" s="14" t="s">
        <v>1542</v>
      </c>
      <c r="E439" s="14" t="s">
        <v>103</v>
      </c>
      <c r="F439" s="14" t="s">
        <v>104</v>
      </c>
      <c r="G439" s="14">
        <v>51000323</v>
      </c>
      <c r="H439" s="14" t="s">
        <v>1543</v>
      </c>
      <c r="I439" s="14" t="s">
        <v>1544</v>
      </c>
      <c r="J439" s="14">
        <v>2</v>
      </c>
      <c r="K439" s="14" t="s">
        <v>37</v>
      </c>
      <c r="L439" s="14" t="s">
        <v>96</v>
      </c>
      <c r="M439" s="15" t="s">
        <v>39</v>
      </c>
      <c r="N439" s="15" t="s">
        <v>89</v>
      </c>
      <c r="O439" s="15">
        <v>0</v>
      </c>
      <c r="P439" s="15">
        <v>2</v>
      </c>
      <c r="Q439" s="15"/>
      <c r="R439" s="15"/>
      <c r="S439" s="25">
        <v>45861</v>
      </c>
      <c r="T439" s="25">
        <v>45838</v>
      </c>
      <c r="U439" s="25">
        <v>45859</v>
      </c>
      <c r="V439" s="15" t="s">
        <v>533</v>
      </c>
      <c r="W439" s="15"/>
      <c r="X439" s="159">
        <v>17.28</v>
      </c>
      <c r="Y439" s="159">
        <f>Table2[[#This Row],[PREÇO UNITARIO]]*Table2[[#This Row],[QUANTIDADE]]</f>
        <v>34.56</v>
      </c>
      <c r="Z439" s="15"/>
      <c r="AA439" s="28">
        <f>MONTH(Table2[[#This Row],[DATA PEDIDO HP]])</f>
        <v>6</v>
      </c>
      <c r="AB439" s="32" t="s">
        <v>42</v>
      </c>
      <c r="AC439" s="5">
        <f t="shared" ca="1" si="6"/>
        <v>46232</v>
      </c>
      <c r="AD439" s="331">
        <f ca="1">_xlfn.DAYS(Table2[[#This Row],[HOJE]],Table2[[#This Row],[DATA PEDIDO HP]])</f>
        <v>408</v>
      </c>
      <c r="AE439" s="336" t="s">
        <v>43</v>
      </c>
    </row>
    <row r="440" spans="1:31" ht="14.45" hidden="1">
      <c r="A440" s="271" t="s">
        <v>1545</v>
      </c>
      <c r="B440" s="26">
        <v>45825</v>
      </c>
      <c r="C440" s="26">
        <v>45824</v>
      </c>
      <c r="D440" s="14" t="s">
        <v>1546</v>
      </c>
      <c r="E440" s="14" t="s">
        <v>93</v>
      </c>
      <c r="F440" s="14" t="s">
        <v>74</v>
      </c>
      <c r="G440" s="14">
        <v>50000202</v>
      </c>
      <c r="H440" s="14" t="s">
        <v>1547</v>
      </c>
      <c r="I440" s="14" t="s">
        <v>1548</v>
      </c>
      <c r="J440" s="14">
        <v>1</v>
      </c>
      <c r="K440" s="14" t="s">
        <v>37</v>
      </c>
      <c r="L440" s="14" t="s">
        <v>217</v>
      </c>
      <c r="M440" s="15" t="s">
        <v>39</v>
      </c>
      <c r="N440" s="15" t="s">
        <v>89</v>
      </c>
      <c r="O440" s="15">
        <v>0</v>
      </c>
      <c r="P440" s="15">
        <v>1</v>
      </c>
      <c r="Q440" s="15"/>
      <c r="R440" s="15" t="s">
        <v>626</v>
      </c>
      <c r="S440" s="25">
        <v>45904</v>
      </c>
      <c r="T440" s="25">
        <v>45888</v>
      </c>
      <c r="U440" s="25">
        <v>45898</v>
      </c>
      <c r="V440" s="15" t="s">
        <v>420</v>
      </c>
      <c r="W440" s="15"/>
      <c r="X440" s="159">
        <v>339.68</v>
      </c>
      <c r="Y440" s="159">
        <f>Table2[[#This Row],[PREÇO UNITARIO]]*Table2[[#This Row],[QUANTIDADE]]</f>
        <v>339.68</v>
      </c>
      <c r="Z440" s="15"/>
      <c r="AA440" s="28">
        <f>MONTH(Table2[[#This Row],[DATA PEDIDO HP]])</f>
        <v>6</v>
      </c>
      <c r="AB440" s="32" t="s">
        <v>60</v>
      </c>
      <c r="AC440" s="5">
        <f t="shared" ca="1" si="6"/>
        <v>46232</v>
      </c>
      <c r="AD440" s="331">
        <f ca="1">_xlfn.DAYS(Table2[[#This Row],[HOJE]],Table2[[#This Row],[DATA PEDIDO HP]])</f>
        <v>407</v>
      </c>
      <c r="AE440" s="336" t="s">
        <v>43</v>
      </c>
    </row>
    <row r="441" spans="1:31" ht="14.45" hidden="1">
      <c r="A441" s="271" t="s">
        <v>1549</v>
      </c>
      <c r="B441" s="26">
        <v>45825</v>
      </c>
      <c r="C441" s="26">
        <v>45825</v>
      </c>
      <c r="D441" s="14" t="s">
        <v>1550</v>
      </c>
      <c r="E441" s="14" t="s">
        <v>515</v>
      </c>
      <c r="F441" s="14" t="s">
        <v>516</v>
      </c>
      <c r="G441" s="14">
        <v>61000037</v>
      </c>
      <c r="H441" s="14" t="s">
        <v>1551</v>
      </c>
      <c r="I441" s="14" t="s">
        <v>1552</v>
      </c>
      <c r="J441" s="14">
        <v>1</v>
      </c>
      <c r="K441" s="14" t="s">
        <v>67</v>
      </c>
      <c r="L441" s="14" t="s">
        <v>96</v>
      </c>
      <c r="M441" s="15" t="s">
        <v>89</v>
      </c>
      <c r="N441" s="15" t="s">
        <v>89</v>
      </c>
      <c r="O441" s="15">
        <v>0</v>
      </c>
      <c r="P441" s="15">
        <v>1</v>
      </c>
      <c r="Q441" s="15"/>
      <c r="R441" s="15"/>
      <c r="S441" s="25"/>
      <c r="T441" s="25">
        <v>45833</v>
      </c>
      <c r="U441" s="25">
        <v>45842</v>
      </c>
      <c r="V441" s="15" t="s">
        <v>69</v>
      </c>
      <c r="W441" s="15"/>
      <c r="X441" s="159">
        <v>921.23</v>
      </c>
      <c r="Y441" s="159">
        <f>Table2[[#This Row],[PREÇO UNITARIO]]*Table2[[#This Row],[QUANTIDADE]]</f>
        <v>921.23</v>
      </c>
      <c r="Z441" s="15"/>
      <c r="AA441" s="28">
        <f>MONTH(Table2[[#This Row],[DATA PEDIDO HP]])</f>
        <v>6</v>
      </c>
      <c r="AB441" s="32" t="s">
        <v>60</v>
      </c>
      <c r="AC441" s="5">
        <f t="shared" ca="1" si="6"/>
        <v>46232</v>
      </c>
      <c r="AD441" s="331">
        <f ca="1">_xlfn.DAYS(Table2[[#This Row],[HOJE]],Table2[[#This Row],[DATA PEDIDO HP]])</f>
        <v>407</v>
      </c>
      <c r="AE441" s="5" t="s">
        <v>43</v>
      </c>
    </row>
    <row r="442" spans="1:31" ht="14.45" hidden="1">
      <c r="A442" s="271" t="s">
        <v>1553</v>
      </c>
      <c r="B442" s="26">
        <v>45825</v>
      </c>
      <c r="C442" s="26">
        <v>45825</v>
      </c>
      <c r="D442" s="14" t="s">
        <v>1554</v>
      </c>
      <c r="E442" s="14" t="s">
        <v>1169</v>
      </c>
      <c r="F442" s="14" t="s">
        <v>899</v>
      </c>
      <c r="G442" s="14">
        <v>48500742</v>
      </c>
      <c r="H442" s="14" t="s">
        <v>1555</v>
      </c>
      <c r="I442" s="14" t="s">
        <v>1556</v>
      </c>
      <c r="J442" s="14">
        <v>1</v>
      </c>
      <c r="K442" s="14" t="s">
        <v>37</v>
      </c>
      <c r="L442" s="14" t="s">
        <v>217</v>
      </c>
      <c r="M442" s="15" t="s">
        <v>58</v>
      </c>
      <c r="N442" s="15" t="s">
        <v>58</v>
      </c>
      <c r="O442" s="15">
        <v>0</v>
      </c>
      <c r="P442" s="15">
        <v>1</v>
      </c>
      <c r="Q442" s="15"/>
      <c r="R442" s="15"/>
      <c r="S442" s="25"/>
      <c r="T442" s="25">
        <v>38550</v>
      </c>
      <c r="U442" s="25">
        <v>45866</v>
      </c>
      <c r="V442" s="15" t="s">
        <v>1553</v>
      </c>
      <c r="W442" s="15"/>
      <c r="X442" s="159">
        <v>26687.99</v>
      </c>
      <c r="Y442" s="159">
        <f>Table2[[#This Row],[PREÇO UNITARIO]]*Table2[[#This Row],[QUANTIDADE]]</f>
        <v>26687.99</v>
      </c>
      <c r="Z442" s="15"/>
      <c r="AA442" s="28">
        <f>MONTH(Table2[[#This Row],[DATA PEDIDO HP]])</f>
        <v>6</v>
      </c>
      <c r="AB442" s="32" t="s">
        <v>60</v>
      </c>
      <c r="AC442" s="5">
        <f t="shared" ca="1" si="6"/>
        <v>46232</v>
      </c>
      <c r="AD442" s="331">
        <f ca="1">_xlfn.DAYS(Table2[[#This Row],[HOJE]],Table2[[#This Row],[DATA PEDIDO HP]])</f>
        <v>407</v>
      </c>
      <c r="AE442" s="5" t="s">
        <v>43</v>
      </c>
    </row>
    <row r="443" spans="1:31" ht="14.45" hidden="1">
      <c r="A443" s="271" t="s">
        <v>1557</v>
      </c>
      <c r="B443" s="26">
        <v>45852</v>
      </c>
      <c r="C443" s="26">
        <v>45852</v>
      </c>
      <c r="D443" s="14" t="s">
        <v>1558</v>
      </c>
      <c r="E443" s="14" t="s">
        <v>381</v>
      </c>
      <c r="F443" s="14" t="s">
        <v>74</v>
      </c>
      <c r="G443" s="14">
        <v>50000351</v>
      </c>
      <c r="H443" s="14" t="s">
        <v>1559</v>
      </c>
      <c r="I443" s="14" t="s">
        <v>1560</v>
      </c>
      <c r="J443" s="14">
        <v>1</v>
      </c>
      <c r="K443" s="14" t="s">
        <v>67</v>
      </c>
      <c r="L443" s="14" t="s">
        <v>363</v>
      </c>
      <c r="M443" s="15" t="s">
        <v>58</v>
      </c>
      <c r="N443" s="15" t="s">
        <v>89</v>
      </c>
      <c r="O443" s="15">
        <v>0</v>
      </c>
      <c r="P443" s="15">
        <v>1</v>
      </c>
      <c r="Q443" s="15"/>
      <c r="R443" s="15"/>
      <c r="S443" s="25">
        <v>45901</v>
      </c>
      <c r="T443" s="25">
        <v>45888</v>
      </c>
      <c r="U443" s="25">
        <v>45898</v>
      </c>
      <c r="V443" s="15" t="s">
        <v>420</v>
      </c>
      <c r="W443" s="15"/>
      <c r="X443" s="159">
        <v>2979.03</v>
      </c>
      <c r="Y443" s="159">
        <f>Table2[[#This Row],[PREÇO UNITARIO]]*Table2[[#This Row],[QUANTIDADE]]</f>
        <v>2979.03</v>
      </c>
      <c r="Z443" s="15"/>
      <c r="AA443" s="32">
        <f>MONTH(Table2[[#This Row],[DATA PEDIDO HP]])</f>
        <v>7</v>
      </c>
      <c r="AB443" s="32" t="s">
        <v>60</v>
      </c>
      <c r="AC443" s="5">
        <f t="shared" ca="1" si="6"/>
        <v>46232</v>
      </c>
      <c r="AD443" s="331">
        <f ca="1">_xlfn.DAYS(Table2[[#This Row],[HOJE]],Table2[[#This Row],[DATA PEDIDO HP]])</f>
        <v>380</v>
      </c>
      <c r="AE443" s="336" t="s">
        <v>43</v>
      </c>
    </row>
    <row r="444" spans="1:31" ht="14.45" hidden="1">
      <c r="A444" s="271" t="s">
        <v>1561</v>
      </c>
      <c r="B444" s="25">
        <v>45831</v>
      </c>
      <c r="C444" s="26">
        <v>45826</v>
      </c>
      <c r="D444" s="14" t="s">
        <v>1562</v>
      </c>
      <c r="E444" s="14" t="s">
        <v>202</v>
      </c>
      <c r="F444" s="14" t="s">
        <v>203</v>
      </c>
      <c r="G444" s="14">
        <v>60002072</v>
      </c>
      <c r="H444" s="14" t="s">
        <v>1356</v>
      </c>
      <c r="I444" s="14" t="s">
        <v>1563</v>
      </c>
      <c r="J444" s="14">
        <v>8</v>
      </c>
      <c r="K444" s="14" t="s">
        <v>37</v>
      </c>
      <c r="L444" s="14" t="s">
        <v>96</v>
      </c>
      <c r="M444" s="15" t="s">
        <v>89</v>
      </c>
      <c r="N444" s="15" t="s">
        <v>89</v>
      </c>
      <c r="O444" s="15">
        <v>0</v>
      </c>
      <c r="P444" s="15">
        <v>8</v>
      </c>
      <c r="Q444" s="15"/>
      <c r="R444" s="15"/>
      <c r="S444" s="25">
        <v>45904</v>
      </c>
      <c r="T444" s="25">
        <v>45888</v>
      </c>
      <c r="U444" s="25">
        <v>45898</v>
      </c>
      <c r="V444" s="15" t="s">
        <v>420</v>
      </c>
      <c r="W444" s="15"/>
      <c r="X444" s="159">
        <v>106.15</v>
      </c>
      <c r="Y444" s="159">
        <f>Table2[[#This Row],[PREÇO UNITARIO]]*Table2[[#This Row],[QUANTIDADE]]</f>
        <v>849.2</v>
      </c>
      <c r="Z444" s="15"/>
      <c r="AA444" s="28">
        <f>MONTH(Table2[[#This Row],[DATA PEDIDO HP]])</f>
        <v>6</v>
      </c>
      <c r="AB444" s="32" t="s">
        <v>60</v>
      </c>
      <c r="AC444" s="5">
        <f t="shared" ca="1" si="6"/>
        <v>46232</v>
      </c>
      <c r="AD444" s="331">
        <f ca="1">_xlfn.DAYS(Table2[[#This Row],[HOJE]],Table2[[#This Row],[DATA PEDIDO HP]])</f>
        <v>401</v>
      </c>
      <c r="AE444" s="336" t="s">
        <v>43</v>
      </c>
    </row>
    <row r="445" spans="1:31" ht="14.45" hidden="1">
      <c r="A445" s="271" t="s">
        <v>1564</v>
      </c>
      <c r="B445" s="25">
        <v>45831</v>
      </c>
      <c r="C445" s="26">
        <v>45826</v>
      </c>
      <c r="D445" s="14" t="s">
        <v>1565</v>
      </c>
      <c r="E445" s="14" t="s">
        <v>202</v>
      </c>
      <c r="F445" s="14" t="s">
        <v>203</v>
      </c>
      <c r="G445" s="14">
        <v>60002072</v>
      </c>
      <c r="H445" s="14" t="s">
        <v>1566</v>
      </c>
      <c r="I445" s="14" t="s">
        <v>1567</v>
      </c>
      <c r="J445" s="14">
        <v>2</v>
      </c>
      <c r="K445" s="14" t="s">
        <v>37</v>
      </c>
      <c r="L445" s="14" t="s">
        <v>96</v>
      </c>
      <c r="M445" s="15" t="s">
        <v>58</v>
      </c>
      <c r="N445" s="15" t="s">
        <v>58</v>
      </c>
      <c r="O445" s="15">
        <v>2</v>
      </c>
      <c r="P445" s="15"/>
      <c r="Q445" s="15"/>
      <c r="R445" s="15"/>
      <c r="S445" s="25"/>
      <c r="T445" s="25">
        <v>45888</v>
      </c>
      <c r="U445" s="25">
        <v>45898</v>
      </c>
      <c r="V445" s="15" t="s">
        <v>420</v>
      </c>
      <c r="W445" s="15"/>
      <c r="X445" s="159">
        <v>93.09</v>
      </c>
      <c r="Y445" s="159">
        <f>Table2[[#This Row],[PREÇO UNITARIO]]*Table2[[#This Row],[QUANTIDADE]]</f>
        <v>186.18</v>
      </c>
      <c r="Z445" s="15"/>
      <c r="AA445" s="28">
        <f>MONTH(Table2[[#This Row],[DATA PEDIDO HP]])</f>
        <v>6</v>
      </c>
      <c r="AB445" s="32" t="s">
        <v>60</v>
      </c>
      <c r="AC445" s="5">
        <f t="shared" ca="1" si="6"/>
        <v>46232</v>
      </c>
      <c r="AD445" s="331">
        <f ca="1">_xlfn.DAYS(Table2[[#This Row],[HOJE]],Table2[[#This Row],[DATA PEDIDO HP]])</f>
        <v>401</v>
      </c>
      <c r="AE445" s="5" t="s">
        <v>43</v>
      </c>
    </row>
    <row r="446" spans="1:31" ht="14.45" hidden="1">
      <c r="A446" s="271" t="s">
        <v>1568</v>
      </c>
      <c r="B446" s="26">
        <v>45831</v>
      </c>
      <c r="C446" s="26">
        <v>45831</v>
      </c>
      <c r="D446" s="14" t="s">
        <v>1569</v>
      </c>
      <c r="E446" s="14" t="s">
        <v>73</v>
      </c>
      <c r="F446" s="14" t="s">
        <v>34</v>
      </c>
      <c r="G446" s="14">
        <v>50110372</v>
      </c>
      <c r="H446" s="14" t="s">
        <v>130</v>
      </c>
      <c r="I446" s="14" t="s">
        <v>497</v>
      </c>
      <c r="J446" s="14">
        <v>1</v>
      </c>
      <c r="K446" s="14" t="s">
        <v>37</v>
      </c>
      <c r="L446" s="14" t="s">
        <v>217</v>
      </c>
      <c r="M446" s="15" t="s">
        <v>58</v>
      </c>
      <c r="N446" s="15" t="s">
        <v>39</v>
      </c>
      <c r="O446" s="15">
        <v>0</v>
      </c>
      <c r="P446" s="15">
        <v>1</v>
      </c>
      <c r="Q446" s="15"/>
      <c r="R446" s="15"/>
      <c r="S446" s="25">
        <v>45905</v>
      </c>
      <c r="T446" s="25">
        <v>45888</v>
      </c>
      <c r="U446" s="25">
        <v>45898</v>
      </c>
      <c r="V446" s="15" t="s">
        <v>420</v>
      </c>
      <c r="W446" s="15"/>
      <c r="X446" s="159">
        <v>17.28</v>
      </c>
      <c r="Y446" s="159">
        <f>Table2[[#This Row],[PREÇO UNITARIO]]*Table2[[#This Row],[QUANTIDADE]]</f>
        <v>17.28</v>
      </c>
      <c r="Z446" s="15"/>
      <c r="AA446" s="28">
        <f>MONTH(Table2[[#This Row],[DATA PEDIDO HP]])</f>
        <v>6</v>
      </c>
      <c r="AB446" s="32" t="s">
        <v>42</v>
      </c>
      <c r="AC446" s="5">
        <f t="shared" ca="1" si="6"/>
        <v>46232</v>
      </c>
      <c r="AD446" s="331">
        <f ca="1">_xlfn.DAYS(Table2[[#This Row],[HOJE]],Table2[[#This Row],[DATA PEDIDO HP]])</f>
        <v>401</v>
      </c>
      <c r="AE446" s="336" t="s">
        <v>43</v>
      </c>
    </row>
    <row r="447" spans="1:31" ht="14.45" hidden="1">
      <c r="A447" s="271" t="s">
        <v>1570</v>
      </c>
      <c r="B447" s="26">
        <v>45834</v>
      </c>
      <c r="C447" s="26">
        <v>45834</v>
      </c>
      <c r="D447" s="14" t="s">
        <v>1571</v>
      </c>
      <c r="E447" s="14" t="s">
        <v>85</v>
      </c>
      <c r="F447" s="14" t="s">
        <v>74</v>
      </c>
      <c r="G447" s="14">
        <v>50000260</v>
      </c>
      <c r="H447" s="14" t="s">
        <v>1572</v>
      </c>
      <c r="I447" s="14" t="s">
        <v>1573</v>
      </c>
      <c r="J447" s="14">
        <v>2</v>
      </c>
      <c r="K447" s="14" t="s">
        <v>37</v>
      </c>
      <c r="L447" s="14" t="s">
        <v>1123</v>
      </c>
      <c r="M447" s="15" t="s">
        <v>39</v>
      </c>
      <c r="N447" s="15" t="s">
        <v>89</v>
      </c>
      <c r="O447" s="15">
        <v>0</v>
      </c>
      <c r="P447" s="15">
        <v>2</v>
      </c>
      <c r="Q447" s="15"/>
      <c r="R447" s="15"/>
      <c r="S447" s="25">
        <v>45904</v>
      </c>
      <c r="T447" s="25">
        <v>45888</v>
      </c>
      <c r="U447" s="25">
        <v>45898</v>
      </c>
      <c r="V447" s="15" t="s">
        <v>420</v>
      </c>
      <c r="W447" s="15"/>
      <c r="X447" s="159">
        <v>67.349999999999994</v>
      </c>
      <c r="Y447" s="159">
        <f>Table2[[#This Row],[PREÇO UNITARIO]]*Table2[[#This Row],[QUANTIDADE]]</f>
        <v>134.69999999999999</v>
      </c>
      <c r="Z447" s="15"/>
      <c r="AA447" s="28">
        <f>MONTH(Table2[[#This Row],[DATA PEDIDO HP]])</f>
        <v>6</v>
      </c>
      <c r="AB447" s="32" t="s">
        <v>42</v>
      </c>
      <c r="AC447" s="5">
        <f t="shared" ca="1" si="6"/>
        <v>46232</v>
      </c>
      <c r="AD447" s="331">
        <f ca="1">_xlfn.DAYS(Table2[[#This Row],[HOJE]],Table2[[#This Row],[DATA PEDIDO HP]])</f>
        <v>398</v>
      </c>
      <c r="AE447" s="336" t="s">
        <v>43</v>
      </c>
    </row>
    <row r="448" spans="1:31" ht="14.45" hidden="1">
      <c r="A448" s="271" t="s">
        <v>1574</v>
      </c>
      <c r="B448" s="26">
        <v>45834</v>
      </c>
      <c r="C448" s="26">
        <v>45834</v>
      </c>
      <c r="D448" s="14" t="s">
        <v>1575</v>
      </c>
      <c r="E448" s="14" t="s">
        <v>33</v>
      </c>
      <c r="F448" s="14" t="s">
        <v>34</v>
      </c>
      <c r="G448" s="14">
        <v>50110193</v>
      </c>
      <c r="H448" s="14" t="s">
        <v>887</v>
      </c>
      <c r="I448" s="14" t="s">
        <v>888</v>
      </c>
      <c r="J448" s="14">
        <v>1</v>
      </c>
      <c r="K448" s="14" t="s">
        <v>37</v>
      </c>
      <c r="L448" s="14" t="s">
        <v>48</v>
      </c>
      <c r="M448" s="15" t="s">
        <v>58</v>
      </c>
      <c r="N448" s="15" t="s">
        <v>58</v>
      </c>
      <c r="O448" s="15">
        <v>1</v>
      </c>
      <c r="P448" s="15"/>
      <c r="Q448" s="15"/>
      <c r="R448" s="15"/>
      <c r="S448" s="25"/>
      <c r="T448" s="25">
        <v>45888</v>
      </c>
      <c r="U448" s="25">
        <v>45898</v>
      </c>
      <c r="V448" s="15" t="s">
        <v>420</v>
      </c>
      <c r="W448" s="15"/>
      <c r="X448" s="159">
        <v>512.57000000000005</v>
      </c>
      <c r="Y448" s="159">
        <f>Table2[[#This Row],[PREÇO UNITARIO]]*Table2[[#This Row],[QUANTIDADE]]</f>
        <v>512.57000000000005</v>
      </c>
      <c r="Z448" s="15"/>
      <c r="AA448" s="28">
        <f>MONTH(Table2[[#This Row],[DATA PEDIDO HP]])</f>
        <v>6</v>
      </c>
      <c r="AB448" s="32" t="s">
        <v>42</v>
      </c>
      <c r="AC448" s="5">
        <f t="shared" ca="1" si="6"/>
        <v>46232</v>
      </c>
      <c r="AD448" s="331">
        <f ca="1">_xlfn.DAYS(Table2[[#This Row],[HOJE]],Table2[[#This Row],[DATA PEDIDO HP]])</f>
        <v>398</v>
      </c>
      <c r="AE448" s="5" t="s">
        <v>43</v>
      </c>
    </row>
    <row r="449" spans="1:31" ht="14.45" hidden="1">
      <c r="A449" s="271" t="s">
        <v>1576</v>
      </c>
      <c r="B449" s="26">
        <v>45834</v>
      </c>
      <c r="C449" s="26">
        <v>45834</v>
      </c>
      <c r="D449" s="14" t="s">
        <v>1577</v>
      </c>
      <c r="E449" s="14" t="s">
        <v>1106</v>
      </c>
      <c r="F449" s="14" t="s">
        <v>1107</v>
      </c>
      <c r="G449" s="14">
        <v>51100110</v>
      </c>
      <c r="H449" s="14" t="s">
        <v>1578</v>
      </c>
      <c r="I449" s="14" t="s">
        <v>1579</v>
      </c>
      <c r="J449" s="14">
        <v>1</v>
      </c>
      <c r="K449" s="14" t="s">
        <v>37</v>
      </c>
      <c r="L449" s="14" t="s">
        <v>217</v>
      </c>
      <c r="M449" s="15" t="s">
        <v>58</v>
      </c>
      <c r="N449" s="15" t="s">
        <v>89</v>
      </c>
      <c r="O449" s="15">
        <v>0</v>
      </c>
      <c r="P449" s="15">
        <v>1</v>
      </c>
      <c r="Q449" s="15"/>
      <c r="R449" s="15"/>
      <c r="S449" s="25">
        <v>45902</v>
      </c>
      <c r="T449" s="25">
        <v>45888</v>
      </c>
      <c r="U449" s="25">
        <v>45898</v>
      </c>
      <c r="V449" s="15" t="s">
        <v>420</v>
      </c>
      <c r="W449" s="15"/>
      <c r="X449" s="159">
        <v>92.02</v>
      </c>
      <c r="Y449" s="159">
        <f>Table2[[#This Row],[PREÇO UNITARIO]]*Table2[[#This Row],[QUANTIDADE]]</f>
        <v>92.02</v>
      </c>
      <c r="Z449" s="15"/>
      <c r="AA449" s="32">
        <f>MONTH(Table2[[#This Row],[DATA PEDIDO HP]])</f>
        <v>6</v>
      </c>
      <c r="AB449" s="32" t="s">
        <v>60</v>
      </c>
      <c r="AC449" s="5">
        <f t="shared" ca="1" si="6"/>
        <v>46232</v>
      </c>
      <c r="AD449" s="331">
        <f ca="1">_xlfn.DAYS(Table2[[#This Row],[HOJE]],Table2[[#This Row],[DATA PEDIDO HP]])</f>
        <v>398</v>
      </c>
      <c r="AE449" s="336" t="s">
        <v>43</v>
      </c>
    </row>
    <row r="450" spans="1:31" ht="14.45" hidden="1">
      <c r="A450" s="271" t="s">
        <v>1580</v>
      </c>
      <c r="B450" s="26">
        <v>45834</v>
      </c>
      <c r="C450" s="26">
        <v>45826</v>
      </c>
      <c r="D450" s="14" t="s">
        <v>1581</v>
      </c>
      <c r="E450" s="14" t="s">
        <v>63</v>
      </c>
      <c r="F450" s="14" t="s">
        <v>55</v>
      </c>
      <c r="G450" s="14">
        <v>44000059</v>
      </c>
      <c r="H450" s="14" t="s">
        <v>1439</v>
      </c>
      <c r="I450" s="14" t="s">
        <v>1582</v>
      </c>
      <c r="J450" s="14">
        <v>2</v>
      </c>
      <c r="K450" s="14" t="s">
        <v>37</v>
      </c>
      <c r="L450" s="14" t="s">
        <v>96</v>
      </c>
      <c r="M450" s="15" t="s">
        <v>89</v>
      </c>
      <c r="N450" s="15" t="s">
        <v>39</v>
      </c>
      <c r="O450" s="15">
        <v>0</v>
      </c>
      <c r="P450" s="15">
        <v>2</v>
      </c>
      <c r="Q450" s="15"/>
      <c r="R450" s="15"/>
      <c r="S450" s="25">
        <v>45904</v>
      </c>
      <c r="T450" s="25">
        <v>45888</v>
      </c>
      <c r="U450" s="25">
        <v>45898</v>
      </c>
      <c r="V450" s="15" t="s">
        <v>420</v>
      </c>
      <c r="W450" s="15"/>
      <c r="X450" s="159">
        <v>303.75</v>
      </c>
      <c r="Y450" s="159">
        <f>Table2[[#This Row],[PREÇO UNITARIO]]*Table2[[#This Row],[QUANTIDADE]]</f>
        <v>607.5</v>
      </c>
      <c r="Z450" s="15"/>
      <c r="AA450" s="28">
        <f>MONTH(Table2[[#This Row],[DATA PEDIDO HP]])</f>
        <v>6</v>
      </c>
      <c r="AB450" s="32" t="s">
        <v>60</v>
      </c>
      <c r="AC450" s="5">
        <f t="shared" ref="AC450:AC513" ca="1" si="7">TODAY()</f>
        <v>46232</v>
      </c>
      <c r="AD450" s="331">
        <f ca="1">_xlfn.DAYS(Table2[[#This Row],[HOJE]],Table2[[#This Row],[DATA PEDIDO HP]])</f>
        <v>398</v>
      </c>
      <c r="AE450" s="336" t="s">
        <v>43</v>
      </c>
    </row>
    <row r="451" spans="1:31" ht="14.45" hidden="1">
      <c r="A451" s="271" t="s">
        <v>1583</v>
      </c>
      <c r="B451" s="26">
        <v>45834</v>
      </c>
      <c r="C451" s="26">
        <v>45834</v>
      </c>
      <c r="D451" s="14" t="s">
        <v>1584</v>
      </c>
      <c r="E451" s="14" t="s">
        <v>181</v>
      </c>
      <c r="F451" s="14" t="s">
        <v>34</v>
      </c>
      <c r="G451" s="14">
        <v>50110057</v>
      </c>
      <c r="H451" s="14" t="s">
        <v>1174</v>
      </c>
      <c r="I451" s="14" t="s">
        <v>1322</v>
      </c>
      <c r="J451" s="14">
        <v>4</v>
      </c>
      <c r="K451" s="14" t="s">
        <v>37</v>
      </c>
      <c r="L451" s="14" t="s">
        <v>1123</v>
      </c>
      <c r="M451" s="15" t="s">
        <v>58</v>
      </c>
      <c r="N451" s="15" t="s">
        <v>89</v>
      </c>
      <c r="O451" s="15">
        <v>0</v>
      </c>
      <c r="P451" s="15">
        <v>4</v>
      </c>
      <c r="Q451" s="15"/>
      <c r="R451" s="15"/>
      <c r="S451" s="25">
        <v>45904</v>
      </c>
      <c r="T451" s="25">
        <v>45888</v>
      </c>
      <c r="U451" s="25">
        <v>45898</v>
      </c>
      <c r="V451" s="15" t="s">
        <v>420</v>
      </c>
      <c r="W451" s="15"/>
      <c r="X451" s="159">
        <v>305.67</v>
      </c>
      <c r="Y451" s="159">
        <f>Table2[[#This Row],[PREÇO UNITARIO]]*Table2[[#This Row],[QUANTIDADE]]</f>
        <v>1222.68</v>
      </c>
      <c r="Z451" s="15"/>
      <c r="AA451" s="28">
        <f>MONTH(Table2[[#This Row],[DATA PEDIDO HP]])</f>
        <v>6</v>
      </c>
      <c r="AB451" s="32" t="s">
        <v>42</v>
      </c>
      <c r="AC451" s="5">
        <f t="shared" ca="1" si="7"/>
        <v>46232</v>
      </c>
      <c r="AD451" s="331">
        <f ca="1">_xlfn.DAYS(Table2[[#This Row],[HOJE]],Table2[[#This Row],[DATA PEDIDO HP]])</f>
        <v>398</v>
      </c>
      <c r="AE451" s="336" t="s">
        <v>43</v>
      </c>
    </row>
    <row r="452" spans="1:31" ht="14.45" hidden="1">
      <c r="A452" s="271" t="s">
        <v>1583</v>
      </c>
      <c r="B452" s="26">
        <v>45834</v>
      </c>
      <c r="C452" s="26">
        <v>45834</v>
      </c>
      <c r="D452" s="14" t="s">
        <v>1584</v>
      </c>
      <c r="E452" s="14" t="s">
        <v>181</v>
      </c>
      <c r="F452" s="14" t="s">
        <v>34</v>
      </c>
      <c r="G452" s="14">
        <v>50110057</v>
      </c>
      <c r="H452" s="14" t="s">
        <v>1226</v>
      </c>
      <c r="I452" s="14" t="s">
        <v>1227</v>
      </c>
      <c r="J452" s="14">
        <v>1</v>
      </c>
      <c r="K452" s="14" t="s">
        <v>37</v>
      </c>
      <c r="L452" s="14" t="s">
        <v>1123</v>
      </c>
      <c r="M452" s="15" t="s">
        <v>58</v>
      </c>
      <c r="N452" s="15" t="s">
        <v>89</v>
      </c>
      <c r="O452" s="15">
        <v>0</v>
      </c>
      <c r="P452" s="15">
        <v>1</v>
      </c>
      <c r="Q452" s="15"/>
      <c r="R452" s="15"/>
      <c r="S452" s="25">
        <v>45904</v>
      </c>
      <c r="T452" s="25">
        <v>45888</v>
      </c>
      <c r="U452" s="25">
        <v>45898</v>
      </c>
      <c r="V452" s="15" t="s">
        <v>420</v>
      </c>
      <c r="W452" s="15"/>
      <c r="X452" s="159">
        <v>40.770000000000003</v>
      </c>
      <c r="Y452" s="159">
        <f>Table2[[#This Row],[PREÇO UNITARIO]]*Table2[[#This Row],[QUANTIDADE]]</f>
        <v>40.770000000000003</v>
      </c>
      <c r="Z452" s="15"/>
      <c r="AA452" s="28">
        <f>MONTH(Table2[[#This Row],[DATA PEDIDO HP]])</f>
        <v>6</v>
      </c>
      <c r="AB452" s="32" t="s">
        <v>42</v>
      </c>
      <c r="AC452" s="5">
        <f t="shared" ca="1" si="7"/>
        <v>46232</v>
      </c>
      <c r="AD452" s="331">
        <f ca="1">_xlfn.DAYS(Table2[[#This Row],[HOJE]],Table2[[#This Row],[DATA PEDIDO HP]])</f>
        <v>398</v>
      </c>
      <c r="AE452" s="336" t="s">
        <v>43</v>
      </c>
    </row>
    <row r="453" spans="1:31" ht="14.45" hidden="1">
      <c r="A453" s="271" t="s">
        <v>1583</v>
      </c>
      <c r="B453" s="26">
        <v>45834</v>
      </c>
      <c r="C453" s="26">
        <v>45834</v>
      </c>
      <c r="D453" s="14" t="s">
        <v>1584</v>
      </c>
      <c r="E453" s="14" t="s">
        <v>181</v>
      </c>
      <c r="F453" s="14" t="s">
        <v>34</v>
      </c>
      <c r="G453" s="14">
        <v>50110057</v>
      </c>
      <c r="H453" s="14" t="s">
        <v>114</v>
      </c>
      <c r="I453" s="14" t="s">
        <v>270</v>
      </c>
      <c r="J453" s="14">
        <v>1</v>
      </c>
      <c r="K453" s="14" t="s">
        <v>37</v>
      </c>
      <c r="L453" s="14" t="s">
        <v>1123</v>
      </c>
      <c r="M453" s="15" t="s">
        <v>39</v>
      </c>
      <c r="N453" s="15" t="s">
        <v>89</v>
      </c>
      <c r="O453" s="15">
        <v>0</v>
      </c>
      <c r="P453" s="15">
        <v>1</v>
      </c>
      <c r="Q453" s="15"/>
      <c r="R453" s="15"/>
      <c r="S453" s="25">
        <v>45904</v>
      </c>
      <c r="T453" s="25">
        <v>45888</v>
      </c>
      <c r="U453" s="25">
        <v>45898</v>
      </c>
      <c r="V453" s="15" t="s">
        <v>420</v>
      </c>
      <c r="W453" s="15"/>
      <c r="X453" s="159">
        <v>77.98</v>
      </c>
      <c r="Y453" s="159">
        <f>Table2[[#This Row],[PREÇO UNITARIO]]*Table2[[#This Row],[QUANTIDADE]]</f>
        <v>77.98</v>
      </c>
      <c r="Z453" s="15"/>
      <c r="AA453" s="28">
        <f>MONTH(Table2[[#This Row],[DATA PEDIDO HP]])</f>
        <v>6</v>
      </c>
      <c r="AB453" s="32" t="s">
        <v>42</v>
      </c>
      <c r="AC453" s="5">
        <f t="shared" ca="1" si="7"/>
        <v>46232</v>
      </c>
      <c r="AD453" s="331">
        <f ca="1">_xlfn.DAYS(Table2[[#This Row],[HOJE]],Table2[[#This Row],[DATA PEDIDO HP]])</f>
        <v>398</v>
      </c>
      <c r="AE453" s="336" t="s">
        <v>43</v>
      </c>
    </row>
    <row r="454" spans="1:31" ht="14.45" hidden="1">
      <c r="A454" s="271" t="s">
        <v>1583</v>
      </c>
      <c r="B454" s="26">
        <v>45834</v>
      </c>
      <c r="C454" s="26">
        <v>45834</v>
      </c>
      <c r="D454" s="14" t="s">
        <v>1584</v>
      </c>
      <c r="E454" s="14" t="s">
        <v>181</v>
      </c>
      <c r="F454" s="14" t="s">
        <v>34</v>
      </c>
      <c r="G454" s="14">
        <v>50110057</v>
      </c>
      <c r="H454" s="14" t="s">
        <v>1585</v>
      </c>
      <c r="I454" s="14" t="s">
        <v>1586</v>
      </c>
      <c r="J454" s="14">
        <v>15</v>
      </c>
      <c r="K454" s="14" t="s">
        <v>37</v>
      </c>
      <c r="L454" s="14" t="s">
        <v>38</v>
      </c>
      <c r="M454" s="15" t="s">
        <v>58</v>
      </c>
      <c r="N454" s="15" t="s">
        <v>89</v>
      </c>
      <c r="O454" s="15">
        <v>0</v>
      </c>
      <c r="P454" s="15">
        <v>15</v>
      </c>
      <c r="Q454" s="15"/>
      <c r="R454" s="15"/>
      <c r="S454" s="25">
        <v>45904</v>
      </c>
      <c r="T454" s="25">
        <v>45888</v>
      </c>
      <c r="U454" s="25">
        <v>45898</v>
      </c>
      <c r="V454" s="15" t="s">
        <v>420</v>
      </c>
      <c r="W454" s="15"/>
      <c r="X454" s="159">
        <v>32.79</v>
      </c>
      <c r="Y454" s="159">
        <f>Table2[[#This Row],[PREÇO UNITARIO]]*Table2[[#This Row],[QUANTIDADE]]</f>
        <v>491.84999999999997</v>
      </c>
      <c r="Z454" s="15"/>
      <c r="AA454" s="28">
        <f>MONTH(Table2[[#This Row],[DATA PEDIDO HP]])</f>
        <v>6</v>
      </c>
      <c r="AB454" s="32" t="s">
        <v>42</v>
      </c>
      <c r="AC454" s="5">
        <f t="shared" ca="1" si="7"/>
        <v>46232</v>
      </c>
      <c r="AD454" s="331">
        <f ca="1">_xlfn.DAYS(Table2[[#This Row],[HOJE]],Table2[[#This Row],[DATA PEDIDO HP]])</f>
        <v>398</v>
      </c>
      <c r="AE454" s="336" t="s">
        <v>43</v>
      </c>
    </row>
    <row r="455" spans="1:31" ht="14.45" hidden="1">
      <c r="A455" s="271" t="s">
        <v>1583</v>
      </c>
      <c r="B455" s="26">
        <v>45834</v>
      </c>
      <c r="C455" s="26">
        <v>45834</v>
      </c>
      <c r="D455" s="14" t="s">
        <v>1584</v>
      </c>
      <c r="E455" s="14" t="s">
        <v>181</v>
      </c>
      <c r="F455" s="14" t="s">
        <v>34</v>
      </c>
      <c r="G455" s="14">
        <v>50110057</v>
      </c>
      <c r="H455" s="14" t="s">
        <v>1587</v>
      </c>
      <c r="I455" s="14" t="s">
        <v>1588</v>
      </c>
      <c r="J455" s="14">
        <v>2</v>
      </c>
      <c r="K455" s="14" t="s">
        <v>37</v>
      </c>
      <c r="L455" s="14" t="s">
        <v>38</v>
      </c>
      <c r="M455" s="15" t="s">
        <v>58</v>
      </c>
      <c r="N455" s="15" t="s">
        <v>89</v>
      </c>
      <c r="O455" s="15">
        <v>0</v>
      </c>
      <c r="P455" s="15">
        <v>2</v>
      </c>
      <c r="Q455" s="15"/>
      <c r="R455" s="15"/>
      <c r="S455" s="25">
        <v>45904</v>
      </c>
      <c r="T455" s="25">
        <v>45888</v>
      </c>
      <c r="U455" s="25">
        <v>45898</v>
      </c>
      <c r="V455" s="15" t="s">
        <v>420</v>
      </c>
      <c r="W455" s="15"/>
      <c r="X455" s="159">
        <v>26.85</v>
      </c>
      <c r="Y455" s="159">
        <f>Table2[[#This Row],[PREÇO UNITARIO]]*Table2[[#This Row],[QUANTIDADE]]</f>
        <v>53.7</v>
      </c>
      <c r="Z455" s="15"/>
      <c r="AA455" s="28">
        <f>MONTH(Table2[[#This Row],[DATA PEDIDO HP]])</f>
        <v>6</v>
      </c>
      <c r="AB455" s="32" t="s">
        <v>42</v>
      </c>
      <c r="AC455" s="5">
        <f t="shared" ca="1" si="7"/>
        <v>46232</v>
      </c>
      <c r="AD455" s="331">
        <f ca="1">_xlfn.DAYS(Table2[[#This Row],[HOJE]],Table2[[#This Row],[DATA PEDIDO HP]])</f>
        <v>398</v>
      </c>
      <c r="AE455" s="336" t="s">
        <v>43</v>
      </c>
    </row>
    <row r="456" spans="1:31" ht="14.45" hidden="1">
      <c r="A456" s="271" t="s">
        <v>1589</v>
      </c>
      <c r="B456" s="26">
        <v>45834</v>
      </c>
      <c r="C456" s="26">
        <v>45834</v>
      </c>
      <c r="D456" s="14" t="s">
        <v>1590</v>
      </c>
      <c r="E456" s="14" t="s">
        <v>54</v>
      </c>
      <c r="F456" s="14" t="s">
        <v>55</v>
      </c>
      <c r="G456" s="14">
        <v>44000216</v>
      </c>
      <c r="H456" s="14" t="s">
        <v>1591</v>
      </c>
      <c r="I456" s="14" t="s">
        <v>1592</v>
      </c>
      <c r="J456" s="14">
        <v>1</v>
      </c>
      <c r="K456" s="14" t="s">
        <v>37</v>
      </c>
      <c r="L456" s="14" t="s">
        <v>217</v>
      </c>
      <c r="M456" s="15" t="s">
        <v>58</v>
      </c>
      <c r="N456" s="15" t="s">
        <v>58</v>
      </c>
      <c r="O456" s="15">
        <v>1</v>
      </c>
      <c r="P456" s="15"/>
      <c r="Q456" s="15"/>
      <c r="R456" s="15"/>
      <c r="S456" s="25"/>
      <c r="T456" s="25">
        <v>45888</v>
      </c>
      <c r="U456" s="25">
        <v>45898</v>
      </c>
      <c r="V456" s="15" t="s">
        <v>420</v>
      </c>
      <c r="W456" s="15"/>
      <c r="X456" s="159">
        <v>290.23</v>
      </c>
      <c r="Y456" s="159">
        <f>Table2[[#This Row],[PREÇO UNITARIO]]*Table2[[#This Row],[QUANTIDADE]]</f>
        <v>290.23</v>
      </c>
      <c r="Z456" s="15"/>
      <c r="AA456" s="28">
        <f>MONTH(Table2[[#This Row],[DATA PEDIDO HP]])</f>
        <v>6</v>
      </c>
      <c r="AB456" s="32" t="s">
        <v>60</v>
      </c>
      <c r="AC456" s="5">
        <f t="shared" ca="1" si="7"/>
        <v>46232</v>
      </c>
      <c r="AD456" s="331">
        <f ca="1">_xlfn.DAYS(Table2[[#This Row],[HOJE]],Table2[[#This Row],[DATA PEDIDO HP]])</f>
        <v>398</v>
      </c>
      <c r="AE456" s="5" t="s">
        <v>43</v>
      </c>
    </row>
    <row r="457" spans="1:31" ht="14.45" hidden="1">
      <c r="A457" s="271" t="s">
        <v>1593</v>
      </c>
      <c r="B457" s="26">
        <v>45835</v>
      </c>
      <c r="C457" s="26">
        <v>45835</v>
      </c>
      <c r="D457" s="14" t="s">
        <v>1594</v>
      </c>
      <c r="E457" s="14" t="s">
        <v>73</v>
      </c>
      <c r="F457" s="14" t="s">
        <v>34</v>
      </c>
      <c r="G457" s="14">
        <v>50110372</v>
      </c>
      <c r="H457" s="14" t="s">
        <v>94</v>
      </c>
      <c r="I457" s="14" t="s">
        <v>162</v>
      </c>
      <c r="J457" s="14">
        <v>2</v>
      </c>
      <c r="K457" s="14" t="s">
        <v>37</v>
      </c>
      <c r="L457" s="14" t="s">
        <v>48</v>
      </c>
      <c r="M457" s="15" t="s">
        <v>58</v>
      </c>
      <c r="N457" s="15" t="s">
        <v>58</v>
      </c>
      <c r="O457" s="15">
        <v>2</v>
      </c>
      <c r="P457" s="15"/>
      <c r="Q457" s="15"/>
      <c r="R457" s="15"/>
      <c r="S457" s="25">
        <v>45890</v>
      </c>
      <c r="T457" s="25">
        <v>45888</v>
      </c>
      <c r="U457" s="25">
        <v>45898</v>
      </c>
      <c r="V457" s="15" t="s">
        <v>420</v>
      </c>
      <c r="W457" s="15"/>
      <c r="X457" s="159">
        <v>207.82</v>
      </c>
      <c r="Y457" s="159">
        <f>Table2[[#This Row],[PREÇO UNITARIO]]*Table2[[#This Row],[QUANTIDADE]]</f>
        <v>415.64</v>
      </c>
      <c r="Z457" s="15"/>
      <c r="AA457" s="28">
        <f>MONTH(Table2[[#This Row],[DATA PEDIDO HP]])</f>
        <v>6</v>
      </c>
      <c r="AB457" s="32" t="s">
        <v>42</v>
      </c>
      <c r="AC457" s="5">
        <f t="shared" ca="1" si="7"/>
        <v>46232</v>
      </c>
      <c r="AD457" s="331">
        <f ca="1">_xlfn.DAYS(Table2[[#This Row],[HOJE]],Table2[[#This Row],[DATA PEDIDO HP]])</f>
        <v>397</v>
      </c>
      <c r="AE457" s="336" t="s">
        <v>43</v>
      </c>
    </row>
    <row r="458" spans="1:31" ht="14.45" hidden="1">
      <c r="A458" s="271" t="s">
        <v>1593</v>
      </c>
      <c r="B458" s="26">
        <v>45835</v>
      </c>
      <c r="C458" s="26">
        <v>45835</v>
      </c>
      <c r="D458" s="14" t="s">
        <v>1594</v>
      </c>
      <c r="E458" s="14" t="s">
        <v>73</v>
      </c>
      <c r="F458" s="14" t="s">
        <v>34</v>
      </c>
      <c r="G458" s="14">
        <v>50110372</v>
      </c>
      <c r="H458" s="14" t="s">
        <v>330</v>
      </c>
      <c r="I458" s="14" t="s">
        <v>1595</v>
      </c>
      <c r="J458" s="14">
        <v>1</v>
      </c>
      <c r="K458" s="14" t="s">
        <v>37</v>
      </c>
      <c r="L458" s="14" t="s">
        <v>48</v>
      </c>
      <c r="M458" s="15" t="s">
        <v>58</v>
      </c>
      <c r="N458" s="15" t="s">
        <v>58</v>
      </c>
      <c r="O458" s="15">
        <v>1</v>
      </c>
      <c r="P458" s="15"/>
      <c r="Q458" s="15"/>
      <c r="R458" s="15"/>
      <c r="S458" s="25"/>
      <c r="T458" s="25">
        <v>45888</v>
      </c>
      <c r="U458" s="25">
        <v>45898</v>
      </c>
      <c r="V458" s="15" t="s">
        <v>420</v>
      </c>
      <c r="W458" s="15"/>
      <c r="X458" s="159">
        <v>35.19</v>
      </c>
      <c r="Y458" s="159">
        <f>Table2[[#This Row],[PREÇO UNITARIO]]*Table2[[#This Row],[QUANTIDADE]]</f>
        <v>35.19</v>
      </c>
      <c r="Z458" s="15"/>
      <c r="AA458" s="28">
        <f>MONTH(Table2[[#This Row],[DATA PEDIDO HP]])</f>
        <v>6</v>
      </c>
      <c r="AB458" s="32" t="s">
        <v>42</v>
      </c>
      <c r="AC458" s="5">
        <f t="shared" ca="1" si="7"/>
        <v>46232</v>
      </c>
      <c r="AD458" s="331">
        <f ca="1">_xlfn.DAYS(Table2[[#This Row],[HOJE]],Table2[[#This Row],[DATA PEDIDO HP]])</f>
        <v>397</v>
      </c>
      <c r="AE458" s="5" t="s">
        <v>43</v>
      </c>
    </row>
    <row r="459" spans="1:31" ht="14.45" hidden="1">
      <c r="A459" s="269" t="s">
        <v>1596</v>
      </c>
      <c r="B459" s="26">
        <v>45835</v>
      </c>
      <c r="C459" s="26">
        <v>45835</v>
      </c>
      <c r="D459" s="14" t="s">
        <v>1597</v>
      </c>
      <c r="E459" s="14" t="s">
        <v>118</v>
      </c>
      <c r="F459" s="14" t="s">
        <v>104</v>
      </c>
      <c r="G459" s="14">
        <v>51000174</v>
      </c>
      <c r="H459" s="14" t="s">
        <v>130</v>
      </c>
      <c r="I459" s="14" t="s">
        <v>1544</v>
      </c>
      <c r="J459" s="14">
        <v>2</v>
      </c>
      <c r="K459" s="14" t="s">
        <v>37</v>
      </c>
      <c r="L459" s="14" t="s">
        <v>48</v>
      </c>
      <c r="M459" s="15" t="s">
        <v>58</v>
      </c>
      <c r="N459" s="15" t="s">
        <v>58</v>
      </c>
      <c r="O459" s="15">
        <v>2</v>
      </c>
      <c r="P459" s="15"/>
      <c r="Q459" s="15"/>
      <c r="R459" s="15"/>
      <c r="S459" s="25"/>
      <c r="T459" s="25">
        <v>45888</v>
      </c>
      <c r="U459" s="25">
        <v>45898</v>
      </c>
      <c r="V459" s="15" t="s">
        <v>420</v>
      </c>
      <c r="W459" s="15"/>
      <c r="X459" s="159">
        <v>17.28</v>
      </c>
      <c r="Y459" s="159">
        <f>Table2[[#This Row],[PREÇO UNITARIO]]*Table2[[#This Row],[QUANTIDADE]]</f>
        <v>34.56</v>
      </c>
      <c r="Z459" s="15"/>
      <c r="AA459" s="28">
        <f>MONTH(Table2[[#This Row],[DATA PEDIDO HP]])</f>
        <v>6</v>
      </c>
      <c r="AB459" s="32" t="s">
        <v>60</v>
      </c>
      <c r="AC459" s="5">
        <f t="shared" ca="1" si="7"/>
        <v>46232</v>
      </c>
      <c r="AD459" s="331">
        <f ca="1">_xlfn.DAYS(Table2[[#This Row],[HOJE]],Table2[[#This Row],[DATA PEDIDO HP]])</f>
        <v>397</v>
      </c>
      <c r="AE459" s="5" t="s">
        <v>43</v>
      </c>
    </row>
    <row r="460" spans="1:31" ht="14.45" hidden="1">
      <c r="A460" s="297" t="s">
        <v>1598</v>
      </c>
      <c r="B460" s="26">
        <v>45835</v>
      </c>
      <c r="C460" s="26">
        <v>45835</v>
      </c>
      <c r="D460" s="14" t="s">
        <v>1599</v>
      </c>
      <c r="E460" s="14" t="s">
        <v>73</v>
      </c>
      <c r="F460" s="14" t="s">
        <v>203</v>
      </c>
      <c r="G460" s="14">
        <v>60002095</v>
      </c>
      <c r="H460" s="14" t="s">
        <v>1600</v>
      </c>
      <c r="I460" s="14" t="s">
        <v>1601</v>
      </c>
      <c r="J460" s="14">
        <v>1</v>
      </c>
      <c r="K460" s="14" t="s">
        <v>37</v>
      </c>
      <c r="L460" s="14" t="s">
        <v>96</v>
      </c>
      <c r="M460" s="15" t="s">
        <v>39</v>
      </c>
      <c r="N460" s="15" t="s">
        <v>58</v>
      </c>
      <c r="O460" s="15">
        <v>0</v>
      </c>
      <c r="P460" s="15">
        <v>1</v>
      </c>
      <c r="Q460" s="15"/>
      <c r="R460" s="15" t="s">
        <v>1602</v>
      </c>
      <c r="S460" s="25">
        <v>45996</v>
      </c>
      <c r="T460" s="25">
        <v>45979</v>
      </c>
      <c r="U460" s="25">
        <v>45993</v>
      </c>
      <c r="V460" s="15" t="s">
        <v>1290</v>
      </c>
      <c r="W460" s="15"/>
      <c r="X460" s="159">
        <v>810.76</v>
      </c>
      <c r="Y460" s="159">
        <f>Table2[[#This Row],[PREÇO UNITARIO]]*Table2[[#This Row],[QUANTIDADE]]</f>
        <v>810.76</v>
      </c>
      <c r="Z460" s="201">
        <v>45923</v>
      </c>
      <c r="AA460" s="32">
        <f>MONTH(Table2[[#This Row],[DATA PEDIDO HP]])</f>
        <v>6</v>
      </c>
      <c r="AB460" s="32" t="s">
        <v>42</v>
      </c>
      <c r="AC460" s="5">
        <f t="shared" ca="1" si="7"/>
        <v>46232</v>
      </c>
      <c r="AD460" s="331">
        <f ca="1">_xlfn.DAYS(Table2[[#This Row],[HOJE]],Table2[[#This Row],[DATA PEDIDO HP]])</f>
        <v>397</v>
      </c>
      <c r="AE460" s="336" t="s">
        <v>43</v>
      </c>
    </row>
    <row r="461" spans="1:31" ht="14.45" hidden="1">
      <c r="A461" s="269" t="s">
        <v>1603</v>
      </c>
      <c r="B461" s="26">
        <v>45838</v>
      </c>
      <c r="C461" s="26">
        <v>45838</v>
      </c>
      <c r="D461" s="14" t="s">
        <v>1604</v>
      </c>
      <c r="E461" s="14" t="s">
        <v>73</v>
      </c>
      <c r="F461" s="14" t="s">
        <v>34</v>
      </c>
      <c r="G461" s="14">
        <v>50110372</v>
      </c>
      <c r="H461" s="14" t="s">
        <v>75</v>
      </c>
      <c r="I461" s="14" t="s">
        <v>1166</v>
      </c>
      <c r="J461" s="14">
        <v>1</v>
      </c>
      <c r="K461" s="14" t="s">
        <v>67</v>
      </c>
      <c r="L461" s="14" t="s">
        <v>48</v>
      </c>
      <c r="M461" s="15" t="s">
        <v>58</v>
      </c>
      <c r="N461" s="15" t="s">
        <v>89</v>
      </c>
      <c r="O461" s="15">
        <v>0</v>
      </c>
      <c r="P461" s="15">
        <v>1</v>
      </c>
      <c r="Q461" s="15"/>
      <c r="R461" s="15"/>
      <c r="S461" s="25">
        <v>45905</v>
      </c>
      <c r="T461" s="25">
        <v>45888</v>
      </c>
      <c r="U461" s="25">
        <v>45898</v>
      </c>
      <c r="V461" s="15" t="s">
        <v>420</v>
      </c>
      <c r="W461" s="15"/>
      <c r="X461" s="159">
        <v>1187.4100000000001</v>
      </c>
      <c r="Y461" s="159">
        <f>Table2[[#This Row],[PREÇO UNITARIO]]*Table2[[#This Row],[QUANTIDADE]]</f>
        <v>1187.4100000000001</v>
      </c>
      <c r="Z461" s="15"/>
      <c r="AA461" s="28">
        <f>MONTH(Table2[[#This Row],[DATA PEDIDO HP]])</f>
        <v>6</v>
      </c>
      <c r="AB461" s="32" t="s">
        <v>42</v>
      </c>
      <c r="AC461" s="5">
        <f t="shared" ca="1" si="7"/>
        <v>46232</v>
      </c>
      <c r="AD461" s="331">
        <f ca="1">_xlfn.DAYS(Table2[[#This Row],[HOJE]],Table2[[#This Row],[DATA PEDIDO HP]])</f>
        <v>394</v>
      </c>
      <c r="AE461" s="336" t="s">
        <v>43</v>
      </c>
    </row>
    <row r="462" spans="1:31" ht="14.45" hidden="1">
      <c r="A462" s="269" t="s">
        <v>1605</v>
      </c>
      <c r="B462" s="26">
        <v>45838</v>
      </c>
      <c r="C462" s="26">
        <v>45828</v>
      </c>
      <c r="D462" s="14" t="s">
        <v>1606</v>
      </c>
      <c r="E462" s="14" t="s">
        <v>33</v>
      </c>
      <c r="F462" s="14" t="s">
        <v>34</v>
      </c>
      <c r="G462" s="14">
        <v>50110193</v>
      </c>
      <c r="H462" s="14" t="s">
        <v>1607</v>
      </c>
      <c r="I462" s="14" t="s">
        <v>1608</v>
      </c>
      <c r="J462" s="14">
        <v>1</v>
      </c>
      <c r="K462" s="14" t="s">
        <v>37</v>
      </c>
      <c r="L462" s="14" t="s">
        <v>96</v>
      </c>
      <c r="M462" s="15" t="s">
        <v>58</v>
      </c>
      <c r="N462" s="15" t="s">
        <v>89</v>
      </c>
      <c r="O462" s="15">
        <v>0</v>
      </c>
      <c r="P462" s="15">
        <v>1</v>
      </c>
      <c r="Q462" s="15"/>
      <c r="R462" s="15" t="s">
        <v>1609</v>
      </c>
      <c r="S462" s="25">
        <v>45936</v>
      </c>
      <c r="T462" s="25">
        <v>45927</v>
      </c>
      <c r="U462" s="25">
        <v>45932</v>
      </c>
      <c r="V462" s="15" t="s">
        <v>1153</v>
      </c>
      <c r="W462" s="15"/>
      <c r="X462" s="159">
        <v>77</v>
      </c>
      <c r="Y462" s="159">
        <f>Table2[[#This Row],[PREÇO UNITARIO]]*Table2[[#This Row],[QUANTIDADE]]</f>
        <v>77</v>
      </c>
      <c r="Z462" s="15"/>
      <c r="AA462" s="28">
        <f>MONTH(Table2[[#This Row],[DATA PEDIDO HP]])</f>
        <v>6</v>
      </c>
      <c r="AB462" s="32" t="s">
        <v>42</v>
      </c>
      <c r="AC462" s="5">
        <f t="shared" ca="1" si="7"/>
        <v>46232</v>
      </c>
      <c r="AD462" s="331">
        <f ca="1">_xlfn.DAYS(Table2[[#This Row],[HOJE]],Table2[[#This Row],[DATA PEDIDO HP]])</f>
        <v>394</v>
      </c>
      <c r="AE462" s="336" t="s">
        <v>43</v>
      </c>
    </row>
    <row r="463" spans="1:31" ht="14.45" hidden="1">
      <c r="A463" s="271" t="s">
        <v>1610</v>
      </c>
      <c r="B463" s="26">
        <v>45839</v>
      </c>
      <c r="C463" s="26">
        <v>45821</v>
      </c>
      <c r="D463" s="14" t="s">
        <v>1611</v>
      </c>
      <c r="E463" s="14" t="s">
        <v>225</v>
      </c>
      <c r="F463" s="14" t="s">
        <v>34</v>
      </c>
      <c r="G463" s="14">
        <v>50110261</v>
      </c>
      <c r="H463" s="14" t="s">
        <v>245</v>
      </c>
      <c r="I463" s="14" t="s">
        <v>1612</v>
      </c>
      <c r="J463" s="14">
        <v>4</v>
      </c>
      <c r="K463" s="14" t="s">
        <v>37</v>
      </c>
      <c r="L463" s="14" t="s">
        <v>96</v>
      </c>
      <c r="M463" s="15" t="s">
        <v>58</v>
      </c>
      <c r="N463" s="15" t="s">
        <v>89</v>
      </c>
      <c r="O463" s="15">
        <v>0</v>
      </c>
      <c r="P463" s="15">
        <v>4</v>
      </c>
      <c r="Q463" s="15"/>
      <c r="R463" s="15" t="s">
        <v>247</v>
      </c>
      <c r="S463" s="25">
        <v>45902</v>
      </c>
      <c r="T463" s="25">
        <v>45888</v>
      </c>
      <c r="U463" s="25">
        <v>45898</v>
      </c>
      <c r="V463" s="15" t="s">
        <v>420</v>
      </c>
      <c r="W463" s="15"/>
      <c r="X463" s="159">
        <v>80.180000000000007</v>
      </c>
      <c r="Y463" s="159">
        <f>Table2[[#This Row],[PREÇO UNITARIO]]*Table2[[#This Row],[QUANTIDADE]]</f>
        <v>320.72000000000003</v>
      </c>
      <c r="Z463" s="15"/>
      <c r="AA463" s="28">
        <f>MONTH(Table2[[#This Row],[DATA PEDIDO HP]])</f>
        <v>7</v>
      </c>
      <c r="AB463" s="32" t="s">
        <v>60</v>
      </c>
      <c r="AC463" s="5">
        <f t="shared" ca="1" si="7"/>
        <v>46232</v>
      </c>
      <c r="AD463" s="331">
        <f ca="1">_xlfn.DAYS(Table2[[#This Row],[HOJE]],Table2[[#This Row],[DATA PEDIDO HP]])</f>
        <v>393</v>
      </c>
      <c r="AE463" s="336" t="s">
        <v>43</v>
      </c>
    </row>
    <row r="464" spans="1:31" ht="14.45" hidden="1">
      <c r="A464" s="271" t="s">
        <v>1613</v>
      </c>
      <c r="B464" s="26">
        <v>45839</v>
      </c>
      <c r="C464" s="26">
        <v>45821</v>
      </c>
      <c r="D464" s="14" t="s">
        <v>1614</v>
      </c>
      <c r="E464" s="14" t="s">
        <v>225</v>
      </c>
      <c r="F464" s="14" t="s">
        <v>34</v>
      </c>
      <c r="G464" s="14">
        <v>50110261</v>
      </c>
      <c r="H464" s="14" t="s">
        <v>1615</v>
      </c>
      <c r="I464" s="14" t="s">
        <v>1616</v>
      </c>
      <c r="J464" s="14">
        <v>1</v>
      </c>
      <c r="K464" s="14" t="s">
        <v>37</v>
      </c>
      <c r="L464" s="14" t="s">
        <v>96</v>
      </c>
      <c r="M464" s="15" t="s">
        <v>58</v>
      </c>
      <c r="N464" s="15" t="s">
        <v>58</v>
      </c>
      <c r="O464" s="15">
        <v>1</v>
      </c>
      <c r="P464" s="15">
        <v>1</v>
      </c>
      <c r="Q464" s="15"/>
      <c r="R464" s="15"/>
      <c r="S464" s="25"/>
      <c r="T464" s="25">
        <v>45888</v>
      </c>
      <c r="U464" s="25">
        <v>45898</v>
      </c>
      <c r="V464" s="15" t="s">
        <v>420</v>
      </c>
      <c r="W464" s="15"/>
      <c r="X464" s="159">
        <v>189.6</v>
      </c>
      <c r="Y464" s="159">
        <f>Table2[[#This Row],[PREÇO UNITARIO]]*Table2[[#This Row],[QUANTIDADE]]</f>
        <v>189.6</v>
      </c>
      <c r="Z464" s="15"/>
      <c r="AA464" s="28">
        <f>MONTH(Table2[[#This Row],[DATA PEDIDO HP]])</f>
        <v>7</v>
      </c>
      <c r="AB464" s="32" t="s">
        <v>60</v>
      </c>
      <c r="AC464" s="5">
        <f t="shared" ca="1" si="7"/>
        <v>46232</v>
      </c>
      <c r="AD464" s="331">
        <f ca="1">_xlfn.DAYS(Table2[[#This Row],[HOJE]],Table2[[#This Row],[DATA PEDIDO HP]])</f>
        <v>393</v>
      </c>
      <c r="AE464" s="5" t="s">
        <v>43</v>
      </c>
    </row>
    <row r="465" spans="1:31" ht="14.45" hidden="1">
      <c r="A465" s="271" t="s">
        <v>1617</v>
      </c>
      <c r="B465" s="26">
        <v>45839</v>
      </c>
      <c r="C465" s="26">
        <v>45839</v>
      </c>
      <c r="D465" s="14" t="s">
        <v>1618</v>
      </c>
      <c r="E465" s="14" t="s">
        <v>33</v>
      </c>
      <c r="F465" s="14" t="s">
        <v>34</v>
      </c>
      <c r="G465" s="14">
        <v>50110193</v>
      </c>
      <c r="H465" s="14" t="s">
        <v>114</v>
      </c>
      <c r="I465" s="14" t="s">
        <v>1466</v>
      </c>
      <c r="J465" s="14">
        <v>1</v>
      </c>
      <c r="K465" s="14" t="s">
        <v>37</v>
      </c>
      <c r="L465" s="14" t="s">
        <v>48</v>
      </c>
      <c r="M465" s="15" t="s">
        <v>58</v>
      </c>
      <c r="N465" s="15" t="s">
        <v>39</v>
      </c>
      <c r="O465" s="15">
        <v>1</v>
      </c>
      <c r="P465" s="15">
        <v>1</v>
      </c>
      <c r="Q465" s="15"/>
      <c r="R465" s="15"/>
      <c r="S465" s="25">
        <v>45903</v>
      </c>
      <c r="T465" s="25">
        <v>45888</v>
      </c>
      <c r="U465" s="25">
        <v>45898</v>
      </c>
      <c r="V465" s="15" t="s">
        <v>420</v>
      </c>
      <c r="W465" s="15"/>
      <c r="X465" s="159">
        <v>77.98</v>
      </c>
      <c r="Y465" s="159">
        <f>Table2[[#This Row],[PREÇO UNITARIO]]*Table2[[#This Row],[QUANTIDADE]]</f>
        <v>77.98</v>
      </c>
      <c r="Z465" s="15"/>
      <c r="AA465" s="28">
        <f>MONTH(Table2[[#This Row],[DATA PEDIDO HP]])</f>
        <v>7</v>
      </c>
      <c r="AB465" s="32" t="s">
        <v>42</v>
      </c>
      <c r="AC465" s="5">
        <f t="shared" ca="1" si="7"/>
        <v>46232</v>
      </c>
      <c r="AD465" s="331">
        <f ca="1">_xlfn.DAYS(Table2[[#This Row],[HOJE]],Table2[[#This Row],[DATA PEDIDO HP]])</f>
        <v>393</v>
      </c>
      <c r="AE465" s="336" t="s">
        <v>43</v>
      </c>
    </row>
    <row r="466" spans="1:31" ht="14.45" hidden="1">
      <c r="A466" s="271" t="s">
        <v>1619</v>
      </c>
      <c r="B466" s="26">
        <v>45840</v>
      </c>
      <c r="C466" s="26">
        <v>45840</v>
      </c>
      <c r="D466" s="14" t="s">
        <v>1620</v>
      </c>
      <c r="E466" s="14" t="s">
        <v>63</v>
      </c>
      <c r="F466" s="14" t="s">
        <v>173</v>
      </c>
      <c r="G466" s="14">
        <v>48300301</v>
      </c>
      <c r="H466" s="14" t="s">
        <v>1621</v>
      </c>
      <c r="I466" s="14" t="s">
        <v>1622</v>
      </c>
      <c r="J466" s="14">
        <v>1</v>
      </c>
      <c r="K466" s="14" t="s">
        <v>37</v>
      </c>
      <c r="L466" s="14" t="s">
        <v>48</v>
      </c>
      <c r="M466" s="15" t="s">
        <v>58</v>
      </c>
      <c r="N466" s="15" t="s">
        <v>58</v>
      </c>
      <c r="O466" s="15">
        <v>1</v>
      </c>
      <c r="P466" s="15">
        <v>1</v>
      </c>
      <c r="Q466" s="15"/>
      <c r="R466" s="15"/>
      <c r="S466" s="25"/>
      <c r="T466" s="25">
        <v>45888</v>
      </c>
      <c r="U466" s="25">
        <v>45898</v>
      </c>
      <c r="V466" s="15" t="s">
        <v>420</v>
      </c>
      <c r="W466" s="15"/>
      <c r="X466" s="159">
        <v>169.84</v>
      </c>
      <c r="Y466" s="159">
        <f>Table2[[#This Row],[PREÇO UNITARIO]]*Table2[[#This Row],[QUANTIDADE]]</f>
        <v>169.84</v>
      </c>
      <c r="Z466" s="15"/>
      <c r="AA466" s="28">
        <f>MONTH(Table2[[#This Row],[DATA PEDIDO HP]])</f>
        <v>7</v>
      </c>
      <c r="AB466" s="32" t="s">
        <v>60</v>
      </c>
      <c r="AC466" s="5">
        <f t="shared" ca="1" si="7"/>
        <v>46232</v>
      </c>
      <c r="AD466" s="331">
        <f ca="1">_xlfn.DAYS(Table2[[#This Row],[HOJE]],Table2[[#This Row],[DATA PEDIDO HP]])</f>
        <v>392</v>
      </c>
      <c r="AE466" s="5" t="s">
        <v>43</v>
      </c>
    </row>
    <row r="467" spans="1:31" ht="14.45" hidden="1">
      <c r="A467" s="271" t="s">
        <v>1619</v>
      </c>
      <c r="B467" s="26">
        <v>45840</v>
      </c>
      <c r="C467" s="26">
        <v>45840</v>
      </c>
      <c r="D467" s="14" t="s">
        <v>1620</v>
      </c>
      <c r="E467" s="14" t="s">
        <v>63</v>
      </c>
      <c r="F467" s="14" t="s">
        <v>173</v>
      </c>
      <c r="G467" s="14">
        <v>48300301</v>
      </c>
      <c r="H467" s="14" t="s">
        <v>736</v>
      </c>
      <c r="I467" s="14" t="s">
        <v>1145</v>
      </c>
      <c r="J467" s="14">
        <v>1</v>
      </c>
      <c r="K467" s="14" t="s">
        <v>37</v>
      </c>
      <c r="L467" s="14" t="s">
        <v>48</v>
      </c>
      <c r="M467" s="15" t="s">
        <v>89</v>
      </c>
      <c r="N467" s="15" t="s">
        <v>58</v>
      </c>
      <c r="O467" s="15">
        <v>1</v>
      </c>
      <c r="P467" s="15">
        <v>1</v>
      </c>
      <c r="Q467" s="15"/>
      <c r="R467" s="15"/>
      <c r="S467" s="25"/>
      <c r="T467" s="25">
        <v>45888</v>
      </c>
      <c r="U467" s="25">
        <v>45898</v>
      </c>
      <c r="V467" s="15" t="s">
        <v>420</v>
      </c>
      <c r="W467" s="15"/>
      <c r="X467" s="159">
        <v>180.46</v>
      </c>
      <c r="Y467" s="159">
        <f>Table2[[#This Row],[PREÇO UNITARIO]]*Table2[[#This Row],[QUANTIDADE]]</f>
        <v>180.46</v>
      </c>
      <c r="Z467" s="15"/>
      <c r="AA467" s="28">
        <f>MONTH(Table2[[#This Row],[DATA PEDIDO HP]])</f>
        <v>7</v>
      </c>
      <c r="AB467" s="32" t="s">
        <v>60</v>
      </c>
      <c r="AC467" s="5">
        <f t="shared" ca="1" si="7"/>
        <v>46232</v>
      </c>
      <c r="AD467" s="331">
        <f ca="1">_xlfn.DAYS(Table2[[#This Row],[HOJE]],Table2[[#This Row],[DATA PEDIDO HP]])</f>
        <v>392</v>
      </c>
      <c r="AE467" s="5" t="s">
        <v>43</v>
      </c>
    </row>
    <row r="468" spans="1:31" ht="14.45" hidden="1">
      <c r="A468" s="271" t="s">
        <v>1623</v>
      </c>
      <c r="B468" s="26">
        <v>45841</v>
      </c>
      <c r="C468" s="26">
        <v>45839</v>
      </c>
      <c r="D468" s="14" t="s">
        <v>1624</v>
      </c>
      <c r="E468" s="14" t="s">
        <v>109</v>
      </c>
      <c r="F468" s="14" t="s">
        <v>34</v>
      </c>
      <c r="G468" s="14">
        <v>50110229</v>
      </c>
      <c r="H468" s="14" t="s">
        <v>1625</v>
      </c>
      <c r="I468" s="14" t="s">
        <v>1626</v>
      </c>
      <c r="J468" s="14">
        <v>1</v>
      </c>
      <c r="K468" s="14" t="s">
        <v>37</v>
      </c>
      <c r="L468" s="14" t="s">
        <v>48</v>
      </c>
      <c r="M468" s="15" t="s">
        <v>58</v>
      </c>
      <c r="N468" s="15" t="s">
        <v>39</v>
      </c>
      <c r="O468" s="15">
        <v>1</v>
      </c>
      <c r="P468" s="15">
        <v>1</v>
      </c>
      <c r="Q468" s="15"/>
      <c r="R468" s="15"/>
      <c r="S468" s="25">
        <v>45904</v>
      </c>
      <c r="T468" s="25">
        <v>45888</v>
      </c>
      <c r="U468" s="25">
        <v>45898</v>
      </c>
      <c r="V468" s="15" t="s">
        <v>420</v>
      </c>
      <c r="W468" s="15"/>
      <c r="X468" s="159">
        <v>99.45</v>
      </c>
      <c r="Y468" s="159">
        <f>Table2[[#This Row],[PREÇO UNITARIO]]*Table2[[#This Row],[QUANTIDADE]]</f>
        <v>99.45</v>
      </c>
      <c r="Z468" s="15"/>
      <c r="AA468" s="28">
        <f>MONTH(Table2[[#This Row],[DATA PEDIDO HP]])</f>
        <v>7</v>
      </c>
      <c r="AB468" s="32" t="s">
        <v>42</v>
      </c>
      <c r="AC468" s="5">
        <f t="shared" ca="1" si="7"/>
        <v>46232</v>
      </c>
      <c r="AD468" s="331">
        <f ca="1">_xlfn.DAYS(Table2[[#This Row],[HOJE]],Table2[[#This Row],[DATA PEDIDO HP]])</f>
        <v>391</v>
      </c>
      <c r="AE468" s="336" t="s">
        <v>43</v>
      </c>
    </row>
    <row r="469" spans="1:31" ht="14.45" hidden="1">
      <c r="A469" s="271" t="s">
        <v>1627</v>
      </c>
      <c r="B469" s="26">
        <v>45842</v>
      </c>
      <c r="C469" s="26">
        <v>45839</v>
      </c>
      <c r="D469" s="14" t="s">
        <v>1628</v>
      </c>
      <c r="E469" s="14" t="s">
        <v>63</v>
      </c>
      <c r="F469" s="14" t="s">
        <v>173</v>
      </c>
      <c r="G469" s="14">
        <v>48300301</v>
      </c>
      <c r="H469" s="14" t="s">
        <v>1629</v>
      </c>
      <c r="I469" s="14" t="s">
        <v>1630</v>
      </c>
      <c r="J469" s="14">
        <v>1</v>
      </c>
      <c r="K469" s="14" t="s">
        <v>37</v>
      </c>
      <c r="L469" s="14" t="s">
        <v>48</v>
      </c>
      <c r="M469" s="15" t="s">
        <v>89</v>
      </c>
      <c r="N469" s="15" t="s">
        <v>58</v>
      </c>
      <c r="O469" s="15">
        <v>1</v>
      </c>
      <c r="P469" s="15">
        <v>1</v>
      </c>
      <c r="Q469" s="15"/>
      <c r="R469" s="15"/>
      <c r="S469" s="25"/>
      <c r="T469" s="25">
        <v>45888</v>
      </c>
      <c r="U469" s="25">
        <v>45898</v>
      </c>
      <c r="V469" s="15" t="s">
        <v>420</v>
      </c>
      <c r="W469" s="15"/>
      <c r="X469" s="159">
        <v>167.85</v>
      </c>
      <c r="Y469" s="159">
        <f>Table2[[#This Row],[PREÇO UNITARIO]]*Table2[[#This Row],[QUANTIDADE]]</f>
        <v>167.85</v>
      </c>
      <c r="Z469" s="15"/>
      <c r="AA469" s="28">
        <f>MONTH(Table2[[#This Row],[DATA PEDIDO HP]])</f>
        <v>7</v>
      </c>
      <c r="AB469" s="32" t="s">
        <v>60</v>
      </c>
      <c r="AC469" s="5">
        <f t="shared" ca="1" si="7"/>
        <v>46232</v>
      </c>
      <c r="AD469" s="331">
        <f ca="1">_xlfn.DAYS(Table2[[#This Row],[HOJE]],Table2[[#This Row],[DATA PEDIDO HP]])</f>
        <v>390</v>
      </c>
      <c r="AE469" s="5" t="s">
        <v>43</v>
      </c>
    </row>
    <row r="470" spans="1:31" s="52" customFormat="1" ht="14.45" hidden="1">
      <c r="A470" s="272" t="s">
        <v>1631</v>
      </c>
      <c r="B470" s="228">
        <v>45841</v>
      </c>
      <c r="C470" s="273">
        <v>45846</v>
      </c>
      <c r="D470" s="229" t="s">
        <v>1632</v>
      </c>
      <c r="E470" s="229" t="s">
        <v>982</v>
      </c>
      <c r="F470" s="229" t="s">
        <v>1633</v>
      </c>
      <c r="G470" s="229">
        <v>50200003</v>
      </c>
      <c r="H470" s="229"/>
      <c r="I470" s="229"/>
      <c r="J470" s="229">
        <v>1</v>
      </c>
      <c r="K470" s="229" t="s">
        <v>37</v>
      </c>
      <c r="L470" s="229"/>
      <c r="M470" s="15" t="s">
        <v>58</v>
      </c>
      <c r="N470" s="15" t="s">
        <v>384</v>
      </c>
      <c r="O470" s="230">
        <v>0</v>
      </c>
      <c r="P470" s="230">
        <v>1</v>
      </c>
      <c r="Q470" s="230"/>
      <c r="R470" s="230"/>
      <c r="S470" s="228">
        <v>45903</v>
      </c>
      <c r="T470" s="228">
        <v>45888</v>
      </c>
      <c r="U470" s="228">
        <v>45898</v>
      </c>
      <c r="V470" s="230" t="s">
        <v>420</v>
      </c>
      <c r="W470" s="230"/>
      <c r="X470" s="231"/>
      <c r="Y470" s="231"/>
      <c r="Z470" s="229" t="s">
        <v>1634</v>
      </c>
      <c r="AA470" s="232">
        <f>MONTH(Table2[[#This Row],[DATA PEDIDO HP]])</f>
        <v>7</v>
      </c>
      <c r="AB470" s="32"/>
      <c r="AC470" s="5">
        <f t="shared" ca="1" si="7"/>
        <v>46232</v>
      </c>
      <c r="AD470" s="331">
        <f ca="1">_xlfn.DAYS(Table2[[#This Row],[HOJE]],Table2[[#This Row],[DATA PEDIDO HP]])</f>
        <v>391</v>
      </c>
      <c r="AE470" s="336" t="s">
        <v>43</v>
      </c>
    </row>
    <row r="471" spans="1:31" ht="14.45" hidden="1">
      <c r="A471" s="271" t="s">
        <v>1635</v>
      </c>
      <c r="B471" s="26">
        <v>45845</v>
      </c>
      <c r="C471" s="26">
        <v>45845</v>
      </c>
      <c r="D471" s="14" t="s">
        <v>1636</v>
      </c>
      <c r="E471" s="14" t="s">
        <v>79</v>
      </c>
      <c r="F471" s="14" t="s">
        <v>74</v>
      </c>
      <c r="G471" s="14">
        <v>50000530</v>
      </c>
      <c r="H471" s="14" t="s">
        <v>766</v>
      </c>
      <c r="I471" s="14" t="s">
        <v>767</v>
      </c>
      <c r="J471" s="14">
        <v>1</v>
      </c>
      <c r="K471" s="14" t="s">
        <v>37</v>
      </c>
      <c r="L471" s="197" t="s">
        <v>96</v>
      </c>
      <c r="M471" s="15" t="s">
        <v>89</v>
      </c>
      <c r="N471" s="15" t="s">
        <v>89</v>
      </c>
      <c r="O471" s="15">
        <v>0</v>
      </c>
      <c r="P471" s="15">
        <v>1</v>
      </c>
      <c r="Q471" s="15"/>
      <c r="R471" s="15"/>
      <c r="S471" s="25">
        <v>45903</v>
      </c>
      <c r="T471" s="25">
        <v>45888</v>
      </c>
      <c r="U471" s="25">
        <v>45898</v>
      </c>
      <c r="V471" s="15" t="s">
        <v>420</v>
      </c>
      <c r="W471" s="15"/>
      <c r="X471" s="159">
        <v>101.4</v>
      </c>
      <c r="Y471" s="159">
        <f>Table2[[#This Row],[PREÇO UNITARIO]]*Table2[[#This Row],[QUANTIDADE]]</f>
        <v>101.4</v>
      </c>
      <c r="Z471" s="15"/>
      <c r="AA471" s="28">
        <f>MONTH(Table2[[#This Row],[DATA PEDIDO HP]])</f>
        <v>7</v>
      </c>
      <c r="AB471" s="32" t="s">
        <v>60</v>
      </c>
      <c r="AC471" s="5">
        <f t="shared" ca="1" si="7"/>
        <v>46232</v>
      </c>
      <c r="AD471" s="331">
        <f ca="1">_xlfn.DAYS(Table2[[#This Row],[HOJE]],Table2[[#This Row],[DATA PEDIDO HP]])</f>
        <v>387</v>
      </c>
      <c r="AE471" s="336" t="s">
        <v>43</v>
      </c>
    </row>
    <row r="472" spans="1:31" ht="14.45" hidden="1">
      <c r="A472" s="271" t="s">
        <v>1635</v>
      </c>
      <c r="B472" s="26">
        <v>45845</v>
      </c>
      <c r="C472" s="26">
        <v>45845</v>
      </c>
      <c r="D472" s="14" t="s">
        <v>1636</v>
      </c>
      <c r="E472" s="14" t="s">
        <v>79</v>
      </c>
      <c r="F472" s="14" t="s">
        <v>74</v>
      </c>
      <c r="G472" s="14">
        <v>50000530</v>
      </c>
      <c r="H472" s="14" t="s">
        <v>1637</v>
      </c>
      <c r="I472" s="14" t="s">
        <v>1638</v>
      </c>
      <c r="J472" s="14">
        <v>1</v>
      </c>
      <c r="K472" s="14" t="s">
        <v>37</v>
      </c>
      <c r="L472" s="14" t="s">
        <v>96</v>
      </c>
      <c r="M472" s="15" t="s">
        <v>58</v>
      </c>
      <c r="N472" s="15" t="s">
        <v>89</v>
      </c>
      <c r="O472" s="15">
        <v>0</v>
      </c>
      <c r="P472" s="15">
        <v>1</v>
      </c>
      <c r="Q472" s="15"/>
      <c r="R472" s="15" t="s">
        <v>1639</v>
      </c>
      <c r="S472" s="25">
        <v>45903</v>
      </c>
      <c r="T472" s="25">
        <v>45888</v>
      </c>
      <c r="U472" s="25">
        <v>45898</v>
      </c>
      <c r="V472" s="15" t="s">
        <v>420</v>
      </c>
      <c r="W472" s="15"/>
      <c r="X472" s="159">
        <v>443.27</v>
      </c>
      <c r="Y472" s="159">
        <f>Table2[[#This Row],[PREÇO UNITARIO]]*Table2[[#This Row],[QUANTIDADE]]</f>
        <v>443.27</v>
      </c>
      <c r="Z472" s="15"/>
      <c r="AA472" s="28">
        <f>MONTH(Table2[[#This Row],[DATA PEDIDO HP]])</f>
        <v>7</v>
      </c>
      <c r="AB472" s="32" t="s">
        <v>60</v>
      </c>
      <c r="AC472" s="5">
        <f t="shared" ca="1" si="7"/>
        <v>46232</v>
      </c>
      <c r="AD472" s="331">
        <f ca="1">_xlfn.DAYS(Table2[[#This Row],[HOJE]],Table2[[#This Row],[DATA PEDIDO HP]])</f>
        <v>387</v>
      </c>
      <c r="AE472" s="336" t="s">
        <v>43</v>
      </c>
    </row>
    <row r="473" spans="1:31" ht="14.45" hidden="1">
      <c r="A473" s="271" t="s">
        <v>1640</v>
      </c>
      <c r="B473" s="26">
        <v>45846</v>
      </c>
      <c r="C473" s="26">
        <v>45846</v>
      </c>
      <c r="D473" s="14" t="s">
        <v>1641</v>
      </c>
      <c r="E473" s="14" t="s">
        <v>152</v>
      </c>
      <c r="F473" s="14" t="s">
        <v>64</v>
      </c>
      <c r="G473" s="14">
        <v>48000482</v>
      </c>
      <c r="H473" s="14" t="s">
        <v>1642</v>
      </c>
      <c r="I473" s="14" t="s">
        <v>1643</v>
      </c>
      <c r="J473" s="14">
        <v>1</v>
      </c>
      <c r="K473" s="14" t="s">
        <v>37</v>
      </c>
      <c r="L473" s="14" t="s">
        <v>48</v>
      </c>
      <c r="M473" s="15" t="s">
        <v>39</v>
      </c>
      <c r="N473" s="15" t="s">
        <v>58</v>
      </c>
      <c r="O473" s="15">
        <v>1</v>
      </c>
      <c r="P473" s="15">
        <v>1</v>
      </c>
      <c r="Q473" s="15"/>
      <c r="R473" s="15"/>
      <c r="S473" s="25"/>
      <c r="T473" s="25">
        <v>45888</v>
      </c>
      <c r="U473" s="25">
        <v>45898</v>
      </c>
      <c r="V473" s="15" t="s">
        <v>420</v>
      </c>
      <c r="W473" s="15"/>
      <c r="X473" s="159">
        <v>22.85</v>
      </c>
      <c r="Y473" s="159">
        <f>Table2[[#This Row],[PREÇO UNITARIO]]*Table2[[#This Row],[QUANTIDADE]]</f>
        <v>22.85</v>
      </c>
      <c r="Z473" s="15"/>
      <c r="AA473" s="28">
        <f>MONTH(Table2[[#This Row],[DATA PEDIDO HP]])</f>
        <v>7</v>
      </c>
      <c r="AB473" s="32" t="s">
        <v>60</v>
      </c>
      <c r="AC473" s="5">
        <f t="shared" ca="1" si="7"/>
        <v>46232</v>
      </c>
      <c r="AD473" s="331">
        <f ca="1">_xlfn.DAYS(Table2[[#This Row],[HOJE]],Table2[[#This Row],[DATA PEDIDO HP]])</f>
        <v>386</v>
      </c>
      <c r="AE473" s="5" t="s">
        <v>43</v>
      </c>
    </row>
    <row r="474" spans="1:31" ht="14.45" hidden="1">
      <c r="A474" s="271" t="s">
        <v>1644</v>
      </c>
      <c r="B474" s="26">
        <v>45846</v>
      </c>
      <c r="C474" s="26">
        <v>45846</v>
      </c>
      <c r="D474" s="14" t="s">
        <v>1645</v>
      </c>
      <c r="E474" s="14" t="s">
        <v>33</v>
      </c>
      <c r="F474" s="14" t="s">
        <v>173</v>
      </c>
      <c r="G474" s="14">
        <v>50110193</v>
      </c>
      <c r="H474" s="14" t="s">
        <v>1646</v>
      </c>
      <c r="I474" s="14" t="s">
        <v>1647</v>
      </c>
      <c r="J474" s="14">
        <v>1</v>
      </c>
      <c r="K474" s="14" t="s">
        <v>37</v>
      </c>
      <c r="L474" s="14" t="s">
        <v>48</v>
      </c>
      <c r="M474" s="15" t="s">
        <v>58</v>
      </c>
      <c r="N474" s="15" t="s">
        <v>58</v>
      </c>
      <c r="O474" s="15">
        <v>1</v>
      </c>
      <c r="P474" s="15">
        <v>1</v>
      </c>
      <c r="Q474" s="15"/>
      <c r="R474" s="15"/>
      <c r="S474" s="25"/>
      <c r="T474" s="25">
        <v>45888</v>
      </c>
      <c r="U474" s="25">
        <v>45898</v>
      </c>
      <c r="V474" s="15" t="s">
        <v>420</v>
      </c>
      <c r="W474" s="15"/>
      <c r="X474" s="159">
        <v>1370.16</v>
      </c>
      <c r="Y474" s="159">
        <f>Table2[[#This Row],[PREÇO UNITARIO]]*Table2[[#This Row],[QUANTIDADE]]</f>
        <v>1370.16</v>
      </c>
      <c r="Z474" s="15"/>
      <c r="AA474" s="28">
        <f>MONTH(Table2[[#This Row],[DATA PEDIDO HP]])</f>
        <v>7</v>
      </c>
      <c r="AB474" s="32" t="s">
        <v>42</v>
      </c>
      <c r="AC474" s="5">
        <f t="shared" ca="1" si="7"/>
        <v>46232</v>
      </c>
      <c r="AD474" s="331">
        <f ca="1">_xlfn.DAYS(Table2[[#This Row],[HOJE]],Table2[[#This Row],[DATA PEDIDO HP]])</f>
        <v>386</v>
      </c>
      <c r="AE474" s="5" t="s">
        <v>43</v>
      </c>
    </row>
    <row r="475" spans="1:31" ht="14.45" hidden="1">
      <c r="A475" s="271" t="s">
        <v>1648</v>
      </c>
      <c r="B475" s="26">
        <v>45846</v>
      </c>
      <c r="C475" s="26">
        <v>45846</v>
      </c>
      <c r="D475" s="14" t="s">
        <v>1649</v>
      </c>
      <c r="E475" s="14" t="s">
        <v>780</v>
      </c>
      <c r="F475" s="14" t="s">
        <v>403</v>
      </c>
      <c r="G475" s="14">
        <v>50300129</v>
      </c>
      <c r="H475" s="14" t="s">
        <v>114</v>
      </c>
      <c r="I475" s="14" t="s">
        <v>1650</v>
      </c>
      <c r="J475" s="14">
        <v>2</v>
      </c>
      <c r="K475" s="14" t="s">
        <v>37</v>
      </c>
      <c r="L475" s="14" t="s">
        <v>96</v>
      </c>
      <c r="M475" s="15" t="s">
        <v>39</v>
      </c>
      <c r="N475" s="15" t="s">
        <v>89</v>
      </c>
      <c r="O475" s="15">
        <v>0</v>
      </c>
      <c r="P475" s="15">
        <v>2</v>
      </c>
      <c r="Q475" s="15"/>
      <c r="R475" s="15"/>
      <c r="S475" s="25">
        <v>45904</v>
      </c>
      <c r="T475" s="25">
        <v>45888</v>
      </c>
      <c r="U475" s="25">
        <v>45898</v>
      </c>
      <c r="V475" s="15" t="s">
        <v>420</v>
      </c>
      <c r="W475" s="15"/>
      <c r="X475" s="159">
        <v>77.98</v>
      </c>
      <c r="Y475" s="159">
        <f>Table2[[#This Row],[PREÇO UNITARIO]]*Table2[[#This Row],[QUANTIDADE]]</f>
        <v>155.96</v>
      </c>
      <c r="Z475" s="15"/>
      <c r="AA475" s="28">
        <f>MONTH(Table2[[#This Row],[DATA PEDIDO HP]])</f>
        <v>7</v>
      </c>
      <c r="AB475" s="32" t="s">
        <v>60</v>
      </c>
      <c r="AC475" s="5">
        <f t="shared" ca="1" si="7"/>
        <v>46232</v>
      </c>
      <c r="AD475" s="331">
        <f ca="1">_xlfn.DAYS(Table2[[#This Row],[HOJE]],Table2[[#This Row],[DATA PEDIDO HP]])</f>
        <v>386</v>
      </c>
      <c r="AE475" s="336" t="s">
        <v>43</v>
      </c>
    </row>
    <row r="476" spans="1:31" ht="14.45" hidden="1">
      <c r="A476" s="271" t="s">
        <v>1651</v>
      </c>
      <c r="B476" s="26">
        <v>45846</v>
      </c>
      <c r="C476" s="26">
        <v>45846</v>
      </c>
      <c r="D476" s="14" t="s">
        <v>1652</v>
      </c>
      <c r="E476" s="14" t="s">
        <v>109</v>
      </c>
      <c r="F476" s="14" t="s">
        <v>34</v>
      </c>
      <c r="G476" s="14">
        <v>50110229</v>
      </c>
      <c r="H476" s="14" t="s">
        <v>1455</v>
      </c>
      <c r="I476" s="14" t="s">
        <v>1456</v>
      </c>
      <c r="J476" s="14">
        <v>1</v>
      </c>
      <c r="K476" s="14" t="s">
        <v>37</v>
      </c>
      <c r="L476" s="14" t="s">
        <v>48</v>
      </c>
      <c r="M476" s="15" t="s">
        <v>39</v>
      </c>
      <c r="N476" s="15" t="s">
        <v>39</v>
      </c>
      <c r="O476" s="15">
        <v>1</v>
      </c>
      <c r="P476" s="15">
        <v>1</v>
      </c>
      <c r="Q476" s="15"/>
      <c r="R476" s="15"/>
      <c r="S476" s="25">
        <v>45904</v>
      </c>
      <c r="T476" s="25">
        <v>45888</v>
      </c>
      <c r="U476" s="25">
        <v>45898</v>
      </c>
      <c r="V476" s="15" t="s">
        <v>420</v>
      </c>
      <c r="W476" s="15"/>
      <c r="X476" s="159">
        <v>120.85</v>
      </c>
      <c r="Y476" s="159">
        <f>Table2[[#This Row],[PREÇO UNITARIO]]*Table2[[#This Row],[QUANTIDADE]]</f>
        <v>120.85</v>
      </c>
      <c r="Z476" s="15"/>
      <c r="AA476" s="28">
        <f>MONTH(Table2[[#This Row],[DATA PEDIDO HP]])</f>
        <v>7</v>
      </c>
      <c r="AB476" s="32" t="s">
        <v>42</v>
      </c>
      <c r="AC476" s="5">
        <f t="shared" ca="1" si="7"/>
        <v>46232</v>
      </c>
      <c r="AD476" s="331">
        <f ca="1">_xlfn.DAYS(Table2[[#This Row],[HOJE]],Table2[[#This Row],[DATA PEDIDO HP]])</f>
        <v>386</v>
      </c>
      <c r="AE476" s="336" t="s">
        <v>43</v>
      </c>
    </row>
    <row r="477" spans="1:31" ht="14.45" hidden="1">
      <c r="A477" s="271" t="s">
        <v>1653</v>
      </c>
      <c r="B477" s="26">
        <v>45846</v>
      </c>
      <c r="C477" s="26">
        <v>45846</v>
      </c>
      <c r="D477" s="14" t="s">
        <v>1654</v>
      </c>
      <c r="E477" s="14" t="s">
        <v>103</v>
      </c>
      <c r="F477" s="14" t="s">
        <v>104</v>
      </c>
      <c r="G477" s="14">
        <v>51000323</v>
      </c>
      <c r="H477" s="14" t="s">
        <v>1655</v>
      </c>
      <c r="I477" s="14" t="s">
        <v>1299</v>
      </c>
      <c r="J477" s="14">
        <v>1</v>
      </c>
      <c r="K477" s="14" t="s">
        <v>37</v>
      </c>
      <c r="L477" s="14" t="s">
        <v>96</v>
      </c>
      <c r="M477" s="15" t="s">
        <v>39</v>
      </c>
      <c r="N477" s="15" t="s">
        <v>58</v>
      </c>
      <c r="O477" s="15">
        <v>1</v>
      </c>
      <c r="P477" s="15">
        <v>1</v>
      </c>
      <c r="Q477" s="15"/>
      <c r="R477" s="15"/>
      <c r="S477" s="25"/>
      <c r="T477" s="25">
        <v>45888</v>
      </c>
      <c r="U477" s="25">
        <v>45898</v>
      </c>
      <c r="V477" s="15" t="s">
        <v>420</v>
      </c>
      <c r="W477" s="15"/>
      <c r="X477" s="159">
        <v>260.14999999999998</v>
      </c>
      <c r="Y477" s="159">
        <f>Table2[[#This Row],[PREÇO UNITARIO]]*Table2[[#This Row],[QUANTIDADE]]</f>
        <v>260.14999999999998</v>
      </c>
      <c r="Z477" s="15"/>
      <c r="AA477" s="28">
        <f>MONTH(Table2[[#This Row],[DATA PEDIDO HP]])</f>
        <v>7</v>
      </c>
      <c r="AB477" s="32" t="s">
        <v>42</v>
      </c>
      <c r="AC477" s="5">
        <f t="shared" ca="1" si="7"/>
        <v>46232</v>
      </c>
      <c r="AD477" s="331">
        <f ca="1">_xlfn.DAYS(Table2[[#This Row],[HOJE]],Table2[[#This Row],[DATA PEDIDO HP]])</f>
        <v>386</v>
      </c>
      <c r="AE477" s="5" t="s">
        <v>43</v>
      </c>
    </row>
    <row r="478" spans="1:31" ht="14.45" hidden="1">
      <c r="A478" s="271" t="s">
        <v>1653</v>
      </c>
      <c r="B478" s="26">
        <v>45846</v>
      </c>
      <c r="C478" s="26">
        <v>45846</v>
      </c>
      <c r="D478" s="14" t="s">
        <v>1654</v>
      </c>
      <c r="E478" s="14" t="s">
        <v>103</v>
      </c>
      <c r="F478" s="14" t="s">
        <v>104</v>
      </c>
      <c r="G478" s="14">
        <v>51000323</v>
      </c>
      <c r="H478" s="14" t="s">
        <v>1656</v>
      </c>
      <c r="I478" s="14" t="s">
        <v>1657</v>
      </c>
      <c r="J478" s="14">
        <v>1</v>
      </c>
      <c r="K478" s="14" t="s">
        <v>37</v>
      </c>
      <c r="L478" s="14" t="s">
        <v>96</v>
      </c>
      <c r="M478" s="15" t="s">
        <v>89</v>
      </c>
      <c r="N478" s="15" t="s">
        <v>58</v>
      </c>
      <c r="O478" s="15">
        <v>1</v>
      </c>
      <c r="P478" s="15">
        <v>1</v>
      </c>
      <c r="Q478" s="15"/>
      <c r="R478" s="15"/>
      <c r="S478" s="25"/>
      <c r="T478" s="25">
        <v>45888</v>
      </c>
      <c r="U478" s="25">
        <v>45898</v>
      </c>
      <c r="V478" s="15" t="s">
        <v>420</v>
      </c>
      <c r="W478" s="15"/>
      <c r="X478" s="159">
        <v>720.36</v>
      </c>
      <c r="Y478" s="159">
        <f>Table2[[#This Row],[PREÇO UNITARIO]]*Table2[[#This Row],[QUANTIDADE]]</f>
        <v>720.36</v>
      </c>
      <c r="Z478" s="15"/>
      <c r="AA478" s="28">
        <f>MONTH(Table2[[#This Row],[DATA PEDIDO HP]])</f>
        <v>7</v>
      </c>
      <c r="AB478" s="32" t="s">
        <v>42</v>
      </c>
      <c r="AC478" s="5">
        <f t="shared" ca="1" si="7"/>
        <v>46232</v>
      </c>
      <c r="AD478" s="331">
        <f ca="1">_xlfn.DAYS(Table2[[#This Row],[HOJE]],Table2[[#This Row],[DATA PEDIDO HP]])</f>
        <v>386</v>
      </c>
      <c r="AE478" s="5" t="s">
        <v>43</v>
      </c>
    </row>
    <row r="479" spans="1:31" ht="14.45" hidden="1">
      <c r="A479" s="271" t="s">
        <v>1658</v>
      </c>
      <c r="B479" s="26">
        <v>45846</v>
      </c>
      <c r="C479" s="26">
        <v>45846</v>
      </c>
      <c r="D479" s="14" t="s">
        <v>1659</v>
      </c>
      <c r="E479" s="14" t="s">
        <v>109</v>
      </c>
      <c r="F479" s="14" t="s">
        <v>34</v>
      </c>
      <c r="G479" s="14">
        <v>50110229</v>
      </c>
      <c r="H479" s="14" t="s">
        <v>1660</v>
      </c>
      <c r="I479" s="14" t="s">
        <v>1661</v>
      </c>
      <c r="J479" s="14">
        <v>1</v>
      </c>
      <c r="K479" s="14" t="s">
        <v>37</v>
      </c>
      <c r="L479" s="14" t="s">
        <v>48</v>
      </c>
      <c r="M479" s="15" t="s">
        <v>58</v>
      </c>
      <c r="N479" s="15" t="s">
        <v>89</v>
      </c>
      <c r="O479" s="15">
        <v>0</v>
      </c>
      <c r="P479" s="15">
        <v>1</v>
      </c>
      <c r="Q479" s="15"/>
      <c r="R479" s="15"/>
      <c r="S479" s="25">
        <v>45904</v>
      </c>
      <c r="T479" s="25">
        <v>45888</v>
      </c>
      <c r="U479" s="25">
        <v>45898</v>
      </c>
      <c r="V479" s="15" t="s">
        <v>420</v>
      </c>
      <c r="W479" s="15"/>
      <c r="X479" s="159">
        <v>223.73</v>
      </c>
      <c r="Y479" s="159">
        <f>Table2[[#This Row],[PREÇO UNITARIO]]*Table2[[#This Row],[QUANTIDADE]]</f>
        <v>223.73</v>
      </c>
      <c r="Z479" s="15"/>
      <c r="AA479" s="28">
        <f>MONTH(Table2[[#This Row],[DATA PEDIDO HP]])</f>
        <v>7</v>
      </c>
      <c r="AB479" s="32" t="s">
        <v>42</v>
      </c>
      <c r="AC479" s="5">
        <f t="shared" ca="1" si="7"/>
        <v>46232</v>
      </c>
      <c r="AD479" s="331">
        <f ca="1">_xlfn.DAYS(Table2[[#This Row],[HOJE]],Table2[[#This Row],[DATA PEDIDO HP]])</f>
        <v>386</v>
      </c>
      <c r="AE479" s="336" t="s">
        <v>43</v>
      </c>
    </row>
    <row r="480" spans="1:31" ht="14.45" hidden="1">
      <c r="A480" s="271" t="s">
        <v>1662</v>
      </c>
      <c r="B480" s="26">
        <v>45848</v>
      </c>
      <c r="C480" s="26">
        <v>45848</v>
      </c>
      <c r="D480" s="14" t="s">
        <v>1663</v>
      </c>
      <c r="E480" s="14" t="s">
        <v>85</v>
      </c>
      <c r="F480" s="14" t="s">
        <v>74</v>
      </c>
      <c r="G480" s="14">
        <v>50000260</v>
      </c>
      <c r="H480" s="14" t="s">
        <v>1664</v>
      </c>
      <c r="I480" s="14" t="s">
        <v>1409</v>
      </c>
      <c r="J480" s="14">
        <v>1</v>
      </c>
      <c r="K480" s="14" t="s">
        <v>37</v>
      </c>
      <c r="L480" s="14" t="s">
        <v>459</v>
      </c>
      <c r="M480" s="15" t="s">
        <v>39</v>
      </c>
      <c r="N480" s="15" t="s">
        <v>58</v>
      </c>
      <c r="O480" s="15">
        <v>1</v>
      </c>
      <c r="P480" s="15">
        <v>1</v>
      </c>
      <c r="Q480" s="15"/>
      <c r="R480" s="15"/>
      <c r="S480" s="25"/>
      <c r="T480" s="25">
        <v>45888</v>
      </c>
      <c r="U480" s="25">
        <v>45898</v>
      </c>
      <c r="V480" s="15" t="s">
        <v>420</v>
      </c>
      <c r="W480" s="15"/>
      <c r="X480" s="159">
        <v>1542.6</v>
      </c>
      <c r="Y480" s="159">
        <f>Table2[[#This Row],[PREÇO UNITARIO]]*Table2[[#This Row],[QUANTIDADE]]</f>
        <v>1542.6</v>
      </c>
      <c r="Z480" s="15"/>
      <c r="AA480" s="28">
        <f>MONTH(Table2[[#This Row],[DATA PEDIDO HP]])</f>
        <v>7</v>
      </c>
      <c r="AB480" s="32" t="s">
        <v>42</v>
      </c>
      <c r="AC480" s="5">
        <f t="shared" ca="1" si="7"/>
        <v>46232</v>
      </c>
      <c r="AD480" s="331">
        <f ca="1">_xlfn.DAYS(Table2[[#This Row],[HOJE]],Table2[[#This Row],[DATA PEDIDO HP]])</f>
        <v>384</v>
      </c>
      <c r="AE480" s="5" t="s">
        <v>43</v>
      </c>
    </row>
    <row r="481" spans="1:31" ht="14.45" hidden="1">
      <c r="A481" s="271" t="s">
        <v>1662</v>
      </c>
      <c r="B481" s="26">
        <v>45848</v>
      </c>
      <c r="C481" s="26">
        <v>45848</v>
      </c>
      <c r="D481" s="14" t="s">
        <v>1663</v>
      </c>
      <c r="E481" s="14" t="s">
        <v>85</v>
      </c>
      <c r="F481" s="14" t="s">
        <v>74</v>
      </c>
      <c r="G481" s="14">
        <v>50000260</v>
      </c>
      <c r="H481" s="14" t="s">
        <v>1410</v>
      </c>
      <c r="I481" s="14" t="s">
        <v>1411</v>
      </c>
      <c r="J481" s="14">
        <v>1</v>
      </c>
      <c r="K481" s="14" t="s">
        <v>37</v>
      </c>
      <c r="L481" s="14" t="s">
        <v>459</v>
      </c>
      <c r="M481" s="15" t="s">
        <v>39</v>
      </c>
      <c r="N481" s="15" t="s">
        <v>58</v>
      </c>
      <c r="O481" s="15">
        <v>1</v>
      </c>
      <c r="P481" s="15">
        <v>1</v>
      </c>
      <c r="Q481" s="15"/>
      <c r="R481" s="15"/>
      <c r="S481" s="25"/>
      <c r="T481" s="25">
        <v>45888</v>
      </c>
      <c r="U481" s="25">
        <v>45898</v>
      </c>
      <c r="V481" s="15" t="s">
        <v>420</v>
      </c>
      <c r="W481" s="15"/>
      <c r="X481" s="159">
        <v>2308.5</v>
      </c>
      <c r="Y481" s="159">
        <f>Table2[[#This Row],[PREÇO UNITARIO]]*Table2[[#This Row],[QUANTIDADE]]</f>
        <v>2308.5</v>
      </c>
      <c r="Z481" s="15"/>
      <c r="AA481" s="28">
        <f>MONTH(Table2[[#This Row],[DATA PEDIDO HP]])</f>
        <v>7</v>
      </c>
      <c r="AB481" s="32" t="s">
        <v>42</v>
      </c>
      <c r="AC481" s="5">
        <f t="shared" ca="1" si="7"/>
        <v>46232</v>
      </c>
      <c r="AD481" s="331">
        <f ca="1">_xlfn.DAYS(Table2[[#This Row],[HOJE]],Table2[[#This Row],[DATA PEDIDO HP]])</f>
        <v>384</v>
      </c>
      <c r="AE481" s="5" t="s">
        <v>43</v>
      </c>
    </row>
    <row r="482" spans="1:31" ht="14.45" hidden="1">
      <c r="A482" s="271" t="s">
        <v>1662</v>
      </c>
      <c r="B482" s="26">
        <v>45848</v>
      </c>
      <c r="C482" s="26">
        <v>45848</v>
      </c>
      <c r="D482" s="14" t="s">
        <v>1663</v>
      </c>
      <c r="E482" s="14" t="s">
        <v>85</v>
      </c>
      <c r="F482" s="14" t="s">
        <v>74</v>
      </c>
      <c r="G482" s="14">
        <v>50000260</v>
      </c>
      <c r="H482" s="14" t="s">
        <v>1665</v>
      </c>
      <c r="I482" s="14" t="s">
        <v>1666</v>
      </c>
      <c r="J482" s="14">
        <v>1</v>
      </c>
      <c r="K482" s="14" t="s">
        <v>37</v>
      </c>
      <c r="L482" s="14" t="s">
        <v>459</v>
      </c>
      <c r="M482" s="15" t="s">
        <v>89</v>
      </c>
      <c r="N482" s="15" t="s">
        <v>58</v>
      </c>
      <c r="O482" s="15">
        <v>1</v>
      </c>
      <c r="P482" s="15">
        <v>1</v>
      </c>
      <c r="Q482" s="15"/>
      <c r="R482" s="15"/>
      <c r="S482" s="25"/>
      <c r="T482" s="25">
        <v>45888</v>
      </c>
      <c r="U482" s="25">
        <v>45898</v>
      </c>
      <c r="V482" s="15" t="s">
        <v>420</v>
      </c>
      <c r="W482" s="15"/>
      <c r="X482" s="159">
        <v>1308.1099999999999</v>
      </c>
      <c r="Y482" s="159">
        <f>Table2[[#This Row],[PREÇO UNITARIO]]*Table2[[#This Row],[QUANTIDADE]]</f>
        <v>1308.1099999999999</v>
      </c>
      <c r="Z482" s="15"/>
      <c r="AA482" s="28">
        <f>MONTH(Table2[[#This Row],[DATA PEDIDO HP]])</f>
        <v>7</v>
      </c>
      <c r="AB482" s="32" t="s">
        <v>42</v>
      </c>
      <c r="AC482" s="5">
        <f t="shared" ca="1" si="7"/>
        <v>46232</v>
      </c>
      <c r="AD482" s="331">
        <f ca="1">_xlfn.DAYS(Table2[[#This Row],[HOJE]],Table2[[#This Row],[DATA PEDIDO HP]])</f>
        <v>384</v>
      </c>
      <c r="AE482" s="5" t="s">
        <v>43</v>
      </c>
    </row>
    <row r="483" spans="1:31" ht="14.45" hidden="1">
      <c r="A483" s="271" t="s">
        <v>1667</v>
      </c>
      <c r="B483" s="26">
        <v>45849</v>
      </c>
      <c r="C483" s="26">
        <v>45848</v>
      </c>
      <c r="D483" s="14" t="s">
        <v>1668</v>
      </c>
      <c r="E483" s="14" t="s">
        <v>33</v>
      </c>
      <c r="F483" s="14" t="s">
        <v>34</v>
      </c>
      <c r="G483" s="14">
        <v>50110193</v>
      </c>
      <c r="H483" s="14" t="s">
        <v>358</v>
      </c>
      <c r="I483" s="14" t="s">
        <v>359</v>
      </c>
      <c r="J483" s="14">
        <v>1</v>
      </c>
      <c r="K483" s="14" t="s">
        <v>37</v>
      </c>
      <c r="L483" s="14" t="s">
        <v>96</v>
      </c>
      <c r="M483" s="15" t="s">
        <v>89</v>
      </c>
      <c r="N483" s="15" t="s">
        <v>89</v>
      </c>
      <c r="O483" s="15">
        <v>0</v>
      </c>
      <c r="P483" s="15">
        <v>0</v>
      </c>
      <c r="Q483" s="15"/>
      <c r="R483" s="15"/>
      <c r="S483" s="25">
        <v>45903</v>
      </c>
      <c r="T483" s="25">
        <v>45888</v>
      </c>
      <c r="U483" s="25">
        <v>45898</v>
      </c>
      <c r="V483" s="15" t="s">
        <v>420</v>
      </c>
      <c r="W483" s="15"/>
      <c r="X483" s="159">
        <v>1407.73</v>
      </c>
      <c r="Y483" s="159">
        <f>Table2[[#This Row],[PREÇO UNITARIO]]*Table2[[#This Row],[QUANTIDADE]]</f>
        <v>1407.73</v>
      </c>
      <c r="Z483" s="15"/>
      <c r="AA483" s="28">
        <f>MONTH(Table2[[#This Row],[DATA PEDIDO HP]])</f>
        <v>7</v>
      </c>
      <c r="AB483" s="32" t="s">
        <v>42</v>
      </c>
      <c r="AC483" s="5">
        <f t="shared" ca="1" si="7"/>
        <v>46232</v>
      </c>
      <c r="AD483" s="331">
        <f ca="1">_xlfn.DAYS(Table2[[#This Row],[HOJE]],Table2[[#This Row],[DATA PEDIDO HP]])</f>
        <v>383</v>
      </c>
      <c r="AE483" s="336" t="s">
        <v>43</v>
      </c>
    </row>
    <row r="484" spans="1:31" ht="14.45" hidden="1">
      <c r="A484" s="271" t="s">
        <v>1669</v>
      </c>
      <c r="B484" s="26">
        <v>45849</v>
      </c>
      <c r="C484" s="26">
        <v>45849</v>
      </c>
      <c r="D484" s="14" t="s">
        <v>1670</v>
      </c>
      <c r="E484" s="14" t="s">
        <v>73</v>
      </c>
      <c r="F484" s="14" t="s">
        <v>34</v>
      </c>
      <c r="G484" s="14">
        <v>50110372</v>
      </c>
      <c r="H484" s="14" t="s">
        <v>1671</v>
      </c>
      <c r="I484" s="14" t="s">
        <v>620</v>
      </c>
      <c r="J484" s="14">
        <v>1</v>
      </c>
      <c r="K484" s="14" t="s">
        <v>37</v>
      </c>
      <c r="L484" s="14" t="s">
        <v>96</v>
      </c>
      <c r="M484" s="15" t="s">
        <v>89</v>
      </c>
      <c r="N484" s="15" t="s">
        <v>39</v>
      </c>
      <c r="O484" s="15">
        <v>1</v>
      </c>
      <c r="P484" s="15">
        <v>1</v>
      </c>
      <c r="Q484" s="15"/>
      <c r="R484" s="15"/>
      <c r="S484" s="25">
        <v>45905</v>
      </c>
      <c r="T484" s="25">
        <v>45888</v>
      </c>
      <c r="U484" s="25">
        <v>45898</v>
      </c>
      <c r="V484" s="15" t="s">
        <v>420</v>
      </c>
      <c r="W484" s="15"/>
      <c r="X484" s="159">
        <v>91.76</v>
      </c>
      <c r="Y484" s="159">
        <f>Table2[[#This Row],[PREÇO UNITARIO]]*Table2[[#This Row],[QUANTIDADE]]</f>
        <v>91.76</v>
      </c>
      <c r="Z484" s="15"/>
      <c r="AA484" s="28">
        <f>MONTH(Table2[[#This Row],[DATA PEDIDO HP]])</f>
        <v>7</v>
      </c>
      <c r="AB484" s="32" t="s">
        <v>42</v>
      </c>
      <c r="AC484" s="5">
        <f t="shared" ca="1" si="7"/>
        <v>46232</v>
      </c>
      <c r="AD484" s="331">
        <f ca="1">_xlfn.DAYS(Table2[[#This Row],[HOJE]],Table2[[#This Row],[DATA PEDIDO HP]])</f>
        <v>383</v>
      </c>
      <c r="AE484" s="336" t="s">
        <v>43</v>
      </c>
    </row>
    <row r="485" spans="1:31" ht="14.45" hidden="1">
      <c r="A485" s="271" t="s">
        <v>1672</v>
      </c>
      <c r="B485" s="26">
        <v>45849</v>
      </c>
      <c r="C485" s="26">
        <v>45849</v>
      </c>
      <c r="D485" s="14" t="s">
        <v>1673</v>
      </c>
      <c r="E485" s="14" t="s">
        <v>181</v>
      </c>
      <c r="F485" s="14" t="s">
        <v>34</v>
      </c>
      <c r="G485" s="14">
        <v>50110057</v>
      </c>
      <c r="H485" s="14" t="s">
        <v>265</v>
      </c>
      <c r="I485" s="14" t="s">
        <v>1674</v>
      </c>
      <c r="J485" s="14">
        <v>2</v>
      </c>
      <c r="K485" s="14" t="s">
        <v>37</v>
      </c>
      <c r="L485" s="14" t="s">
        <v>96</v>
      </c>
      <c r="M485" s="15" t="s">
        <v>89</v>
      </c>
      <c r="N485" s="15" t="s">
        <v>39</v>
      </c>
      <c r="O485" s="15">
        <v>2</v>
      </c>
      <c r="P485" s="15">
        <v>2</v>
      </c>
      <c r="Q485" s="15"/>
      <c r="R485" s="15"/>
      <c r="S485" s="25">
        <v>45904</v>
      </c>
      <c r="T485" s="25">
        <v>45888</v>
      </c>
      <c r="U485" s="25">
        <v>45898</v>
      </c>
      <c r="V485" s="15" t="s">
        <v>420</v>
      </c>
      <c r="W485" s="15"/>
      <c r="X485" s="159">
        <v>138.81</v>
      </c>
      <c r="Y485" s="159">
        <f>Table2[[#This Row],[PREÇO UNITARIO]]*Table2[[#This Row],[QUANTIDADE]]</f>
        <v>277.62</v>
      </c>
      <c r="Z485" s="15"/>
      <c r="AA485" s="28">
        <f>MONTH(Table2[[#This Row],[DATA PEDIDO HP]])</f>
        <v>7</v>
      </c>
      <c r="AB485" s="32" t="s">
        <v>42</v>
      </c>
      <c r="AC485" s="5">
        <f t="shared" ca="1" si="7"/>
        <v>46232</v>
      </c>
      <c r="AD485" s="331">
        <f ca="1">_xlfn.DAYS(Table2[[#This Row],[HOJE]],Table2[[#This Row],[DATA PEDIDO HP]])</f>
        <v>383</v>
      </c>
      <c r="AE485" s="336" t="s">
        <v>43</v>
      </c>
    </row>
    <row r="486" spans="1:31" ht="14.45" hidden="1">
      <c r="A486" s="271" t="s">
        <v>1675</v>
      </c>
      <c r="B486" s="26">
        <v>45852</v>
      </c>
      <c r="C486" s="26">
        <v>45852</v>
      </c>
      <c r="D486" s="14" t="s">
        <v>1676</v>
      </c>
      <c r="E486" s="14" t="s">
        <v>109</v>
      </c>
      <c r="F486" s="14" t="s">
        <v>34</v>
      </c>
      <c r="G486" s="14">
        <v>50110229</v>
      </c>
      <c r="H486" s="14" t="s">
        <v>545</v>
      </c>
      <c r="I486" s="14" t="s">
        <v>1677</v>
      </c>
      <c r="J486" s="14">
        <v>1</v>
      </c>
      <c r="K486" s="14" t="s">
        <v>37</v>
      </c>
      <c r="L486" s="14" t="s">
        <v>48</v>
      </c>
      <c r="M486" s="15" t="s">
        <v>89</v>
      </c>
      <c r="N486" s="15" t="s">
        <v>89</v>
      </c>
      <c r="O486" s="15">
        <v>0</v>
      </c>
      <c r="P486" s="15">
        <v>1</v>
      </c>
      <c r="Q486" s="15"/>
      <c r="R486" s="15"/>
      <c r="S486" s="25">
        <v>45904</v>
      </c>
      <c r="T486" s="25">
        <v>45888</v>
      </c>
      <c r="U486" s="25">
        <v>45898</v>
      </c>
      <c r="V486" s="15" t="s">
        <v>420</v>
      </c>
      <c r="W486" s="15"/>
      <c r="X486" s="159">
        <v>898.2</v>
      </c>
      <c r="Y486" s="159">
        <f>Table2[[#This Row],[PREÇO UNITARIO]]*Table2[[#This Row],[QUANTIDADE]]</f>
        <v>898.2</v>
      </c>
      <c r="Z486" s="15"/>
      <c r="AA486" s="28">
        <f>MONTH(Table2[[#This Row],[DATA PEDIDO HP]])</f>
        <v>7</v>
      </c>
      <c r="AB486" s="32" t="s">
        <v>42</v>
      </c>
      <c r="AC486" s="5">
        <f t="shared" ca="1" si="7"/>
        <v>46232</v>
      </c>
      <c r="AD486" s="331">
        <f ca="1">_xlfn.DAYS(Table2[[#This Row],[HOJE]],Table2[[#This Row],[DATA PEDIDO HP]])</f>
        <v>380</v>
      </c>
      <c r="AE486" s="336" t="s">
        <v>43</v>
      </c>
    </row>
    <row r="487" spans="1:31" ht="14.45" hidden="1">
      <c r="A487" s="271" t="s">
        <v>1678</v>
      </c>
      <c r="B487" s="26">
        <v>45852</v>
      </c>
      <c r="C487" s="26">
        <v>45846</v>
      </c>
      <c r="D487" s="14" t="s">
        <v>1679</v>
      </c>
      <c r="E487" s="14" t="s">
        <v>54</v>
      </c>
      <c r="F487" s="14" t="s">
        <v>173</v>
      </c>
      <c r="G487" s="14">
        <v>48300315</v>
      </c>
      <c r="H487" s="14" t="s">
        <v>1680</v>
      </c>
      <c r="I487" s="14" t="s">
        <v>1681</v>
      </c>
      <c r="J487" s="14">
        <v>1</v>
      </c>
      <c r="K487" s="14" t="s">
        <v>37</v>
      </c>
      <c r="L487" s="14" t="s">
        <v>48</v>
      </c>
      <c r="M487" s="15" t="s">
        <v>58</v>
      </c>
      <c r="N487" s="15" t="s">
        <v>58</v>
      </c>
      <c r="O487" s="15">
        <v>1</v>
      </c>
      <c r="P487" s="15">
        <v>1</v>
      </c>
      <c r="Q487" s="15"/>
      <c r="R487" s="15" t="s">
        <v>1682</v>
      </c>
      <c r="S487" s="25"/>
      <c r="T487" s="25">
        <v>45888</v>
      </c>
      <c r="U487" s="25">
        <v>45898</v>
      </c>
      <c r="V487" s="15" t="s">
        <v>420</v>
      </c>
      <c r="W487" s="15"/>
      <c r="X487" s="159">
        <v>959.88</v>
      </c>
      <c r="Y487" s="159">
        <f>Table2[[#This Row],[PREÇO UNITARIO]]*Table2[[#This Row],[QUANTIDADE]]</f>
        <v>959.88</v>
      </c>
      <c r="Z487" s="15"/>
      <c r="AA487" s="28">
        <f>MONTH(Table2[[#This Row],[DATA PEDIDO HP]])</f>
        <v>7</v>
      </c>
      <c r="AB487" s="32" t="s">
        <v>60</v>
      </c>
      <c r="AC487" s="5">
        <f t="shared" ca="1" si="7"/>
        <v>46232</v>
      </c>
      <c r="AD487" s="331">
        <f ca="1">_xlfn.DAYS(Table2[[#This Row],[HOJE]],Table2[[#This Row],[DATA PEDIDO HP]])</f>
        <v>380</v>
      </c>
      <c r="AE487" s="5" t="s">
        <v>43</v>
      </c>
    </row>
    <row r="488" spans="1:31" ht="14.45" hidden="1">
      <c r="A488" s="271" t="s">
        <v>1678</v>
      </c>
      <c r="B488" s="26">
        <v>45852</v>
      </c>
      <c r="C488" s="26">
        <v>45846</v>
      </c>
      <c r="D488" s="14" t="s">
        <v>1679</v>
      </c>
      <c r="E488" s="14" t="s">
        <v>54</v>
      </c>
      <c r="F488" s="14" t="s">
        <v>173</v>
      </c>
      <c r="G488" s="14">
        <v>48300315</v>
      </c>
      <c r="H488" s="14" t="s">
        <v>1683</v>
      </c>
      <c r="I488" s="14" t="s">
        <v>1684</v>
      </c>
      <c r="J488" s="14">
        <v>1</v>
      </c>
      <c r="K488" s="14" t="s">
        <v>37</v>
      </c>
      <c r="L488" s="14" t="s">
        <v>48</v>
      </c>
      <c r="M488" s="15" t="s">
        <v>58</v>
      </c>
      <c r="N488" s="15" t="s">
        <v>58</v>
      </c>
      <c r="O488" s="15">
        <v>1</v>
      </c>
      <c r="P488" s="15">
        <v>1</v>
      </c>
      <c r="Q488" s="15"/>
      <c r="R488" s="15"/>
      <c r="S488" s="25"/>
      <c r="T488" s="25">
        <v>45888</v>
      </c>
      <c r="U488" s="25">
        <v>45898</v>
      </c>
      <c r="V488" s="15" t="s">
        <v>420</v>
      </c>
      <c r="W488" s="15"/>
      <c r="X488" s="159">
        <v>925.96</v>
      </c>
      <c r="Y488" s="159">
        <f>Table2[[#This Row],[PREÇO UNITARIO]]*Table2[[#This Row],[QUANTIDADE]]</f>
        <v>925.96</v>
      </c>
      <c r="Z488" s="15"/>
      <c r="AA488" s="28">
        <f>MONTH(Table2[[#This Row],[DATA PEDIDO HP]])</f>
        <v>7</v>
      </c>
      <c r="AB488" s="32" t="s">
        <v>60</v>
      </c>
      <c r="AC488" s="5">
        <f t="shared" ca="1" si="7"/>
        <v>46232</v>
      </c>
      <c r="AD488" s="331">
        <f ca="1">_xlfn.DAYS(Table2[[#This Row],[HOJE]],Table2[[#This Row],[DATA PEDIDO HP]])</f>
        <v>380</v>
      </c>
      <c r="AE488" s="5" t="s">
        <v>43</v>
      </c>
    </row>
    <row r="489" spans="1:31" ht="14.45" hidden="1">
      <c r="A489" s="271" t="s">
        <v>1685</v>
      </c>
      <c r="B489" s="26">
        <v>45852</v>
      </c>
      <c r="C489" s="26">
        <v>45845</v>
      </c>
      <c r="D489" s="14" t="s">
        <v>1686</v>
      </c>
      <c r="E489" s="14" t="s">
        <v>85</v>
      </c>
      <c r="F489" s="14" t="s">
        <v>74</v>
      </c>
      <c r="G489" s="14">
        <v>50000260</v>
      </c>
      <c r="H489" s="14" t="s">
        <v>484</v>
      </c>
      <c r="I489" s="14" t="s">
        <v>485</v>
      </c>
      <c r="J489" s="14">
        <v>1</v>
      </c>
      <c r="K489" s="14" t="s">
        <v>37</v>
      </c>
      <c r="L489" s="14" t="s">
        <v>96</v>
      </c>
      <c r="M489" s="15" t="s">
        <v>89</v>
      </c>
      <c r="N489" s="15" t="s">
        <v>89</v>
      </c>
      <c r="O489" s="15">
        <v>0</v>
      </c>
      <c r="P489" s="15">
        <v>1</v>
      </c>
      <c r="Q489" s="15"/>
      <c r="R489" s="15"/>
      <c r="S489" s="25">
        <v>45904</v>
      </c>
      <c r="T489" s="25">
        <v>45888</v>
      </c>
      <c r="U489" s="25">
        <v>45898</v>
      </c>
      <c r="V489" s="15" t="s">
        <v>420</v>
      </c>
      <c r="W489" s="15"/>
      <c r="X489" s="159">
        <v>125.99</v>
      </c>
      <c r="Y489" s="159">
        <f>Table2[[#This Row],[PREÇO UNITARIO]]*Table2[[#This Row],[QUANTIDADE]]</f>
        <v>125.99</v>
      </c>
      <c r="Z489" s="15"/>
      <c r="AA489" s="28">
        <f>MONTH(Table2[[#This Row],[DATA PEDIDO HP]])</f>
        <v>7</v>
      </c>
      <c r="AB489" s="32" t="s">
        <v>42</v>
      </c>
      <c r="AC489" s="5">
        <f t="shared" ca="1" si="7"/>
        <v>46232</v>
      </c>
      <c r="AD489" s="331">
        <f ca="1">_xlfn.DAYS(Table2[[#This Row],[HOJE]],Table2[[#This Row],[DATA PEDIDO HP]])</f>
        <v>380</v>
      </c>
      <c r="AE489" s="336" t="s">
        <v>43</v>
      </c>
    </row>
    <row r="490" spans="1:31" ht="14.45" hidden="1">
      <c r="A490" s="271" t="s">
        <v>1687</v>
      </c>
      <c r="B490" s="26">
        <v>45852</v>
      </c>
      <c r="C490" s="26">
        <v>45852</v>
      </c>
      <c r="D490" s="14" t="s">
        <v>1688</v>
      </c>
      <c r="E490" s="14" t="s">
        <v>33</v>
      </c>
      <c r="F490" s="14" t="s">
        <v>34</v>
      </c>
      <c r="G490" s="14">
        <v>50110193</v>
      </c>
      <c r="H490" s="14" t="s">
        <v>727</v>
      </c>
      <c r="I490" s="14" t="s">
        <v>1689</v>
      </c>
      <c r="J490" s="14">
        <v>1</v>
      </c>
      <c r="K490" s="14" t="s">
        <v>37</v>
      </c>
      <c r="L490" s="14" t="s">
        <v>48</v>
      </c>
      <c r="M490" s="14" t="s">
        <v>39</v>
      </c>
      <c r="N490" s="14" t="s">
        <v>39</v>
      </c>
      <c r="O490" s="15">
        <v>1</v>
      </c>
      <c r="P490" s="15">
        <v>1</v>
      </c>
      <c r="Q490" s="15"/>
      <c r="R490" s="15"/>
      <c r="S490" s="25">
        <v>45903</v>
      </c>
      <c r="T490" s="25">
        <v>45888</v>
      </c>
      <c r="U490" s="25">
        <v>45898</v>
      </c>
      <c r="V490" s="15" t="s">
        <v>420</v>
      </c>
      <c r="W490" s="15"/>
      <c r="X490" s="159">
        <v>175.25</v>
      </c>
      <c r="Y490" s="159">
        <f>Table2[[#This Row],[PREÇO UNITARIO]]*Table2[[#This Row],[QUANTIDADE]]</f>
        <v>175.25</v>
      </c>
      <c r="Z490" s="15"/>
      <c r="AA490" s="28">
        <f>MONTH(Table2[[#This Row],[DATA PEDIDO HP]])</f>
        <v>7</v>
      </c>
      <c r="AB490" s="32" t="s">
        <v>42</v>
      </c>
      <c r="AC490" s="5">
        <f t="shared" ca="1" si="7"/>
        <v>46232</v>
      </c>
      <c r="AD490" s="331">
        <f ca="1">_xlfn.DAYS(Table2[[#This Row],[HOJE]],Table2[[#This Row],[DATA PEDIDO HP]])</f>
        <v>380</v>
      </c>
      <c r="AE490" s="336" t="s">
        <v>43</v>
      </c>
    </row>
    <row r="491" spans="1:31" ht="14.45" hidden="1">
      <c r="A491" s="271" t="s">
        <v>1690</v>
      </c>
      <c r="B491" s="26">
        <v>45852</v>
      </c>
      <c r="C491" s="26">
        <v>45852</v>
      </c>
      <c r="D491" s="14" t="s">
        <v>1691</v>
      </c>
      <c r="E491" s="14" t="s">
        <v>118</v>
      </c>
      <c r="F491" s="14" t="s">
        <v>64</v>
      </c>
      <c r="G491" s="14">
        <v>48000044</v>
      </c>
      <c r="H491" s="14" t="s">
        <v>542</v>
      </c>
      <c r="I491" s="14" t="s">
        <v>1692</v>
      </c>
      <c r="J491" s="14">
        <v>1</v>
      </c>
      <c r="K491" s="14" t="s">
        <v>37</v>
      </c>
      <c r="L491" s="14" t="s">
        <v>48</v>
      </c>
      <c r="M491" s="15" t="s">
        <v>58</v>
      </c>
      <c r="N491" s="15" t="s">
        <v>58</v>
      </c>
      <c r="O491" s="15">
        <v>1</v>
      </c>
      <c r="P491" s="15">
        <v>1</v>
      </c>
      <c r="Q491" s="15"/>
      <c r="R491" s="15"/>
      <c r="S491" s="25"/>
      <c r="T491" s="25">
        <v>45927</v>
      </c>
      <c r="U491" s="25">
        <v>45932</v>
      </c>
      <c r="V491" s="15" t="s">
        <v>1153</v>
      </c>
      <c r="W491" s="15"/>
      <c r="X491" s="159">
        <v>1240.6400000000001</v>
      </c>
      <c r="Y491" s="159">
        <f>Table2[[#This Row],[PREÇO UNITARIO]]*Table2[[#This Row],[QUANTIDADE]]</f>
        <v>1240.6400000000001</v>
      </c>
      <c r="Z491" s="15"/>
      <c r="AA491" s="28">
        <f>MONTH(Table2[[#This Row],[DATA PEDIDO HP]])</f>
        <v>7</v>
      </c>
      <c r="AB491" s="32" t="s">
        <v>60</v>
      </c>
      <c r="AC491" s="5">
        <f t="shared" ca="1" si="7"/>
        <v>46232</v>
      </c>
      <c r="AD491" s="331">
        <f ca="1">_xlfn.DAYS(Table2[[#This Row],[HOJE]],Table2[[#This Row],[DATA PEDIDO HP]])</f>
        <v>380</v>
      </c>
      <c r="AE491" s="5" t="s">
        <v>43</v>
      </c>
    </row>
    <row r="492" spans="1:31" ht="14.45" hidden="1">
      <c r="A492" s="271" t="s">
        <v>1693</v>
      </c>
      <c r="B492" s="26">
        <v>45852</v>
      </c>
      <c r="C492" s="26">
        <v>45852</v>
      </c>
      <c r="D492" s="14" t="s">
        <v>1694</v>
      </c>
      <c r="E492" s="14" t="s">
        <v>54</v>
      </c>
      <c r="F492" s="14" t="s">
        <v>55</v>
      </c>
      <c r="G492" s="14">
        <v>44000216</v>
      </c>
      <c r="H492" s="14" t="s">
        <v>174</v>
      </c>
      <c r="I492" s="14" t="s">
        <v>1695</v>
      </c>
      <c r="J492" s="14">
        <v>1</v>
      </c>
      <c r="K492" s="14" t="s">
        <v>37</v>
      </c>
      <c r="L492" s="14" t="s">
        <v>96</v>
      </c>
      <c r="M492" s="15" t="s">
        <v>58</v>
      </c>
      <c r="N492" s="15" t="s">
        <v>58</v>
      </c>
      <c r="O492" s="15">
        <v>1</v>
      </c>
      <c r="P492" s="15">
        <v>1</v>
      </c>
      <c r="Q492" s="15"/>
      <c r="R492" s="15"/>
      <c r="S492" s="25"/>
      <c r="T492" s="25">
        <v>45888</v>
      </c>
      <c r="U492" s="25">
        <v>45898</v>
      </c>
      <c r="V492" s="15" t="s">
        <v>420</v>
      </c>
      <c r="W492" s="15"/>
      <c r="X492" s="159">
        <v>130.65</v>
      </c>
      <c r="Y492" s="159">
        <f>Table2[[#This Row],[PREÇO UNITARIO]]*Table2[[#This Row],[QUANTIDADE]]</f>
        <v>130.65</v>
      </c>
      <c r="Z492" s="15"/>
      <c r="AA492" s="28">
        <f>MONTH(Table2[[#This Row],[DATA PEDIDO HP]])</f>
        <v>7</v>
      </c>
      <c r="AB492" s="32" t="s">
        <v>60</v>
      </c>
      <c r="AC492" s="5">
        <f t="shared" ca="1" si="7"/>
        <v>46232</v>
      </c>
      <c r="AD492" s="331">
        <f ca="1">_xlfn.DAYS(Table2[[#This Row],[HOJE]],Table2[[#This Row],[DATA PEDIDO HP]])</f>
        <v>380</v>
      </c>
      <c r="AE492" s="5" t="s">
        <v>43</v>
      </c>
    </row>
    <row r="493" spans="1:31" ht="14.45" hidden="1">
      <c r="A493" s="271" t="s">
        <v>1696</v>
      </c>
      <c r="B493" s="26">
        <v>45852</v>
      </c>
      <c r="C493" s="26">
        <v>45852</v>
      </c>
      <c r="D493" s="14" t="s">
        <v>1697</v>
      </c>
      <c r="E493" s="14" t="s">
        <v>54</v>
      </c>
      <c r="F493" s="14" t="s">
        <v>173</v>
      </c>
      <c r="G493" s="14">
        <v>48300315</v>
      </c>
      <c r="H493" s="14" t="s">
        <v>369</v>
      </c>
      <c r="I493" s="14" t="s">
        <v>1698</v>
      </c>
      <c r="J493" s="14">
        <v>1</v>
      </c>
      <c r="K493" s="14" t="s">
        <v>37</v>
      </c>
      <c r="L493" s="14" t="s">
        <v>96</v>
      </c>
      <c r="M493" s="15" t="s">
        <v>39</v>
      </c>
      <c r="N493" s="15" t="s">
        <v>39</v>
      </c>
      <c r="O493" s="15">
        <v>1</v>
      </c>
      <c r="P493" s="15">
        <v>1</v>
      </c>
      <c r="Q493" s="15"/>
      <c r="R493" s="15"/>
      <c r="S493" s="25">
        <v>45905</v>
      </c>
      <c r="T493" s="25">
        <v>45888</v>
      </c>
      <c r="U493" s="25">
        <v>45898</v>
      </c>
      <c r="V493" s="15" t="s">
        <v>420</v>
      </c>
      <c r="W493" s="15"/>
      <c r="X493" s="159">
        <v>98.36</v>
      </c>
      <c r="Y493" s="159">
        <f>Table2[[#This Row],[PREÇO UNITARIO]]*Table2[[#This Row],[QUANTIDADE]]</f>
        <v>98.36</v>
      </c>
      <c r="Z493" s="15"/>
      <c r="AA493" s="28">
        <f>MONTH(Table2[[#This Row],[DATA PEDIDO HP]])</f>
        <v>7</v>
      </c>
      <c r="AB493" s="32" t="s">
        <v>60</v>
      </c>
      <c r="AC493" s="5">
        <f t="shared" ca="1" si="7"/>
        <v>46232</v>
      </c>
      <c r="AD493" s="331">
        <f ca="1">_xlfn.DAYS(Table2[[#This Row],[HOJE]],Table2[[#This Row],[DATA PEDIDO HP]])</f>
        <v>380</v>
      </c>
      <c r="AE493" s="336" t="s">
        <v>43</v>
      </c>
    </row>
    <row r="494" spans="1:31" ht="14.45" hidden="1">
      <c r="A494" s="271" t="s">
        <v>1699</v>
      </c>
      <c r="B494" s="26">
        <v>45852</v>
      </c>
      <c r="C494" s="26">
        <v>45852</v>
      </c>
      <c r="D494" s="14" t="s">
        <v>1700</v>
      </c>
      <c r="E494" s="14" t="s">
        <v>202</v>
      </c>
      <c r="F494" s="14" t="s">
        <v>203</v>
      </c>
      <c r="G494" s="14">
        <v>60002072</v>
      </c>
      <c r="H494" s="14" t="s">
        <v>820</v>
      </c>
      <c r="I494" s="14" t="s">
        <v>1701</v>
      </c>
      <c r="J494" s="14">
        <v>2</v>
      </c>
      <c r="K494" s="14" t="s">
        <v>37</v>
      </c>
      <c r="L494" s="14" t="s">
        <v>96</v>
      </c>
      <c r="M494" s="15" t="s">
        <v>58</v>
      </c>
      <c r="N494" s="15" t="s">
        <v>58</v>
      </c>
      <c r="O494" s="15">
        <v>2</v>
      </c>
      <c r="P494" s="15">
        <v>2</v>
      </c>
      <c r="Q494" s="15"/>
      <c r="R494" s="15"/>
      <c r="S494" s="25"/>
      <c r="T494" s="25">
        <v>45888</v>
      </c>
      <c r="U494" s="25">
        <v>45898</v>
      </c>
      <c r="V494" s="15" t="s">
        <v>420</v>
      </c>
      <c r="W494" s="15"/>
      <c r="X494" s="159">
        <v>24.99</v>
      </c>
      <c r="Y494" s="159">
        <f>Table2[[#This Row],[PREÇO UNITARIO]]*Table2[[#This Row],[QUANTIDADE]]</f>
        <v>49.98</v>
      </c>
      <c r="Z494" s="15"/>
      <c r="AA494" s="28">
        <f>MONTH(Table2[[#This Row],[DATA PEDIDO HP]])</f>
        <v>7</v>
      </c>
      <c r="AB494" s="32" t="s">
        <v>60</v>
      </c>
      <c r="AC494" s="5">
        <f t="shared" ca="1" si="7"/>
        <v>46232</v>
      </c>
      <c r="AD494" s="331">
        <f ca="1">_xlfn.DAYS(Table2[[#This Row],[HOJE]],Table2[[#This Row],[DATA PEDIDO HP]])</f>
        <v>380</v>
      </c>
      <c r="AE494" s="5" t="s">
        <v>43</v>
      </c>
    </row>
    <row r="495" spans="1:31" ht="14.45" hidden="1">
      <c r="A495" s="271" t="s">
        <v>1699</v>
      </c>
      <c r="B495" s="26">
        <v>45852</v>
      </c>
      <c r="C495" s="26">
        <v>45852</v>
      </c>
      <c r="D495" s="14" t="s">
        <v>1700</v>
      </c>
      <c r="E495" s="14" t="s">
        <v>202</v>
      </c>
      <c r="F495" s="14" t="s">
        <v>203</v>
      </c>
      <c r="G495" s="14">
        <v>60002072</v>
      </c>
      <c r="H495" s="14" t="s">
        <v>1237</v>
      </c>
      <c r="I495" s="14" t="s">
        <v>1238</v>
      </c>
      <c r="J495" s="14">
        <v>3</v>
      </c>
      <c r="K495" s="14" t="s">
        <v>37</v>
      </c>
      <c r="L495" s="14" t="s">
        <v>96</v>
      </c>
      <c r="M495" s="15" t="s">
        <v>58</v>
      </c>
      <c r="N495" s="15" t="s">
        <v>58</v>
      </c>
      <c r="O495" s="15">
        <v>3</v>
      </c>
      <c r="P495" s="15">
        <v>3</v>
      </c>
      <c r="Q495" s="15"/>
      <c r="R495" s="15"/>
      <c r="S495" s="25"/>
      <c r="T495" s="25">
        <v>45888</v>
      </c>
      <c r="U495" s="25">
        <v>45898</v>
      </c>
      <c r="V495" s="15" t="s">
        <v>420</v>
      </c>
      <c r="W495" s="15"/>
      <c r="X495" s="159">
        <v>60.75</v>
      </c>
      <c r="Y495" s="159">
        <f>Table2[[#This Row],[PREÇO UNITARIO]]*Table2[[#This Row],[QUANTIDADE]]</f>
        <v>182.25</v>
      </c>
      <c r="Z495" s="15"/>
      <c r="AA495" s="28">
        <f>MONTH(Table2[[#This Row],[DATA PEDIDO HP]])</f>
        <v>7</v>
      </c>
      <c r="AB495" s="32" t="s">
        <v>60</v>
      </c>
      <c r="AC495" s="5">
        <f t="shared" ca="1" si="7"/>
        <v>46232</v>
      </c>
      <c r="AD495" s="331">
        <f ca="1">_xlfn.DAYS(Table2[[#This Row],[HOJE]],Table2[[#This Row],[DATA PEDIDO HP]])</f>
        <v>380</v>
      </c>
      <c r="AE495" s="5" t="s">
        <v>43</v>
      </c>
    </row>
    <row r="496" spans="1:31" ht="14.45" hidden="1">
      <c r="A496" s="271" t="s">
        <v>1702</v>
      </c>
      <c r="B496" s="26">
        <v>45853</v>
      </c>
      <c r="C496" s="26">
        <v>45853</v>
      </c>
      <c r="D496" s="14" t="s">
        <v>1703</v>
      </c>
      <c r="E496" s="14" t="s">
        <v>54</v>
      </c>
      <c r="F496" s="14" t="s">
        <v>173</v>
      </c>
      <c r="G496" s="14">
        <v>48300315</v>
      </c>
      <c r="H496" s="14" t="s">
        <v>1704</v>
      </c>
      <c r="I496" s="14" t="s">
        <v>1705</v>
      </c>
      <c r="J496" s="14">
        <v>1</v>
      </c>
      <c r="K496" s="14" t="s">
        <v>37</v>
      </c>
      <c r="L496" s="14" t="s">
        <v>96</v>
      </c>
      <c r="M496" s="15" t="s">
        <v>89</v>
      </c>
      <c r="N496" s="15" t="s">
        <v>89</v>
      </c>
      <c r="O496" s="15">
        <v>0</v>
      </c>
      <c r="P496" s="15">
        <v>0</v>
      </c>
      <c r="Q496" s="15"/>
      <c r="R496" s="15" t="s">
        <v>314</v>
      </c>
      <c r="S496" s="25">
        <v>45905</v>
      </c>
      <c r="T496" s="25">
        <v>45888</v>
      </c>
      <c r="U496" s="25">
        <v>45898</v>
      </c>
      <c r="V496" s="15" t="s">
        <v>420</v>
      </c>
      <c r="W496" s="15"/>
      <c r="X496" s="159">
        <v>159.5</v>
      </c>
      <c r="Y496" s="159">
        <f>Table2[[#This Row],[PREÇO UNITARIO]]*Table2[[#This Row],[QUANTIDADE]]</f>
        <v>159.5</v>
      </c>
      <c r="Z496" s="15"/>
      <c r="AA496" s="28">
        <f>MONTH(Table2[[#This Row],[DATA PEDIDO HP]])</f>
        <v>7</v>
      </c>
      <c r="AB496" s="32" t="s">
        <v>60</v>
      </c>
      <c r="AC496" s="5">
        <f t="shared" ca="1" si="7"/>
        <v>46232</v>
      </c>
      <c r="AD496" s="331">
        <f ca="1">_xlfn.DAYS(Table2[[#This Row],[HOJE]],Table2[[#This Row],[DATA PEDIDO HP]])</f>
        <v>379</v>
      </c>
      <c r="AE496" s="336" t="s">
        <v>43</v>
      </c>
    </row>
    <row r="497" spans="1:31" ht="14.45" hidden="1">
      <c r="A497" s="271" t="s">
        <v>1706</v>
      </c>
      <c r="B497" s="26">
        <v>45855</v>
      </c>
      <c r="C497" s="26">
        <v>45855</v>
      </c>
      <c r="D497" s="14" t="s">
        <v>1707</v>
      </c>
      <c r="E497" s="14" t="s">
        <v>103</v>
      </c>
      <c r="F497" s="14" t="s">
        <v>104</v>
      </c>
      <c r="G497" s="14">
        <v>51000136</v>
      </c>
      <c r="H497" s="14" t="s">
        <v>1708</v>
      </c>
      <c r="I497" s="14" t="s">
        <v>1709</v>
      </c>
      <c r="J497" s="14">
        <v>1</v>
      </c>
      <c r="K497" s="14" t="s">
        <v>37</v>
      </c>
      <c r="L497" s="14" t="s">
        <v>96</v>
      </c>
      <c r="M497" s="15" t="s">
        <v>58</v>
      </c>
      <c r="N497" s="15" t="s">
        <v>58</v>
      </c>
      <c r="O497" s="15">
        <v>1</v>
      </c>
      <c r="P497" s="15">
        <v>1</v>
      </c>
      <c r="Q497" s="15"/>
      <c r="R497" s="15"/>
      <c r="S497" s="25"/>
      <c r="T497" s="25">
        <v>45888</v>
      </c>
      <c r="U497" s="25">
        <v>45898</v>
      </c>
      <c r="V497" s="15" t="s">
        <v>420</v>
      </c>
      <c r="W497" s="15"/>
      <c r="X497" s="159">
        <v>591.17999999999995</v>
      </c>
      <c r="Y497" s="159">
        <f>Table2[[#This Row],[PREÇO UNITARIO]]*Table2[[#This Row],[QUANTIDADE]]</f>
        <v>591.17999999999995</v>
      </c>
      <c r="Z497" s="15"/>
      <c r="AA497" s="28">
        <f>MONTH(Table2[[#This Row],[DATA PEDIDO HP]])</f>
        <v>7</v>
      </c>
      <c r="AB497" s="32" t="s">
        <v>42</v>
      </c>
      <c r="AC497" s="5">
        <f t="shared" ca="1" si="7"/>
        <v>46232</v>
      </c>
      <c r="AD497" s="331">
        <f ca="1">_xlfn.DAYS(Table2[[#This Row],[HOJE]],Table2[[#This Row],[DATA PEDIDO HP]])</f>
        <v>377</v>
      </c>
      <c r="AE497" s="5" t="s">
        <v>43</v>
      </c>
    </row>
    <row r="498" spans="1:31" ht="14.45" hidden="1">
      <c r="A498" s="271" t="s">
        <v>1710</v>
      </c>
      <c r="B498" s="26">
        <v>45855</v>
      </c>
      <c r="C498" s="26">
        <v>45854</v>
      </c>
      <c r="D498" s="14" t="s">
        <v>1711</v>
      </c>
      <c r="E498" s="14" t="s">
        <v>33</v>
      </c>
      <c r="F498" s="14" t="s">
        <v>34</v>
      </c>
      <c r="G498" s="14">
        <v>50110193</v>
      </c>
      <c r="H498" s="14" t="s">
        <v>1712</v>
      </c>
      <c r="I498" s="14" t="s">
        <v>1713</v>
      </c>
      <c r="J498" s="14">
        <v>1</v>
      </c>
      <c r="K498" s="14" t="s">
        <v>37</v>
      </c>
      <c r="L498" s="14" t="s">
        <v>96</v>
      </c>
      <c r="M498" s="15" t="s">
        <v>58</v>
      </c>
      <c r="N498" s="15" t="s">
        <v>58</v>
      </c>
      <c r="O498" s="15">
        <v>1</v>
      </c>
      <c r="P498" s="15">
        <v>1</v>
      </c>
      <c r="Q498" s="15"/>
      <c r="R498" s="15" t="s">
        <v>1052</v>
      </c>
      <c r="S498" s="25"/>
      <c r="T498" s="25">
        <v>45888</v>
      </c>
      <c r="U498" s="25">
        <v>45898</v>
      </c>
      <c r="V498" s="15" t="s">
        <v>420</v>
      </c>
      <c r="W498" s="15"/>
      <c r="X498" s="159">
        <v>422.15</v>
      </c>
      <c r="Y498" s="159">
        <f>Table2[[#This Row],[PREÇO UNITARIO]]*Table2[[#This Row],[QUANTIDADE]]</f>
        <v>422.15</v>
      </c>
      <c r="Z498" s="15"/>
      <c r="AA498" s="28">
        <f>MONTH(Table2[[#This Row],[DATA PEDIDO HP]])</f>
        <v>7</v>
      </c>
      <c r="AB498" s="32" t="s">
        <v>42</v>
      </c>
      <c r="AC498" s="5">
        <f t="shared" ca="1" si="7"/>
        <v>46232</v>
      </c>
      <c r="AD498" s="331">
        <f ca="1">_xlfn.DAYS(Table2[[#This Row],[HOJE]],Table2[[#This Row],[DATA PEDIDO HP]])</f>
        <v>377</v>
      </c>
      <c r="AE498" s="5" t="s">
        <v>43</v>
      </c>
    </row>
    <row r="499" spans="1:31" ht="14.45" hidden="1">
      <c r="A499" s="271" t="s">
        <v>1714</v>
      </c>
      <c r="B499" s="26">
        <v>45855</v>
      </c>
      <c r="C499" s="26">
        <v>45854</v>
      </c>
      <c r="D499" s="14" t="s">
        <v>1715</v>
      </c>
      <c r="E499" s="14" t="s">
        <v>33</v>
      </c>
      <c r="F499" s="14" t="s">
        <v>34</v>
      </c>
      <c r="G499" s="14">
        <v>50110193</v>
      </c>
      <c r="H499" s="14" t="s">
        <v>134</v>
      </c>
      <c r="I499" s="14" t="s">
        <v>740</v>
      </c>
      <c r="J499" s="14">
        <v>1</v>
      </c>
      <c r="K499" s="14" t="s">
        <v>37</v>
      </c>
      <c r="L499" s="14" t="s">
        <v>96</v>
      </c>
      <c r="M499" s="15" t="s">
        <v>39</v>
      </c>
      <c r="N499" s="15" t="s">
        <v>39</v>
      </c>
      <c r="O499" s="15">
        <v>1</v>
      </c>
      <c r="P499" s="15">
        <v>1</v>
      </c>
      <c r="Q499" s="15"/>
      <c r="R499" s="15"/>
      <c r="S499" s="25">
        <v>45903</v>
      </c>
      <c r="T499" s="25">
        <v>45888</v>
      </c>
      <c r="U499" s="25">
        <v>45898</v>
      </c>
      <c r="V499" s="15" t="s">
        <v>420</v>
      </c>
      <c r="W499" s="15"/>
      <c r="X499" s="159">
        <v>42.46</v>
      </c>
      <c r="Y499" s="159">
        <f>Table2[[#This Row],[PREÇO UNITARIO]]*Table2[[#This Row],[QUANTIDADE]]</f>
        <v>42.46</v>
      </c>
      <c r="Z499" s="15"/>
      <c r="AA499" s="28">
        <f>MONTH(Table2[[#This Row],[DATA PEDIDO HP]])</f>
        <v>7</v>
      </c>
      <c r="AB499" s="32" t="s">
        <v>42</v>
      </c>
      <c r="AC499" s="5">
        <f t="shared" ca="1" si="7"/>
        <v>46232</v>
      </c>
      <c r="AD499" s="331">
        <f ca="1">_xlfn.DAYS(Table2[[#This Row],[HOJE]],Table2[[#This Row],[DATA PEDIDO HP]])</f>
        <v>377</v>
      </c>
      <c r="AE499" s="336" t="s">
        <v>43</v>
      </c>
    </row>
    <row r="500" spans="1:31" ht="14.45" hidden="1">
      <c r="A500" s="271" t="s">
        <v>1716</v>
      </c>
      <c r="B500" s="26">
        <v>45855</v>
      </c>
      <c r="C500" s="26">
        <v>45855</v>
      </c>
      <c r="D500" s="14" t="s">
        <v>1717</v>
      </c>
      <c r="E500" s="14" t="s">
        <v>73</v>
      </c>
      <c r="F500" s="14" t="s">
        <v>34</v>
      </c>
      <c r="G500" s="14">
        <v>50110372</v>
      </c>
      <c r="H500" s="14" t="s">
        <v>94</v>
      </c>
      <c r="I500" s="14" t="s">
        <v>1718</v>
      </c>
      <c r="J500" s="14">
        <v>1</v>
      </c>
      <c r="K500" s="14" t="s">
        <v>37</v>
      </c>
      <c r="L500" s="14" t="s">
        <v>96</v>
      </c>
      <c r="M500" s="15" t="s">
        <v>58</v>
      </c>
      <c r="N500" s="15" t="s">
        <v>58</v>
      </c>
      <c r="O500" s="15">
        <v>0</v>
      </c>
      <c r="P500" s="15">
        <v>1</v>
      </c>
      <c r="Q500" s="15"/>
      <c r="R500" s="15"/>
      <c r="S500" s="25"/>
      <c r="T500" s="25">
        <v>45888</v>
      </c>
      <c r="U500" s="25">
        <v>45898</v>
      </c>
      <c r="V500" s="15" t="s">
        <v>420</v>
      </c>
      <c r="W500" s="15"/>
      <c r="X500" s="159">
        <v>207.82</v>
      </c>
      <c r="Y500" s="159">
        <f>Table2[[#This Row],[PREÇO UNITARIO]]*Table2[[#This Row],[QUANTIDADE]]</f>
        <v>207.82</v>
      </c>
      <c r="Z500" s="15"/>
      <c r="AA500" s="28">
        <f>MONTH(Table2[[#This Row],[DATA PEDIDO HP]])</f>
        <v>7</v>
      </c>
      <c r="AB500" s="32" t="s">
        <v>42</v>
      </c>
      <c r="AC500" s="5">
        <f t="shared" ca="1" si="7"/>
        <v>46232</v>
      </c>
      <c r="AD500" s="331">
        <f ca="1">_xlfn.DAYS(Table2[[#This Row],[HOJE]],Table2[[#This Row],[DATA PEDIDO HP]])</f>
        <v>377</v>
      </c>
      <c r="AE500" s="5" t="s">
        <v>43</v>
      </c>
    </row>
    <row r="501" spans="1:31" ht="14.45" hidden="1">
      <c r="A501" s="271" t="s">
        <v>1719</v>
      </c>
      <c r="B501" s="26">
        <v>45855</v>
      </c>
      <c r="C501" s="26">
        <v>45855</v>
      </c>
      <c r="D501" s="14" t="s">
        <v>1720</v>
      </c>
      <c r="E501" s="14" t="s">
        <v>73</v>
      </c>
      <c r="F501" s="14" t="s">
        <v>34</v>
      </c>
      <c r="G501" s="14">
        <v>50110372</v>
      </c>
      <c r="H501" s="14" t="s">
        <v>126</v>
      </c>
      <c r="I501" s="14" t="s">
        <v>127</v>
      </c>
      <c r="J501" s="14">
        <v>1</v>
      </c>
      <c r="K501" s="14" t="s">
        <v>37</v>
      </c>
      <c r="L501" s="14" t="s">
        <v>96</v>
      </c>
      <c r="M501" s="15" t="s">
        <v>58</v>
      </c>
      <c r="N501" s="15" t="s">
        <v>58</v>
      </c>
      <c r="O501" s="15">
        <v>0</v>
      </c>
      <c r="P501" s="15">
        <v>1</v>
      </c>
      <c r="Q501" s="15"/>
      <c r="R501" s="15"/>
      <c r="S501" s="25">
        <v>45917</v>
      </c>
      <c r="T501" s="25">
        <v>45979</v>
      </c>
      <c r="U501" s="25">
        <v>45993</v>
      </c>
      <c r="V501" s="15" t="s">
        <v>1290</v>
      </c>
      <c r="W501" s="15"/>
      <c r="X501" s="159">
        <v>459.53</v>
      </c>
      <c r="Y501" s="159">
        <f>Table2[[#This Row],[PREÇO UNITARIO]]*Table2[[#This Row],[QUANTIDADE]]</f>
        <v>459.53</v>
      </c>
      <c r="Z501" s="201">
        <v>46010</v>
      </c>
      <c r="AA501" s="28">
        <f>MONTH(Table2[[#This Row],[DATA PEDIDO HP]])</f>
        <v>7</v>
      </c>
      <c r="AB501" s="32" t="s">
        <v>42</v>
      </c>
      <c r="AC501" s="5">
        <f t="shared" ca="1" si="7"/>
        <v>46232</v>
      </c>
      <c r="AD501" s="331">
        <f ca="1">_xlfn.DAYS(Table2[[#This Row],[HOJE]],Table2[[#This Row],[DATA PEDIDO HP]])</f>
        <v>377</v>
      </c>
      <c r="AE501" s="336" t="s">
        <v>43</v>
      </c>
    </row>
    <row r="502" spans="1:31" ht="14.45" hidden="1">
      <c r="A502" s="271" t="s">
        <v>1721</v>
      </c>
      <c r="B502" s="26">
        <v>45855</v>
      </c>
      <c r="C502" s="26">
        <v>45855</v>
      </c>
      <c r="D502" s="14" t="s">
        <v>1722</v>
      </c>
      <c r="E502" s="14" t="s">
        <v>73</v>
      </c>
      <c r="F502" s="14" t="s">
        <v>34</v>
      </c>
      <c r="G502" s="14">
        <v>50110372</v>
      </c>
      <c r="H502" s="14" t="s">
        <v>130</v>
      </c>
      <c r="I502" s="14" t="s">
        <v>633</v>
      </c>
      <c r="J502" s="14">
        <v>2</v>
      </c>
      <c r="K502" s="14" t="s">
        <v>37</v>
      </c>
      <c r="L502" s="14" t="s">
        <v>96</v>
      </c>
      <c r="M502" s="15" t="s">
        <v>58</v>
      </c>
      <c r="N502" s="15" t="s">
        <v>58</v>
      </c>
      <c r="O502" s="15">
        <v>0</v>
      </c>
      <c r="P502" s="15">
        <v>2</v>
      </c>
      <c r="Q502" s="15"/>
      <c r="R502" s="15"/>
      <c r="S502" s="25">
        <v>45890</v>
      </c>
      <c r="T502" s="25">
        <v>45888</v>
      </c>
      <c r="U502" s="25">
        <v>45898</v>
      </c>
      <c r="V502" s="15" t="s">
        <v>420</v>
      </c>
      <c r="W502" s="15"/>
      <c r="X502" s="159">
        <v>17.28</v>
      </c>
      <c r="Y502" s="159">
        <f>Table2[[#This Row],[PREÇO UNITARIO]]*Table2[[#This Row],[QUANTIDADE]]</f>
        <v>34.56</v>
      </c>
      <c r="Z502" s="15"/>
      <c r="AA502" s="28">
        <f>MONTH(Table2[[#This Row],[DATA PEDIDO HP]])</f>
        <v>7</v>
      </c>
      <c r="AB502" s="32" t="s">
        <v>42</v>
      </c>
      <c r="AC502" s="5">
        <f t="shared" ca="1" si="7"/>
        <v>46232</v>
      </c>
      <c r="AD502" s="331">
        <f ca="1">_xlfn.DAYS(Table2[[#This Row],[HOJE]],Table2[[#This Row],[DATA PEDIDO HP]])</f>
        <v>377</v>
      </c>
      <c r="AE502" s="336" t="s">
        <v>43</v>
      </c>
    </row>
    <row r="503" spans="1:31" ht="14.45" hidden="1">
      <c r="A503" s="271" t="s">
        <v>1723</v>
      </c>
      <c r="B503" s="25">
        <v>45868</v>
      </c>
      <c r="C503" s="26">
        <v>45855</v>
      </c>
      <c r="D503" s="14" t="s">
        <v>1724</v>
      </c>
      <c r="E503" s="14" t="s">
        <v>445</v>
      </c>
      <c r="F503" s="14" t="s">
        <v>234</v>
      </c>
      <c r="G503" s="14" t="s">
        <v>1725</v>
      </c>
      <c r="H503" s="14" t="s">
        <v>1726</v>
      </c>
      <c r="I503" s="14" t="s">
        <v>1727</v>
      </c>
      <c r="J503" s="14">
        <v>1</v>
      </c>
      <c r="K503" s="14" t="s">
        <v>37</v>
      </c>
      <c r="L503" s="14" t="s">
        <v>346</v>
      </c>
      <c r="M503" s="15" t="s">
        <v>89</v>
      </c>
      <c r="N503" s="15" t="s">
        <v>89</v>
      </c>
      <c r="O503" s="15">
        <v>0</v>
      </c>
      <c r="P503" s="15">
        <v>0</v>
      </c>
      <c r="Q503" s="15"/>
      <c r="R503" s="15"/>
      <c r="S503" s="25">
        <v>45905</v>
      </c>
      <c r="T503" s="25">
        <v>45888</v>
      </c>
      <c r="U503" s="25">
        <v>45898</v>
      </c>
      <c r="V503" s="15" t="s">
        <v>420</v>
      </c>
      <c r="W503" s="15"/>
      <c r="X503" s="159">
        <v>882.69</v>
      </c>
      <c r="Y503" s="159">
        <f>Table2[[#This Row],[PREÇO UNITARIO]]*Table2[[#This Row],[QUANTIDADE]]</f>
        <v>882.69</v>
      </c>
      <c r="Z503" s="15"/>
      <c r="AA503" s="32">
        <f>MONTH(Table2[[#This Row],[DATA PEDIDO HP]])</f>
        <v>7</v>
      </c>
      <c r="AB503" s="32" t="s">
        <v>60</v>
      </c>
      <c r="AC503" s="5">
        <f t="shared" ca="1" si="7"/>
        <v>46232</v>
      </c>
      <c r="AD503" s="331">
        <f ca="1">_xlfn.DAYS(Table2[[#This Row],[HOJE]],Table2[[#This Row],[DATA PEDIDO HP]])</f>
        <v>364</v>
      </c>
      <c r="AE503" s="336" t="s">
        <v>43</v>
      </c>
    </row>
    <row r="504" spans="1:31" ht="14.45" hidden="1">
      <c r="A504" s="271" t="s">
        <v>1723</v>
      </c>
      <c r="B504" s="25">
        <v>45868</v>
      </c>
      <c r="C504" s="26">
        <v>45855</v>
      </c>
      <c r="D504" s="14" t="s">
        <v>1724</v>
      </c>
      <c r="E504" s="14" t="s">
        <v>445</v>
      </c>
      <c r="F504" s="14" t="s">
        <v>234</v>
      </c>
      <c r="G504" s="14" t="s">
        <v>1725</v>
      </c>
      <c r="H504" s="14" t="s">
        <v>326</v>
      </c>
      <c r="I504" s="14" t="s">
        <v>327</v>
      </c>
      <c r="J504" s="14">
        <v>1</v>
      </c>
      <c r="K504" s="14" t="s">
        <v>37</v>
      </c>
      <c r="L504" s="14" t="s">
        <v>346</v>
      </c>
      <c r="M504" s="15" t="s">
        <v>89</v>
      </c>
      <c r="N504" s="15" t="s">
        <v>89</v>
      </c>
      <c r="O504" s="15">
        <v>0</v>
      </c>
      <c r="P504" s="15">
        <v>0</v>
      </c>
      <c r="Q504" s="15"/>
      <c r="R504" s="15"/>
      <c r="S504" s="25">
        <v>45905</v>
      </c>
      <c r="T504" s="25">
        <v>45888</v>
      </c>
      <c r="U504" s="25">
        <v>45898</v>
      </c>
      <c r="V504" s="15" t="s">
        <v>420</v>
      </c>
      <c r="W504" s="15"/>
      <c r="X504" s="159">
        <v>50.63</v>
      </c>
      <c r="Y504" s="159">
        <f>Table2[[#This Row],[PREÇO UNITARIO]]*Table2[[#This Row],[QUANTIDADE]]</f>
        <v>50.63</v>
      </c>
      <c r="Z504" s="15"/>
      <c r="AA504" s="32">
        <f>MONTH(Table2[[#This Row],[DATA PEDIDO HP]])</f>
        <v>7</v>
      </c>
      <c r="AB504" s="32" t="s">
        <v>60</v>
      </c>
      <c r="AC504" s="5">
        <f t="shared" ca="1" si="7"/>
        <v>46232</v>
      </c>
      <c r="AD504" s="331">
        <f ca="1">_xlfn.DAYS(Table2[[#This Row],[HOJE]],Table2[[#This Row],[DATA PEDIDO HP]])</f>
        <v>364</v>
      </c>
      <c r="AE504" s="336" t="s">
        <v>43</v>
      </c>
    </row>
    <row r="505" spans="1:31" ht="14.45" hidden="1">
      <c r="A505" s="271" t="s">
        <v>1723</v>
      </c>
      <c r="B505" s="25">
        <v>45868</v>
      </c>
      <c r="C505" s="26">
        <v>45855</v>
      </c>
      <c r="D505" s="14" t="s">
        <v>1724</v>
      </c>
      <c r="E505" s="14" t="s">
        <v>445</v>
      </c>
      <c r="F505" s="14" t="s">
        <v>234</v>
      </c>
      <c r="G505" s="14" t="s">
        <v>1725</v>
      </c>
      <c r="H505" s="14" t="s">
        <v>1382</v>
      </c>
      <c r="I505" s="14" t="s">
        <v>1728</v>
      </c>
      <c r="J505" s="14">
        <v>2</v>
      </c>
      <c r="K505" s="14" t="s">
        <v>37</v>
      </c>
      <c r="L505" s="14" t="s">
        <v>346</v>
      </c>
      <c r="M505" s="15" t="s">
        <v>89</v>
      </c>
      <c r="N505" s="15" t="s">
        <v>89</v>
      </c>
      <c r="O505" s="15">
        <v>0</v>
      </c>
      <c r="P505" s="15">
        <v>0</v>
      </c>
      <c r="Q505" s="15"/>
      <c r="R505" s="15"/>
      <c r="S505" s="25">
        <v>45905</v>
      </c>
      <c r="T505" s="25">
        <v>45888</v>
      </c>
      <c r="U505" s="25">
        <v>45898</v>
      </c>
      <c r="V505" s="15" t="s">
        <v>420</v>
      </c>
      <c r="W505" s="15"/>
      <c r="X505" s="159">
        <v>256</v>
      </c>
      <c r="Y505" s="159">
        <f>Table2[[#This Row],[PREÇO UNITARIO]]*Table2[[#This Row],[QUANTIDADE]]</f>
        <v>512</v>
      </c>
      <c r="Z505" s="15"/>
      <c r="AA505" s="32">
        <f>MONTH(Table2[[#This Row],[DATA PEDIDO HP]])</f>
        <v>7</v>
      </c>
      <c r="AB505" s="32" t="s">
        <v>60</v>
      </c>
      <c r="AC505" s="5">
        <f t="shared" ca="1" si="7"/>
        <v>46232</v>
      </c>
      <c r="AD505" s="331">
        <f ca="1">_xlfn.DAYS(Table2[[#This Row],[HOJE]],Table2[[#This Row],[DATA PEDIDO HP]])</f>
        <v>364</v>
      </c>
      <c r="AE505" s="336" t="s">
        <v>43</v>
      </c>
    </row>
    <row r="506" spans="1:31" ht="14.45" hidden="1">
      <c r="A506" s="271" t="s">
        <v>1729</v>
      </c>
      <c r="B506" s="26">
        <v>45855</v>
      </c>
      <c r="C506" s="26">
        <v>45855</v>
      </c>
      <c r="D506" s="14" t="s">
        <v>1730</v>
      </c>
      <c r="E506" s="14" t="s">
        <v>181</v>
      </c>
      <c r="F506" s="14" t="s">
        <v>34</v>
      </c>
      <c r="G506" s="14">
        <v>50110057</v>
      </c>
      <c r="H506" s="14" t="s">
        <v>354</v>
      </c>
      <c r="I506" s="14" t="s">
        <v>1731</v>
      </c>
      <c r="J506" s="14">
        <v>1</v>
      </c>
      <c r="K506" s="14" t="s">
        <v>37</v>
      </c>
      <c r="L506" s="14" t="s">
        <v>96</v>
      </c>
      <c r="M506" s="15" t="s">
        <v>39</v>
      </c>
      <c r="N506" s="15" t="s">
        <v>39</v>
      </c>
      <c r="O506" s="15">
        <v>1</v>
      </c>
      <c r="P506" s="15">
        <v>1</v>
      </c>
      <c r="Q506" s="15"/>
      <c r="R506" s="15"/>
      <c r="S506" s="25">
        <v>45904</v>
      </c>
      <c r="T506" s="25">
        <v>45888</v>
      </c>
      <c r="U506" s="25">
        <v>45898</v>
      </c>
      <c r="V506" s="15" t="s">
        <v>420</v>
      </c>
      <c r="W506" s="15"/>
      <c r="X506" s="159">
        <v>274.36</v>
      </c>
      <c r="Y506" s="159">
        <f>Table2[[#This Row],[PREÇO UNITARIO]]*Table2[[#This Row],[QUANTIDADE]]</f>
        <v>274.36</v>
      </c>
      <c r="Z506" s="15"/>
      <c r="AA506" s="28">
        <f>MONTH(Table2[[#This Row],[DATA PEDIDO HP]])</f>
        <v>7</v>
      </c>
      <c r="AB506" s="32" t="s">
        <v>42</v>
      </c>
      <c r="AC506" s="5">
        <f t="shared" ca="1" si="7"/>
        <v>46232</v>
      </c>
      <c r="AD506" s="331">
        <f ca="1">_xlfn.DAYS(Table2[[#This Row],[HOJE]],Table2[[#This Row],[DATA PEDIDO HP]])</f>
        <v>377</v>
      </c>
      <c r="AE506" s="336" t="s">
        <v>43</v>
      </c>
    </row>
    <row r="507" spans="1:31" ht="14.45" hidden="1">
      <c r="A507" s="271" t="s">
        <v>1732</v>
      </c>
      <c r="B507" s="26">
        <v>45856</v>
      </c>
      <c r="C507" s="26">
        <v>45856</v>
      </c>
      <c r="D507" s="14" t="s">
        <v>1733</v>
      </c>
      <c r="E507" s="14" t="s">
        <v>103</v>
      </c>
      <c r="F507" s="14" t="s">
        <v>104</v>
      </c>
      <c r="G507" s="14">
        <v>51000136</v>
      </c>
      <c r="H507" s="14" t="s">
        <v>743</v>
      </c>
      <c r="I507" s="14" t="s">
        <v>1734</v>
      </c>
      <c r="J507" s="14">
        <v>1</v>
      </c>
      <c r="K507" s="14" t="s">
        <v>37</v>
      </c>
      <c r="L507" s="14" t="s">
        <v>48</v>
      </c>
      <c r="M507" s="14" t="s">
        <v>39</v>
      </c>
      <c r="N507" s="14" t="s">
        <v>39</v>
      </c>
      <c r="O507" s="15">
        <v>1</v>
      </c>
      <c r="P507" s="15">
        <v>1</v>
      </c>
      <c r="Q507" s="15"/>
      <c r="R507" s="15" t="s">
        <v>750</v>
      </c>
      <c r="S507" s="25">
        <v>45903</v>
      </c>
      <c r="T507" s="25">
        <v>45888</v>
      </c>
      <c r="U507" s="25">
        <v>45898</v>
      </c>
      <c r="V507" s="15" t="s">
        <v>420</v>
      </c>
      <c r="W507" s="15"/>
      <c r="X507" s="159">
        <v>1057.75</v>
      </c>
      <c r="Y507" s="159">
        <f>Table2[[#This Row],[PREÇO UNITARIO]]*Table2[[#This Row],[QUANTIDADE]]</f>
        <v>1057.75</v>
      </c>
      <c r="Z507" s="15"/>
      <c r="AA507" s="28">
        <f>MONTH(Table2[[#This Row],[DATA PEDIDO HP]])</f>
        <v>7</v>
      </c>
      <c r="AB507" s="32" t="s">
        <v>42</v>
      </c>
      <c r="AC507" s="5">
        <f t="shared" ca="1" si="7"/>
        <v>46232</v>
      </c>
      <c r="AD507" s="331">
        <f ca="1">_xlfn.DAYS(Table2[[#This Row],[HOJE]],Table2[[#This Row],[DATA PEDIDO HP]])</f>
        <v>376</v>
      </c>
      <c r="AE507" s="336" t="s">
        <v>43</v>
      </c>
    </row>
    <row r="508" spans="1:31" ht="14.45" hidden="1">
      <c r="A508" s="271" t="s">
        <v>1735</v>
      </c>
      <c r="B508" s="26">
        <v>45856</v>
      </c>
      <c r="C508" s="26">
        <v>45856</v>
      </c>
      <c r="D508" s="14" t="s">
        <v>1736</v>
      </c>
      <c r="E508" s="14" t="s">
        <v>428</v>
      </c>
      <c r="F508" s="14" t="s">
        <v>1107</v>
      </c>
      <c r="G508" s="14">
        <v>51100064</v>
      </c>
      <c r="H508" s="14" t="s">
        <v>130</v>
      </c>
      <c r="I508" s="14" t="s">
        <v>497</v>
      </c>
      <c r="J508" s="14">
        <v>2</v>
      </c>
      <c r="K508" s="14" t="s">
        <v>37</v>
      </c>
      <c r="L508" s="14" t="s">
        <v>48</v>
      </c>
      <c r="M508" s="15" t="s">
        <v>58</v>
      </c>
      <c r="N508" s="15" t="s">
        <v>58</v>
      </c>
      <c r="O508" s="15">
        <v>2</v>
      </c>
      <c r="P508" s="15">
        <v>2</v>
      </c>
      <c r="Q508" s="15"/>
      <c r="R508" s="15"/>
      <c r="S508" s="25"/>
      <c r="T508" s="25">
        <v>45888</v>
      </c>
      <c r="U508" s="25">
        <v>45898</v>
      </c>
      <c r="V508" s="15" t="s">
        <v>420</v>
      </c>
      <c r="W508" s="15"/>
      <c r="X508" s="159">
        <v>17.28</v>
      </c>
      <c r="Y508" s="159">
        <f>Table2[[#This Row],[PREÇO UNITARIO]]*Table2[[#This Row],[QUANTIDADE]]</f>
        <v>34.56</v>
      </c>
      <c r="Z508" s="15"/>
      <c r="AA508" s="28">
        <f>MONTH(Table2[[#This Row],[DATA PEDIDO HP]])</f>
        <v>7</v>
      </c>
      <c r="AB508" s="32" t="s">
        <v>60</v>
      </c>
      <c r="AC508" s="5">
        <f t="shared" ca="1" si="7"/>
        <v>46232</v>
      </c>
      <c r="AD508" s="331">
        <f ca="1">_xlfn.DAYS(Table2[[#This Row],[HOJE]],Table2[[#This Row],[DATA PEDIDO HP]])</f>
        <v>376</v>
      </c>
      <c r="AE508" s="5" t="s">
        <v>43</v>
      </c>
    </row>
    <row r="509" spans="1:31" ht="14.45" hidden="1">
      <c r="A509" s="271" t="s">
        <v>1737</v>
      </c>
      <c r="B509" s="26">
        <v>45856</v>
      </c>
      <c r="C509" s="26">
        <v>45856</v>
      </c>
      <c r="D509" s="14" t="s">
        <v>1738</v>
      </c>
      <c r="E509" s="14" t="s">
        <v>428</v>
      </c>
      <c r="F509" s="14" t="s">
        <v>1107</v>
      </c>
      <c r="G509" s="14">
        <v>51100064</v>
      </c>
      <c r="H509" s="14" t="s">
        <v>545</v>
      </c>
      <c r="I509" s="14" t="s">
        <v>1677</v>
      </c>
      <c r="J509" s="14">
        <v>1</v>
      </c>
      <c r="K509" s="14" t="s">
        <v>37</v>
      </c>
      <c r="L509" s="14" t="s">
        <v>48</v>
      </c>
      <c r="M509" s="15" t="s">
        <v>58</v>
      </c>
      <c r="N509" s="15" t="s">
        <v>58</v>
      </c>
      <c r="O509" s="15">
        <v>1</v>
      </c>
      <c r="P509" s="15">
        <v>1</v>
      </c>
      <c r="Q509" s="15"/>
      <c r="R509" s="15"/>
      <c r="S509" s="25"/>
      <c r="T509" s="25">
        <v>45888</v>
      </c>
      <c r="U509" s="25">
        <v>45898</v>
      </c>
      <c r="V509" s="15" t="s">
        <v>420</v>
      </c>
      <c r="W509" s="15"/>
      <c r="X509" s="159">
        <v>898.2</v>
      </c>
      <c r="Y509" s="159">
        <f>Table2[[#This Row],[PREÇO UNITARIO]]*Table2[[#This Row],[QUANTIDADE]]</f>
        <v>898.2</v>
      </c>
      <c r="Z509" s="15"/>
      <c r="AA509" s="28">
        <f>MONTH(Table2[[#This Row],[DATA PEDIDO HP]])</f>
        <v>7</v>
      </c>
      <c r="AB509" s="32" t="s">
        <v>60</v>
      </c>
      <c r="AC509" s="5">
        <f t="shared" ca="1" si="7"/>
        <v>46232</v>
      </c>
      <c r="AD509" s="331">
        <f ca="1">_xlfn.DAYS(Table2[[#This Row],[HOJE]],Table2[[#This Row],[DATA PEDIDO HP]])</f>
        <v>376</v>
      </c>
      <c r="AE509" s="5" t="s">
        <v>43</v>
      </c>
    </row>
    <row r="510" spans="1:31" ht="14.45" hidden="1">
      <c r="A510" s="271" t="s">
        <v>1739</v>
      </c>
      <c r="B510" s="26">
        <v>45856</v>
      </c>
      <c r="C510" s="26">
        <v>45856</v>
      </c>
      <c r="D510" s="14" t="s">
        <v>1740</v>
      </c>
      <c r="E510" s="14" t="s">
        <v>152</v>
      </c>
      <c r="F510" s="14" t="s">
        <v>64</v>
      </c>
      <c r="G510" s="14">
        <v>48000482</v>
      </c>
      <c r="H510" s="14" t="s">
        <v>943</v>
      </c>
      <c r="I510" s="14" t="s">
        <v>1741</v>
      </c>
      <c r="J510" s="14">
        <v>1</v>
      </c>
      <c r="K510" s="14" t="s">
        <v>37</v>
      </c>
      <c r="L510" s="14" t="s">
        <v>48</v>
      </c>
      <c r="M510" s="15" t="s">
        <v>58</v>
      </c>
      <c r="N510" s="15" t="s">
        <v>58</v>
      </c>
      <c r="O510" s="15">
        <v>1</v>
      </c>
      <c r="P510" s="15">
        <v>1</v>
      </c>
      <c r="Q510" s="15"/>
      <c r="R510" s="15"/>
      <c r="S510" s="25"/>
      <c r="T510" s="25">
        <v>45888</v>
      </c>
      <c r="U510" s="25">
        <v>45898</v>
      </c>
      <c r="V510" s="15" t="s">
        <v>420</v>
      </c>
      <c r="W510" s="15"/>
      <c r="X510" s="159">
        <v>11.63</v>
      </c>
      <c r="Y510" s="159">
        <f>Table2[[#This Row],[PREÇO UNITARIO]]*Table2[[#This Row],[QUANTIDADE]]</f>
        <v>11.63</v>
      </c>
      <c r="Z510" s="15"/>
      <c r="AA510" s="28">
        <f>MONTH(Table2[[#This Row],[DATA PEDIDO HP]])</f>
        <v>7</v>
      </c>
      <c r="AB510" s="32" t="s">
        <v>60</v>
      </c>
      <c r="AC510" s="5">
        <f t="shared" ca="1" si="7"/>
        <v>46232</v>
      </c>
      <c r="AD510" s="331">
        <f ca="1">_xlfn.DAYS(Table2[[#This Row],[HOJE]],Table2[[#This Row],[DATA PEDIDO HP]])</f>
        <v>376</v>
      </c>
      <c r="AE510" s="5" t="s">
        <v>43</v>
      </c>
    </row>
    <row r="511" spans="1:31" ht="14.45" hidden="1">
      <c r="A511" s="271" t="s">
        <v>1742</v>
      </c>
      <c r="B511" s="26">
        <v>45856</v>
      </c>
      <c r="C511" s="26">
        <v>45856</v>
      </c>
      <c r="D511" s="14" t="s">
        <v>1743</v>
      </c>
      <c r="E511" s="14" t="s">
        <v>103</v>
      </c>
      <c r="F511" s="14" t="s">
        <v>104</v>
      </c>
      <c r="G511" s="14">
        <v>51000136</v>
      </c>
      <c r="H511" s="14" t="s">
        <v>1070</v>
      </c>
      <c r="I511" s="14" t="s">
        <v>1744</v>
      </c>
      <c r="J511" s="14">
        <v>1</v>
      </c>
      <c r="K511" s="14" t="s">
        <v>37</v>
      </c>
      <c r="L511" s="14" t="s">
        <v>48</v>
      </c>
      <c r="M511" s="14" t="s">
        <v>39</v>
      </c>
      <c r="N511" s="14" t="s">
        <v>39</v>
      </c>
      <c r="O511" s="15">
        <v>1</v>
      </c>
      <c r="P511" s="15">
        <v>1</v>
      </c>
      <c r="Q511" s="15"/>
      <c r="R511" s="15"/>
      <c r="S511" s="25">
        <v>45903</v>
      </c>
      <c r="T511" s="25">
        <v>45888</v>
      </c>
      <c r="U511" s="25">
        <v>45898</v>
      </c>
      <c r="V511" s="15" t="s">
        <v>420</v>
      </c>
      <c r="W511" s="15"/>
      <c r="X511" s="159">
        <v>24.5</v>
      </c>
      <c r="Y511" s="159">
        <f>Table2[[#This Row],[PREÇO UNITARIO]]*Table2[[#This Row],[QUANTIDADE]]</f>
        <v>24.5</v>
      </c>
      <c r="Z511" s="15"/>
      <c r="AA511" s="28">
        <f>MONTH(Table2[[#This Row],[DATA PEDIDO HP]])</f>
        <v>7</v>
      </c>
      <c r="AB511" s="32" t="s">
        <v>42</v>
      </c>
      <c r="AC511" s="5">
        <f t="shared" ca="1" si="7"/>
        <v>46232</v>
      </c>
      <c r="AD511" s="331">
        <f ca="1">_xlfn.DAYS(Table2[[#This Row],[HOJE]],Table2[[#This Row],[DATA PEDIDO HP]])</f>
        <v>376</v>
      </c>
      <c r="AE511" s="336" t="s">
        <v>43</v>
      </c>
    </row>
    <row r="512" spans="1:31" ht="14.45" hidden="1">
      <c r="A512" s="271" t="s">
        <v>1745</v>
      </c>
      <c r="B512" s="26">
        <v>45856</v>
      </c>
      <c r="C512" s="26">
        <v>45856</v>
      </c>
      <c r="D512" s="14" t="s">
        <v>1746</v>
      </c>
      <c r="E512" s="14" t="s">
        <v>334</v>
      </c>
      <c r="F512" s="14" t="s">
        <v>55</v>
      </c>
      <c r="G512" s="14">
        <v>44000010</v>
      </c>
      <c r="H512" s="14" t="s">
        <v>1747</v>
      </c>
      <c r="I512" s="14" t="s">
        <v>1748</v>
      </c>
      <c r="J512" s="14">
        <v>1</v>
      </c>
      <c r="K512" s="14" t="s">
        <v>37</v>
      </c>
      <c r="L512" s="14" t="s">
        <v>48</v>
      </c>
      <c r="M512" s="15" t="s">
        <v>58</v>
      </c>
      <c r="N512" s="15" t="s">
        <v>58</v>
      </c>
      <c r="O512" s="15">
        <v>1</v>
      </c>
      <c r="P512" s="15">
        <v>1</v>
      </c>
      <c r="Q512" s="15"/>
      <c r="R512" s="15"/>
      <c r="S512" s="25"/>
      <c r="T512" s="25">
        <v>45888</v>
      </c>
      <c r="U512" s="25">
        <v>45898</v>
      </c>
      <c r="V512" s="15" t="s">
        <v>420</v>
      </c>
      <c r="W512" s="15"/>
      <c r="X512" s="159">
        <v>407.36</v>
      </c>
      <c r="Y512" s="159">
        <f>Table2[[#This Row],[PREÇO UNITARIO]]*Table2[[#This Row],[QUANTIDADE]]</f>
        <v>407.36</v>
      </c>
      <c r="Z512" s="15"/>
      <c r="AA512" s="28">
        <f>MONTH(Table2[[#This Row],[DATA PEDIDO HP]])</f>
        <v>7</v>
      </c>
      <c r="AB512" s="32" t="s">
        <v>60</v>
      </c>
      <c r="AC512" s="5">
        <f t="shared" ca="1" si="7"/>
        <v>46232</v>
      </c>
      <c r="AD512" s="331">
        <f ca="1">_xlfn.DAYS(Table2[[#This Row],[HOJE]],Table2[[#This Row],[DATA PEDIDO HP]])</f>
        <v>376</v>
      </c>
      <c r="AE512" s="5" t="s">
        <v>43</v>
      </c>
    </row>
    <row r="513" spans="1:31" ht="14.45" hidden="1">
      <c r="A513" s="271" t="s">
        <v>1745</v>
      </c>
      <c r="B513" s="26">
        <v>45856</v>
      </c>
      <c r="C513" s="26">
        <v>45856</v>
      </c>
      <c r="D513" s="14" t="s">
        <v>1746</v>
      </c>
      <c r="E513" s="14" t="s">
        <v>334</v>
      </c>
      <c r="F513" s="14" t="s">
        <v>55</v>
      </c>
      <c r="G513" s="14">
        <v>44000010</v>
      </c>
      <c r="H513" s="14" t="s">
        <v>1749</v>
      </c>
      <c r="I513" s="14" t="s">
        <v>1750</v>
      </c>
      <c r="J513" s="14">
        <v>1</v>
      </c>
      <c r="K513" s="14" t="s">
        <v>37</v>
      </c>
      <c r="L513" s="14" t="s">
        <v>48</v>
      </c>
      <c r="M513" s="15" t="s">
        <v>58</v>
      </c>
      <c r="N513" s="15" t="s">
        <v>58</v>
      </c>
      <c r="O513" s="15">
        <v>1</v>
      </c>
      <c r="P513" s="15">
        <v>1</v>
      </c>
      <c r="Q513" s="15"/>
      <c r="R513" s="15"/>
      <c r="S513" s="25"/>
      <c r="T513" s="25">
        <v>45888</v>
      </c>
      <c r="U513" s="25">
        <v>45898</v>
      </c>
      <c r="V513" s="15" t="s">
        <v>420</v>
      </c>
      <c r="W513" s="15"/>
      <c r="X513" s="159">
        <v>407.36</v>
      </c>
      <c r="Y513" s="159">
        <f>Table2[[#This Row],[PREÇO UNITARIO]]*Table2[[#This Row],[QUANTIDADE]]</f>
        <v>407.36</v>
      </c>
      <c r="Z513" s="15"/>
      <c r="AA513" s="28">
        <f>MONTH(Table2[[#This Row],[DATA PEDIDO HP]])</f>
        <v>7</v>
      </c>
      <c r="AB513" s="32" t="s">
        <v>60</v>
      </c>
      <c r="AC513" s="5">
        <f t="shared" ca="1" si="7"/>
        <v>46232</v>
      </c>
      <c r="AD513" s="331">
        <f ca="1">_xlfn.DAYS(Table2[[#This Row],[HOJE]],Table2[[#This Row],[DATA PEDIDO HP]])</f>
        <v>376</v>
      </c>
      <c r="AE513" s="5" t="s">
        <v>43</v>
      </c>
    </row>
    <row r="514" spans="1:31" ht="14.45" hidden="1">
      <c r="A514" s="271" t="s">
        <v>1751</v>
      </c>
      <c r="B514" s="26">
        <v>45859</v>
      </c>
      <c r="C514" s="26">
        <v>45859</v>
      </c>
      <c r="D514" s="14" t="s">
        <v>1752</v>
      </c>
      <c r="E514" s="14" t="s">
        <v>85</v>
      </c>
      <c r="F514" s="14" t="s">
        <v>74</v>
      </c>
      <c r="G514" s="14">
        <v>50000260</v>
      </c>
      <c r="H514" s="14" t="s">
        <v>1753</v>
      </c>
      <c r="I514" s="14" t="s">
        <v>1754</v>
      </c>
      <c r="J514" s="14">
        <v>1</v>
      </c>
      <c r="K514" s="14" t="s">
        <v>37</v>
      </c>
      <c r="L514" s="14" t="s">
        <v>96</v>
      </c>
      <c r="M514" s="15" t="s">
        <v>58</v>
      </c>
      <c r="N514" s="15" t="s">
        <v>58</v>
      </c>
      <c r="O514" s="15">
        <v>1</v>
      </c>
      <c r="P514" s="15">
        <v>1</v>
      </c>
      <c r="Q514" s="15"/>
      <c r="R514" s="15" t="s">
        <v>803</v>
      </c>
      <c r="S514" s="25"/>
      <c r="T514" s="25">
        <v>45888</v>
      </c>
      <c r="U514" s="25">
        <v>45898</v>
      </c>
      <c r="V514" s="15" t="s">
        <v>420</v>
      </c>
      <c r="W514" s="15"/>
      <c r="X514" s="159">
        <v>26.96</v>
      </c>
      <c r="Y514" s="159">
        <f>Table2[[#This Row],[PREÇO UNITARIO]]*Table2[[#This Row],[QUANTIDADE]]</f>
        <v>26.96</v>
      </c>
      <c r="Z514" s="15"/>
      <c r="AA514" s="28">
        <f>MONTH(Table2[[#This Row],[DATA PEDIDO HP]])</f>
        <v>7</v>
      </c>
      <c r="AB514" s="32" t="s">
        <v>42</v>
      </c>
      <c r="AC514" s="5">
        <f t="shared" ref="AC514:AC577" ca="1" si="8">TODAY()</f>
        <v>46232</v>
      </c>
      <c r="AD514" s="331">
        <f ca="1">_xlfn.DAYS(Table2[[#This Row],[HOJE]],Table2[[#This Row],[DATA PEDIDO HP]])</f>
        <v>373</v>
      </c>
      <c r="AE514" s="5" t="s">
        <v>43</v>
      </c>
    </row>
    <row r="515" spans="1:31" ht="14.45" hidden="1">
      <c r="A515" s="271" t="s">
        <v>1755</v>
      </c>
      <c r="B515" s="26">
        <v>45859</v>
      </c>
      <c r="C515" s="26">
        <v>45859</v>
      </c>
      <c r="D515" s="14" t="s">
        <v>1756</v>
      </c>
      <c r="E515" s="14" t="s">
        <v>569</v>
      </c>
      <c r="F515" s="14" t="s">
        <v>899</v>
      </c>
      <c r="G515" s="14">
        <v>48500616</v>
      </c>
      <c r="H515" s="14" t="s">
        <v>1555</v>
      </c>
      <c r="I515" s="14" t="s">
        <v>1556</v>
      </c>
      <c r="J515" s="14">
        <v>1</v>
      </c>
      <c r="K515" s="14" t="s">
        <v>37</v>
      </c>
      <c r="L515" s="14" t="s">
        <v>217</v>
      </c>
      <c r="M515" s="15" t="s">
        <v>89</v>
      </c>
      <c r="N515" s="15" t="s">
        <v>89</v>
      </c>
      <c r="O515" s="15">
        <v>0</v>
      </c>
      <c r="P515" s="15">
        <v>1</v>
      </c>
      <c r="Q515" s="15"/>
      <c r="R515" s="15"/>
      <c r="S515" s="25">
        <v>45866</v>
      </c>
      <c r="T515" s="25">
        <v>45859</v>
      </c>
      <c r="U515" s="25">
        <v>45866</v>
      </c>
      <c r="V515" s="15" t="s">
        <v>1755</v>
      </c>
      <c r="W515" s="15">
        <v>74930</v>
      </c>
      <c r="X515" s="159">
        <v>26687.99</v>
      </c>
      <c r="Y515" s="159">
        <f>Table2[[#This Row],[PREÇO UNITARIO]]*Table2[[#This Row],[QUANTIDADE]]</f>
        <v>26687.99</v>
      </c>
      <c r="Z515" s="15" t="s">
        <v>1757</v>
      </c>
      <c r="AA515" s="28">
        <f>MONTH(Table2[[#This Row],[DATA PEDIDO HP]])</f>
        <v>7</v>
      </c>
      <c r="AB515" s="32" t="s">
        <v>60</v>
      </c>
      <c r="AC515" s="5">
        <f t="shared" ca="1" si="8"/>
        <v>46232</v>
      </c>
      <c r="AD515" s="331">
        <f ca="1">_xlfn.DAYS(Table2[[#This Row],[HOJE]],Table2[[#This Row],[DATA PEDIDO HP]])</f>
        <v>373</v>
      </c>
      <c r="AE515" s="336" t="s">
        <v>43</v>
      </c>
    </row>
    <row r="516" spans="1:31" ht="14.45" hidden="1">
      <c r="A516" s="271" t="s">
        <v>1758</v>
      </c>
      <c r="B516" s="26">
        <v>45860</v>
      </c>
      <c r="C516" s="26">
        <v>45859</v>
      </c>
      <c r="D516" s="14" t="s">
        <v>1759</v>
      </c>
      <c r="E516" s="14" t="s">
        <v>428</v>
      </c>
      <c r="F516" s="14" t="s">
        <v>1107</v>
      </c>
      <c r="G516" s="14">
        <v>51100064</v>
      </c>
      <c r="H516" s="14" t="s">
        <v>928</v>
      </c>
      <c r="I516" s="14" t="s">
        <v>929</v>
      </c>
      <c r="J516" s="14">
        <v>1</v>
      </c>
      <c r="K516" s="14" t="s">
        <v>67</v>
      </c>
      <c r="L516" s="14" t="s">
        <v>96</v>
      </c>
      <c r="M516" s="15" t="s">
        <v>58</v>
      </c>
      <c r="N516" s="15" t="s">
        <v>58</v>
      </c>
      <c r="O516" s="15">
        <v>1</v>
      </c>
      <c r="P516" s="15">
        <v>1</v>
      </c>
      <c r="Q516" s="15"/>
      <c r="R516" s="15"/>
      <c r="S516" s="25"/>
      <c r="T516" s="25">
        <v>45888</v>
      </c>
      <c r="U516" s="25">
        <v>45898</v>
      </c>
      <c r="V516" s="15" t="s">
        <v>420</v>
      </c>
      <c r="W516" s="15"/>
      <c r="X516" s="159">
        <v>292.32</v>
      </c>
      <c r="Y516" s="159">
        <f>Table2[[#This Row],[PREÇO UNITARIO]]*Table2[[#This Row],[QUANTIDADE]]</f>
        <v>292.32</v>
      </c>
      <c r="Z516" s="15"/>
      <c r="AA516" s="28">
        <f>MONTH(Table2[[#This Row],[DATA PEDIDO HP]])</f>
        <v>7</v>
      </c>
      <c r="AB516" s="32" t="s">
        <v>60</v>
      </c>
      <c r="AC516" s="5">
        <f t="shared" ca="1" si="8"/>
        <v>46232</v>
      </c>
      <c r="AD516" s="331">
        <f ca="1">_xlfn.DAYS(Table2[[#This Row],[HOJE]],Table2[[#This Row],[DATA PEDIDO HP]])</f>
        <v>372</v>
      </c>
      <c r="AE516" s="5" t="s">
        <v>43</v>
      </c>
    </row>
    <row r="517" spans="1:31" ht="14.45" hidden="1">
      <c r="A517" s="271" t="s">
        <v>1760</v>
      </c>
      <c r="B517" s="26">
        <v>45868</v>
      </c>
      <c r="C517" s="26">
        <v>45860</v>
      </c>
      <c r="D517" s="14" t="s">
        <v>1761</v>
      </c>
      <c r="E517" s="14" t="s">
        <v>569</v>
      </c>
      <c r="F517" s="14" t="s">
        <v>640</v>
      </c>
      <c r="G517" s="14">
        <v>48500616</v>
      </c>
      <c r="H517" s="14" t="s">
        <v>1762</v>
      </c>
      <c r="I517" s="14" t="s">
        <v>1763</v>
      </c>
      <c r="J517" s="14">
        <v>1</v>
      </c>
      <c r="K517" s="14" t="s">
        <v>37</v>
      </c>
      <c r="L517" s="14" t="s">
        <v>412</v>
      </c>
      <c r="M517" s="14" t="s">
        <v>58</v>
      </c>
      <c r="N517" s="15" t="s">
        <v>58</v>
      </c>
      <c r="O517" s="15">
        <v>1</v>
      </c>
      <c r="P517" s="15"/>
      <c r="Q517" s="15"/>
      <c r="R517" s="15" t="s">
        <v>1764</v>
      </c>
      <c r="S517" s="25">
        <v>45904</v>
      </c>
      <c r="T517" s="25">
        <v>45888</v>
      </c>
      <c r="U517" s="25">
        <v>45898</v>
      </c>
      <c r="V517" s="15" t="s">
        <v>420</v>
      </c>
      <c r="W517" s="15"/>
      <c r="X517" s="159">
        <v>524.73</v>
      </c>
      <c r="Y517" s="159">
        <f>Table2[[#This Row],[PREÇO UNITARIO]]*Table2[[#This Row],[QUANTIDADE]]</f>
        <v>524.73</v>
      </c>
      <c r="Z517" s="15"/>
      <c r="AA517" s="32">
        <f>MONTH(Table2[[#This Row],[DATA PEDIDO HP]])</f>
        <v>7</v>
      </c>
      <c r="AB517" s="32" t="s">
        <v>60</v>
      </c>
      <c r="AC517" s="5">
        <f t="shared" ca="1" si="8"/>
        <v>46232</v>
      </c>
      <c r="AD517" s="331">
        <f ca="1">_xlfn.DAYS(Table2[[#This Row],[HOJE]],Table2[[#This Row],[DATA PEDIDO HP]])</f>
        <v>364</v>
      </c>
      <c r="AE517" s="336" t="s">
        <v>43</v>
      </c>
    </row>
    <row r="518" spans="1:31" ht="14.45" hidden="1">
      <c r="A518" s="271" t="s">
        <v>1765</v>
      </c>
      <c r="B518" s="26">
        <v>45861</v>
      </c>
      <c r="C518" s="26">
        <v>45860</v>
      </c>
      <c r="D518" s="14" t="s">
        <v>1766</v>
      </c>
      <c r="E518" s="14" t="s">
        <v>202</v>
      </c>
      <c r="F518" s="14" t="s">
        <v>203</v>
      </c>
      <c r="G518" s="14">
        <v>60002072</v>
      </c>
      <c r="H518" s="14" t="s">
        <v>1767</v>
      </c>
      <c r="I518" s="14" t="s">
        <v>1768</v>
      </c>
      <c r="J518" s="14">
        <v>1</v>
      </c>
      <c r="K518" s="14" t="s">
        <v>37</v>
      </c>
      <c r="L518" s="14" t="s">
        <v>96</v>
      </c>
      <c r="M518" s="15" t="s">
        <v>89</v>
      </c>
      <c r="N518" s="15" t="s">
        <v>89</v>
      </c>
      <c r="O518" s="15">
        <v>0</v>
      </c>
      <c r="P518" s="15">
        <v>1</v>
      </c>
      <c r="Q518" s="15"/>
      <c r="R518" s="15" t="s">
        <v>1769</v>
      </c>
      <c r="S518" s="25">
        <v>45904</v>
      </c>
      <c r="T518" s="25">
        <v>45888</v>
      </c>
      <c r="U518" s="25">
        <v>45898</v>
      </c>
      <c r="V518" s="15" t="s">
        <v>420</v>
      </c>
      <c r="W518" s="15"/>
      <c r="X518" s="159">
        <v>49.44</v>
      </c>
      <c r="Y518" s="159">
        <f>Table2[[#This Row],[PREÇO UNITARIO]]*Table2[[#This Row],[QUANTIDADE]]</f>
        <v>49.44</v>
      </c>
      <c r="Z518" s="15"/>
      <c r="AA518" s="28">
        <f>MONTH(Table2[[#This Row],[DATA PEDIDO HP]])</f>
        <v>7</v>
      </c>
      <c r="AB518" s="32" t="s">
        <v>60</v>
      </c>
      <c r="AC518" s="5">
        <f t="shared" ca="1" si="8"/>
        <v>46232</v>
      </c>
      <c r="AD518" s="331">
        <f ca="1">_xlfn.DAYS(Table2[[#This Row],[HOJE]],Table2[[#This Row],[DATA PEDIDO HP]])</f>
        <v>371</v>
      </c>
      <c r="AE518" s="336" t="s">
        <v>43</v>
      </c>
    </row>
    <row r="519" spans="1:31" ht="14.45" hidden="1">
      <c r="A519" s="271" t="s">
        <v>1770</v>
      </c>
      <c r="B519" s="26">
        <v>45861</v>
      </c>
      <c r="C519" s="26">
        <v>45861</v>
      </c>
      <c r="D519" s="14" t="s">
        <v>1771</v>
      </c>
      <c r="E519" s="14" t="s">
        <v>109</v>
      </c>
      <c r="F519" s="14" t="s">
        <v>34</v>
      </c>
      <c r="G519" s="14">
        <v>50110229</v>
      </c>
      <c r="H519" s="14" t="s">
        <v>1772</v>
      </c>
      <c r="I519" s="14" t="s">
        <v>1773</v>
      </c>
      <c r="J519" s="14">
        <v>1</v>
      </c>
      <c r="K519" s="14" t="s">
        <v>37</v>
      </c>
      <c r="L519" s="14" t="s">
        <v>48</v>
      </c>
      <c r="M519" s="14" t="s">
        <v>88</v>
      </c>
      <c r="N519" s="15" t="s">
        <v>89</v>
      </c>
      <c r="O519" s="15">
        <v>0</v>
      </c>
      <c r="P519" s="15">
        <v>1</v>
      </c>
      <c r="Q519" s="15"/>
      <c r="R519" s="15" t="s">
        <v>1774</v>
      </c>
      <c r="S519" s="25"/>
      <c r="T519" s="25">
        <v>46007</v>
      </c>
      <c r="U519" s="25">
        <v>46031</v>
      </c>
      <c r="V519" s="15" t="s">
        <v>1775</v>
      </c>
      <c r="W519" s="15"/>
      <c r="X519" s="159">
        <v>215.75</v>
      </c>
      <c r="Y519" s="159">
        <f>Table2[[#This Row],[PREÇO UNITARIO]]*Table2[[#This Row],[QUANTIDADE]]</f>
        <v>215.75</v>
      </c>
      <c r="Z519" s="15"/>
      <c r="AA519" s="28">
        <f>MONTH(Table2[[#This Row],[DATA PEDIDO HP]])</f>
        <v>7</v>
      </c>
      <c r="AB519" s="32" t="s">
        <v>42</v>
      </c>
      <c r="AC519" s="5">
        <f t="shared" ca="1" si="8"/>
        <v>46232</v>
      </c>
      <c r="AD519" s="331">
        <f ca="1">_xlfn.DAYS(Table2[[#This Row],[HOJE]],Table2[[#This Row],[DATA PEDIDO HP]])</f>
        <v>371</v>
      </c>
      <c r="AE519" s="5" t="s">
        <v>43</v>
      </c>
    </row>
    <row r="520" spans="1:31" ht="14.45" hidden="1">
      <c r="A520" s="271" t="s">
        <v>1776</v>
      </c>
      <c r="B520" s="26">
        <v>45861</v>
      </c>
      <c r="C520" s="26">
        <v>45861</v>
      </c>
      <c r="D520" s="14" t="s">
        <v>1777</v>
      </c>
      <c r="E520" s="14" t="s">
        <v>103</v>
      </c>
      <c r="F520" s="14" t="s">
        <v>104</v>
      </c>
      <c r="G520" s="14">
        <v>51000136</v>
      </c>
      <c r="H520" s="14" t="s">
        <v>939</v>
      </c>
      <c r="I520" s="14" t="s">
        <v>1778</v>
      </c>
      <c r="J520" s="14">
        <v>1</v>
      </c>
      <c r="K520" s="14" t="s">
        <v>37</v>
      </c>
      <c r="L520" s="14" t="s">
        <v>48</v>
      </c>
      <c r="M520" s="15" t="s">
        <v>58</v>
      </c>
      <c r="N520" s="15" t="s">
        <v>58</v>
      </c>
      <c r="O520" s="15">
        <v>1</v>
      </c>
      <c r="P520" s="15">
        <v>1</v>
      </c>
      <c r="Q520" s="15"/>
      <c r="R520" s="15"/>
      <c r="S520" s="25"/>
      <c r="T520" s="25">
        <v>45888</v>
      </c>
      <c r="U520" s="25">
        <v>45898</v>
      </c>
      <c r="V520" s="15" t="s">
        <v>420</v>
      </c>
      <c r="W520" s="15"/>
      <c r="X520" s="159">
        <v>16.329999999999998</v>
      </c>
      <c r="Y520" s="159">
        <f>Table2[[#This Row],[PREÇO UNITARIO]]*Table2[[#This Row],[QUANTIDADE]]</f>
        <v>16.329999999999998</v>
      </c>
      <c r="Z520" s="15"/>
      <c r="AA520" s="28">
        <f>MONTH(Table2[[#This Row],[DATA PEDIDO HP]])</f>
        <v>7</v>
      </c>
      <c r="AB520" s="32" t="s">
        <v>42</v>
      </c>
      <c r="AC520" s="5">
        <f t="shared" ca="1" si="8"/>
        <v>46232</v>
      </c>
      <c r="AD520" s="331">
        <f ca="1">_xlfn.DAYS(Table2[[#This Row],[HOJE]],Table2[[#This Row],[DATA PEDIDO HP]])</f>
        <v>371</v>
      </c>
      <c r="AE520" s="5" t="s">
        <v>43</v>
      </c>
    </row>
    <row r="521" spans="1:31" ht="14.45" hidden="1">
      <c r="A521" s="269" t="s">
        <v>1779</v>
      </c>
      <c r="B521" s="26">
        <v>45862</v>
      </c>
      <c r="C521" s="26">
        <v>45862</v>
      </c>
      <c r="D521" s="14" t="s">
        <v>1780</v>
      </c>
      <c r="E521" s="14" t="s">
        <v>85</v>
      </c>
      <c r="F521" s="14" t="s">
        <v>74</v>
      </c>
      <c r="G521" s="14">
        <v>50000260</v>
      </c>
      <c r="H521" s="14" t="s">
        <v>75</v>
      </c>
      <c r="I521" s="14" t="s">
        <v>1781</v>
      </c>
      <c r="J521" s="14">
        <v>1</v>
      </c>
      <c r="K521" s="14" t="s">
        <v>37</v>
      </c>
      <c r="L521" s="14" t="s">
        <v>96</v>
      </c>
      <c r="M521" s="15" t="s">
        <v>89</v>
      </c>
      <c r="N521" s="15" t="s">
        <v>89</v>
      </c>
      <c r="O521" s="15">
        <v>0</v>
      </c>
      <c r="P521" s="15">
        <v>0</v>
      </c>
      <c r="Q521" s="15"/>
      <c r="R521" s="15"/>
      <c r="S521" s="25">
        <v>45950</v>
      </c>
      <c r="T521" s="25">
        <v>45927</v>
      </c>
      <c r="U521" s="25">
        <v>45932</v>
      </c>
      <c r="V521" s="15" t="s">
        <v>1153</v>
      </c>
      <c r="W521" s="15"/>
      <c r="X521" s="159">
        <v>1187.4100000000001</v>
      </c>
      <c r="Y521" s="159">
        <f>Table2[[#This Row],[PREÇO UNITARIO]]*Table2[[#This Row],[QUANTIDADE]]</f>
        <v>1187.4100000000001</v>
      </c>
      <c r="Z521" s="15"/>
      <c r="AA521" s="28">
        <f>MONTH(Table2[[#This Row],[DATA PEDIDO HP]])</f>
        <v>7</v>
      </c>
      <c r="AB521" s="32" t="s">
        <v>42</v>
      </c>
      <c r="AC521" s="5">
        <f t="shared" ca="1" si="8"/>
        <v>46232</v>
      </c>
      <c r="AD521" s="331">
        <f ca="1">_xlfn.DAYS(Table2[[#This Row],[HOJE]],Table2[[#This Row],[DATA PEDIDO HP]])</f>
        <v>370</v>
      </c>
      <c r="AE521" s="336" t="s">
        <v>43</v>
      </c>
    </row>
    <row r="522" spans="1:31" ht="14.45" hidden="1">
      <c r="A522" s="271" t="s">
        <v>1782</v>
      </c>
      <c r="B522" s="26">
        <v>45862</v>
      </c>
      <c r="C522" s="26">
        <v>45862</v>
      </c>
      <c r="D522" s="14" t="s">
        <v>1783</v>
      </c>
      <c r="E522" s="14" t="s">
        <v>982</v>
      </c>
      <c r="F522" s="14" t="s">
        <v>983</v>
      </c>
      <c r="G522" s="14">
        <v>46000018</v>
      </c>
      <c r="H522" s="14" t="s">
        <v>856</v>
      </c>
      <c r="I522" s="14" t="s">
        <v>1784</v>
      </c>
      <c r="J522" s="14">
        <v>1</v>
      </c>
      <c r="K522" s="14" t="s">
        <v>37</v>
      </c>
      <c r="L522" s="14" t="s">
        <v>96</v>
      </c>
      <c r="M522" s="15" t="s">
        <v>58</v>
      </c>
      <c r="N522" s="15" t="s">
        <v>58</v>
      </c>
      <c r="O522" s="15">
        <v>1</v>
      </c>
      <c r="P522" s="15">
        <v>1</v>
      </c>
      <c r="Q522" s="15"/>
      <c r="R522" s="15"/>
      <c r="S522" s="25">
        <v>45903</v>
      </c>
      <c r="T522" s="25">
        <v>45888</v>
      </c>
      <c r="U522" s="25">
        <v>45898</v>
      </c>
      <c r="V522" s="15" t="s">
        <v>420</v>
      </c>
      <c r="W522" s="15"/>
      <c r="X522" s="159">
        <v>274.36</v>
      </c>
      <c r="Y522" s="159">
        <f>Table2[[#This Row],[PREÇO UNITARIO]]*Table2[[#This Row],[QUANTIDADE]]</f>
        <v>274.36</v>
      </c>
      <c r="Z522" s="15"/>
      <c r="AA522" s="28">
        <f>MONTH(Table2[[#This Row],[DATA PEDIDO HP]])</f>
        <v>7</v>
      </c>
      <c r="AB522" s="32" t="s">
        <v>60</v>
      </c>
      <c r="AC522" s="5">
        <f t="shared" ca="1" si="8"/>
        <v>46232</v>
      </c>
      <c r="AD522" s="331">
        <f ca="1">_xlfn.DAYS(Table2[[#This Row],[HOJE]],Table2[[#This Row],[DATA PEDIDO HP]])</f>
        <v>370</v>
      </c>
      <c r="AE522" s="336" t="s">
        <v>43</v>
      </c>
    </row>
    <row r="523" spans="1:31" ht="14.45" hidden="1">
      <c r="A523" s="271" t="s">
        <v>1785</v>
      </c>
      <c r="B523" s="26">
        <v>45863</v>
      </c>
      <c r="C523" s="26">
        <v>45863</v>
      </c>
      <c r="D523" s="14" t="s">
        <v>1786</v>
      </c>
      <c r="E523" s="14" t="s">
        <v>33</v>
      </c>
      <c r="F523" s="14" t="s">
        <v>34</v>
      </c>
      <c r="G523" s="14">
        <v>50110193</v>
      </c>
      <c r="H523" s="14" t="s">
        <v>136</v>
      </c>
      <c r="I523" s="14" t="s">
        <v>137</v>
      </c>
      <c r="J523" s="14">
        <v>1</v>
      </c>
      <c r="K523" s="14" t="s">
        <v>37</v>
      </c>
      <c r="L523" s="14" t="s">
        <v>48</v>
      </c>
      <c r="M523" s="15" t="s">
        <v>39</v>
      </c>
      <c r="N523" s="15" t="s">
        <v>39</v>
      </c>
      <c r="O523" s="15">
        <v>1</v>
      </c>
      <c r="P523" s="15">
        <v>1</v>
      </c>
      <c r="Q523" s="15"/>
      <c r="R523" s="15"/>
      <c r="S523" s="25">
        <v>45903</v>
      </c>
      <c r="T523" s="25">
        <v>45888</v>
      </c>
      <c r="U523" s="25">
        <v>45898</v>
      </c>
      <c r="V523" s="15" t="s">
        <v>420</v>
      </c>
      <c r="W523" s="15"/>
      <c r="X523" s="159">
        <v>19.600000000000001</v>
      </c>
      <c r="Y523" s="159">
        <f>Table2[[#This Row],[PREÇO UNITARIO]]*Table2[[#This Row],[QUANTIDADE]]</f>
        <v>19.600000000000001</v>
      </c>
      <c r="Z523" s="15"/>
      <c r="AA523" s="28">
        <f>MONTH(Table2[[#This Row],[DATA PEDIDO HP]])</f>
        <v>7</v>
      </c>
      <c r="AB523" s="32" t="s">
        <v>42</v>
      </c>
      <c r="AC523" s="5">
        <f t="shared" ca="1" si="8"/>
        <v>46232</v>
      </c>
      <c r="AD523" s="331">
        <f ca="1">_xlfn.DAYS(Table2[[#This Row],[HOJE]],Table2[[#This Row],[DATA PEDIDO HP]])</f>
        <v>369</v>
      </c>
      <c r="AE523" s="336" t="s">
        <v>43</v>
      </c>
    </row>
    <row r="524" spans="1:31" ht="14.45" hidden="1">
      <c r="A524" s="271" t="s">
        <v>1787</v>
      </c>
      <c r="B524" s="26">
        <v>45863</v>
      </c>
      <c r="C524" s="26">
        <v>45862</v>
      </c>
      <c r="D524" s="14" t="s">
        <v>1788</v>
      </c>
      <c r="E524" s="14" t="s">
        <v>445</v>
      </c>
      <c r="F524" s="14" t="s">
        <v>403</v>
      </c>
      <c r="G524" s="14">
        <v>50300097</v>
      </c>
      <c r="H524" s="14" t="s">
        <v>464</v>
      </c>
      <c r="I524" s="14" t="s">
        <v>1789</v>
      </c>
      <c r="J524" s="14">
        <v>1</v>
      </c>
      <c r="K524" s="14" t="s">
        <v>37</v>
      </c>
      <c r="L524" s="14" t="s">
        <v>346</v>
      </c>
      <c r="M524" s="15" t="s">
        <v>58</v>
      </c>
      <c r="N524" s="15" t="s">
        <v>58</v>
      </c>
      <c r="O524" s="15">
        <v>1</v>
      </c>
      <c r="P524" s="15">
        <v>1</v>
      </c>
      <c r="Q524" s="15"/>
      <c r="R524" s="15"/>
      <c r="S524" s="25"/>
      <c r="T524" s="25">
        <v>45888</v>
      </c>
      <c r="U524" s="25">
        <v>45898</v>
      </c>
      <c r="V524" s="15" t="s">
        <v>420</v>
      </c>
      <c r="W524" s="15"/>
      <c r="X524" s="159">
        <v>359.28</v>
      </c>
      <c r="Y524" s="159">
        <f>Table2[[#This Row],[PREÇO UNITARIO]]*Table2[[#This Row],[QUANTIDADE]]</f>
        <v>359.28</v>
      </c>
      <c r="Z524" s="15"/>
      <c r="AA524" s="28">
        <f>MONTH(Table2[[#This Row],[DATA PEDIDO HP]])</f>
        <v>7</v>
      </c>
      <c r="AB524" s="32" t="s">
        <v>60</v>
      </c>
      <c r="AC524" s="5">
        <f t="shared" ca="1" si="8"/>
        <v>46232</v>
      </c>
      <c r="AD524" s="331">
        <f ca="1">_xlfn.DAYS(Table2[[#This Row],[HOJE]],Table2[[#This Row],[DATA PEDIDO HP]])</f>
        <v>369</v>
      </c>
      <c r="AE524" s="5" t="s">
        <v>43</v>
      </c>
    </row>
    <row r="525" spans="1:31" ht="14.45" hidden="1">
      <c r="A525" s="271" t="s">
        <v>1790</v>
      </c>
      <c r="B525" s="26">
        <v>45863</v>
      </c>
      <c r="C525" s="26">
        <v>45853</v>
      </c>
      <c r="D525" s="14" t="s">
        <v>1791</v>
      </c>
      <c r="E525" s="14" t="s">
        <v>63</v>
      </c>
      <c r="F525" s="14" t="s">
        <v>173</v>
      </c>
      <c r="G525" s="14">
        <v>48300301</v>
      </c>
      <c r="H525" s="14" t="s">
        <v>335</v>
      </c>
      <c r="I525" s="14" t="s">
        <v>1136</v>
      </c>
      <c r="J525" s="14">
        <v>1</v>
      </c>
      <c r="K525" s="14" t="s">
        <v>37</v>
      </c>
      <c r="L525" s="14" t="s">
        <v>96</v>
      </c>
      <c r="M525" s="15" t="s">
        <v>39</v>
      </c>
      <c r="N525" s="15" t="s">
        <v>39</v>
      </c>
      <c r="O525" s="15">
        <v>1</v>
      </c>
      <c r="P525" s="15">
        <v>1</v>
      </c>
      <c r="Q525" s="15"/>
      <c r="R525" s="15"/>
      <c r="S525" s="25">
        <v>45904</v>
      </c>
      <c r="T525" s="25">
        <v>45888</v>
      </c>
      <c r="U525" s="25">
        <v>45898</v>
      </c>
      <c r="V525" s="15" t="s">
        <v>420</v>
      </c>
      <c r="W525" s="15"/>
      <c r="X525" s="159">
        <v>159.5</v>
      </c>
      <c r="Y525" s="159">
        <f>Table2[[#This Row],[PREÇO UNITARIO]]*Table2[[#This Row],[QUANTIDADE]]</f>
        <v>159.5</v>
      </c>
      <c r="Z525" s="15"/>
      <c r="AA525" s="28">
        <f>MONTH(Table2[[#This Row],[DATA PEDIDO HP]])</f>
        <v>7</v>
      </c>
      <c r="AB525" s="32" t="s">
        <v>60</v>
      </c>
      <c r="AC525" s="5">
        <f t="shared" ca="1" si="8"/>
        <v>46232</v>
      </c>
      <c r="AD525" s="331">
        <f ca="1">_xlfn.DAYS(Table2[[#This Row],[HOJE]],Table2[[#This Row],[DATA PEDIDO HP]])</f>
        <v>369</v>
      </c>
      <c r="AE525" s="336" t="s">
        <v>43</v>
      </c>
    </row>
    <row r="526" spans="1:31" ht="14.45" hidden="1">
      <c r="A526" s="271" t="s">
        <v>1790</v>
      </c>
      <c r="B526" s="26">
        <v>45863</v>
      </c>
      <c r="C526" s="26">
        <v>45853</v>
      </c>
      <c r="D526" s="14" t="s">
        <v>1791</v>
      </c>
      <c r="E526" s="14" t="s">
        <v>63</v>
      </c>
      <c r="F526" s="14" t="s">
        <v>173</v>
      </c>
      <c r="G526" s="14">
        <v>48300301</v>
      </c>
      <c r="H526" s="14" t="s">
        <v>1792</v>
      </c>
      <c r="I526" s="14" t="s">
        <v>1705</v>
      </c>
      <c r="J526" s="14">
        <v>1</v>
      </c>
      <c r="K526" s="14" t="s">
        <v>37</v>
      </c>
      <c r="L526" s="14" t="s">
        <v>96</v>
      </c>
      <c r="M526" s="15" t="s">
        <v>39</v>
      </c>
      <c r="N526" s="15" t="s">
        <v>39</v>
      </c>
      <c r="O526" s="15">
        <v>1</v>
      </c>
      <c r="P526" s="15">
        <v>1</v>
      </c>
      <c r="Q526" s="15"/>
      <c r="R526" s="15" t="s">
        <v>314</v>
      </c>
      <c r="S526" s="25">
        <v>45904</v>
      </c>
      <c r="T526" s="25">
        <v>45888</v>
      </c>
      <c r="U526" s="25">
        <v>45898</v>
      </c>
      <c r="V526" s="15" t="s">
        <v>420</v>
      </c>
      <c r="W526" s="15"/>
      <c r="X526" s="159">
        <v>790.99</v>
      </c>
      <c r="Y526" s="159">
        <f>Table2[[#This Row],[PREÇO UNITARIO]]*Table2[[#This Row],[QUANTIDADE]]</f>
        <v>790.99</v>
      </c>
      <c r="Z526" s="15"/>
      <c r="AA526" s="28">
        <f>MONTH(Table2[[#This Row],[DATA PEDIDO HP]])</f>
        <v>7</v>
      </c>
      <c r="AB526" s="32" t="s">
        <v>60</v>
      </c>
      <c r="AC526" s="5">
        <f t="shared" ca="1" si="8"/>
        <v>46232</v>
      </c>
      <c r="AD526" s="331">
        <f ca="1">_xlfn.DAYS(Table2[[#This Row],[HOJE]],Table2[[#This Row],[DATA PEDIDO HP]])</f>
        <v>369</v>
      </c>
      <c r="AE526" s="336" t="s">
        <v>43</v>
      </c>
    </row>
    <row r="527" spans="1:31" ht="14.45" hidden="1">
      <c r="A527" s="271" t="s">
        <v>1793</v>
      </c>
      <c r="B527" s="26">
        <v>45863</v>
      </c>
      <c r="C527" s="26">
        <v>45853</v>
      </c>
      <c r="D527" s="14" t="s">
        <v>1794</v>
      </c>
      <c r="E527" s="14" t="s">
        <v>63</v>
      </c>
      <c r="F527" s="14" t="s">
        <v>64</v>
      </c>
      <c r="G527" s="14">
        <v>48000432</v>
      </c>
      <c r="H527" s="14" t="s">
        <v>1629</v>
      </c>
      <c r="I527" s="14" t="s">
        <v>1795</v>
      </c>
      <c r="J527" s="14">
        <v>1</v>
      </c>
      <c r="K527" s="14" t="s">
        <v>37</v>
      </c>
      <c r="L527" s="14" t="s">
        <v>96</v>
      </c>
      <c r="M527" s="15" t="s">
        <v>39</v>
      </c>
      <c r="N527" s="15" t="s">
        <v>39</v>
      </c>
      <c r="O527" s="15">
        <v>1</v>
      </c>
      <c r="P527" s="15">
        <v>1</v>
      </c>
      <c r="Q527" s="15"/>
      <c r="R527" s="15"/>
      <c r="S527" s="25">
        <v>45904</v>
      </c>
      <c r="T527" s="25">
        <v>45888</v>
      </c>
      <c r="U527" s="25">
        <v>45898</v>
      </c>
      <c r="V527" s="15" t="s">
        <v>420</v>
      </c>
      <c r="W527" s="15"/>
      <c r="X527" s="159">
        <v>159.5</v>
      </c>
      <c r="Y527" s="159">
        <f>Table2[[#This Row],[PREÇO UNITARIO]]*Table2[[#This Row],[QUANTIDADE]]</f>
        <v>159.5</v>
      </c>
      <c r="Z527" s="15"/>
      <c r="AA527" s="28">
        <f>MONTH(Table2[[#This Row],[DATA PEDIDO HP]])</f>
        <v>7</v>
      </c>
      <c r="AB527" s="32" t="s">
        <v>60</v>
      </c>
      <c r="AC527" s="5">
        <f t="shared" ca="1" si="8"/>
        <v>46232</v>
      </c>
      <c r="AD527" s="331">
        <f ca="1">_xlfn.DAYS(Table2[[#This Row],[HOJE]],Table2[[#This Row],[DATA PEDIDO HP]])</f>
        <v>369</v>
      </c>
      <c r="AE527" s="336" t="s">
        <v>43</v>
      </c>
    </row>
    <row r="528" spans="1:31" ht="14.45" hidden="1">
      <c r="A528" s="271" t="s">
        <v>1796</v>
      </c>
      <c r="B528" s="26">
        <v>45863</v>
      </c>
      <c r="C528" s="26">
        <v>45859</v>
      </c>
      <c r="D528" s="14" t="s">
        <v>1797</v>
      </c>
      <c r="E528" s="14" t="s">
        <v>103</v>
      </c>
      <c r="F528" s="14" t="s">
        <v>104</v>
      </c>
      <c r="G528" s="14">
        <v>51000323</v>
      </c>
      <c r="H528" s="14" t="s">
        <v>130</v>
      </c>
      <c r="I528" s="14" t="s">
        <v>633</v>
      </c>
      <c r="J528" s="14">
        <v>2</v>
      </c>
      <c r="K528" s="14" t="s">
        <v>37</v>
      </c>
      <c r="L528" s="14" t="s">
        <v>96</v>
      </c>
      <c r="M528" s="14" t="s">
        <v>39</v>
      </c>
      <c r="N528" s="14" t="s">
        <v>39</v>
      </c>
      <c r="O528" s="15">
        <v>2</v>
      </c>
      <c r="P528" s="15">
        <v>2</v>
      </c>
      <c r="Q528" s="15"/>
      <c r="R528" s="15"/>
      <c r="S528" s="25">
        <v>45903</v>
      </c>
      <c r="T528" s="25">
        <v>45888</v>
      </c>
      <c r="U528" s="25">
        <v>45898</v>
      </c>
      <c r="V528" s="15" t="s">
        <v>420</v>
      </c>
      <c r="W528" s="15"/>
      <c r="X528" s="159">
        <v>17.28</v>
      </c>
      <c r="Y528" s="159">
        <f>Table2[[#This Row],[PREÇO UNITARIO]]*Table2[[#This Row],[QUANTIDADE]]</f>
        <v>34.56</v>
      </c>
      <c r="Z528" s="15"/>
      <c r="AA528" s="28">
        <f>MONTH(Table2[[#This Row],[DATA PEDIDO HP]])</f>
        <v>7</v>
      </c>
      <c r="AB528" s="32" t="s">
        <v>42</v>
      </c>
      <c r="AC528" s="5">
        <f t="shared" ca="1" si="8"/>
        <v>46232</v>
      </c>
      <c r="AD528" s="331">
        <f ca="1">_xlfn.DAYS(Table2[[#This Row],[HOJE]],Table2[[#This Row],[DATA PEDIDO HP]])</f>
        <v>369</v>
      </c>
      <c r="AE528" s="336" t="s">
        <v>43</v>
      </c>
    </row>
    <row r="529" spans="1:31" ht="14.45" hidden="1">
      <c r="A529" s="271" t="s">
        <v>1798</v>
      </c>
      <c r="B529" s="26">
        <v>45866</v>
      </c>
      <c r="C529" s="26">
        <v>45866</v>
      </c>
      <c r="D529" s="14" t="s">
        <v>1799</v>
      </c>
      <c r="E529" s="14" t="s">
        <v>192</v>
      </c>
      <c r="F529" s="14" t="s">
        <v>173</v>
      </c>
      <c r="G529" s="14">
        <v>48300253</v>
      </c>
      <c r="H529" s="14" t="s">
        <v>1800</v>
      </c>
      <c r="I529" s="14" t="s">
        <v>1801</v>
      </c>
      <c r="J529" s="14">
        <v>1</v>
      </c>
      <c r="K529" s="14" t="s">
        <v>37</v>
      </c>
      <c r="L529" s="14" t="s">
        <v>48</v>
      </c>
      <c r="M529" s="15" t="s">
        <v>89</v>
      </c>
      <c r="N529" s="15" t="s">
        <v>89</v>
      </c>
      <c r="O529" s="15">
        <v>0</v>
      </c>
      <c r="P529" s="15">
        <v>0</v>
      </c>
      <c r="Q529" s="15"/>
      <c r="R529" s="15"/>
      <c r="S529" s="25">
        <v>45902</v>
      </c>
      <c r="T529" s="25">
        <v>45888</v>
      </c>
      <c r="U529" s="25">
        <v>45898</v>
      </c>
      <c r="V529" s="15" t="s">
        <v>420</v>
      </c>
      <c r="W529" s="15"/>
      <c r="X529" s="159">
        <v>611.42999999999995</v>
      </c>
      <c r="Y529" s="159">
        <f>Table2[[#This Row],[PREÇO UNITARIO]]*Table2[[#This Row],[QUANTIDADE]]</f>
        <v>611.42999999999995</v>
      </c>
      <c r="Z529" s="15"/>
      <c r="AA529" s="28">
        <f>MONTH(Table2[[#This Row],[DATA PEDIDO HP]])</f>
        <v>7</v>
      </c>
      <c r="AB529" s="32" t="s">
        <v>60</v>
      </c>
      <c r="AC529" s="5">
        <f t="shared" ca="1" si="8"/>
        <v>46232</v>
      </c>
      <c r="AD529" s="331">
        <f ca="1">_xlfn.DAYS(Table2[[#This Row],[HOJE]],Table2[[#This Row],[DATA PEDIDO HP]])</f>
        <v>366</v>
      </c>
      <c r="AE529" s="336" t="s">
        <v>43</v>
      </c>
    </row>
    <row r="530" spans="1:31" ht="14.45" hidden="1">
      <c r="A530" s="271" t="s">
        <v>1802</v>
      </c>
      <c r="B530" s="26">
        <v>45866</v>
      </c>
      <c r="C530" s="26">
        <v>45866</v>
      </c>
      <c r="D530" s="14" t="s">
        <v>1803</v>
      </c>
      <c r="E530" s="14" t="s">
        <v>79</v>
      </c>
      <c r="F530" s="14" t="s">
        <v>74</v>
      </c>
      <c r="G530" s="14">
        <v>50000530</v>
      </c>
      <c r="H530" s="14" t="s">
        <v>165</v>
      </c>
      <c r="I530" s="14" t="s">
        <v>166</v>
      </c>
      <c r="J530" s="14">
        <v>1</v>
      </c>
      <c r="K530" s="14" t="s">
        <v>37</v>
      </c>
      <c r="L530" s="14" t="s">
        <v>48</v>
      </c>
      <c r="M530" s="15" t="s">
        <v>58</v>
      </c>
      <c r="N530" s="15" t="s">
        <v>58</v>
      </c>
      <c r="O530" s="15">
        <v>1</v>
      </c>
      <c r="P530" s="15">
        <v>1</v>
      </c>
      <c r="Q530" s="15"/>
      <c r="R530" s="15"/>
      <c r="S530" s="25"/>
      <c r="T530" s="25">
        <v>45888</v>
      </c>
      <c r="U530" s="25">
        <v>45898</v>
      </c>
      <c r="V530" s="15" t="s">
        <v>420</v>
      </c>
      <c r="W530" s="15"/>
      <c r="X530" s="159">
        <v>354.38</v>
      </c>
      <c r="Y530" s="159">
        <f>Table2[[#This Row],[PREÇO UNITARIO]]*Table2[[#This Row],[QUANTIDADE]]</f>
        <v>354.38</v>
      </c>
      <c r="Z530" s="15"/>
      <c r="AA530" s="28">
        <f>MONTH(Table2[[#This Row],[DATA PEDIDO HP]])</f>
        <v>7</v>
      </c>
      <c r="AB530" s="32" t="s">
        <v>60</v>
      </c>
      <c r="AC530" s="5">
        <f t="shared" ca="1" si="8"/>
        <v>46232</v>
      </c>
      <c r="AD530" s="331">
        <f ca="1">_xlfn.DAYS(Table2[[#This Row],[HOJE]],Table2[[#This Row],[DATA PEDIDO HP]])</f>
        <v>366</v>
      </c>
      <c r="AE530" s="5" t="s">
        <v>43</v>
      </c>
    </row>
    <row r="531" spans="1:31" ht="14.45" hidden="1">
      <c r="A531" s="269" t="s">
        <v>1804</v>
      </c>
      <c r="B531" s="26">
        <v>45866</v>
      </c>
      <c r="C531" s="26">
        <v>45866</v>
      </c>
      <c r="D531" s="14" t="s">
        <v>1805</v>
      </c>
      <c r="E531" s="14" t="s">
        <v>202</v>
      </c>
      <c r="F531" s="14" t="s">
        <v>203</v>
      </c>
      <c r="G531" s="14">
        <v>60002072</v>
      </c>
      <c r="H531" s="14" t="s">
        <v>134</v>
      </c>
      <c r="I531" s="14" t="s">
        <v>1806</v>
      </c>
      <c r="J531" s="14">
        <v>1</v>
      </c>
      <c r="K531" s="14" t="s">
        <v>37</v>
      </c>
      <c r="L531" s="14" t="s">
        <v>217</v>
      </c>
      <c r="M531" s="15" t="s">
        <v>39</v>
      </c>
      <c r="N531" s="15" t="s">
        <v>39</v>
      </c>
      <c r="O531" s="15">
        <v>1</v>
      </c>
      <c r="P531" s="15">
        <v>1</v>
      </c>
      <c r="Q531" s="15">
        <v>129371</v>
      </c>
      <c r="R531" s="15"/>
      <c r="S531" s="25">
        <v>45937</v>
      </c>
      <c r="T531" s="25">
        <v>45927</v>
      </c>
      <c r="U531" s="25">
        <v>45932</v>
      </c>
      <c r="V531" s="15" t="s">
        <v>1153</v>
      </c>
      <c r="W531" s="15"/>
      <c r="X531" s="159">
        <v>42.46</v>
      </c>
      <c r="Y531" s="159">
        <f>Table2[[#This Row],[PREÇO UNITARIO]]*Table2[[#This Row],[QUANTIDADE]]</f>
        <v>42.46</v>
      </c>
      <c r="Z531" s="15"/>
      <c r="AA531" s="28">
        <f>MONTH(Table2[[#This Row],[DATA PEDIDO HP]])</f>
        <v>7</v>
      </c>
      <c r="AB531" s="32" t="s">
        <v>60</v>
      </c>
      <c r="AC531" s="5">
        <f t="shared" ca="1" si="8"/>
        <v>46232</v>
      </c>
      <c r="AD531" s="331">
        <f ca="1">_xlfn.DAYS(Table2[[#This Row],[HOJE]],Table2[[#This Row],[DATA PEDIDO HP]])</f>
        <v>366</v>
      </c>
      <c r="AE531" s="336" t="s">
        <v>43</v>
      </c>
    </row>
    <row r="532" spans="1:31" ht="14.45" hidden="1">
      <c r="A532" s="271" t="s">
        <v>1804</v>
      </c>
      <c r="B532" s="26">
        <v>45866</v>
      </c>
      <c r="C532" s="26">
        <v>45866</v>
      </c>
      <c r="D532" s="14" t="s">
        <v>1805</v>
      </c>
      <c r="E532" s="14" t="s">
        <v>202</v>
      </c>
      <c r="F532" s="14" t="s">
        <v>203</v>
      </c>
      <c r="G532" s="14">
        <v>60002072</v>
      </c>
      <c r="H532" s="14" t="s">
        <v>136</v>
      </c>
      <c r="I532" s="14" t="s">
        <v>137</v>
      </c>
      <c r="J532" s="14">
        <v>1</v>
      </c>
      <c r="K532" s="14" t="s">
        <v>37</v>
      </c>
      <c r="L532" s="14" t="s">
        <v>217</v>
      </c>
      <c r="M532" s="15" t="s">
        <v>39</v>
      </c>
      <c r="N532" s="15" t="s">
        <v>39</v>
      </c>
      <c r="O532" s="15">
        <v>1</v>
      </c>
      <c r="P532" s="15">
        <v>1</v>
      </c>
      <c r="Q532" s="15">
        <v>129371</v>
      </c>
      <c r="R532" s="15"/>
      <c r="S532" s="25">
        <v>45904</v>
      </c>
      <c r="T532" s="25">
        <v>45888</v>
      </c>
      <c r="U532" s="25">
        <v>45898</v>
      </c>
      <c r="V532" s="15" t="s">
        <v>420</v>
      </c>
      <c r="W532" s="15"/>
      <c r="X532" s="159">
        <v>19.600000000000001</v>
      </c>
      <c r="Y532" s="159">
        <f>Table2[[#This Row],[PREÇO UNITARIO]]*Table2[[#This Row],[QUANTIDADE]]</f>
        <v>19.600000000000001</v>
      </c>
      <c r="Z532" s="15"/>
      <c r="AA532" s="28">
        <f>MONTH(Table2[[#This Row],[DATA PEDIDO HP]])</f>
        <v>7</v>
      </c>
      <c r="AB532" s="32" t="s">
        <v>60</v>
      </c>
      <c r="AC532" s="5">
        <f t="shared" ca="1" si="8"/>
        <v>46232</v>
      </c>
      <c r="AD532" s="331">
        <f ca="1">_xlfn.DAYS(Table2[[#This Row],[HOJE]],Table2[[#This Row],[DATA PEDIDO HP]])</f>
        <v>366</v>
      </c>
      <c r="AE532" s="336" t="s">
        <v>43</v>
      </c>
    </row>
    <row r="533" spans="1:31" ht="14.45" hidden="1">
      <c r="A533" s="271" t="s">
        <v>1807</v>
      </c>
      <c r="B533" s="26">
        <v>45867</v>
      </c>
      <c r="C533" s="26">
        <v>45866</v>
      </c>
      <c r="D533" s="14" t="s">
        <v>1808</v>
      </c>
      <c r="E533" s="14" t="s">
        <v>181</v>
      </c>
      <c r="F533" s="14" t="s">
        <v>34</v>
      </c>
      <c r="G533" s="14">
        <v>50110057</v>
      </c>
      <c r="H533" s="14" t="s">
        <v>35</v>
      </c>
      <c r="I533" s="14" t="s">
        <v>1809</v>
      </c>
      <c r="J533" s="14">
        <v>1</v>
      </c>
      <c r="K533" s="14" t="s">
        <v>67</v>
      </c>
      <c r="L533" s="14" t="s">
        <v>38</v>
      </c>
      <c r="M533" s="15" t="s">
        <v>89</v>
      </c>
      <c r="N533" s="15" t="s">
        <v>89</v>
      </c>
      <c r="O533" s="15">
        <v>0</v>
      </c>
      <c r="P533" s="15">
        <v>0</v>
      </c>
      <c r="Q533" s="15">
        <v>129668</v>
      </c>
      <c r="R533" s="15"/>
      <c r="S533" s="25">
        <v>45904</v>
      </c>
      <c r="T533" s="25">
        <v>45888</v>
      </c>
      <c r="U533" s="25">
        <v>45898</v>
      </c>
      <c r="V533" s="15" t="s">
        <v>420</v>
      </c>
      <c r="W533" s="15"/>
      <c r="X533" s="159">
        <v>790.42</v>
      </c>
      <c r="Y533" s="159">
        <f>Table2[[#This Row],[PREÇO UNITARIO]]*Table2[[#This Row],[QUANTIDADE]]</f>
        <v>790.42</v>
      </c>
      <c r="Z533" s="15"/>
      <c r="AA533" s="28">
        <f>MONTH(Table2[[#This Row],[DATA PEDIDO HP]])</f>
        <v>7</v>
      </c>
      <c r="AB533" s="32" t="s">
        <v>42</v>
      </c>
      <c r="AC533" s="5">
        <f t="shared" ca="1" si="8"/>
        <v>46232</v>
      </c>
      <c r="AD533" s="331">
        <f ca="1">_xlfn.DAYS(Table2[[#This Row],[HOJE]],Table2[[#This Row],[DATA PEDIDO HP]])</f>
        <v>365</v>
      </c>
      <c r="AE533" s="336" t="s">
        <v>43</v>
      </c>
    </row>
    <row r="534" spans="1:31" ht="14.45" hidden="1">
      <c r="A534" s="271" t="s">
        <v>1807</v>
      </c>
      <c r="B534" s="26">
        <v>45867</v>
      </c>
      <c r="C534" s="26">
        <v>45866</v>
      </c>
      <c r="D534" s="14" t="s">
        <v>1808</v>
      </c>
      <c r="E534" s="14" t="s">
        <v>181</v>
      </c>
      <c r="F534" s="14" t="s">
        <v>34</v>
      </c>
      <c r="G534" s="14">
        <v>50110057</v>
      </c>
      <c r="H534" s="14" t="s">
        <v>1503</v>
      </c>
      <c r="I534" s="14" t="s">
        <v>1810</v>
      </c>
      <c r="J534" s="14">
        <v>1</v>
      </c>
      <c r="K534" s="14" t="s">
        <v>37</v>
      </c>
      <c r="L534" s="14" t="s">
        <v>38</v>
      </c>
      <c r="M534" s="15" t="s">
        <v>89</v>
      </c>
      <c r="N534" s="15" t="s">
        <v>89</v>
      </c>
      <c r="O534" s="15">
        <v>0</v>
      </c>
      <c r="P534" s="15">
        <v>0</v>
      </c>
      <c r="Q534" s="15">
        <v>129668</v>
      </c>
      <c r="R534" s="15"/>
      <c r="S534" s="25">
        <v>45904</v>
      </c>
      <c r="T534" s="25">
        <v>45888</v>
      </c>
      <c r="U534" s="25">
        <v>45898</v>
      </c>
      <c r="V534" s="15" t="s">
        <v>420</v>
      </c>
      <c r="W534" s="15"/>
      <c r="X534" s="159">
        <v>706.15</v>
      </c>
      <c r="Y534" s="159">
        <f>Table2[[#This Row],[PREÇO UNITARIO]]*Table2[[#This Row],[QUANTIDADE]]</f>
        <v>706.15</v>
      </c>
      <c r="Z534" s="15"/>
      <c r="AA534" s="28">
        <f>MONTH(Table2[[#This Row],[DATA PEDIDO HP]])</f>
        <v>7</v>
      </c>
      <c r="AB534" s="32" t="s">
        <v>42</v>
      </c>
      <c r="AC534" s="5">
        <f t="shared" ca="1" si="8"/>
        <v>46232</v>
      </c>
      <c r="AD534" s="331">
        <f ca="1">_xlfn.DAYS(Table2[[#This Row],[HOJE]],Table2[[#This Row],[DATA PEDIDO HP]])</f>
        <v>365</v>
      </c>
      <c r="AE534" s="336" t="s">
        <v>43</v>
      </c>
    </row>
    <row r="535" spans="1:31" ht="14.45" hidden="1">
      <c r="A535" s="271" t="s">
        <v>1807</v>
      </c>
      <c r="B535" s="26">
        <v>45867</v>
      </c>
      <c r="C535" s="26">
        <v>45866</v>
      </c>
      <c r="D535" s="14" t="s">
        <v>1808</v>
      </c>
      <c r="E535" s="14" t="s">
        <v>181</v>
      </c>
      <c r="F535" s="14" t="s">
        <v>34</v>
      </c>
      <c r="G535" s="14">
        <v>50110057</v>
      </c>
      <c r="H535" s="14" t="s">
        <v>1811</v>
      </c>
      <c r="I535" s="14" t="s">
        <v>1812</v>
      </c>
      <c r="J535" s="14">
        <v>1</v>
      </c>
      <c r="K535" s="14" t="s">
        <v>37</v>
      </c>
      <c r="L535" s="14" t="s">
        <v>38</v>
      </c>
      <c r="M535" s="15" t="s">
        <v>89</v>
      </c>
      <c r="N535" s="15" t="s">
        <v>89</v>
      </c>
      <c r="O535" s="15">
        <v>0</v>
      </c>
      <c r="P535" s="15">
        <v>1</v>
      </c>
      <c r="Q535" s="15">
        <v>129668</v>
      </c>
      <c r="R535" s="15"/>
      <c r="S535" s="25">
        <v>45904</v>
      </c>
      <c r="T535" s="25">
        <v>45888</v>
      </c>
      <c r="U535" s="25">
        <v>45898</v>
      </c>
      <c r="V535" s="15" t="s">
        <v>420</v>
      </c>
      <c r="W535" s="15"/>
      <c r="X535" s="159">
        <v>4.74</v>
      </c>
      <c r="Y535" s="159">
        <f>Table2[[#This Row],[PREÇO UNITARIO]]*Table2[[#This Row],[QUANTIDADE]]</f>
        <v>4.74</v>
      </c>
      <c r="Z535" s="15"/>
      <c r="AA535" s="28">
        <f>MONTH(Table2[[#This Row],[DATA PEDIDO HP]])</f>
        <v>7</v>
      </c>
      <c r="AB535" s="32" t="s">
        <v>42</v>
      </c>
      <c r="AC535" s="5">
        <f t="shared" ca="1" si="8"/>
        <v>46232</v>
      </c>
      <c r="AD535" s="331">
        <f ca="1">_xlfn.DAYS(Table2[[#This Row],[HOJE]],Table2[[#This Row],[DATA PEDIDO HP]])</f>
        <v>365</v>
      </c>
      <c r="AE535" s="336" t="s">
        <v>43</v>
      </c>
    </row>
    <row r="536" spans="1:31" ht="14.45" hidden="1">
      <c r="A536" s="271" t="s">
        <v>1807</v>
      </c>
      <c r="B536" s="26">
        <v>45867</v>
      </c>
      <c r="C536" s="26">
        <v>45866</v>
      </c>
      <c r="D536" s="14" t="s">
        <v>1808</v>
      </c>
      <c r="E536" s="14" t="s">
        <v>181</v>
      </c>
      <c r="F536" s="14" t="s">
        <v>34</v>
      </c>
      <c r="G536" s="14">
        <v>50110057</v>
      </c>
      <c r="H536" s="14" t="s">
        <v>1813</v>
      </c>
      <c r="I536" s="14" t="s">
        <v>592</v>
      </c>
      <c r="J536" s="14">
        <v>1</v>
      </c>
      <c r="K536" s="14" t="s">
        <v>67</v>
      </c>
      <c r="L536" s="14" t="s">
        <v>38</v>
      </c>
      <c r="M536" s="15" t="s">
        <v>89</v>
      </c>
      <c r="N536" s="15" t="s">
        <v>89</v>
      </c>
      <c r="O536" s="15">
        <v>0</v>
      </c>
      <c r="P536" s="15">
        <v>0</v>
      </c>
      <c r="Q536" s="15">
        <v>129668</v>
      </c>
      <c r="R536" s="15" t="s">
        <v>165</v>
      </c>
      <c r="S536" s="25">
        <v>45904</v>
      </c>
      <c r="T536" s="25">
        <v>45888</v>
      </c>
      <c r="U536" s="25">
        <v>45898</v>
      </c>
      <c r="V536" s="15" t="s">
        <v>420</v>
      </c>
      <c r="W536" s="15"/>
      <c r="X536" s="159">
        <v>354.38</v>
      </c>
      <c r="Y536" s="159">
        <f>Table2[[#This Row],[PREÇO UNITARIO]]*Table2[[#This Row],[QUANTIDADE]]</f>
        <v>354.38</v>
      </c>
      <c r="Z536" s="15"/>
      <c r="AA536" s="28">
        <f>MONTH(Table2[[#This Row],[DATA PEDIDO HP]])</f>
        <v>7</v>
      </c>
      <c r="AB536" s="32" t="s">
        <v>42</v>
      </c>
      <c r="AC536" s="5">
        <f t="shared" ca="1" si="8"/>
        <v>46232</v>
      </c>
      <c r="AD536" s="331">
        <f ca="1">_xlfn.DAYS(Table2[[#This Row],[HOJE]],Table2[[#This Row],[DATA PEDIDO HP]])</f>
        <v>365</v>
      </c>
      <c r="AE536" s="336" t="s">
        <v>43</v>
      </c>
    </row>
    <row r="537" spans="1:31" ht="14.45" hidden="1">
      <c r="A537" s="271" t="s">
        <v>1807</v>
      </c>
      <c r="B537" s="26">
        <v>45867</v>
      </c>
      <c r="C537" s="26">
        <v>45866</v>
      </c>
      <c r="D537" s="14" t="s">
        <v>1808</v>
      </c>
      <c r="E537" s="14" t="s">
        <v>181</v>
      </c>
      <c r="F537" s="14" t="s">
        <v>34</v>
      </c>
      <c r="G537" s="14">
        <v>50110057</v>
      </c>
      <c r="H537" s="14" t="s">
        <v>1814</v>
      </c>
      <c r="I537" s="14" t="s">
        <v>1815</v>
      </c>
      <c r="J537" s="14">
        <v>1</v>
      </c>
      <c r="K537" s="14" t="s">
        <v>37</v>
      </c>
      <c r="L537" s="14" t="s">
        <v>38</v>
      </c>
      <c r="M537" s="15" t="s">
        <v>89</v>
      </c>
      <c r="N537" s="15" t="s">
        <v>89</v>
      </c>
      <c r="O537" s="15">
        <v>0</v>
      </c>
      <c r="P537" s="15">
        <v>1</v>
      </c>
      <c r="Q537" s="15">
        <v>129668</v>
      </c>
      <c r="R537" s="15"/>
      <c r="S537" s="25">
        <v>45904</v>
      </c>
      <c r="T537" s="25">
        <v>45888</v>
      </c>
      <c r="U537" s="25">
        <v>45898</v>
      </c>
      <c r="V537" s="15" t="s">
        <v>420</v>
      </c>
      <c r="W537" s="15"/>
      <c r="X537" s="159">
        <v>1</v>
      </c>
      <c r="Y537" s="159">
        <f>Table2[[#This Row],[PREÇO UNITARIO]]*Table2[[#This Row],[QUANTIDADE]]</f>
        <v>1</v>
      </c>
      <c r="Z537" s="15"/>
      <c r="AA537" s="28">
        <f>MONTH(Table2[[#This Row],[DATA PEDIDO HP]])</f>
        <v>7</v>
      </c>
      <c r="AB537" s="32" t="s">
        <v>42</v>
      </c>
      <c r="AC537" s="5">
        <f t="shared" ca="1" si="8"/>
        <v>46232</v>
      </c>
      <c r="AD537" s="331">
        <f ca="1">_xlfn.DAYS(Table2[[#This Row],[HOJE]],Table2[[#This Row],[DATA PEDIDO HP]])</f>
        <v>365</v>
      </c>
      <c r="AE537" s="336" t="s">
        <v>43</v>
      </c>
    </row>
    <row r="538" spans="1:31" ht="14.45" hidden="1">
      <c r="A538" s="271" t="s">
        <v>1816</v>
      </c>
      <c r="B538" s="26">
        <v>45867</v>
      </c>
      <c r="C538" s="26">
        <v>45867</v>
      </c>
      <c r="D538" s="14" t="s">
        <v>1817</v>
      </c>
      <c r="E538" s="14" t="s">
        <v>192</v>
      </c>
      <c r="F538" s="14" t="s">
        <v>173</v>
      </c>
      <c r="G538" s="14">
        <v>48300253</v>
      </c>
      <c r="H538" s="14" t="s">
        <v>1818</v>
      </c>
      <c r="I538" s="14" t="s">
        <v>1819</v>
      </c>
      <c r="J538" s="14">
        <v>1</v>
      </c>
      <c r="K538" s="14" t="s">
        <v>37</v>
      </c>
      <c r="L538" s="14" t="s">
        <v>48</v>
      </c>
      <c r="M538" s="15" t="s">
        <v>58</v>
      </c>
      <c r="N538" s="15" t="s">
        <v>58</v>
      </c>
      <c r="O538" s="15">
        <v>1</v>
      </c>
      <c r="P538" s="15">
        <v>1</v>
      </c>
      <c r="Q538" s="15">
        <v>111485</v>
      </c>
      <c r="R538" s="15"/>
      <c r="S538" s="25"/>
      <c r="T538" s="25">
        <v>45888</v>
      </c>
      <c r="U538" s="25">
        <v>45898</v>
      </c>
      <c r="V538" s="15" t="s">
        <v>420</v>
      </c>
      <c r="W538" s="15"/>
      <c r="X538" s="159">
        <v>432.77</v>
      </c>
      <c r="Y538" s="159">
        <f>Table2[[#This Row],[PREÇO UNITARIO]]*Table2[[#This Row],[QUANTIDADE]]</f>
        <v>432.77</v>
      </c>
      <c r="Z538" s="15"/>
      <c r="AA538" s="28">
        <f>MONTH(Table2[[#This Row],[DATA PEDIDO HP]])</f>
        <v>7</v>
      </c>
      <c r="AB538" s="32" t="s">
        <v>60</v>
      </c>
      <c r="AC538" s="5">
        <f t="shared" ca="1" si="8"/>
        <v>46232</v>
      </c>
      <c r="AD538" s="331">
        <f ca="1">_xlfn.DAYS(Table2[[#This Row],[HOJE]],Table2[[#This Row],[DATA PEDIDO HP]])</f>
        <v>365</v>
      </c>
      <c r="AE538" s="5" t="s">
        <v>43</v>
      </c>
    </row>
    <row r="539" spans="1:31" ht="14.45" hidden="1">
      <c r="A539" s="271" t="s">
        <v>1820</v>
      </c>
      <c r="B539" s="26">
        <v>45869</v>
      </c>
      <c r="C539" s="26">
        <v>45859</v>
      </c>
      <c r="D539" s="14" t="s">
        <v>1821</v>
      </c>
      <c r="E539" s="14" t="s">
        <v>63</v>
      </c>
      <c r="F539" s="14" t="s">
        <v>173</v>
      </c>
      <c r="G539" s="14">
        <v>48300301</v>
      </c>
      <c r="H539" s="14" t="s">
        <v>1822</v>
      </c>
      <c r="I539" s="14" t="s">
        <v>1823</v>
      </c>
      <c r="J539" s="14">
        <v>1</v>
      </c>
      <c r="K539" s="14" t="s">
        <v>37</v>
      </c>
      <c r="L539" s="14" t="s">
        <v>96</v>
      </c>
      <c r="M539" s="14" t="s">
        <v>88</v>
      </c>
      <c r="N539" s="15" t="s">
        <v>89</v>
      </c>
      <c r="O539" s="15">
        <v>0</v>
      </c>
      <c r="P539" s="15">
        <v>1</v>
      </c>
      <c r="Q539" s="15">
        <v>130163</v>
      </c>
      <c r="R539" s="15"/>
      <c r="S539" s="25">
        <v>45904</v>
      </c>
      <c r="T539" s="25">
        <v>45888</v>
      </c>
      <c r="U539" s="25">
        <v>45898</v>
      </c>
      <c r="V539" s="15" t="s">
        <v>420</v>
      </c>
      <c r="W539" s="15"/>
      <c r="X539" s="27">
        <v>94.72</v>
      </c>
      <c r="Y539" s="27">
        <f>Table2[[#This Row],[PREÇO UNITARIO]]*Table2[[#This Row],[QUANTIDADE]]</f>
        <v>94.72</v>
      </c>
      <c r="Z539" s="15"/>
      <c r="AA539" s="28">
        <f>MONTH(Table2[[#This Row],[DATA PEDIDO HP]])</f>
        <v>7</v>
      </c>
      <c r="AB539" s="32" t="s">
        <v>60</v>
      </c>
      <c r="AC539" s="5">
        <f t="shared" ca="1" si="8"/>
        <v>46232</v>
      </c>
      <c r="AD539" s="331">
        <f ca="1">_xlfn.DAYS(Table2[[#This Row],[HOJE]],Table2[[#This Row],[DATA PEDIDO HP]])</f>
        <v>363</v>
      </c>
      <c r="AE539" s="336" t="s">
        <v>43</v>
      </c>
    </row>
    <row r="540" spans="1:31" ht="14.45" hidden="1">
      <c r="A540" s="271" t="s">
        <v>1824</v>
      </c>
      <c r="B540" s="26">
        <v>45870</v>
      </c>
      <c r="C540" s="26">
        <v>45869</v>
      </c>
      <c r="D540" s="14" t="s">
        <v>1825</v>
      </c>
      <c r="E540" s="14" t="s">
        <v>780</v>
      </c>
      <c r="F540" s="14" t="s">
        <v>403</v>
      </c>
      <c r="G540" s="14">
        <v>50300129</v>
      </c>
      <c r="H540" s="14" t="s">
        <v>1826</v>
      </c>
      <c r="I540" s="14" t="s">
        <v>1827</v>
      </c>
      <c r="J540" s="14">
        <v>1</v>
      </c>
      <c r="K540" s="14" t="s">
        <v>67</v>
      </c>
      <c r="L540" s="14" t="s">
        <v>48</v>
      </c>
      <c r="M540" s="14" t="s">
        <v>88</v>
      </c>
      <c r="N540" s="15" t="s">
        <v>89</v>
      </c>
      <c r="O540" s="15">
        <v>0</v>
      </c>
      <c r="P540" s="15">
        <v>0</v>
      </c>
      <c r="Q540" s="15">
        <v>130163</v>
      </c>
      <c r="R540" s="15"/>
      <c r="S540" s="25"/>
      <c r="T540" s="25">
        <v>45875</v>
      </c>
      <c r="U540" s="25">
        <v>45880</v>
      </c>
      <c r="V540" s="15" t="s">
        <v>69</v>
      </c>
      <c r="W540" s="15"/>
      <c r="X540" s="27">
        <v>846.92</v>
      </c>
      <c r="Y540" s="27">
        <f>Table2[[#This Row],[PREÇO UNITARIO]]*Table2[[#This Row],[QUANTIDADE]]</f>
        <v>846.92</v>
      </c>
      <c r="Z540" s="15"/>
      <c r="AA540" s="28">
        <f>MONTH(Table2[[#This Row],[DATA PEDIDO HP]])</f>
        <v>8</v>
      </c>
      <c r="AB540" s="32" t="s">
        <v>60</v>
      </c>
      <c r="AC540" s="5">
        <f t="shared" ca="1" si="8"/>
        <v>46232</v>
      </c>
      <c r="AD540" s="331">
        <f ca="1">_xlfn.DAYS(Table2[[#This Row],[HOJE]],Table2[[#This Row],[DATA PEDIDO HP]])</f>
        <v>362</v>
      </c>
      <c r="AE540" s="5" t="s">
        <v>43</v>
      </c>
    </row>
    <row r="541" spans="1:31" ht="14.45" hidden="1">
      <c r="A541" s="271" t="s">
        <v>1828</v>
      </c>
      <c r="B541" s="26">
        <v>45869</v>
      </c>
      <c r="C541" s="26">
        <v>45841</v>
      </c>
      <c r="D541" s="14" t="s">
        <v>1829</v>
      </c>
      <c r="E541" s="14" t="s">
        <v>334</v>
      </c>
      <c r="F541" s="14" t="s">
        <v>55</v>
      </c>
      <c r="G541" s="14">
        <v>44000010</v>
      </c>
      <c r="H541" s="14" t="s">
        <v>1683</v>
      </c>
      <c r="I541" s="14" t="s">
        <v>1830</v>
      </c>
      <c r="J541" s="14">
        <v>1</v>
      </c>
      <c r="K541" s="14" t="s">
        <v>37</v>
      </c>
      <c r="L541" s="14" t="s">
        <v>363</v>
      </c>
      <c r="M541" s="14" t="s">
        <v>58</v>
      </c>
      <c r="N541" s="14" t="s">
        <v>58</v>
      </c>
      <c r="O541" s="15">
        <v>1</v>
      </c>
      <c r="P541" s="15"/>
      <c r="Q541" s="15"/>
      <c r="R541" s="15"/>
      <c r="S541" s="25"/>
      <c r="T541" s="25">
        <v>45888</v>
      </c>
      <c r="U541" s="25">
        <v>45898</v>
      </c>
      <c r="V541" s="15" t="s">
        <v>420</v>
      </c>
      <c r="W541" s="15"/>
      <c r="X541" s="27">
        <v>925.96</v>
      </c>
      <c r="Y541" s="27">
        <f>Table2[[#This Row],[PREÇO UNITARIO]]*Table2[[#This Row],[QUANTIDADE]]</f>
        <v>925.96</v>
      </c>
      <c r="Z541" s="15"/>
      <c r="AA541" s="28">
        <f>MONTH(Table2[[#This Row],[DATA PEDIDO HP]])</f>
        <v>7</v>
      </c>
      <c r="AB541" s="32" t="s">
        <v>60</v>
      </c>
      <c r="AC541" s="5">
        <f t="shared" ca="1" si="8"/>
        <v>46232</v>
      </c>
      <c r="AD541" s="331">
        <f ca="1">_xlfn.DAYS(Table2[[#This Row],[HOJE]],Table2[[#This Row],[DATA PEDIDO HP]])</f>
        <v>363</v>
      </c>
      <c r="AE541" s="5" t="s">
        <v>43</v>
      </c>
    </row>
    <row r="542" spans="1:31" ht="14.45" hidden="1">
      <c r="A542" s="271" t="s">
        <v>1828</v>
      </c>
      <c r="B542" s="26">
        <v>45869</v>
      </c>
      <c r="C542" s="26">
        <v>45841</v>
      </c>
      <c r="D542" s="14" t="s">
        <v>1829</v>
      </c>
      <c r="E542" s="14" t="s">
        <v>334</v>
      </c>
      <c r="F542" s="14" t="s">
        <v>55</v>
      </c>
      <c r="G542" s="14">
        <v>44000010</v>
      </c>
      <c r="H542" s="14" t="s">
        <v>1682</v>
      </c>
      <c r="I542" s="14" t="s">
        <v>1831</v>
      </c>
      <c r="J542" s="14">
        <v>1</v>
      </c>
      <c r="K542" s="14" t="s">
        <v>37</v>
      </c>
      <c r="L542" s="14" t="s">
        <v>363</v>
      </c>
      <c r="M542" s="14" t="s">
        <v>58</v>
      </c>
      <c r="N542" s="14" t="s">
        <v>58</v>
      </c>
      <c r="O542" s="15">
        <v>1</v>
      </c>
      <c r="P542" s="15"/>
      <c r="Q542" s="15"/>
      <c r="R542" s="15" t="s">
        <v>1680</v>
      </c>
      <c r="S542" s="25"/>
      <c r="T542" s="25">
        <v>45888</v>
      </c>
      <c r="U542" s="25">
        <v>45898</v>
      </c>
      <c r="V542" s="15" t="s">
        <v>420</v>
      </c>
      <c r="W542" s="15"/>
      <c r="X542" s="27">
        <v>1291.5</v>
      </c>
      <c r="Y542" s="27">
        <f>Table2[[#This Row],[PREÇO UNITARIO]]*Table2[[#This Row],[QUANTIDADE]]</f>
        <v>1291.5</v>
      </c>
      <c r="Z542" s="15"/>
      <c r="AA542" s="28">
        <f>MONTH(Table2[[#This Row],[DATA PEDIDO HP]])</f>
        <v>7</v>
      </c>
      <c r="AB542" s="32" t="s">
        <v>60</v>
      </c>
      <c r="AC542" s="5">
        <f t="shared" ca="1" si="8"/>
        <v>46232</v>
      </c>
      <c r="AD542" s="331">
        <f ca="1">_xlfn.DAYS(Table2[[#This Row],[HOJE]],Table2[[#This Row],[DATA PEDIDO HP]])</f>
        <v>363</v>
      </c>
      <c r="AE542" s="5" t="s">
        <v>43</v>
      </c>
    </row>
    <row r="543" spans="1:31" ht="14.45" hidden="1">
      <c r="A543" s="271" t="s">
        <v>1832</v>
      </c>
      <c r="B543" s="26">
        <v>45869</v>
      </c>
      <c r="C543" s="26">
        <v>45869</v>
      </c>
      <c r="D543" s="14" t="s">
        <v>1833</v>
      </c>
      <c r="E543" s="14" t="s">
        <v>402</v>
      </c>
      <c r="F543" s="14" t="s">
        <v>403</v>
      </c>
      <c r="G543" s="14">
        <v>50300141</v>
      </c>
      <c r="H543" s="14" t="s">
        <v>114</v>
      </c>
      <c r="I543" s="14" t="s">
        <v>1834</v>
      </c>
      <c r="J543" s="14">
        <v>1</v>
      </c>
      <c r="K543" s="14" t="s">
        <v>37</v>
      </c>
      <c r="L543" s="14" t="s">
        <v>217</v>
      </c>
      <c r="M543" s="14" t="s">
        <v>39</v>
      </c>
      <c r="N543" s="14" t="s">
        <v>39</v>
      </c>
      <c r="O543" s="15">
        <v>0</v>
      </c>
      <c r="P543" s="15">
        <v>0</v>
      </c>
      <c r="Q543" s="15">
        <v>120956</v>
      </c>
      <c r="R543" s="15"/>
      <c r="S543" s="25">
        <v>45905</v>
      </c>
      <c r="T543" s="25">
        <v>45888</v>
      </c>
      <c r="U543" s="25">
        <v>45898</v>
      </c>
      <c r="V543" s="15" t="s">
        <v>420</v>
      </c>
      <c r="W543" s="15"/>
      <c r="X543" s="27">
        <v>77.98</v>
      </c>
      <c r="Y543" s="27">
        <f>Table2[[#This Row],[PREÇO UNITARIO]]*Table2[[#This Row],[QUANTIDADE]]</f>
        <v>77.98</v>
      </c>
      <c r="Z543" s="15"/>
      <c r="AA543" s="28">
        <f>MONTH(Table2[[#This Row],[DATA PEDIDO HP]])</f>
        <v>7</v>
      </c>
      <c r="AB543" s="32" t="s">
        <v>60</v>
      </c>
      <c r="AC543" s="5">
        <f t="shared" ca="1" si="8"/>
        <v>46232</v>
      </c>
      <c r="AD543" s="331">
        <f ca="1">_xlfn.DAYS(Table2[[#This Row],[HOJE]],Table2[[#This Row],[DATA PEDIDO HP]])</f>
        <v>363</v>
      </c>
      <c r="AE543" s="336" t="s">
        <v>43</v>
      </c>
    </row>
    <row r="544" spans="1:31" ht="14.45" hidden="1">
      <c r="A544" s="271" t="s">
        <v>1835</v>
      </c>
      <c r="B544" s="26">
        <v>45869</v>
      </c>
      <c r="C544" s="26">
        <v>45869</v>
      </c>
      <c r="D544" s="14" t="s">
        <v>1836</v>
      </c>
      <c r="E544" s="14" t="s">
        <v>1837</v>
      </c>
      <c r="F544" s="14" t="s">
        <v>34</v>
      </c>
      <c r="G544" s="14">
        <v>50200095</v>
      </c>
      <c r="H544" s="14" t="s">
        <v>114</v>
      </c>
      <c r="I544" s="14" t="s">
        <v>1838</v>
      </c>
      <c r="J544" s="14">
        <v>1</v>
      </c>
      <c r="K544" s="14" t="s">
        <v>37</v>
      </c>
      <c r="L544" s="14" t="s">
        <v>217</v>
      </c>
      <c r="M544" s="14" t="s">
        <v>58</v>
      </c>
      <c r="N544" s="14" t="s">
        <v>58</v>
      </c>
      <c r="O544" s="15">
        <v>1</v>
      </c>
      <c r="P544" s="15">
        <v>1</v>
      </c>
      <c r="Q544" s="15">
        <v>130427</v>
      </c>
      <c r="R544" s="15"/>
      <c r="S544" s="25">
        <v>45905</v>
      </c>
      <c r="T544" s="25">
        <v>45888</v>
      </c>
      <c r="U544" s="25">
        <v>45898</v>
      </c>
      <c r="V544" s="15" t="s">
        <v>420</v>
      </c>
      <c r="W544" s="15"/>
      <c r="X544" s="27">
        <v>77.98</v>
      </c>
      <c r="Y544" s="27">
        <f>Table2[[#This Row],[PREÇO UNITARIO]]*Table2[[#This Row],[QUANTIDADE]]</f>
        <v>77.98</v>
      </c>
      <c r="Z544" s="15"/>
      <c r="AA544" s="28">
        <f>MONTH(Table2[[#This Row],[DATA PEDIDO HP]])</f>
        <v>7</v>
      </c>
      <c r="AB544" s="32" t="s">
        <v>60</v>
      </c>
      <c r="AC544" s="5">
        <f t="shared" ca="1" si="8"/>
        <v>46232</v>
      </c>
      <c r="AD544" s="331">
        <f ca="1">_xlfn.DAYS(Table2[[#This Row],[HOJE]],Table2[[#This Row],[DATA PEDIDO HP]])</f>
        <v>363</v>
      </c>
      <c r="AE544" s="336" t="s">
        <v>43</v>
      </c>
    </row>
    <row r="545" spans="1:31" ht="14.45" hidden="1">
      <c r="A545" s="271" t="s">
        <v>1839</v>
      </c>
      <c r="B545" s="26">
        <v>45869</v>
      </c>
      <c r="C545" s="26">
        <v>45869</v>
      </c>
      <c r="D545" s="14" t="s">
        <v>1840</v>
      </c>
      <c r="E545" s="14" t="s">
        <v>73</v>
      </c>
      <c r="F545" s="14" t="s">
        <v>203</v>
      </c>
      <c r="G545" s="14">
        <v>60002095</v>
      </c>
      <c r="H545" s="14" t="s">
        <v>1841</v>
      </c>
      <c r="I545" s="14" t="s">
        <v>1842</v>
      </c>
      <c r="J545" s="14">
        <v>1</v>
      </c>
      <c r="K545" s="14" t="s">
        <v>37</v>
      </c>
      <c r="L545" s="14" t="s">
        <v>346</v>
      </c>
      <c r="M545" s="14" t="s">
        <v>58</v>
      </c>
      <c r="N545" s="14" t="s">
        <v>58</v>
      </c>
      <c r="O545" s="15">
        <v>1</v>
      </c>
      <c r="P545" s="15">
        <v>1</v>
      </c>
      <c r="Q545" s="15">
        <v>130493</v>
      </c>
      <c r="R545" s="15" t="s">
        <v>1843</v>
      </c>
      <c r="S545" s="25"/>
      <c r="T545" s="25">
        <v>45927</v>
      </c>
      <c r="U545" s="25">
        <v>45932</v>
      </c>
      <c r="V545" s="15" t="s">
        <v>1153</v>
      </c>
      <c r="W545" s="15"/>
      <c r="X545" s="27">
        <v>33.76</v>
      </c>
      <c r="Y545" s="27">
        <f>Table2[[#This Row],[PREÇO UNITARIO]]*Table2[[#This Row],[QUANTIDADE]]</f>
        <v>33.76</v>
      </c>
      <c r="Z545" s="15"/>
      <c r="AA545" s="28">
        <f>MONTH(Table2[[#This Row],[DATA PEDIDO HP]])</f>
        <v>7</v>
      </c>
      <c r="AB545" s="32" t="s">
        <v>42</v>
      </c>
      <c r="AC545" s="5">
        <f t="shared" ca="1" si="8"/>
        <v>46232</v>
      </c>
      <c r="AD545" s="331">
        <f ca="1">_xlfn.DAYS(Table2[[#This Row],[HOJE]],Table2[[#This Row],[DATA PEDIDO HP]])</f>
        <v>363</v>
      </c>
      <c r="AE545" s="5" t="s">
        <v>43</v>
      </c>
    </row>
    <row r="546" spans="1:31" ht="14.45" hidden="1">
      <c r="A546" s="307" t="s">
        <v>1844</v>
      </c>
      <c r="B546" s="26">
        <v>45869</v>
      </c>
      <c r="C546" s="26">
        <v>45869</v>
      </c>
      <c r="D546" s="14" t="s">
        <v>1845</v>
      </c>
      <c r="E546" s="14" t="s">
        <v>1837</v>
      </c>
      <c r="F546" s="14" t="s">
        <v>34</v>
      </c>
      <c r="G546" s="14">
        <v>50200095</v>
      </c>
      <c r="H546" s="14" t="s">
        <v>1712</v>
      </c>
      <c r="I546" s="14" t="s">
        <v>1846</v>
      </c>
      <c r="J546" s="14">
        <v>1</v>
      </c>
      <c r="K546" s="14" t="s">
        <v>37</v>
      </c>
      <c r="L546" s="14" t="s">
        <v>217</v>
      </c>
      <c r="M546" s="14" t="s">
        <v>88</v>
      </c>
      <c r="N546" s="15" t="s">
        <v>89</v>
      </c>
      <c r="O546" s="15">
        <v>0</v>
      </c>
      <c r="P546" s="15"/>
      <c r="Q546" s="15">
        <v>130460</v>
      </c>
      <c r="R546" s="15"/>
      <c r="S546" s="25">
        <v>46002</v>
      </c>
      <c r="T546" s="25">
        <v>45979</v>
      </c>
      <c r="U546" s="25">
        <v>45993</v>
      </c>
      <c r="V546" s="15" t="s">
        <v>1290</v>
      </c>
      <c r="W546" s="15"/>
      <c r="X546" s="27">
        <v>516.05999999999995</v>
      </c>
      <c r="Y546" s="27">
        <f>Table2[[#This Row],[PREÇO UNITARIO]]*Table2[[#This Row],[QUANTIDADE]]</f>
        <v>516.05999999999995</v>
      </c>
      <c r="Z546" s="15"/>
      <c r="AA546" s="28">
        <f>MONTH(Table2[[#This Row],[DATA PEDIDO HP]])</f>
        <v>7</v>
      </c>
      <c r="AB546" s="32" t="s">
        <v>60</v>
      </c>
      <c r="AC546" s="5">
        <f t="shared" ca="1" si="8"/>
        <v>46232</v>
      </c>
      <c r="AD546" s="331">
        <f ca="1">_xlfn.DAYS(Table2[[#This Row],[HOJE]],Table2[[#This Row],[DATA PEDIDO HP]])</f>
        <v>363</v>
      </c>
      <c r="AE546" s="336" t="s">
        <v>43</v>
      </c>
    </row>
    <row r="547" spans="1:31" ht="14.45" hidden="1">
      <c r="A547" s="271" t="s">
        <v>1847</v>
      </c>
      <c r="B547" s="26">
        <v>45870</v>
      </c>
      <c r="C547" s="26">
        <v>45869</v>
      </c>
      <c r="D547" s="14" t="s">
        <v>1848</v>
      </c>
      <c r="E547" s="14" t="s">
        <v>79</v>
      </c>
      <c r="F547" s="14" t="s">
        <v>74</v>
      </c>
      <c r="G547" s="14">
        <v>50000530</v>
      </c>
      <c r="H547" s="14" t="s">
        <v>134</v>
      </c>
      <c r="I547" s="14" t="s">
        <v>1849</v>
      </c>
      <c r="J547" s="14">
        <v>1</v>
      </c>
      <c r="K547" s="14" t="s">
        <v>37</v>
      </c>
      <c r="L547" s="14" t="s">
        <v>96</v>
      </c>
      <c r="M547" s="14" t="s">
        <v>88</v>
      </c>
      <c r="N547" s="15" t="s">
        <v>89</v>
      </c>
      <c r="O547" s="15">
        <v>1</v>
      </c>
      <c r="P547" s="15">
        <v>1</v>
      </c>
      <c r="Q547" s="15">
        <v>130394</v>
      </c>
      <c r="R547" s="15"/>
      <c r="S547" s="25">
        <v>45937</v>
      </c>
      <c r="T547" s="25">
        <v>45927</v>
      </c>
      <c r="U547" s="25">
        <v>45932</v>
      </c>
      <c r="V547" s="15" t="s">
        <v>1153</v>
      </c>
      <c r="W547" s="15"/>
      <c r="X547" s="159">
        <v>42.46</v>
      </c>
      <c r="Y547" s="159">
        <f>Table2[[#This Row],[PREÇO UNITARIO]]*Table2[[#This Row],[QUANTIDADE]]</f>
        <v>42.46</v>
      </c>
      <c r="Z547" s="15"/>
      <c r="AA547" s="28">
        <f>MONTH(Table2[[#This Row],[DATA PEDIDO HP]])</f>
        <v>8</v>
      </c>
      <c r="AB547" s="32" t="s">
        <v>60</v>
      </c>
      <c r="AC547" s="5">
        <f t="shared" ca="1" si="8"/>
        <v>46232</v>
      </c>
      <c r="AD547" s="331">
        <f ca="1">_xlfn.DAYS(Table2[[#This Row],[HOJE]],Table2[[#This Row],[DATA PEDIDO HP]])</f>
        <v>362</v>
      </c>
      <c r="AE547" s="336" t="s">
        <v>43</v>
      </c>
    </row>
    <row r="548" spans="1:31" ht="14.45" hidden="1">
      <c r="A548" s="269" t="s">
        <v>1850</v>
      </c>
      <c r="B548" s="26">
        <v>45873</v>
      </c>
      <c r="C548" s="26">
        <v>45873</v>
      </c>
      <c r="D548" s="14" t="s">
        <v>1851</v>
      </c>
      <c r="E548" s="14" t="s">
        <v>73</v>
      </c>
      <c r="F548" s="14" t="s">
        <v>203</v>
      </c>
      <c r="G548" s="14">
        <v>60002095</v>
      </c>
      <c r="H548" s="14" t="s">
        <v>1852</v>
      </c>
      <c r="I548" s="14" t="s">
        <v>1853</v>
      </c>
      <c r="J548" s="14">
        <v>1</v>
      </c>
      <c r="K548" s="14" t="s">
        <v>37</v>
      </c>
      <c r="L548" s="14" t="s">
        <v>96</v>
      </c>
      <c r="M548" s="14" t="s">
        <v>39</v>
      </c>
      <c r="N548" s="14" t="s">
        <v>39</v>
      </c>
      <c r="O548" s="15">
        <v>0</v>
      </c>
      <c r="P548" s="15">
        <v>0</v>
      </c>
      <c r="Q548" s="15">
        <v>131054</v>
      </c>
      <c r="R548" s="15"/>
      <c r="S548" s="25">
        <v>45950</v>
      </c>
      <c r="T548" s="25">
        <v>45927</v>
      </c>
      <c r="U548" s="25">
        <v>45932</v>
      </c>
      <c r="V548" s="15" t="s">
        <v>1153</v>
      </c>
      <c r="W548" s="15"/>
      <c r="X548" s="159">
        <v>5.29</v>
      </c>
      <c r="Y548" s="159">
        <f>Table2[[#This Row],[PREÇO UNITARIO]]*Table2[[#This Row],[QUANTIDADE]]</f>
        <v>5.29</v>
      </c>
      <c r="Z548" s="15"/>
      <c r="AA548" s="28">
        <f>MONTH(Table2[[#This Row],[DATA PEDIDO HP]])</f>
        <v>8</v>
      </c>
      <c r="AB548" s="32" t="s">
        <v>42</v>
      </c>
      <c r="AC548" s="5">
        <f t="shared" ca="1" si="8"/>
        <v>46232</v>
      </c>
      <c r="AD548" s="331">
        <f ca="1">_xlfn.DAYS(Table2[[#This Row],[HOJE]],Table2[[#This Row],[DATA PEDIDO HP]])</f>
        <v>359</v>
      </c>
      <c r="AE548" s="336" t="s">
        <v>43</v>
      </c>
    </row>
    <row r="549" spans="1:31" ht="14.45" hidden="1">
      <c r="A549" s="269" t="s">
        <v>1854</v>
      </c>
      <c r="B549" s="26">
        <v>45873</v>
      </c>
      <c r="C549" s="26">
        <v>45873</v>
      </c>
      <c r="D549" s="14" t="s">
        <v>1855</v>
      </c>
      <c r="E549" s="14" t="s">
        <v>54</v>
      </c>
      <c r="F549" s="14" t="s">
        <v>173</v>
      </c>
      <c r="G549" s="14">
        <v>48300315</v>
      </c>
      <c r="H549" s="14" t="s">
        <v>369</v>
      </c>
      <c r="I549" s="14" t="s">
        <v>1698</v>
      </c>
      <c r="J549" s="14">
        <v>1</v>
      </c>
      <c r="K549" s="14" t="s">
        <v>37</v>
      </c>
      <c r="L549" s="14" t="s">
        <v>96</v>
      </c>
      <c r="M549" s="14" t="s">
        <v>39</v>
      </c>
      <c r="N549" s="14" t="s">
        <v>39</v>
      </c>
      <c r="O549" s="15">
        <v>1</v>
      </c>
      <c r="P549" s="15">
        <v>1</v>
      </c>
      <c r="Q549" s="15">
        <v>130889</v>
      </c>
      <c r="R549" s="15"/>
      <c r="S549" s="25">
        <v>45950</v>
      </c>
      <c r="T549" s="25">
        <v>45927</v>
      </c>
      <c r="U549" s="25">
        <v>45932</v>
      </c>
      <c r="V549" s="15" t="s">
        <v>1153</v>
      </c>
      <c r="W549" s="15"/>
      <c r="X549" s="159">
        <v>98.36</v>
      </c>
      <c r="Y549" s="159">
        <f>Table2[[#This Row],[PREÇO UNITARIO]]*Table2[[#This Row],[QUANTIDADE]]</f>
        <v>98.36</v>
      </c>
      <c r="Z549" s="15"/>
      <c r="AA549" s="28">
        <f>MONTH(Table2[[#This Row],[DATA PEDIDO HP]])</f>
        <v>8</v>
      </c>
      <c r="AB549" s="32" t="s">
        <v>60</v>
      </c>
      <c r="AC549" s="5">
        <f t="shared" ca="1" si="8"/>
        <v>46232</v>
      </c>
      <c r="AD549" s="331">
        <f ca="1">_xlfn.DAYS(Table2[[#This Row],[HOJE]],Table2[[#This Row],[DATA PEDIDO HP]])</f>
        <v>359</v>
      </c>
      <c r="AE549" s="336" t="s">
        <v>43</v>
      </c>
    </row>
    <row r="550" spans="1:31" ht="14.45" hidden="1">
      <c r="A550" s="269" t="s">
        <v>1856</v>
      </c>
      <c r="B550" s="26">
        <v>45873</v>
      </c>
      <c r="C550" s="26">
        <v>45873</v>
      </c>
      <c r="D550" s="14" t="s">
        <v>1857</v>
      </c>
      <c r="E550" s="14" t="s">
        <v>103</v>
      </c>
      <c r="F550" s="14" t="s">
        <v>104</v>
      </c>
      <c r="G550" s="14">
        <v>51000136</v>
      </c>
      <c r="H550" s="14" t="s">
        <v>1858</v>
      </c>
      <c r="I550" s="14" t="s">
        <v>1859</v>
      </c>
      <c r="J550" s="14">
        <v>1</v>
      </c>
      <c r="K550" s="14" t="s">
        <v>37</v>
      </c>
      <c r="L550" s="14" t="s">
        <v>96</v>
      </c>
      <c r="M550" s="14" t="s">
        <v>39</v>
      </c>
      <c r="N550" s="14" t="s">
        <v>39</v>
      </c>
      <c r="O550" s="15">
        <v>1</v>
      </c>
      <c r="P550" s="15">
        <v>1</v>
      </c>
      <c r="Q550" s="15">
        <v>130860</v>
      </c>
      <c r="R550" s="15"/>
      <c r="S550" s="25">
        <v>45936</v>
      </c>
      <c r="T550" s="25">
        <v>45927</v>
      </c>
      <c r="U550" s="25">
        <v>45932</v>
      </c>
      <c r="V550" s="15" t="s">
        <v>1153</v>
      </c>
      <c r="W550" s="15"/>
      <c r="X550" s="159">
        <v>112.27</v>
      </c>
      <c r="Y550" s="159">
        <f>Table2[[#This Row],[PREÇO UNITARIO]]*Table2[[#This Row],[QUANTIDADE]]</f>
        <v>112.27</v>
      </c>
      <c r="Z550" s="15" t="s">
        <v>1860</v>
      </c>
      <c r="AA550" s="28">
        <f>MONTH(Table2[[#This Row],[DATA PEDIDO HP]])</f>
        <v>8</v>
      </c>
      <c r="AB550" s="32" t="s">
        <v>42</v>
      </c>
      <c r="AC550" s="5">
        <f t="shared" ca="1" si="8"/>
        <v>46232</v>
      </c>
      <c r="AD550" s="331">
        <f ca="1">_xlfn.DAYS(Table2[[#This Row],[HOJE]],Table2[[#This Row],[DATA PEDIDO HP]])</f>
        <v>359</v>
      </c>
      <c r="AE550" s="336" t="s">
        <v>43</v>
      </c>
    </row>
    <row r="551" spans="1:31" ht="14.45" hidden="1">
      <c r="A551" s="269" t="s">
        <v>1861</v>
      </c>
      <c r="B551" s="26">
        <v>45873</v>
      </c>
      <c r="C551" s="26">
        <v>45870</v>
      </c>
      <c r="D551" s="14" t="s">
        <v>1862</v>
      </c>
      <c r="E551" s="14" t="s">
        <v>225</v>
      </c>
      <c r="F551" s="14" t="s">
        <v>34</v>
      </c>
      <c r="G551" s="14">
        <v>50110261</v>
      </c>
      <c r="H551" s="14" t="s">
        <v>1089</v>
      </c>
      <c r="I551" s="14" t="s">
        <v>1523</v>
      </c>
      <c r="J551" s="14">
        <v>1</v>
      </c>
      <c r="K551" s="14" t="s">
        <v>37</v>
      </c>
      <c r="L551" s="14" t="s">
        <v>96</v>
      </c>
      <c r="M551" s="14" t="s">
        <v>88</v>
      </c>
      <c r="N551" s="15" t="s">
        <v>89</v>
      </c>
      <c r="O551" s="15">
        <v>0</v>
      </c>
      <c r="P551" s="15">
        <v>1</v>
      </c>
      <c r="Q551" s="15">
        <v>128744</v>
      </c>
      <c r="R551" s="15" t="s">
        <v>1091</v>
      </c>
      <c r="S551" s="25">
        <v>45902</v>
      </c>
      <c r="T551" s="25">
        <v>45927</v>
      </c>
      <c r="U551" s="25">
        <v>45932</v>
      </c>
      <c r="V551" s="15" t="s">
        <v>1153</v>
      </c>
      <c r="W551" s="15"/>
      <c r="X551" s="159">
        <v>62.83</v>
      </c>
      <c r="Y551" s="159">
        <f>Table2[[#This Row],[PREÇO UNITARIO]]*Table2[[#This Row],[QUANTIDADE]]</f>
        <v>62.83</v>
      </c>
      <c r="Z551" s="15" t="s">
        <v>1863</v>
      </c>
      <c r="AA551" s="28">
        <f>MONTH(Table2[[#This Row],[DATA PEDIDO HP]])</f>
        <v>8</v>
      </c>
      <c r="AB551" s="32" t="s">
        <v>60</v>
      </c>
      <c r="AC551" s="5">
        <f t="shared" ca="1" si="8"/>
        <v>46232</v>
      </c>
      <c r="AD551" s="331">
        <f ca="1">_xlfn.DAYS(Table2[[#This Row],[HOJE]],Table2[[#This Row],[DATA PEDIDO HP]])</f>
        <v>359</v>
      </c>
      <c r="AE551" s="336" t="s">
        <v>43</v>
      </c>
    </row>
    <row r="552" spans="1:31" ht="14.45" hidden="1">
      <c r="A552" s="269" t="s">
        <v>1864</v>
      </c>
      <c r="B552" s="26">
        <v>45873</v>
      </c>
      <c r="C552" s="26">
        <v>45870</v>
      </c>
      <c r="D552" s="14" t="s">
        <v>1865</v>
      </c>
      <c r="E552" s="14" t="s">
        <v>225</v>
      </c>
      <c r="F552" s="14" t="s">
        <v>34</v>
      </c>
      <c r="G552" s="14">
        <v>50110261</v>
      </c>
      <c r="H552" s="14" t="s">
        <v>1646</v>
      </c>
      <c r="I552" s="14" t="s">
        <v>1647</v>
      </c>
      <c r="J552" s="14">
        <v>1</v>
      </c>
      <c r="K552" s="14" t="s">
        <v>37</v>
      </c>
      <c r="L552" s="14" t="s">
        <v>96</v>
      </c>
      <c r="M552" s="14" t="s">
        <v>88</v>
      </c>
      <c r="N552" s="15" t="s">
        <v>89</v>
      </c>
      <c r="O552" s="15">
        <v>0</v>
      </c>
      <c r="P552" s="15">
        <v>0</v>
      </c>
      <c r="Q552" s="15">
        <v>128744</v>
      </c>
      <c r="R552" s="15"/>
      <c r="S552" s="25">
        <v>45902</v>
      </c>
      <c r="T552" s="25">
        <v>45927</v>
      </c>
      <c r="U552" s="25">
        <v>45932</v>
      </c>
      <c r="V552" s="15" t="s">
        <v>1153</v>
      </c>
      <c r="W552" s="15"/>
      <c r="X552" s="159">
        <v>1370.16</v>
      </c>
      <c r="Y552" s="159">
        <f>Table2[[#This Row],[PREÇO UNITARIO]]*Table2[[#This Row],[QUANTIDADE]]</f>
        <v>1370.16</v>
      </c>
      <c r="Z552" s="15" t="s">
        <v>1863</v>
      </c>
      <c r="AA552" s="28">
        <f>MONTH(Table2[[#This Row],[DATA PEDIDO HP]])</f>
        <v>8</v>
      </c>
      <c r="AB552" s="32" t="s">
        <v>60</v>
      </c>
      <c r="AC552" s="5">
        <f t="shared" ca="1" si="8"/>
        <v>46232</v>
      </c>
      <c r="AD552" s="331">
        <f ca="1">_xlfn.DAYS(Table2[[#This Row],[HOJE]],Table2[[#This Row],[DATA PEDIDO HP]])</f>
        <v>359</v>
      </c>
      <c r="AE552" s="336" t="s">
        <v>43</v>
      </c>
    </row>
    <row r="553" spans="1:31" ht="14.45" hidden="1">
      <c r="A553" s="269" t="s">
        <v>1864</v>
      </c>
      <c r="B553" s="26">
        <v>45873</v>
      </c>
      <c r="C553" s="26">
        <v>45870</v>
      </c>
      <c r="D553" s="14" t="s">
        <v>1865</v>
      </c>
      <c r="E553" s="14" t="s">
        <v>225</v>
      </c>
      <c r="F553" s="14" t="s">
        <v>34</v>
      </c>
      <c r="G553" s="14">
        <v>50110261</v>
      </c>
      <c r="H553" s="14" t="s">
        <v>1866</v>
      </c>
      <c r="I553" s="14" t="s">
        <v>1867</v>
      </c>
      <c r="J553" s="14">
        <v>1</v>
      </c>
      <c r="K553" s="14" t="s">
        <v>37</v>
      </c>
      <c r="L553" s="14" t="s">
        <v>96</v>
      </c>
      <c r="M553" s="14" t="s">
        <v>88</v>
      </c>
      <c r="N553" s="15" t="s">
        <v>89</v>
      </c>
      <c r="O553" s="15">
        <v>0</v>
      </c>
      <c r="P553" s="15">
        <v>1</v>
      </c>
      <c r="Q553" s="15">
        <v>128744</v>
      </c>
      <c r="R553" s="15"/>
      <c r="S553" s="25">
        <v>45902</v>
      </c>
      <c r="T553" s="25">
        <v>45927</v>
      </c>
      <c r="U553" s="25">
        <v>45932</v>
      </c>
      <c r="V553" s="15" t="s">
        <v>1153</v>
      </c>
      <c r="W553" s="15"/>
      <c r="X553" s="159">
        <v>73.489999999999995</v>
      </c>
      <c r="Y553" s="159">
        <f>Table2[[#This Row],[PREÇO UNITARIO]]*Table2[[#This Row],[QUANTIDADE]]</f>
        <v>73.489999999999995</v>
      </c>
      <c r="Z553" s="15" t="s">
        <v>1863</v>
      </c>
      <c r="AA553" s="28">
        <f>MONTH(Table2[[#This Row],[DATA PEDIDO HP]])</f>
        <v>8</v>
      </c>
      <c r="AB553" s="32" t="s">
        <v>60</v>
      </c>
      <c r="AC553" s="5">
        <f t="shared" ca="1" si="8"/>
        <v>46232</v>
      </c>
      <c r="AD553" s="331">
        <f ca="1">_xlfn.DAYS(Table2[[#This Row],[HOJE]],Table2[[#This Row],[DATA PEDIDO HP]])</f>
        <v>359</v>
      </c>
      <c r="AE553" s="336" t="s">
        <v>43</v>
      </c>
    </row>
    <row r="554" spans="1:31" ht="14.45" hidden="1">
      <c r="A554" s="269" t="s">
        <v>1864</v>
      </c>
      <c r="B554" s="26">
        <v>45873</v>
      </c>
      <c r="C554" s="26">
        <v>45870</v>
      </c>
      <c r="D554" s="14" t="s">
        <v>1865</v>
      </c>
      <c r="E554" s="14" t="s">
        <v>225</v>
      </c>
      <c r="F554" s="14" t="s">
        <v>34</v>
      </c>
      <c r="G554" s="14">
        <v>50110261</v>
      </c>
      <c r="H554" s="14" t="s">
        <v>1868</v>
      </c>
      <c r="I554" s="14" t="s">
        <v>1869</v>
      </c>
      <c r="J554" s="14">
        <v>1</v>
      </c>
      <c r="K554" s="14" t="s">
        <v>37</v>
      </c>
      <c r="L554" s="14" t="s">
        <v>96</v>
      </c>
      <c r="M554" s="14" t="s">
        <v>88</v>
      </c>
      <c r="N554" s="15" t="s">
        <v>89</v>
      </c>
      <c r="O554" s="15">
        <v>0</v>
      </c>
      <c r="P554" s="15">
        <v>1</v>
      </c>
      <c r="Q554" s="15">
        <v>128744</v>
      </c>
      <c r="R554" s="15" t="s">
        <v>1306</v>
      </c>
      <c r="S554" s="25">
        <v>45902</v>
      </c>
      <c r="T554" s="25">
        <v>45927</v>
      </c>
      <c r="U554" s="25">
        <v>45932</v>
      </c>
      <c r="V554" s="15" t="s">
        <v>1153</v>
      </c>
      <c r="W554" s="15"/>
      <c r="X554" s="159">
        <v>177.96</v>
      </c>
      <c r="Y554" s="159">
        <f>Table2[[#This Row],[PREÇO UNITARIO]]*Table2[[#This Row],[QUANTIDADE]]</f>
        <v>177.96</v>
      </c>
      <c r="Z554" s="15" t="s">
        <v>1863</v>
      </c>
      <c r="AA554" s="28">
        <f>MONTH(Table2[[#This Row],[DATA PEDIDO HP]])</f>
        <v>8</v>
      </c>
      <c r="AB554" s="32" t="s">
        <v>60</v>
      </c>
      <c r="AC554" s="5">
        <f t="shared" ca="1" si="8"/>
        <v>46232</v>
      </c>
      <c r="AD554" s="331">
        <f ca="1">_xlfn.DAYS(Table2[[#This Row],[HOJE]],Table2[[#This Row],[DATA PEDIDO HP]])</f>
        <v>359</v>
      </c>
      <c r="AE554" s="336" t="s">
        <v>43</v>
      </c>
    </row>
    <row r="555" spans="1:31" ht="14.45" hidden="1">
      <c r="A555" s="269" t="s">
        <v>1870</v>
      </c>
      <c r="B555" s="26">
        <v>45873</v>
      </c>
      <c r="C555" s="26">
        <v>45873</v>
      </c>
      <c r="D555" s="14" t="s">
        <v>1871</v>
      </c>
      <c r="E555" s="14" t="s">
        <v>33</v>
      </c>
      <c r="F555" s="14" t="s">
        <v>34</v>
      </c>
      <c r="G555" s="14">
        <v>50110193</v>
      </c>
      <c r="H555" s="14" t="s">
        <v>1872</v>
      </c>
      <c r="I555" s="14" t="s">
        <v>1873</v>
      </c>
      <c r="J555" s="14">
        <v>3</v>
      </c>
      <c r="K555" s="14" t="s">
        <v>37</v>
      </c>
      <c r="L555" s="14" t="s">
        <v>48</v>
      </c>
      <c r="M555" s="14" t="s">
        <v>88</v>
      </c>
      <c r="N555" s="15" t="s">
        <v>89</v>
      </c>
      <c r="O555" s="15">
        <v>1</v>
      </c>
      <c r="P555" s="15">
        <v>3</v>
      </c>
      <c r="Q555" s="15">
        <v>130823</v>
      </c>
      <c r="R555" s="15" t="s">
        <v>1874</v>
      </c>
      <c r="S555" s="25">
        <v>45936</v>
      </c>
      <c r="T555" s="25">
        <v>45927</v>
      </c>
      <c r="U555" s="25">
        <v>45932</v>
      </c>
      <c r="V555" s="15" t="s">
        <v>1153</v>
      </c>
      <c r="W555" s="15"/>
      <c r="X555" s="159">
        <v>29.89</v>
      </c>
      <c r="Y555" s="159">
        <f>Table2[[#This Row],[PREÇO UNITARIO]]*Table2[[#This Row],[QUANTIDADE]]</f>
        <v>89.67</v>
      </c>
      <c r="Z555" s="15"/>
      <c r="AA555" s="28">
        <f>MONTH(Table2[[#This Row],[DATA PEDIDO HP]])</f>
        <v>8</v>
      </c>
      <c r="AB555" s="32" t="s">
        <v>42</v>
      </c>
      <c r="AC555" s="5">
        <f t="shared" ca="1" si="8"/>
        <v>46232</v>
      </c>
      <c r="AD555" s="331">
        <f ca="1">_xlfn.DAYS(Table2[[#This Row],[HOJE]],Table2[[#This Row],[DATA PEDIDO HP]])</f>
        <v>359</v>
      </c>
      <c r="AE555" s="336" t="s">
        <v>43</v>
      </c>
    </row>
    <row r="556" spans="1:31" ht="14.45" hidden="1">
      <c r="A556" s="269" t="s">
        <v>1875</v>
      </c>
      <c r="B556" s="26">
        <v>45873</v>
      </c>
      <c r="C556" s="26">
        <v>45873</v>
      </c>
      <c r="D556" s="14" t="s">
        <v>1876</v>
      </c>
      <c r="E556" s="14" t="s">
        <v>63</v>
      </c>
      <c r="F556" s="14" t="s">
        <v>173</v>
      </c>
      <c r="G556" s="14">
        <v>48300301</v>
      </c>
      <c r="H556" s="14" t="s">
        <v>856</v>
      </c>
      <c r="I556" s="14" t="s">
        <v>1877</v>
      </c>
      <c r="J556" s="14">
        <v>1</v>
      </c>
      <c r="K556" s="14" t="s">
        <v>37</v>
      </c>
      <c r="L556" s="14" t="s">
        <v>48</v>
      </c>
      <c r="M556" s="14" t="s">
        <v>39</v>
      </c>
      <c r="N556" s="14" t="s">
        <v>39</v>
      </c>
      <c r="O556" s="15">
        <v>1</v>
      </c>
      <c r="P556" s="15">
        <v>1</v>
      </c>
      <c r="Q556" s="15">
        <v>130070</v>
      </c>
      <c r="R556" s="15"/>
      <c r="S556" s="25">
        <v>45939</v>
      </c>
      <c r="T556" s="25">
        <v>45927</v>
      </c>
      <c r="U556" s="25">
        <v>45932</v>
      </c>
      <c r="V556" s="15" t="s">
        <v>1153</v>
      </c>
      <c r="W556" s="15"/>
      <c r="X556" s="159">
        <v>274.36</v>
      </c>
      <c r="Y556" s="159">
        <f>Table2[[#This Row],[PREÇO UNITARIO]]*Table2[[#This Row],[QUANTIDADE]]</f>
        <v>274.36</v>
      </c>
      <c r="Z556" s="15"/>
      <c r="AA556" s="28">
        <f>MONTH(Table2[[#This Row],[DATA PEDIDO HP]])</f>
        <v>8</v>
      </c>
      <c r="AB556" s="32" t="s">
        <v>60</v>
      </c>
      <c r="AC556" s="5">
        <f t="shared" ca="1" si="8"/>
        <v>46232</v>
      </c>
      <c r="AD556" s="331">
        <f ca="1">_xlfn.DAYS(Table2[[#This Row],[HOJE]],Table2[[#This Row],[DATA PEDIDO HP]])</f>
        <v>359</v>
      </c>
      <c r="AE556" s="336" t="s">
        <v>43</v>
      </c>
    </row>
    <row r="557" spans="1:31" ht="14.45" hidden="1">
      <c r="A557" s="269" t="s">
        <v>1878</v>
      </c>
      <c r="B557" s="26">
        <v>45874</v>
      </c>
      <c r="C557" s="26">
        <v>45869</v>
      </c>
      <c r="D557" s="14" t="s">
        <v>1879</v>
      </c>
      <c r="E557" s="14" t="s">
        <v>916</v>
      </c>
      <c r="F557" s="14" t="s">
        <v>456</v>
      </c>
      <c r="G557" s="14">
        <v>47200274</v>
      </c>
      <c r="H557" s="14" t="s">
        <v>1880</v>
      </c>
      <c r="I557" s="14" t="s">
        <v>1881</v>
      </c>
      <c r="J557" s="14">
        <v>1</v>
      </c>
      <c r="K557" s="14" t="s">
        <v>37</v>
      </c>
      <c r="L557" s="14" t="s">
        <v>38</v>
      </c>
      <c r="M557" s="14" t="s">
        <v>39</v>
      </c>
      <c r="N557" s="14" t="s">
        <v>39</v>
      </c>
      <c r="O557" s="15">
        <v>1</v>
      </c>
      <c r="P557" s="15">
        <v>1</v>
      </c>
      <c r="Q557" s="15">
        <v>130295</v>
      </c>
      <c r="R557" s="15"/>
      <c r="S557" s="25">
        <v>45950</v>
      </c>
      <c r="T557" s="25">
        <v>45927</v>
      </c>
      <c r="U557" s="25">
        <v>45932</v>
      </c>
      <c r="V557" s="15" t="s">
        <v>1153</v>
      </c>
      <c r="W557" s="15"/>
      <c r="X557" s="159">
        <v>127.69</v>
      </c>
      <c r="Y557" s="159">
        <f>Table2[[#This Row],[PREÇO UNITARIO]]*Table2[[#This Row],[QUANTIDADE]]</f>
        <v>127.69</v>
      </c>
      <c r="Z557" s="15"/>
      <c r="AA557" s="28">
        <f>MONTH(Table2[[#This Row],[DATA PEDIDO HP]])</f>
        <v>8</v>
      </c>
      <c r="AB557" s="32" t="s">
        <v>60</v>
      </c>
      <c r="AC557" s="5">
        <f t="shared" ca="1" si="8"/>
        <v>46232</v>
      </c>
      <c r="AD557" s="331">
        <f ca="1">_xlfn.DAYS(Table2[[#This Row],[HOJE]],Table2[[#This Row],[DATA PEDIDO HP]])</f>
        <v>358</v>
      </c>
      <c r="AE557" s="336" t="s">
        <v>43</v>
      </c>
    </row>
    <row r="558" spans="1:31" ht="14.45" hidden="1">
      <c r="A558" s="269" t="s">
        <v>1882</v>
      </c>
      <c r="B558" s="26">
        <v>45874</v>
      </c>
      <c r="C558" s="26">
        <v>45869</v>
      </c>
      <c r="D558" s="14" t="s">
        <v>1883</v>
      </c>
      <c r="E558" s="14" t="s">
        <v>916</v>
      </c>
      <c r="F558" s="14" t="s">
        <v>456</v>
      </c>
      <c r="G558" s="14">
        <v>47200274</v>
      </c>
      <c r="H558" s="14" t="s">
        <v>1884</v>
      </c>
      <c r="I558" s="14" t="s">
        <v>1885</v>
      </c>
      <c r="J558" s="14">
        <v>1</v>
      </c>
      <c r="K558" s="14" t="s">
        <v>67</v>
      </c>
      <c r="L558" s="14" t="s">
        <v>38</v>
      </c>
      <c r="M558" s="14" t="s">
        <v>39</v>
      </c>
      <c r="N558" s="14" t="s">
        <v>39</v>
      </c>
      <c r="O558" s="15">
        <v>1</v>
      </c>
      <c r="P558" s="15">
        <v>1</v>
      </c>
      <c r="Q558" s="15">
        <v>130295</v>
      </c>
      <c r="R558" s="15"/>
      <c r="S558" s="25">
        <v>45950</v>
      </c>
      <c r="T558" s="25">
        <v>45927</v>
      </c>
      <c r="U558" s="25">
        <v>45932</v>
      </c>
      <c r="V558" s="15" t="s">
        <v>1153</v>
      </c>
      <c r="W558" s="15"/>
      <c r="X558" s="159">
        <v>22.54</v>
      </c>
      <c r="Y558" s="159">
        <f>Table2[[#This Row],[PREÇO UNITARIO]]*Table2[[#This Row],[QUANTIDADE]]</f>
        <v>22.54</v>
      </c>
      <c r="Z558" s="15"/>
      <c r="AA558" s="28">
        <f>MONTH(Table2[[#This Row],[DATA PEDIDO HP]])</f>
        <v>8</v>
      </c>
      <c r="AB558" s="32" t="s">
        <v>60</v>
      </c>
      <c r="AC558" s="5">
        <f t="shared" ca="1" si="8"/>
        <v>46232</v>
      </c>
      <c r="AD558" s="331">
        <f ca="1">_xlfn.DAYS(Table2[[#This Row],[HOJE]],Table2[[#This Row],[DATA PEDIDO HP]])</f>
        <v>358</v>
      </c>
      <c r="AE558" s="336" t="s">
        <v>43</v>
      </c>
    </row>
    <row r="559" spans="1:31" ht="14.45" hidden="1">
      <c r="A559" s="269" t="s">
        <v>1882</v>
      </c>
      <c r="B559" s="26">
        <v>45874</v>
      </c>
      <c r="C559" s="26">
        <v>45869</v>
      </c>
      <c r="D559" s="14" t="s">
        <v>1883</v>
      </c>
      <c r="E559" s="14" t="s">
        <v>916</v>
      </c>
      <c r="F559" s="14" t="s">
        <v>456</v>
      </c>
      <c r="G559" s="14">
        <v>47200274</v>
      </c>
      <c r="H559" s="14" t="s">
        <v>1886</v>
      </c>
      <c r="I559" s="14" t="s">
        <v>1887</v>
      </c>
      <c r="J559" s="14">
        <v>1</v>
      </c>
      <c r="K559" s="14" t="s">
        <v>67</v>
      </c>
      <c r="L559" s="14" t="s">
        <v>38</v>
      </c>
      <c r="M559" s="14" t="s">
        <v>39</v>
      </c>
      <c r="N559" s="14" t="s">
        <v>39</v>
      </c>
      <c r="O559" s="15">
        <v>1</v>
      </c>
      <c r="P559" s="15">
        <v>1</v>
      </c>
      <c r="Q559" s="15">
        <v>130295</v>
      </c>
      <c r="R559" s="15"/>
      <c r="S559" s="25">
        <v>45950</v>
      </c>
      <c r="T559" s="25">
        <v>45927</v>
      </c>
      <c r="U559" s="25">
        <v>45932</v>
      </c>
      <c r="V559" s="15" t="s">
        <v>1153</v>
      </c>
      <c r="W559" s="15"/>
      <c r="X559" s="159">
        <v>39.19</v>
      </c>
      <c r="Y559" s="159">
        <f>Table2[[#This Row],[PREÇO UNITARIO]]*Table2[[#This Row],[QUANTIDADE]]</f>
        <v>39.19</v>
      </c>
      <c r="Z559" s="15"/>
      <c r="AA559" s="28">
        <f>MONTH(Table2[[#This Row],[DATA PEDIDO HP]])</f>
        <v>8</v>
      </c>
      <c r="AB559" s="32" t="s">
        <v>60</v>
      </c>
      <c r="AC559" s="5">
        <f t="shared" ca="1" si="8"/>
        <v>46232</v>
      </c>
      <c r="AD559" s="331">
        <f ca="1">_xlfn.DAYS(Table2[[#This Row],[HOJE]],Table2[[#This Row],[DATA PEDIDO HP]])</f>
        <v>358</v>
      </c>
      <c r="AE559" s="336" t="s">
        <v>43</v>
      </c>
    </row>
    <row r="560" spans="1:31" ht="14.45" hidden="1">
      <c r="A560" s="269" t="s">
        <v>1888</v>
      </c>
      <c r="B560" s="26">
        <v>45874</v>
      </c>
      <c r="C560" s="26">
        <v>45874</v>
      </c>
      <c r="D560" s="14" t="s">
        <v>1889</v>
      </c>
      <c r="E560" s="14" t="s">
        <v>898</v>
      </c>
      <c r="F560" s="14" t="s">
        <v>899</v>
      </c>
      <c r="G560" s="14">
        <v>48500271</v>
      </c>
      <c r="H560" s="14" t="s">
        <v>1890</v>
      </c>
      <c r="I560" s="14" t="s">
        <v>1891</v>
      </c>
      <c r="J560" s="14">
        <v>1</v>
      </c>
      <c r="K560" s="14" t="s">
        <v>67</v>
      </c>
      <c r="L560" s="14" t="s">
        <v>48</v>
      </c>
      <c r="M560" s="14" t="s">
        <v>88</v>
      </c>
      <c r="N560" s="15" t="s">
        <v>89</v>
      </c>
      <c r="O560" s="15">
        <v>0</v>
      </c>
      <c r="P560" s="15">
        <v>0</v>
      </c>
      <c r="Q560" s="15">
        <v>131318</v>
      </c>
      <c r="R560" s="15"/>
      <c r="S560" s="25"/>
      <c r="T560" s="25">
        <v>45883</v>
      </c>
      <c r="U560" s="25">
        <v>45888</v>
      </c>
      <c r="V560" s="15" t="s">
        <v>69</v>
      </c>
      <c r="W560" s="15"/>
      <c r="X560" s="27">
        <v>1281.03</v>
      </c>
      <c r="Y560" s="27">
        <f>Table2[[#This Row],[PREÇO UNITARIO]]*Table2[[#This Row],[QUANTIDADE]]</f>
        <v>1281.03</v>
      </c>
      <c r="Z560" s="15"/>
      <c r="AA560" s="28">
        <f>MONTH(Table2[[#This Row],[DATA PEDIDO HP]])</f>
        <v>8</v>
      </c>
      <c r="AB560" s="32" t="s">
        <v>60</v>
      </c>
      <c r="AC560" s="5">
        <f t="shared" ca="1" si="8"/>
        <v>46232</v>
      </c>
      <c r="AD560" s="331">
        <f ca="1">_xlfn.DAYS(Table2[[#This Row],[HOJE]],Table2[[#This Row],[DATA PEDIDO HP]])</f>
        <v>358</v>
      </c>
      <c r="AE560" s="5" t="s">
        <v>43</v>
      </c>
    </row>
    <row r="561" spans="1:31" ht="14.45" hidden="1">
      <c r="A561" s="269" t="s">
        <v>1892</v>
      </c>
      <c r="B561" s="26">
        <v>45875</v>
      </c>
      <c r="C561" s="26">
        <v>45875</v>
      </c>
      <c r="D561" s="14" t="s">
        <v>1893</v>
      </c>
      <c r="E561" s="14" t="s">
        <v>33</v>
      </c>
      <c r="F561" s="14" t="s">
        <v>34</v>
      </c>
      <c r="G561" s="14">
        <v>50110193</v>
      </c>
      <c r="H561" s="14" t="s">
        <v>1894</v>
      </c>
      <c r="I561" s="14" t="s">
        <v>1895</v>
      </c>
      <c r="J561" s="14">
        <v>1</v>
      </c>
      <c r="K561" s="14" t="s">
        <v>37</v>
      </c>
      <c r="L561" s="14" t="s">
        <v>217</v>
      </c>
      <c r="M561" s="14" t="s">
        <v>88</v>
      </c>
      <c r="N561" s="15" t="s">
        <v>89</v>
      </c>
      <c r="O561" s="15">
        <v>1</v>
      </c>
      <c r="P561" s="15">
        <v>1</v>
      </c>
      <c r="Q561" s="15">
        <v>131747</v>
      </c>
      <c r="R561" s="15"/>
      <c r="S561" s="25"/>
      <c r="T561" s="25">
        <v>45927</v>
      </c>
      <c r="U561" s="25">
        <v>45932</v>
      </c>
      <c r="V561" s="15" t="s">
        <v>1153</v>
      </c>
      <c r="W561" s="15"/>
      <c r="X561" s="27">
        <v>19.600000000000001</v>
      </c>
      <c r="Y561" s="27">
        <f>Table2[[#This Row],[PREÇO UNITARIO]]*Table2[[#This Row],[QUANTIDADE]]</f>
        <v>19.600000000000001</v>
      </c>
      <c r="Z561" s="15"/>
      <c r="AA561" s="28">
        <f>MONTH(Table2[[#This Row],[DATA PEDIDO HP]])</f>
        <v>8</v>
      </c>
      <c r="AB561" s="32" t="s">
        <v>42</v>
      </c>
      <c r="AC561" s="5">
        <f t="shared" ca="1" si="8"/>
        <v>46232</v>
      </c>
      <c r="AD561" s="331">
        <f ca="1">_xlfn.DAYS(Table2[[#This Row],[HOJE]],Table2[[#This Row],[DATA PEDIDO HP]])</f>
        <v>357</v>
      </c>
      <c r="AE561" s="5" t="s">
        <v>43</v>
      </c>
    </row>
    <row r="562" spans="1:31" ht="14.45" hidden="1">
      <c r="A562" s="269" t="s">
        <v>1896</v>
      </c>
      <c r="B562" s="26">
        <v>45876</v>
      </c>
      <c r="C562" s="26">
        <v>45876</v>
      </c>
      <c r="D562" s="14" t="s">
        <v>1897</v>
      </c>
      <c r="E562" s="14" t="s">
        <v>63</v>
      </c>
      <c r="F562" s="14" t="s">
        <v>173</v>
      </c>
      <c r="G562" s="14">
        <v>48300301</v>
      </c>
      <c r="H562" s="14" t="s">
        <v>304</v>
      </c>
      <c r="I562" s="14" t="s">
        <v>1344</v>
      </c>
      <c r="J562" s="14">
        <v>1</v>
      </c>
      <c r="K562" s="14" t="s">
        <v>37</v>
      </c>
      <c r="L562" s="14" t="s">
        <v>412</v>
      </c>
      <c r="M562" s="14" t="s">
        <v>58</v>
      </c>
      <c r="N562" s="15" t="s">
        <v>58</v>
      </c>
      <c r="O562" s="15">
        <v>1</v>
      </c>
      <c r="P562" s="15">
        <v>1</v>
      </c>
      <c r="Q562" s="15">
        <v>129767</v>
      </c>
      <c r="R562" s="15"/>
      <c r="S562" s="25"/>
      <c r="T562" s="25">
        <v>45927</v>
      </c>
      <c r="U562" s="25">
        <v>45932</v>
      </c>
      <c r="V562" s="15" t="s">
        <v>1153</v>
      </c>
      <c r="W562" s="15"/>
      <c r="X562" s="27">
        <v>697.33</v>
      </c>
      <c r="Y562" s="27">
        <f>Table2[[#This Row],[PREÇO UNITARIO]]*Table2[[#This Row],[QUANTIDADE]]</f>
        <v>697.33</v>
      </c>
      <c r="Z562" s="15"/>
      <c r="AA562" s="28">
        <f>MONTH(Table2[[#This Row],[DATA PEDIDO HP]])</f>
        <v>8</v>
      </c>
      <c r="AB562" s="32" t="s">
        <v>60</v>
      </c>
      <c r="AC562" s="5">
        <f t="shared" ca="1" si="8"/>
        <v>46232</v>
      </c>
      <c r="AD562" s="331">
        <f ca="1">_xlfn.DAYS(Table2[[#This Row],[HOJE]],Table2[[#This Row],[DATA PEDIDO HP]])</f>
        <v>356</v>
      </c>
      <c r="AE562" s="5" t="s">
        <v>43</v>
      </c>
    </row>
    <row r="563" spans="1:31" ht="14.45" hidden="1">
      <c r="A563" s="299" t="s">
        <v>1898</v>
      </c>
      <c r="B563" s="26">
        <v>45876</v>
      </c>
      <c r="C563" s="26">
        <v>45876</v>
      </c>
      <c r="D563" s="14" t="s">
        <v>1899</v>
      </c>
      <c r="E563" s="14" t="s">
        <v>63</v>
      </c>
      <c r="F563" s="14" t="s">
        <v>173</v>
      </c>
      <c r="G563" s="14">
        <v>48300301</v>
      </c>
      <c r="H563" s="14" t="s">
        <v>1900</v>
      </c>
      <c r="I563" s="14" t="s">
        <v>1901</v>
      </c>
      <c r="J563" s="14">
        <v>1</v>
      </c>
      <c r="K563" s="14" t="s">
        <v>37</v>
      </c>
      <c r="L563" s="14" t="s">
        <v>412</v>
      </c>
      <c r="M563" s="14" t="s">
        <v>58</v>
      </c>
      <c r="N563" s="15" t="s">
        <v>58</v>
      </c>
      <c r="O563" s="15">
        <v>1</v>
      </c>
      <c r="P563" s="15">
        <v>1</v>
      </c>
      <c r="Q563" s="15">
        <v>129767</v>
      </c>
      <c r="R563" s="15" t="s">
        <v>1902</v>
      </c>
      <c r="S563" s="25"/>
      <c r="T563" s="25">
        <v>45979</v>
      </c>
      <c r="U563" s="25">
        <v>45993</v>
      </c>
      <c r="V563" s="15" t="s">
        <v>1290</v>
      </c>
      <c r="W563" s="15"/>
      <c r="X563" s="27">
        <v>1136.6300000000001</v>
      </c>
      <c r="Y563" s="27">
        <f>Table2[[#This Row],[PREÇO UNITARIO]]*Table2[[#This Row],[QUANTIDADE]]</f>
        <v>1136.6300000000001</v>
      </c>
      <c r="Z563" s="15"/>
      <c r="AA563" s="28">
        <f>MONTH(Table2[[#This Row],[DATA PEDIDO HP]])</f>
        <v>8</v>
      </c>
      <c r="AB563" s="32" t="s">
        <v>60</v>
      </c>
      <c r="AC563" s="5">
        <f t="shared" ca="1" si="8"/>
        <v>46232</v>
      </c>
      <c r="AD563" s="331">
        <f ca="1">_xlfn.DAYS(Table2[[#This Row],[HOJE]],Table2[[#This Row],[DATA PEDIDO HP]])</f>
        <v>356</v>
      </c>
      <c r="AE563" s="5" t="s">
        <v>43</v>
      </c>
    </row>
    <row r="564" spans="1:31" ht="14.45" hidden="1">
      <c r="A564" s="269" t="s">
        <v>1903</v>
      </c>
      <c r="B564" s="26">
        <v>45876</v>
      </c>
      <c r="C564" s="26">
        <v>45876</v>
      </c>
      <c r="D564" s="14" t="s">
        <v>1904</v>
      </c>
      <c r="E564" s="14" t="s">
        <v>63</v>
      </c>
      <c r="F564" s="14" t="s">
        <v>899</v>
      </c>
      <c r="G564" s="14">
        <v>48500783</v>
      </c>
      <c r="H564" s="14" t="s">
        <v>1905</v>
      </c>
      <c r="I564" s="14" t="s">
        <v>855</v>
      </c>
      <c r="J564" s="14">
        <v>1</v>
      </c>
      <c r="K564" s="14" t="s">
        <v>37</v>
      </c>
      <c r="L564" s="14" t="s">
        <v>412</v>
      </c>
      <c r="M564" s="14" t="s">
        <v>88</v>
      </c>
      <c r="N564" s="15" t="s">
        <v>89</v>
      </c>
      <c r="O564" s="15">
        <v>1</v>
      </c>
      <c r="P564" s="15">
        <v>1</v>
      </c>
      <c r="Q564" s="15">
        <v>132144</v>
      </c>
      <c r="R564" s="15"/>
      <c r="S564" s="25"/>
      <c r="T564" s="25">
        <v>45927</v>
      </c>
      <c r="U564" s="25">
        <v>45932</v>
      </c>
      <c r="V564" s="15" t="s">
        <v>1153</v>
      </c>
      <c r="W564" s="15"/>
      <c r="X564" s="27">
        <v>1208.49</v>
      </c>
      <c r="Y564" s="27">
        <f>Table2[[#This Row],[PREÇO UNITARIO]]*Table2[[#This Row],[QUANTIDADE]]</f>
        <v>1208.49</v>
      </c>
      <c r="Z564" s="15"/>
      <c r="AA564" s="28">
        <f>MONTH(Table2[[#This Row],[DATA PEDIDO HP]])</f>
        <v>8</v>
      </c>
      <c r="AB564" s="32" t="s">
        <v>60</v>
      </c>
      <c r="AC564" s="5">
        <f t="shared" ca="1" si="8"/>
        <v>46232</v>
      </c>
      <c r="AD564" s="331">
        <f ca="1">_xlfn.DAYS(Table2[[#This Row],[HOJE]],Table2[[#This Row],[DATA PEDIDO HP]])</f>
        <v>356</v>
      </c>
      <c r="AE564" s="5" t="s">
        <v>43</v>
      </c>
    </row>
    <row r="565" spans="1:31" ht="14.45" hidden="1">
      <c r="A565" s="269" t="s">
        <v>1906</v>
      </c>
      <c r="B565" s="26">
        <v>45877</v>
      </c>
      <c r="C565" s="26">
        <v>45876</v>
      </c>
      <c r="D565" s="14" t="s">
        <v>1907</v>
      </c>
      <c r="E565" s="14" t="s">
        <v>109</v>
      </c>
      <c r="F565" s="14" t="s">
        <v>34</v>
      </c>
      <c r="G565" s="14">
        <v>50110229</v>
      </c>
      <c r="H565" s="14" t="s">
        <v>1908</v>
      </c>
      <c r="I565" s="14" t="s">
        <v>485</v>
      </c>
      <c r="J565" s="14">
        <v>1</v>
      </c>
      <c r="K565" s="14" t="s">
        <v>37</v>
      </c>
      <c r="L565" s="14" t="s">
        <v>48</v>
      </c>
      <c r="M565" s="14" t="s">
        <v>39</v>
      </c>
      <c r="N565" s="14" t="s">
        <v>39</v>
      </c>
      <c r="O565" s="15">
        <v>1</v>
      </c>
      <c r="P565" s="15">
        <v>1</v>
      </c>
      <c r="Q565" s="15">
        <v>132111</v>
      </c>
      <c r="R565" s="15"/>
      <c r="S565" s="25">
        <v>45946</v>
      </c>
      <c r="T565" s="25">
        <v>45927</v>
      </c>
      <c r="U565" s="25">
        <v>45932</v>
      </c>
      <c r="V565" s="15" t="s">
        <v>1153</v>
      </c>
      <c r="W565" s="15"/>
      <c r="X565" s="159">
        <v>125.99</v>
      </c>
      <c r="Y565" s="159">
        <f>Table2[[#This Row],[PREÇO UNITARIO]]*Table2[[#This Row],[QUANTIDADE]]</f>
        <v>125.99</v>
      </c>
      <c r="Z565" s="15"/>
      <c r="AA565" s="28">
        <f>MONTH(Table2[[#This Row],[DATA PEDIDO HP]])</f>
        <v>8</v>
      </c>
      <c r="AB565" s="32" t="s">
        <v>42</v>
      </c>
      <c r="AC565" s="5">
        <f t="shared" ca="1" si="8"/>
        <v>46232</v>
      </c>
      <c r="AD565" s="331">
        <f ca="1">_xlfn.DAYS(Table2[[#This Row],[HOJE]],Table2[[#This Row],[DATA PEDIDO HP]])</f>
        <v>355</v>
      </c>
      <c r="AE565" s="336" t="s">
        <v>43</v>
      </c>
    </row>
    <row r="566" spans="1:31" ht="14.45" hidden="1">
      <c r="A566" s="269" t="s">
        <v>1909</v>
      </c>
      <c r="B566" s="26">
        <v>45877</v>
      </c>
      <c r="C566" s="26">
        <v>45876</v>
      </c>
      <c r="D566" s="14" t="s">
        <v>1910</v>
      </c>
      <c r="E566" s="14" t="s">
        <v>85</v>
      </c>
      <c r="F566" s="14" t="s">
        <v>74</v>
      </c>
      <c r="G566" s="14">
        <v>50000260</v>
      </c>
      <c r="H566" s="14" t="s">
        <v>1911</v>
      </c>
      <c r="I566" s="14" t="s">
        <v>1912</v>
      </c>
      <c r="J566" s="14">
        <v>1</v>
      </c>
      <c r="K566" s="14" t="s">
        <v>37</v>
      </c>
      <c r="L566" s="14" t="s">
        <v>48</v>
      </c>
      <c r="M566" s="14" t="s">
        <v>88</v>
      </c>
      <c r="N566" s="15" t="s">
        <v>89</v>
      </c>
      <c r="O566" s="15">
        <v>0</v>
      </c>
      <c r="P566" s="15">
        <v>1</v>
      </c>
      <c r="Q566" s="15">
        <v>132113</v>
      </c>
      <c r="R566" s="15" t="s">
        <v>1913</v>
      </c>
      <c r="S566" s="25">
        <v>45950</v>
      </c>
      <c r="T566" s="25">
        <v>45927</v>
      </c>
      <c r="U566" s="25">
        <v>45932</v>
      </c>
      <c r="V566" s="15" t="s">
        <v>1153</v>
      </c>
      <c r="W566" s="15"/>
      <c r="X566" s="159">
        <v>950.46</v>
      </c>
      <c r="Y566" s="159">
        <f>Table2[[#This Row],[PREÇO UNITARIO]]*Table2[[#This Row],[QUANTIDADE]]</f>
        <v>950.46</v>
      </c>
      <c r="Z566" s="15"/>
      <c r="AA566" s="28">
        <f>MONTH(Table2[[#This Row],[DATA PEDIDO HP]])</f>
        <v>8</v>
      </c>
      <c r="AB566" s="32" t="s">
        <v>42</v>
      </c>
      <c r="AC566" s="5">
        <f t="shared" ca="1" si="8"/>
        <v>46232</v>
      </c>
      <c r="AD566" s="331">
        <f ca="1">_xlfn.DAYS(Table2[[#This Row],[HOJE]],Table2[[#This Row],[DATA PEDIDO HP]])</f>
        <v>355</v>
      </c>
      <c r="AE566" s="336" t="s">
        <v>43</v>
      </c>
    </row>
    <row r="567" spans="1:31" ht="14.45" hidden="1">
      <c r="A567" s="269" t="s">
        <v>1914</v>
      </c>
      <c r="B567" s="26">
        <v>45877</v>
      </c>
      <c r="C567" s="26">
        <v>45876</v>
      </c>
      <c r="D567" s="14" t="s">
        <v>1915</v>
      </c>
      <c r="E567" s="14" t="s">
        <v>181</v>
      </c>
      <c r="F567" s="14" t="s">
        <v>34</v>
      </c>
      <c r="G567" s="14">
        <v>50110057</v>
      </c>
      <c r="H567" s="14" t="s">
        <v>80</v>
      </c>
      <c r="I567" s="14" t="s">
        <v>81</v>
      </c>
      <c r="J567" s="14">
        <v>1</v>
      </c>
      <c r="K567" s="14" t="s">
        <v>37</v>
      </c>
      <c r="L567" s="14" t="s">
        <v>48</v>
      </c>
      <c r="M567" s="14" t="s">
        <v>88</v>
      </c>
      <c r="N567" s="15" t="s">
        <v>89</v>
      </c>
      <c r="O567" s="15">
        <v>1</v>
      </c>
      <c r="P567" s="15">
        <v>1</v>
      </c>
      <c r="Q567" s="15">
        <v>132044</v>
      </c>
      <c r="R567" s="15"/>
      <c r="S567" s="25"/>
      <c r="T567" s="25">
        <v>45927</v>
      </c>
      <c r="U567" s="25">
        <v>45932</v>
      </c>
      <c r="V567" s="15" t="s">
        <v>1153</v>
      </c>
      <c r="W567" s="15"/>
      <c r="X567" s="27">
        <v>49.81</v>
      </c>
      <c r="Y567" s="27">
        <f>Table2[[#This Row],[PREÇO UNITARIO]]*Table2[[#This Row],[QUANTIDADE]]</f>
        <v>49.81</v>
      </c>
      <c r="Z567" s="15"/>
      <c r="AA567" s="28">
        <f>MONTH(Table2[[#This Row],[DATA PEDIDO HP]])</f>
        <v>8</v>
      </c>
      <c r="AB567" s="32" t="s">
        <v>42</v>
      </c>
      <c r="AC567" s="5">
        <f t="shared" ca="1" si="8"/>
        <v>46232</v>
      </c>
      <c r="AD567" s="331">
        <f ca="1">_xlfn.DAYS(Table2[[#This Row],[HOJE]],Table2[[#This Row],[DATA PEDIDO HP]])</f>
        <v>355</v>
      </c>
      <c r="AE567" s="5" t="s">
        <v>43</v>
      </c>
    </row>
    <row r="568" spans="1:31" ht="14.45" hidden="1">
      <c r="A568" s="269" t="s">
        <v>1914</v>
      </c>
      <c r="B568" s="26">
        <v>45877</v>
      </c>
      <c r="C568" s="26">
        <v>45876</v>
      </c>
      <c r="D568" s="14" t="s">
        <v>1915</v>
      </c>
      <c r="E568" s="14" t="s">
        <v>181</v>
      </c>
      <c r="F568" s="14" t="s">
        <v>34</v>
      </c>
      <c r="G568" s="14">
        <v>50110057</v>
      </c>
      <c r="H568" s="14" t="s">
        <v>1916</v>
      </c>
      <c r="I568" s="14" t="s">
        <v>1917</v>
      </c>
      <c r="J568" s="14">
        <v>1</v>
      </c>
      <c r="K568" s="14" t="s">
        <v>37</v>
      </c>
      <c r="L568" s="14" t="s">
        <v>48</v>
      </c>
      <c r="M568" s="14" t="s">
        <v>88</v>
      </c>
      <c r="N568" s="15" t="s">
        <v>89</v>
      </c>
      <c r="O568" s="15">
        <v>1</v>
      </c>
      <c r="P568" s="15">
        <v>1</v>
      </c>
      <c r="Q568" s="15">
        <v>132044</v>
      </c>
      <c r="R568" s="15"/>
      <c r="S568" s="25"/>
      <c r="T568" s="25">
        <v>45927</v>
      </c>
      <c r="U568" s="25">
        <v>45932</v>
      </c>
      <c r="V568" s="15" t="s">
        <v>1153</v>
      </c>
      <c r="W568" s="15"/>
      <c r="X568" s="27">
        <v>381.36</v>
      </c>
      <c r="Y568" s="27">
        <f>Table2[[#This Row],[PREÇO UNITARIO]]*Table2[[#This Row],[QUANTIDADE]]</f>
        <v>381.36</v>
      </c>
      <c r="Z568" s="15"/>
      <c r="AA568" s="28">
        <f>MONTH(Table2[[#This Row],[DATA PEDIDO HP]])</f>
        <v>8</v>
      </c>
      <c r="AB568" s="32" t="s">
        <v>42</v>
      </c>
      <c r="AC568" s="5">
        <f t="shared" ca="1" si="8"/>
        <v>46232</v>
      </c>
      <c r="AD568" s="331">
        <f ca="1">_xlfn.DAYS(Table2[[#This Row],[HOJE]],Table2[[#This Row],[DATA PEDIDO HP]])</f>
        <v>355</v>
      </c>
      <c r="AE568" s="5" t="s">
        <v>43</v>
      </c>
    </row>
    <row r="569" spans="1:31" ht="14.45" hidden="1">
      <c r="A569" s="269" t="s">
        <v>1918</v>
      </c>
      <c r="B569" s="26">
        <v>45877</v>
      </c>
      <c r="C569" s="26">
        <v>45876</v>
      </c>
      <c r="D569" s="14" t="s">
        <v>1919</v>
      </c>
      <c r="E569" s="14" t="s">
        <v>181</v>
      </c>
      <c r="F569" s="14" t="s">
        <v>34</v>
      </c>
      <c r="G569" s="14">
        <v>50110057</v>
      </c>
      <c r="H569" s="14" t="s">
        <v>1920</v>
      </c>
      <c r="I569" s="14" t="s">
        <v>1921</v>
      </c>
      <c r="J569" s="14">
        <v>1</v>
      </c>
      <c r="K569" s="14" t="s">
        <v>37</v>
      </c>
      <c r="L569" s="14" t="s">
        <v>48</v>
      </c>
      <c r="M569" s="14" t="s">
        <v>88</v>
      </c>
      <c r="N569" s="15" t="s">
        <v>89</v>
      </c>
      <c r="O569" s="15">
        <v>1</v>
      </c>
      <c r="P569" s="15">
        <v>1</v>
      </c>
      <c r="Q569" s="15">
        <v>132209</v>
      </c>
      <c r="R569" s="15" t="s">
        <v>340</v>
      </c>
      <c r="S569" s="25"/>
      <c r="T569" s="25">
        <v>45927</v>
      </c>
      <c r="U569" s="25">
        <v>45932</v>
      </c>
      <c r="V569" s="15" t="s">
        <v>1153</v>
      </c>
      <c r="W569" s="15"/>
      <c r="X569" s="27">
        <v>37.229999999999997</v>
      </c>
      <c r="Y569" s="27">
        <f>Table2[[#This Row],[PREÇO UNITARIO]]*Table2[[#This Row],[QUANTIDADE]]</f>
        <v>37.229999999999997</v>
      </c>
      <c r="Z569" s="15"/>
      <c r="AA569" s="28">
        <f>MONTH(Table2[[#This Row],[DATA PEDIDO HP]])</f>
        <v>8</v>
      </c>
      <c r="AB569" s="32" t="s">
        <v>42</v>
      </c>
      <c r="AC569" s="5">
        <f t="shared" ca="1" si="8"/>
        <v>46232</v>
      </c>
      <c r="AD569" s="331">
        <f ca="1">_xlfn.DAYS(Table2[[#This Row],[HOJE]],Table2[[#This Row],[DATA PEDIDO HP]])</f>
        <v>355</v>
      </c>
      <c r="AE569" s="5" t="s">
        <v>43</v>
      </c>
    </row>
    <row r="570" spans="1:31" ht="14.45" hidden="1">
      <c r="A570" s="269" t="s">
        <v>1922</v>
      </c>
      <c r="B570" s="26">
        <v>45877</v>
      </c>
      <c r="C570" s="26">
        <v>45877</v>
      </c>
      <c r="D570" s="14" t="s">
        <v>1923</v>
      </c>
      <c r="E570" s="14" t="s">
        <v>118</v>
      </c>
      <c r="F570" s="14" t="s">
        <v>64</v>
      </c>
      <c r="G570" s="14">
        <v>48000044</v>
      </c>
      <c r="H570" s="14" t="s">
        <v>1000</v>
      </c>
      <c r="I570" s="14" t="s">
        <v>1001</v>
      </c>
      <c r="J570" s="14">
        <v>1</v>
      </c>
      <c r="K570" s="14" t="s">
        <v>37</v>
      </c>
      <c r="L570" s="14" t="s">
        <v>96</v>
      </c>
      <c r="M570" s="14" t="s">
        <v>88</v>
      </c>
      <c r="N570" s="15" t="s">
        <v>89</v>
      </c>
      <c r="O570" s="15">
        <v>1</v>
      </c>
      <c r="P570" s="15">
        <v>1</v>
      </c>
      <c r="Q570" s="15">
        <v>132441</v>
      </c>
      <c r="R570" s="15"/>
      <c r="S570" s="25"/>
      <c r="T570" s="25">
        <v>45927</v>
      </c>
      <c r="U570" s="25">
        <v>45932</v>
      </c>
      <c r="V570" s="15" t="s">
        <v>1153</v>
      </c>
      <c r="W570" s="15"/>
      <c r="X570" s="27">
        <v>129.01</v>
      </c>
      <c r="Y570" s="27">
        <f>Table2[[#This Row],[PREÇO UNITARIO]]*Table2[[#This Row],[QUANTIDADE]]</f>
        <v>129.01</v>
      </c>
      <c r="Z570" s="15"/>
      <c r="AA570" s="28">
        <f>MONTH(Table2[[#This Row],[DATA PEDIDO HP]])</f>
        <v>8</v>
      </c>
      <c r="AB570" s="32" t="s">
        <v>60</v>
      </c>
      <c r="AC570" s="5">
        <f t="shared" ca="1" si="8"/>
        <v>46232</v>
      </c>
      <c r="AD570" s="331">
        <f ca="1">_xlfn.DAYS(Table2[[#This Row],[HOJE]],Table2[[#This Row],[DATA PEDIDO HP]])</f>
        <v>355</v>
      </c>
      <c r="AE570" s="5" t="s">
        <v>43</v>
      </c>
    </row>
    <row r="571" spans="1:31" ht="14.45" hidden="1">
      <c r="A571" s="269" t="s">
        <v>1924</v>
      </c>
      <c r="B571" s="26">
        <v>45877</v>
      </c>
      <c r="C571" s="26">
        <v>45877</v>
      </c>
      <c r="D571" s="14" t="s">
        <v>1925</v>
      </c>
      <c r="E571" s="14" t="s">
        <v>181</v>
      </c>
      <c r="F571" s="14" t="s">
        <v>34</v>
      </c>
      <c r="G571" s="14">
        <v>50110057</v>
      </c>
      <c r="H571" s="14" t="s">
        <v>1926</v>
      </c>
      <c r="I571" s="14" t="s">
        <v>1927</v>
      </c>
      <c r="J571" s="14">
        <v>1</v>
      </c>
      <c r="K571" s="14" t="s">
        <v>67</v>
      </c>
      <c r="L571" s="14" t="s">
        <v>38</v>
      </c>
      <c r="M571" s="14" t="s">
        <v>88</v>
      </c>
      <c r="N571" s="15" t="s">
        <v>89</v>
      </c>
      <c r="O571" s="15">
        <v>0</v>
      </c>
      <c r="P571" s="15">
        <v>0</v>
      </c>
      <c r="Q571" s="15">
        <v>132341</v>
      </c>
      <c r="R571" s="15"/>
      <c r="S571" s="25">
        <v>45950</v>
      </c>
      <c r="T571" s="25">
        <v>45927</v>
      </c>
      <c r="U571" s="25">
        <v>45932</v>
      </c>
      <c r="V571" s="15" t="s">
        <v>1153</v>
      </c>
      <c r="W571" s="15"/>
      <c r="X571" s="159">
        <v>568.32000000000005</v>
      </c>
      <c r="Y571" s="159">
        <f>Table2[[#This Row],[PREÇO UNITARIO]]*Table2[[#This Row],[QUANTIDADE]]</f>
        <v>568.32000000000005</v>
      </c>
      <c r="Z571" s="15"/>
      <c r="AA571" s="28">
        <f>MONTH(Table2[[#This Row],[DATA PEDIDO HP]])</f>
        <v>8</v>
      </c>
      <c r="AB571" s="32" t="s">
        <v>42</v>
      </c>
      <c r="AC571" s="5">
        <f t="shared" ca="1" si="8"/>
        <v>46232</v>
      </c>
      <c r="AD571" s="331">
        <f ca="1">_xlfn.DAYS(Table2[[#This Row],[HOJE]],Table2[[#This Row],[DATA PEDIDO HP]])</f>
        <v>355</v>
      </c>
      <c r="AE571" s="336" t="s">
        <v>43</v>
      </c>
    </row>
    <row r="572" spans="1:31" ht="14.45" hidden="1">
      <c r="A572" s="269" t="s">
        <v>1928</v>
      </c>
      <c r="B572" s="26">
        <v>45877</v>
      </c>
      <c r="C572" s="26">
        <v>45877</v>
      </c>
      <c r="D572" s="14" t="s">
        <v>1929</v>
      </c>
      <c r="E572" s="14" t="s">
        <v>202</v>
      </c>
      <c r="F572" s="14" t="s">
        <v>203</v>
      </c>
      <c r="G572" s="14">
        <v>60002072</v>
      </c>
      <c r="H572" s="14" t="s">
        <v>1331</v>
      </c>
      <c r="I572" s="14" t="s">
        <v>1332</v>
      </c>
      <c r="J572" s="14">
        <v>1</v>
      </c>
      <c r="K572" s="14" t="s">
        <v>37</v>
      </c>
      <c r="L572" s="14" t="s">
        <v>96</v>
      </c>
      <c r="M572" s="14" t="s">
        <v>88</v>
      </c>
      <c r="N572" s="15" t="s">
        <v>89</v>
      </c>
      <c r="O572" s="15">
        <v>1</v>
      </c>
      <c r="P572" s="15">
        <v>1</v>
      </c>
      <c r="Q572" s="15">
        <v>132408</v>
      </c>
      <c r="R572" s="15"/>
      <c r="S572" s="25">
        <v>45937</v>
      </c>
      <c r="T572" s="25">
        <v>45927</v>
      </c>
      <c r="U572" s="25">
        <v>45932</v>
      </c>
      <c r="V572" s="15" t="s">
        <v>1153</v>
      </c>
      <c r="W572" s="15"/>
      <c r="X572" s="159">
        <v>886.36</v>
      </c>
      <c r="Y572" s="159">
        <f>Table2[[#This Row],[PREÇO UNITARIO]]*Table2[[#This Row],[QUANTIDADE]]</f>
        <v>886.36</v>
      </c>
      <c r="Z572" s="15"/>
      <c r="AA572" s="28">
        <f>MONTH(Table2[[#This Row],[DATA PEDIDO HP]])</f>
        <v>8</v>
      </c>
      <c r="AB572" s="32" t="s">
        <v>60</v>
      </c>
      <c r="AC572" s="5">
        <f t="shared" ca="1" si="8"/>
        <v>46232</v>
      </c>
      <c r="AD572" s="331">
        <f ca="1">_xlfn.DAYS(Table2[[#This Row],[HOJE]],Table2[[#This Row],[DATA PEDIDO HP]])</f>
        <v>355</v>
      </c>
      <c r="AE572" s="336" t="s">
        <v>43</v>
      </c>
    </row>
    <row r="573" spans="1:31" ht="14.45" hidden="1">
      <c r="A573" s="274" t="s">
        <v>1930</v>
      </c>
      <c r="B573" s="275">
        <v>45877</v>
      </c>
      <c r="C573" s="275">
        <v>45877</v>
      </c>
      <c r="D573" s="276" t="s">
        <v>1931</v>
      </c>
      <c r="E573" s="276" t="s">
        <v>1837</v>
      </c>
      <c r="F573" s="14" t="s">
        <v>34</v>
      </c>
      <c r="G573" s="276">
        <v>50200095</v>
      </c>
      <c r="H573" s="276" t="s">
        <v>1932</v>
      </c>
      <c r="I573" s="276" t="s">
        <v>1933</v>
      </c>
      <c r="J573" s="14">
        <v>1</v>
      </c>
      <c r="K573" s="14" t="s">
        <v>37</v>
      </c>
      <c r="L573" s="14" t="s">
        <v>96</v>
      </c>
      <c r="M573" s="14" t="s">
        <v>39</v>
      </c>
      <c r="N573" s="14" t="s">
        <v>39</v>
      </c>
      <c r="O573" s="15">
        <v>1</v>
      </c>
      <c r="P573" s="15">
        <v>1</v>
      </c>
      <c r="Q573" s="15">
        <v>132671</v>
      </c>
      <c r="R573" s="15"/>
      <c r="S573" s="25">
        <v>45950</v>
      </c>
      <c r="T573" s="25">
        <v>45927</v>
      </c>
      <c r="U573" s="25">
        <v>45932</v>
      </c>
      <c r="V573" s="15" t="s">
        <v>1153</v>
      </c>
      <c r="W573" s="15"/>
      <c r="X573" s="159">
        <v>279.47000000000003</v>
      </c>
      <c r="Y573" s="159">
        <f>Table2[[#This Row],[PREÇO UNITARIO]]*Table2[[#This Row],[QUANTIDADE]]</f>
        <v>279.47000000000003</v>
      </c>
      <c r="Z573" s="15"/>
      <c r="AA573" s="28">
        <f>MONTH(Table2[[#This Row],[DATA PEDIDO HP]])</f>
        <v>8</v>
      </c>
      <c r="AB573" s="32" t="s">
        <v>60</v>
      </c>
      <c r="AC573" s="5">
        <f t="shared" ca="1" si="8"/>
        <v>46232</v>
      </c>
      <c r="AD573" s="331">
        <f ca="1">_xlfn.DAYS(Table2[[#This Row],[HOJE]],Table2[[#This Row],[DATA PEDIDO HP]])</f>
        <v>355</v>
      </c>
      <c r="AE573" s="336" t="s">
        <v>43</v>
      </c>
    </row>
    <row r="574" spans="1:31" ht="14.45" hidden="1">
      <c r="A574" s="269" t="s">
        <v>1934</v>
      </c>
      <c r="B574" s="26">
        <v>45877</v>
      </c>
      <c r="C574" s="26">
        <v>45877</v>
      </c>
      <c r="D574" s="14" t="s">
        <v>1935</v>
      </c>
      <c r="E574" s="14" t="s">
        <v>79</v>
      </c>
      <c r="F574" s="14" t="s">
        <v>74</v>
      </c>
      <c r="G574" s="14">
        <v>50000530</v>
      </c>
      <c r="H574" s="14" t="s">
        <v>1936</v>
      </c>
      <c r="I574" s="14" t="s">
        <v>1937</v>
      </c>
      <c r="J574" s="14">
        <v>1</v>
      </c>
      <c r="K574" s="14" t="s">
        <v>37</v>
      </c>
      <c r="L574" s="14" t="s">
        <v>48</v>
      </c>
      <c r="M574" s="14" t="s">
        <v>88</v>
      </c>
      <c r="N574" s="15" t="s">
        <v>89</v>
      </c>
      <c r="O574" s="15">
        <v>1</v>
      </c>
      <c r="P574" s="15">
        <v>1</v>
      </c>
      <c r="Q574" s="15">
        <v>130988</v>
      </c>
      <c r="R574" s="15" t="s">
        <v>1306</v>
      </c>
      <c r="S574" s="25"/>
      <c r="T574" s="25">
        <v>45927</v>
      </c>
      <c r="U574" s="25">
        <v>45932</v>
      </c>
      <c r="V574" s="15" t="s">
        <v>1153</v>
      </c>
      <c r="W574" s="15"/>
      <c r="X574" s="27">
        <v>73.489999999999995</v>
      </c>
      <c r="Y574" s="27">
        <f>Table2[[#This Row],[PREÇO UNITARIO]]*Table2[[#This Row],[QUANTIDADE]]</f>
        <v>73.489999999999995</v>
      </c>
      <c r="Z574" s="15"/>
      <c r="AA574" s="28">
        <f>MONTH(Table2[[#This Row],[DATA PEDIDO HP]])</f>
        <v>8</v>
      </c>
      <c r="AB574" s="32" t="s">
        <v>60</v>
      </c>
      <c r="AC574" s="5">
        <f t="shared" ca="1" si="8"/>
        <v>46232</v>
      </c>
      <c r="AD574" s="331">
        <f ca="1">_xlfn.DAYS(Table2[[#This Row],[HOJE]],Table2[[#This Row],[DATA PEDIDO HP]])</f>
        <v>355</v>
      </c>
      <c r="AE574" s="5" t="s">
        <v>43</v>
      </c>
    </row>
    <row r="575" spans="1:31" ht="14.45" hidden="1">
      <c r="A575" s="269" t="s">
        <v>1938</v>
      </c>
      <c r="B575" s="26">
        <v>45880</v>
      </c>
      <c r="C575" s="26">
        <v>45877</v>
      </c>
      <c r="D575" s="14" t="s">
        <v>1929</v>
      </c>
      <c r="E575" s="14" t="s">
        <v>202</v>
      </c>
      <c r="F575" s="14" t="s">
        <v>203</v>
      </c>
      <c r="G575" s="14">
        <v>60002072</v>
      </c>
      <c r="H575" s="14" t="s">
        <v>1331</v>
      </c>
      <c r="I575" s="14" t="s">
        <v>1332</v>
      </c>
      <c r="J575" s="14">
        <v>1</v>
      </c>
      <c r="K575" s="14" t="s">
        <v>37</v>
      </c>
      <c r="L575" s="14" t="s">
        <v>96</v>
      </c>
      <c r="M575" s="14" t="s">
        <v>88</v>
      </c>
      <c r="N575" s="15" t="s">
        <v>89</v>
      </c>
      <c r="O575" s="15">
        <v>1</v>
      </c>
      <c r="P575" s="15">
        <v>1</v>
      </c>
      <c r="Q575" s="15">
        <v>132408</v>
      </c>
      <c r="R575" s="15"/>
      <c r="S575" s="25"/>
      <c r="T575" s="25">
        <v>45918</v>
      </c>
      <c r="U575" s="25">
        <v>45924</v>
      </c>
      <c r="V575" s="15" t="s">
        <v>1939</v>
      </c>
      <c r="W575" s="15"/>
      <c r="X575" s="27">
        <v>886.36</v>
      </c>
      <c r="Y575" s="27">
        <f>Table2[[#This Row],[PREÇO UNITARIO]]*Table2[[#This Row],[QUANTIDADE]]</f>
        <v>886.36</v>
      </c>
      <c r="Z575" s="15"/>
      <c r="AA575" s="28">
        <f>MONTH(Table2[[#This Row],[DATA PEDIDO HP]])</f>
        <v>8</v>
      </c>
      <c r="AB575" s="32" t="s">
        <v>60</v>
      </c>
      <c r="AC575" s="5">
        <f t="shared" ca="1" si="8"/>
        <v>46232</v>
      </c>
      <c r="AD575" s="331">
        <f ca="1">_xlfn.DAYS(Table2[[#This Row],[HOJE]],Table2[[#This Row],[DATA PEDIDO HP]])</f>
        <v>352</v>
      </c>
      <c r="AE575" s="5" t="s">
        <v>43</v>
      </c>
    </row>
    <row r="576" spans="1:31" ht="14.45" hidden="1">
      <c r="A576" s="299" t="s">
        <v>1940</v>
      </c>
      <c r="B576" s="26">
        <v>45880</v>
      </c>
      <c r="C576" s="26">
        <v>45880</v>
      </c>
      <c r="D576" s="14" t="s">
        <v>1941</v>
      </c>
      <c r="E576" s="14" t="s">
        <v>85</v>
      </c>
      <c r="F576" s="14" t="s">
        <v>74</v>
      </c>
      <c r="G576" s="14">
        <v>50000260</v>
      </c>
      <c r="H576" s="14" t="s">
        <v>597</v>
      </c>
      <c r="I576" s="14" t="s">
        <v>1657</v>
      </c>
      <c r="J576" s="14">
        <v>1</v>
      </c>
      <c r="K576" s="14" t="s">
        <v>37</v>
      </c>
      <c r="L576" s="14" t="s">
        <v>48</v>
      </c>
      <c r="M576" s="14" t="s">
        <v>88</v>
      </c>
      <c r="N576" s="15" t="s">
        <v>89</v>
      </c>
      <c r="O576" s="15">
        <v>1</v>
      </c>
      <c r="P576" s="15">
        <v>1</v>
      </c>
      <c r="Q576" s="15">
        <v>131483</v>
      </c>
      <c r="R576" s="15"/>
      <c r="S576" s="25">
        <v>46002</v>
      </c>
      <c r="T576" s="25">
        <v>45979</v>
      </c>
      <c r="U576" s="25">
        <v>45993</v>
      </c>
      <c r="V576" s="15" t="s">
        <v>1290</v>
      </c>
      <c r="W576" s="15"/>
      <c r="X576" s="27">
        <v>720.36</v>
      </c>
      <c r="Y576" s="27">
        <f>Table2[[#This Row],[PREÇO UNITARIO]]*Table2[[#This Row],[QUANTIDADE]]</f>
        <v>720.36</v>
      </c>
      <c r="Z576" s="15"/>
      <c r="AA576" s="28">
        <f>MONTH(Table2[[#This Row],[DATA PEDIDO HP]])</f>
        <v>8</v>
      </c>
      <c r="AB576" s="32" t="s">
        <v>42</v>
      </c>
      <c r="AC576" s="5">
        <f t="shared" ca="1" si="8"/>
        <v>46232</v>
      </c>
      <c r="AD576" s="331">
        <f ca="1">_xlfn.DAYS(Table2[[#This Row],[HOJE]],Table2[[#This Row],[DATA PEDIDO HP]])</f>
        <v>352</v>
      </c>
      <c r="AE576" s="336" t="s">
        <v>43</v>
      </c>
    </row>
    <row r="577" spans="1:31" ht="14.45" hidden="1">
      <c r="A577" s="269" t="s">
        <v>1940</v>
      </c>
      <c r="B577" s="26">
        <v>45880</v>
      </c>
      <c r="C577" s="26">
        <v>45880</v>
      </c>
      <c r="D577" s="14" t="s">
        <v>1941</v>
      </c>
      <c r="E577" s="14" t="s">
        <v>85</v>
      </c>
      <c r="F577" s="14" t="s">
        <v>74</v>
      </c>
      <c r="G577" s="14">
        <v>50000260</v>
      </c>
      <c r="H577" s="14" t="s">
        <v>1298</v>
      </c>
      <c r="I577" s="14" t="s">
        <v>1299</v>
      </c>
      <c r="J577" s="14">
        <v>1</v>
      </c>
      <c r="K577" s="14" t="s">
        <v>37</v>
      </c>
      <c r="L577" s="14" t="s">
        <v>48</v>
      </c>
      <c r="M577" s="14" t="s">
        <v>88</v>
      </c>
      <c r="N577" s="15" t="s">
        <v>89</v>
      </c>
      <c r="O577" s="15">
        <v>1</v>
      </c>
      <c r="P577" s="15">
        <v>1</v>
      </c>
      <c r="Q577" s="15">
        <v>131483</v>
      </c>
      <c r="R577" s="15"/>
      <c r="S577" s="25"/>
      <c r="T577" s="25">
        <v>45927</v>
      </c>
      <c r="U577" s="25">
        <v>45932</v>
      </c>
      <c r="V577" s="15" t="s">
        <v>1153</v>
      </c>
      <c r="W577" s="15"/>
      <c r="X577" s="27">
        <v>260.14999999999998</v>
      </c>
      <c r="Y577" s="27">
        <f>Table2[[#This Row],[PREÇO UNITARIO]]*Table2[[#This Row],[QUANTIDADE]]</f>
        <v>260.14999999999998</v>
      </c>
      <c r="Z577" s="15"/>
      <c r="AA577" s="28">
        <f>MONTH(Table2[[#This Row],[DATA PEDIDO HP]])</f>
        <v>8</v>
      </c>
      <c r="AB577" s="32" t="s">
        <v>42</v>
      </c>
      <c r="AC577" s="5">
        <f t="shared" ca="1" si="8"/>
        <v>46232</v>
      </c>
      <c r="AD577" s="331">
        <f ca="1">_xlfn.DAYS(Table2[[#This Row],[HOJE]],Table2[[#This Row],[DATA PEDIDO HP]])</f>
        <v>352</v>
      </c>
      <c r="AE577" s="5" t="s">
        <v>43</v>
      </c>
    </row>
    <row r="578" spans="1:31" ht="14.45" hidden="1">
      <c r="A578" s="269" t="s">
        <v>1942</v>
      </c>
      <c r="B578" s="26">
        <v>45880</v>
      </c>
      <c r="C578" s="26">
        <v>45880</v>
      </c>
      <c r="D578" s="14" t="s">
        <v>1943</v>
      </c>
      <c r="E578" s="14" t="s">
        <v>109</v>
      </c>
      <c r="F578" s="14" t="s">
        <v>34</v>
      </c>
      <c r="G578" s="14">
        <v>50110229</v>
      </c>
      <c r="H578" s="14" t="s">
        <v>879</v>
      </c>
      <c r="I578" s="14" t="s">
        <v>1126</v>
      </c>
      <c r="J578" s="14">
        <v>2</v>
      </c>
      <c r="K578" s="14" t="s">
        <v>37</v>
      </c>
      <c r="L578" s="14" t="s">
        <v>48</v>
      </c>
      <c r="M578" s="14" t="s">
        <v>88</v>
      </c>
      <c r="N578" s="15" t="s">
        <v>89</v>
      </c>
      <c r="O578" s="15">
        <v>2</v>
      </c>
      <c r="P578" s="15">
        <v>2</v>
      </c>
      <c r="Q578" s="15">
        <v>132869</v>
      </c>
      <c r="R578" s="15"/>
      <c r="S578" s="25"/>
      <c r="T578" s="25">
        <v>45927</v>
      </c>
      <c r="U578" s="25">
        <v>45932</v>
      </c>
      <c r="V578" s="15" t="s">
        <v>1153</v>
      </c>
      <c r="W578" s="15"/>
      <c r="X578" s="27">
        <v>317.92</v>
      </c>
      <c r="Y578" s="27">
        <f>Table2[[#This Row],[PREÇO UNITARIO]]*Table2[[#This Row],[QUANTIDADE]]</f>
        <v>635.84</v>
      </c>
      <c r="Z578" s="15"/>
      <c r="AA578" s="28">
        <f>MONTH(Table2[[#This Row],[DATA PEDIDO HP]])</f>
        <v>8</v>
      </c>
      <c r="AB578" s="32" t="s">
        <v>42</v>
      </c>
      <c r="AC578" s="5">
        <f t="shared" ref="AC578:AC641" ca="1" si="9">TODAY()</f>
        <v>46232</v>
      </c>
      <c r="AD578" s="331">
        <f ca="1">_xlfn.DAYS(Table2[[#This Row],[HOJE]],Table2[[#This Row],[DATA PEDIDO HP]])</f>
        <v>352</v>
      </c>
      <c r="AE578" s="5" t="s">
        <v>43</v>
      </c>
    </row>
    <row r="579" spans="1:31" ht="14.45" hidden="1">
      <c r="A579" s="269" t="s">
        <v>1944</v>
      </c>
      <c r="B579" s="26">
        <v>45880</v>
      </c>
      <c r="C579" s="26">
        <v>45880</v>
      </c>
      <c r="D579" s="14" t="s">
        <v>1945</v>
      </c>
      <c r="E579" s="14" t="s">
        <v>445</v>
      </c>
      <c r="F579" s="14" t="s">
        <v>403</v>
      </c>
      <c r="G579" s="14">
        <v>50300097</v>
      </c>
      <c r="H579" s="14" t="s">
        <v>1946</v>
      </c>
      <c r="I579" s="14" t="s">
        <v>1947</v>
      </c>
      <c r="J579" s="14">
        <v>1</v>
      </c>
      <c r="K579" s="14" t="s">
        <v>67</v>
      </c>
      <c r="L579" s="14" t="s">
        <v>68</v>
      </c>
      <c r="M579" s="14" t="s">
        <v>88</v>
      </c>
      <c r="N579" s="15" t="s">
        <v>89</v>
      </c>
      <c r="O579" s="15">
        <v>0</v>
      </c>
      <c r="P579" s="15">
        <v>0</v>
      </c>
      <c r="Q579" s="15">
        <v>133265</v>
      </c>
      <c r="R579" s="15"/>
      <c r="S579" s="25"/>
      <c r="T579" s="25">
        <v>45886</v>
      </c>
      <c r="U579" s="25">
        <v>45890</v>
      </c>
      <c r="V579" s="15" t="s">
        <v>69</v>
      </c>
      <c r="W579" s="15"/>
      <c r="X579" s="27">
        <v>1287.58</v>
      </c>
      <c r="Y579" s="27">
        <f>Table2[[#This Row],[PREÇO UNITARIO]]*Table2[[#This Row],[QUANTIDADE]]</f>
        <v>1287.58</v>
      </c>
      <c r="Z579" s="15"/>
      <c r="AA579" s="28">
        <f>MONTH(Table2[[#This Row],[DATA PEDIDO HP]])</f>
        <v>8</v>
      </c>
      <c r="AB579" s="32" t="s">
        <v>60</v>
      </c>
      <c r="AC579" s="5">
        <f t="shared" ca="1" si="9"/>
        <v>46232</v>
      </c>
      <c r="AD579" s="331">
        <f ca="1">_xlfn.DAYS(Table2[[#This Row],[HOJE]],Table2[[#This Row],[DATA PEDIDO HP]])</f>
        <v>352</v>
      </c>
      <c r="AE579" s="5" t="s">
        <v>43</v>
      </c>
    </row>
    <row r="580" spans="1:31" ht="14.45" hidden="1">
      <c r="A580" s="269" t="s">
        <v>1948</v>
      </c>
      <c r="B580" s="26">
        <v>45881</v>
      </c>
      <c r="C580" s="26">
        <v>45880</v>
      </c>
      <c r="D580" s="14"/>
      <c r="E580" s="14" t="s">
        <v>381</v>
      </c>
      <c r="F580" s="14"/>
      <c r="G580" s="14"/>
      <c r="H580" s="14"/>
      <c r="I580" s="14"/>
      <c r="J580" s="14">
        <v>2</v>
      </c>
      <c r="K580" s="14"/>
      <c r="L580" s="14"/>
      <c r="M580" s="15" t="s">
        <v>384</v>
      </c>
      <c r="N580" s="15" t="s">
        <v>384</v>
      </c>
      <c r="O580" s="15">
        <v>2</v>
      </c>
      <c r="P580" s="15">
        <v>2</v>
      </c>
      <c r="Q580" s="15"/>
      <c r="R580" s="15"/>
      <c r="S580" s="25"/>
      <c r="T580" s="25">
        <v>45927</v>
      </c>
      <c r="U580" s="25">
        <v>45932</v>
      </c>
      <c r="V580" s="15" t="s">
        <v>1153</v>
      </c>
      <c r="W580" s="15"/>
      <c r="X580" s="159">
        <v>290.7</v>
      </c>
      <c r="Y580" s="159"/>
      <c r="Z580" s="14" t="s">
        <v>1949</v>
      </c>
      <c r="AA580" s="28">
        <f>MONTH(Table2[[#This Row],[DATA PEDIDO HP]])</f>
        <v>8</v>
      </c>
      <c r="AB580" s="32"/>
      <c r="AC580" s="5">
        <f t="shared" ca="1" si="9"/>
        <v>46232</v>
      </c>
      <c r="AD580" s="331">
        <f ca="1">_xlfn.DAYS(Table2[[#This Row],[HOJE]],Table2[[#This Row],[DATA PEDIDO HP]])</f>
        <v>351</v>
      </c>
      <c r="AE580" s="5" t="s">
        <v>43</v>
      </c>
    </row>
    <row r="581" spans="1:31" ht="14.45" hidden="1">
      <c r="A581" s="269" t="s">
        <v>1950</v>
      </c>
      <c r="B581" s="26">
        <v>45881</v>
      </c>
      <c r="C581" s="26">
        <v>45880</v>
      </c>
      <c r="D581" s="14" t="s">
        <v>1951</v>
      </c>
      <c r="E581" s="14" t="s">
        <v>1106</v>
      </c>
      <c r="F581" s="14" t="s">
        <v>1107</v>
      </c>
      <c r="G581" s="14">
        <v>51100110</v>
      </c>
      <c r="H581" s="14" t="s">
        <v>1952</v>
      </c>
      <c r="I581" s="14" t="s">
        <v>1953</v>
      </c>
      <c r="J581" s="14">
        <v>1</v>
      </c>
      <c r="K581" s="14" t="s">
        <v>37</v>
      </c>
      <c r="L581" s="14" t="s">
        <v>96</v>
      </c>
      <c r="M581" s="14" t="s">
        <v>88</v>
      </c>
      <c r="N581" s="15" t="s">
        <v>89</v>
      </c>
      <c r="O581" s="15">
        <v>1</v>
      </c>
      <c r="P581" s="15">
        <v>1</v>
      </c>
      <c r="Q581" s="15">
        <v>133232</v>
      </c>
      <c r="R581" s="15"/>
      <c r="S581" s="25"/>
      <c r="T581" s="25">
        <v>45927</v>
      </c>
      <c r="U581" s="25">
        <v>45932</v>
      </c>
      <c r="V581" s="15" t="s">
        <v>1153</v>
      </c>
      <c r="W581" s="15"/>
      <c r="X581" s="27">
        <v>40.83</v>
      </c>
      <c r="Y581" s="27">
        <f>Table2[[#This Row],[PREÇO UNITARIO]]*Table2[[#This Row],[QUANTIDADE]]</f>
        <v>40.83</v>
      </c>
      <c r="Z581" s="15"/>
      <c r="AA581" s="28">
        <f>MONTH(Table2[[#This Row],[DATA PEDIDO HP]])</f>
        <v>8</v>
      </c>
      <c r="AB581" s="32" t="s">
        <v>60</v>
      </c>
      <c r="AC581" s="5">
        <f t="shared" ca="1" si="9"/>
        <v>46232</v>
      </c>
      <c r="AD581" s="331">
        <f ca="1">_xlfn.DAYS(Table2[[#This Row],[HOJE]],Table2[[#This Row],[DATA PEDIDO HP]])</f>
        <v>351</v>
      </c>
      <c r="AE581" s="5" t="s">
        <v>43</v>
      </c>
    </row>
    <row r="582" spans="1:31" ht="14.45" hidden="1">
      <c r="A582" s="269" t="s">
        <v>1954</v>
      </c>
      <c r="B582" s="26">
        <v>45881</v>
      </c>
      <c r="C582" s="26">
        <v>45881</v>
      </c>
      <c r="D582" s="14" t="s">
        <v>1955</v>
      </c>
      <c r="E582" s="14" t="s">
        <v>109</v>
      </c>
      <c r="F582" s="14" t="s">
        <v>34</v>
      </c>
      <c r="G582" s="14">
        <v>50110229</v>
      </c>
      <c r="H582" s="14" t="s">
        <v>354</v>
      </c>
      <c r="I582" s="14" t="s">
        <v>1956</v>
      </c>
      <c r="J582" s="14">
        <v>1</v>
      </c>
      <c r="K582" s="14" t="s">
        <v>37</v>
      </c>
      <c r="L582" s="14" t="s">
        <v>48</v>
      </c>
      <c r="M582" s="14" t="s">
        <v>39</v>
      </c>
      <c r="N582" s="14" t="s">
        <v>39</v>
      </c>
      <c r="O582" s="15">
        <v>1</v>
      </c>
      <c r="P582" s="15">
        <v>1</v>
      </c>
      <c r="Q582" s="15">
        <v>133463</v>
      </c>
      <c r="R582" s="15"/>
      <c r="S582" s="25">
        <v>45946</v>
      </c>
      <c r="T582" s="25">
        <v>45927</v>
      </c>
      <c r="U582" s="25">
        <v>45932</v>
      </c>
      <c r="V582" s="15" t="s">
        <v>1153</v>
      </c>
      <c r="W582" s="15"/>
      <c r="X582" s="159">
        <v>274.36</v>
      </c>
      <c r="Y582" s="159">
        <f>Table2[[#This Row],[PREÇO UNITARIO]]*Table2[[#This Row],[QUANTIDADE]]</f>
        <v>274.36</v>
      </c>
      <c r="Z582" s="15"/>
      <c r="AA582" s="28">
        <f>MONTH(Table2[[#This Row],[DATA PEDIDO HP]])</f>
        <v>8</v>
      </c>
      <c r="AB582" s="32" t="s">
        <v>42</v>
      </c>
      <c r="AC582" s="5">
        <f t="shared" ca="1" si="9"/>
        <v>46232</v>
      </c>
      <c r="AD582" s="331">
        <f ca="1">_xlfn.DAYS(Table2[[#This Row],[HOJE]],Table2[[#This Row],[DATA PEDIDO HP]])</f>
        <v>351</v>
      </c>
      <c r="AE582" s="336" t="s">
        <v>43</v>
      </c>
    </row>
    <row r="583" spans="1:31" ht="14.45" hidden="1">
      <c r="A583" s="269" t="s">
        <v>1957</v>
      </c>
      <c r="B583" s="26">
        <v>45881</v>
      </c>
      <c r="C583" s="26">
        <v>45881</v>
      </c>
      <c r="D583" s="14" t="s">
        <v>1958</v>
      </c>
      <c r="E583" s="14" t="s">
        <v>428</v>
      </c>
      <c r="F583" s="14" t="s">
        <v>173</v>
      </c>
      <c r="G583" s="14">
        <v>48300375</v>
      </c>
      <c r="H583" s="14" t="s">
        <v>335</v>
      </c>
      <c r="I583" s="14" t="s">
        <v>1136</v>
      </c>
      <c r="J583" s="14">
        <v>1</v>
      </c>
      <c r="K583" s="14" t="s">
        <v>37</v>
      </c>
      <c r="L583" s="14" t="s">
        <v>48</v>
      </c>
      <c r="M583" s="14" t="s">
        <v>88</v>
      </c>
      <c r="N583" s="15" t="s">
        <v>89</v>
      </c>
      <c r="O583" s="15">
        <v>1</v>
      </c>
      <c r="P583" s="15">
        <v>1</v>
      </c>
      <c r="Q583" s="15">
        <v>133101</v>
      </c>
      <c r="R583" s="15"/>
      <c r="S583" s="25"/>
      <c r="T583" s="25">
        <v>45927</v>
      </c>
      <c r="U583" s="25">
        <v>45932</v>
      </c>
      <c r="V583" s="15" t="s">
        <v>1153</v>
      </c>
      <c r="W583" s="15"/>
      <c r="X583" s="27">
        <v>79.989999999999995</v>
      </c>
      <c r="Y583" s="27">
        <f>Table2[[#This Row],[PREÇO UNITARIO]]*Table2[[#This Row],[QUANTIDADE]]</f>
        <v>79.989999999999995</v>
      </c>
      <c r="Z583" s="15"/>
      <c r="AA583" s="28">
        <f>MONTH(Table2[[#This Row],[DATA PEDIDO HP]])</f>
        <v>8</v>
      </c>
      <c r="AB583" s="32" t="s">
        <v>60</v>
      </c>
      <c r="AC583" s="5">
        <f t="shared" ca="1" si="9"/>
        <v>46232</v>
      </c>
      <c r="AD583" s="331">
        <f ca="1">_xlfn.DAYS(Table2[[#This Row],[HOJE]],Table2[[#This Row],[DATA PEDIDO HP]])</f>
        <v>351</v>
      </c>
      <c r="AE583" s="5" t="s">
        <v>43</v>
      </c>
    </row>
    <row r="584" spans="1:31" ht="14.45" hidden="1">
      <c r="A584" s="269" t="s">
        <v>1959</v>
      </c>
      <c r="B584" s="26">
        <v>45881</v>
      </c>
      <c r="C584" s="26">
        <v>45881</v>
      </c>
      <c r="D584" s="14" t="s">
        <v>1960</v>
      </c>
      <c r="E584" s="14" t="s">
        <v>109</v>
      </c>
      <c r="F584" s="14" t="s">
        <v>34</v>
      </c>
      <c r="G584" s="14">
        <v>50110229</v>
      </c>
      <c r="H584" s="14" t="s">
        <v>545</v>
      </c>
      <c r="I584" s="14" t="s">
        <v>1677</v>
      </c>
      <c r="J584" s="14">
        <v>1</v>
      </c>
      <c r="K584" s="14" t="s">
        <v>37</v>
      </c>
      <c r="L584" s="14" t="s">
        <v>48</v>
      </c>
      <c r="M584" s="14" t="s">
        <v>88</v>
      </c>
      <c r="N584" s="15" t="s">
        <v>89</v>
      </c>
      <c r="O584" s="15">
        <v>1</v>
      </c>
      <c r="P584" s="15">
        <v>1</v>
      </c>
      <c r="Q584" s="15">
        <v>123233</v>
      </c>
      <c r="R584" s="15"/>
      <c r="S584" s="25"/>
      <c r="T584" s="25">
        <v>45927</v>
      </c>
      <c r="U584" s="25">
        <v>45932</v>
      </c>
      <c r="V584" s="15" t="s">
        <v>1153</v>
      </c>
      <c r="W584" s="15"/>
      <c r="X584" s="27">
        <v>898.2</v>
      </c>
      <c r="Y584" s="27">
        <f>Table2[[#This Row],[PREÇO UNITARIO]]*Table2[[#This Row],[QUANTIDADE]]</f>
        <v>898.2</v>
      </c>
      <c r="Z584" s="15" t="s">
        <v>1961</v>
      </c>
      <c r="AA584" s="28">
        <f>MONTH(Table2[[#This Row],[DATA PEDIDO HP]])</f>
        <v>8</v>
      </c>
      <c r="AB584" s="32" t="s">
        <v>42</v>
      </c>
      <c r="AC584" s="5">
        <f t="shared" ca="1" si="9"/>
        <v>46232</v>
      </c>
      <c r="AD584" s="331">
        <f ca="1">_xlfn.DAYS(Table2[[#This Row],[HOJE]],Table2[[#This Row],[DATA PEDIDO HP]])</f>
        <v>351</v>
      </c>
      <c r="AE584" s="5" t="s">
        <v>43</v>
      </c>
    </row>
    <row r="585" spans="1:31" ht="14.45" hidden="1">
      <c r="A585" s="269" t="s">
        <v>1962</v>
      </c>
      <c r="B585" s="26">
        <v>45881</v>
      </c>
      <c r="C585" s="26">
        <v>45881</v>
      </c>
      <c r="D585" s="14" t="s">
        <v>1963</v>
      </c>
      <c r="E585" s="14" t="s">
        <v>898</v>
      </c>
      <c r="F585" s="14" t="s">
        <v>899</v>
      </c>
      <c r="G585" s="14">
        <v>48500271</v>
      </c>
      <c r="H585" s="14" t="s">
        <v>1704</v>
      </c>
      <c r="I585" s="14" t="s">
        <v>1705</v>
      </c>
      <c r="J585" s="14">
        <v>1</v>
      </c>
      <c r="K585" s="14" t="s">
        <v>37</v>
      </c>
      <c r="L585" s="14" t="s">
        <v>96</v>
      </c>
      <c r="M585" s="14" t="s">
        <v>39</v>
      </c>
      <c r="N585" s="14" t="s">
        <v>39</v>
      </c>
      <c r="O585" s="15">
        <v>1</v>
      </c>
      <c r="P585" s="15">
        <v>1</v>
      </c>
      <c r="Q585" s="15">
        <v>133562</v>
      </c>
      <c r="R585" s="15" t="s">
        <v>314</v>
      </c>
      <c r="S585" s="25">
        <v>45950</v>
      </c>
      <c r="T585" s="25">
        <v>45927</v>
      </c>
      <c r="U585" s="25">
        <v>45932</v>
      </c>
      <c r="V585" s="15" t="s">
        <v>1153</v>
      </c>
      <c r="W585" s="15"/>
      <c r="X585" s="159">
        <v>159.5</v>
      </c>
      <c r="Y585" s="159">
        <f>Table2[[#This Row],[PREÇO UNITARIO]]*Table2[[#This Row],[QUANTIDADE]]</f>
        <v>159.5</v>
      </c>
      <c r="Z585" s="15"/>
      <c r="AA585" s="28">
        <f>MONTH(Table2[[#This Row],[DATA PEDIDO HP]])</f>
        <v>8</v>
      </c>
      <c r="AB585" s="32" t="s">
        <v>60</v>
      </c>
      <c r="AC585" s="5">
        <f t="shared" ca="1" si="9"/>
        <v>46232</v>
      </c>
      <c r="AD585" s="331">
        <f ca="1">_xlfn.DAYS(Table2[[#This Row],[HOJE]],Table2[[#This Row],[DATA PEDIDO HP]])</f>
        <v>351</v>
      </c>
      <c r="AE585" s="336" t="s">
        <v>43</v>
      </c>
    </row>
    <row r="586" spans="1:31" ht="14.45" hidden="1">
      <c r="A586" s="269" t="s">
        <v>1964</v>
      </c>
      <c r="B586" s="26">
        <v>45881</v>
      </c>
      <c r="C586" s="26">
        <v>45881</v>
      </c>
      <c r="D586" s="14" t="s">
        <v>1965</v>
      </c>
      <c r="E586" s="14" t="s">
        <v>118</v>
      </c>
      <c r="F586" s="14" t="s">
        <v>64</v>
      </c>
      <c r="G586" s="14">
        <v>48000044</v>
      </c>
      <c r="H586" s="14" t="s">
        <v>1966</v>
      </c>
      <c r="I586" s="14" t="s">
        <v>1967</v>
      </c>
      <c r="J586" s="14">
        <v>1</v>
      </c>
      <c r="K586" s="14" t="s">
        <v>37</v>
      </c>
      <c r="L586" s="14" t="s">
        <v>96</v>
      </c>
      <c r="M586" s="14" t="s">
        <v>88</v>
      </c>
      <c r="N586" s="15" t="s">
        <v>89</v>
      </c>
      <c r="O586" s="15">
        <v>1</v>
      </c>
      <c r="P586" s="15">
        <v>1</v>
      </c>
      <c r="Q586" s="15">
        <v>136364</v>
      </c>
      <c r="R586" s="15"/>
      <c r="S586" s="25"/>
      <c r="T586" s="25">
        <v>45927</v>
      </c>
      <c r="U586" s="25">
        <v>45932</v>
      </c>
      <c r="V586" s="15" t="s">
        <v>1153</v>
      </c>
      <c r="W586" s="15"/>
      <c r="X586" s="27">
        <v>939.84</v>
      </c>
      <c r="Y586" s="27">
        <f>Table2[[#This Row],[PREÇO UNITARIO]]*Table2[[#This Row],[QUANTIDADE]]</f>
        <v>939.84</v>
      </c>
      <c r="Z586" s="15"/>
      <c r="AA586" s="28">
        <f>MONTH(Table2[[#This Row],[DATA PEDIDO HP]])</f>
        <v>8</v>
      </c>
      <c r="AB586" s="32" t="s">
        <v>60</v>
      </c>
      <c r="AC586" s="5">
        <f t="shared" ca="1" si="9"/>
        <v>46232</v>
      </c>
      <c r="AD586" s="331">
        <f ca="1">_xlfn.DAYS(Table2[[#This Row],[HOJE]],Table2[[#This Row],[DATA PEDIDO HP]])</f>
        <v>351</v>
      </c>
      <c r="AE586" s="5" t="s">
        <v>43</v>
      </c>
    </row>
    <row r="587" spans="1:31" ht="14.45" hidden="1">
      <c r="A587" s="269" t="s">
        <v>1968</v>
      </c>
      <c r="B587" s="26">
        <v>45882</v>
      </c>
      <c r="C587" s="26">
        <v>45882</v>
      </c>
      <c r="D587" s="14" t="s">
        <v>1969</v>
      </c>
      <c r="E587" s="14" t="s">
        <v>202</v>
      </c>
      <c r="F587" s="14" t="s">
        <v>203</v>
      </c>
      <c r="G587" s="14">
        <v>60002072</v>
      </c>
      <c r="H587" s="14" t="s">
        <v>464</v>
      </c>
      <c r="I587" s="14" t="s">
        <v>1789</v>
      </c>
      <c r="J587" s="14">
        <v>1</v>
      </c>
      <c r="K587" s="14" t="s">
        <v>37</v>
      </c>
      <c r="L587" s="14" t="s">
        <v>217</v>
      </c>
      <c r="M587" s="14" t="s">
        <v>39</v>
      </c>
      <c r="N587" s="14" t="s">
        <v>39</v>
      </c>
      <c r="O587" s="15">
        <v>1</v>
      </c>
      <c r="P587" s="15">
        <v>1</v>
      </c>
      <c r="Q587" s="15">
        <v>130328</v>
      </c>
      <c r="R587" s="15"/>
      <c r="S587" s="25">
        <v>45937</v>
      </c>
      <c r="T587" s="25">
        <v>45927</v>
      </c>
      <c r="U587" s="25">
        <v>45932</v>
      </c>
      <c r="V587" s="15" t="s">
        <v>1153</v>
      </c>
      <c r="W587" s="15"/>
      <c r="X587" s="159">
        <v>359.28</v>
      </c>
      <c r="Y587" s="159">
        <f>Table2[[#This Row],[PREÇO UNITARIO]]*Table2[[#This Row],[QUANTIDADE]]</f>
        <v>359.28</v>
      </c>
      <c r="Z587" s="15"/>
      <c r="AA587" s="28">
        <f>MONTH(Table2[[#This Row],[DATA PEDIDO HP]])</f>
        <v>8</v>
      </c>
      <c r="AB587" s="32" t="s">
        <v>60</v>
      </c>
      <c r="AC587" s="5">
        <f t="shared" ca="1" si="9"/>
        <v>46232</v>
      </c>
      <c r="AD587" s="331">
        <f ca="1">_xlfn.DAYS(Table2[[#This Row],[HOJE]],Table2[[#This Row],[DATA PEDIDO HP]])</f>
        <v>350</v>
      </c>
      <c r="AE587" s="336" t="s">
        <v>43</v>
      </c>
    </row>
    <row r="588" spans="1:31" ht="14.45" hidden="1">
      <c r="A588" s="269" t="s">
        <v>1970</v>
      </c>
      <c r="B588" s="26">
        <v>45882</v>
      </c>
      <c r="C588" s="26">
        <v>45882</v>
      </c>
      <c r="D588" s="14" t="s">
        <v>1971</v>
      </c>
      <c r="E588" s="14" t="s">
        <v>1837</v>
      </c>
      <c r="F588" s="14" t="s">
        <v>34</v>
      </c>
      <c r="G588" s="14">
        <v>50200095</v>
      </c>
      <c r="H588" s="14" t="s">
        <v>1972</v>
      </c>
      <c r="I588" s="14" t="s">
        <v>1973</v>
      </c>
      <c r="J588" s="14">
        <v>1</v>
      </c>
      <c r="K588" s="14" t="s">
        <v>37</v>
      </c>
      <c r="L588" s="14" t="s">
        <v>217</v>
      </c>
      <c r="M588" s="14" t="s">
        <v>88</v>
      </c>
      <c r="N588" s="15" t="s">
        <v>89</v>
      </c>
      <c r="O588" s="15">
        <v>1</v>
      </c>
      <c r="P588" s="15">
        <v>1</v>
      </c>
      <c r="Q588" s="15">
        <v>133892</v>
      </c>
      <c r="R588" s="15"/>
      <c r="S588" s="25"/>
      <c r="T588" s="25">
        <v>45927</v>
      </c>
      <c r="U588" s="25">
        <v>45932</v>
      </c>
      <c r="V588" s="15" t="s">
        <v>1153</v>
      </c>
      <c r="W588" s="15"/>
      <c r="X588" s="27">
        <v>124.11</v>
      </c>
      <c r="Y588" s="27">
        <f>Table2[[#This Row],[PREÇO UNITARIO]]*Table2[[#This Row],[QUANTIDADE]]</f>
        <v>124.11</v>
      </c>
      <c r="Z588" s="15"/>
      <c r="AA588" s="28">
        <f>MONTH(Table2[[#This Row],[DATA PEDIDO HP]])</f>
        <v>8</v>
      </c>
      <c r="AB588" s="32" t="s">
        <v>60</v>
      </c>
      <c r="AC588" s="5">
        <f t="shared" ca="1" si="9"/>
        <v>46232</v>
      </c>
      <c r="AD588" s="331">
        <f ca="1">_xlfn.DAYS(Table2[[#This Row],[HOJE]],Table2[[#This Row],[DATA PEDIDO HP]])</f>
        <v>350</v>
      </c>
      <c r="AE588" s="5" t="s">
        <v>43</v>
      </c>
    </row>
    <row r="589" spans="1:31" ht="14.45" hidden="1">
      <c r="A589" s="274" t="s">
        <v>1974</v>
      </c>
      <c r="B589" s="277">
        <v>45876</v>
      </c>
      <c r="C589" s="275">
        <v>45882</v>
      </c>
      <c r="D589" s="276" t="s">
        <v>1975</v>
      </c>
      <c r="E589" s="276" t="s">
        <v>1837</v>
      </c>
      <c r="F589" s="14" t="s">
        <v>34</v>
      </c>
      <c r="G589" s="276">
        <v>50200095</v>
      </c>
      <c r="H589" s="276" t="s">
        <v>1976</v>
      </c>
      <c r="I589" s="276" t="s">
        <v>1977</v>
      </c>
      <c r="J589" s="14">
        <v>1</v>
      </c>
      <c r="K589" s="14"/>
      <c r="L589" s="14" t="s">
        <v>48</v>
      </c>
      <c r="M589" s="14" t="s">
        <v>88</v>
      </c>
      <c r="N589" s="15" t="s">
        <v>89</v>
      </c>
      <c r="O589" s="15">
        <v>0</v>
      </c>
      <c r="P589" s="15">
        <v>1</v>
      </c>
      <c r="Q589" s="15"/>
      <c r="R589" s="15" t="s">
        <v>1978</v>
      </c>
      <c r="S589" s="25">
        <v>45950</v>
      </c>
      <c r="T589" s="25">
        <v>45927</v>
      </c>
      <c r="U589" s="25">
        <v>45932</v>
      </c>
      <c r="V589" s="15" t="s">
        <v>1153</v>
      </c>
      <c r="W589" s="15"/>
      <c r="X589" s="159">
        <v>143.08000000000001</v>
      </c>
      <c r="Y589" s="159">
        <f>Table2[[#This Row],[PREÇO UNITARIO]]*Table2[[#This Row],[QUANTIDADE]]</f>
        <v>143.08000000000001</v>
      </c>
      <c r="Z589" s="15"/>
      <c r="AA589" s="28">
        <f>MONTH(Table2[[#This Row],[DATA PEDIDO HP]])</f>
        <v>8</v>
      </c>
      <c r="AB589" s="32" t="s">
        <v>60</v>
      </c>
      <c r="AC589" s="5">
        <f t="shared" ca="1" si="9"/>
        <v>46232</v>
      </c>
      <c r="AD589" s="331">
        <f ca="1">_xlfn.DAYS(Table2[[#This Row],[HOJE]],Table2[[#This Row],[DATA PEDIDO HP]])</f>
        <v>356</v>
      </c>
      <c r="AE589" s="336" t="s">
        <v>43</v>
      </c>
    </row>
    <row r="590" spans="1:31" ht="14.45" hidden="1">
      <c r="A590" s="269" t="s">
        <v>1979</v>
      </c>
      <c r="B590" s="26">
        <v>45882</v>
      </c>
      <c r="C590" s="26">
        <v>45882</v>
      </c>
      <c r="D590" s="14" t="s">
        <v>1980</v>
      </c>
      <c r="E590" s="14" t="s">
        <v>103</v>
      </c>
      <c r="F590" s="14" t="s">
        <v>104</v>
      </c>
      <c r="G590" s="14">
        <v>51000323</v>
      </c>
      <c r="H590" s="14" t="s">
        <v>1981</v>
      </c>
      <c r="I590" s="14" t="s">
        <v>1982</v>
      </c>
      <c r="J590" s="14">
        <v>1</v>
      </c>
      <c r="K590" s="14" t="s">
        <v>67</v>
      </c>
      <c r="L590" s="14" t="s">
        <v>96</v>
      </c>
      <c r="M590" s="14" t="s">
        <v>88</v>
      </c>
      <c r="N590" s="15" t="s">
        <v>89</v>
      </c>
      <c r="O590" s="15">
        <v>0</v>
      </c>
      <c r="P590" s="15">
        <v>0</v>
      </c>
      <c r="Q590" s="15">
        <v>134090</v>
      </c>
      <c r="R590" s="15"/>
      <c r="S590" s="25"/>
      <c r="T590" s="25">
        <v>46007</v>
      </c>
      <c r="U590" s="25">
        <v>46031</v>
      </c>
      <c r="V590" s="15" t="s">
        <v>1775</v>
      </c>
      <c r="W590" s="15"/>
      <c r="X590" s="27">
        <v>6.65</v>
      </c>
      <c r="Y590" s="27">
        <f>Table2[[#This Row],[PREÇO UNITARIO]]*Table2[[#This Row],[QUANTIDADE]]</f>
        <v>6.65</v>
      </c>
      <c r="Z590" s="15"/>
      <c r="AA590" s="28">
        <f>MONTH(Table2[[#This Row],[DATA PEDIDO HP]])</f>
        <v>8</v>
      </c>
      <c r="AB590" s="32" t="s">
        <v>42</v>
      </c>
      <c r="AC590" s="5">
        <f t="shared" ca="1" si="9"/>
        <v>46232</v>
      </c>
      <c r="AD590" s="331">
        <f ca="1">_xlfn.DAYS(Table2[[#This Row],[HOJE]],Table2[[#This Row],[DATA PEDIDO HP]])</f>
        <v>350</v>
      </c>
      <c r="AE590" s="5" t="s">
        <v>43</v>
      </c>
    </row>
    <row r="591" spans="1:31" ht="14.45" hidden="1">
      <c r="A591" s="269" t="s">
        <v>1983</v>
      </c>
      <c r="B591" s="26">
        <v>45882</v>
      </c>
      <c r="C591" s="26">
        <v>45882</v>
      </c>
      <c r="D591" s="14" t="s">
        <v>1984</v>
      </c>
      <c r="E591" s="14" t="s">
        <v>73</v>
      </c>
      <c r="F591" s="14" t="s">
        <v>34</v>
      </c>
      <c r="G591" s="14">
        <v>50110372</v>
      </c>
      <c r="H591" s="14" t="s">
        <v>80</v>
      </c>
      <c r="I591" s="14" t="s">
        <v>907</v>
      </c>
      <c r="J591" s="14">
        <v>1</v>
      </c>
      <c r="K591" s="14" t="s">
        <v>37</v>
      </c>
      <c r="L591" s="14" t="s">
        <v>96</v>
      </c>
      <c r="M591" s="14" t="s">
        <v>39</v>
      </c>
      <c r="N591" s="14" t="s">
        <v>39</v>
      </c>
      <c r="O591" s="15">
        <v>1</v>
      </c>
      <c r="P591" s="15">
        <v>1</v>
      </c>
      <c r="Q591" s="15">
        <v>134156</v>
      </c>
      <c r="R591" s="15"/>
      <c r="S591" s="25">
        <v>45950</v>
      </c>
      <c r="T591" s="25">
        <v>45927</v>
      </c>
      <c r="U591" s="25">
        <v>45932</v>
      </c>
      <c r="V591" s="15" t="s">
        <v>1153</v>
      </c>
      <c r="W591" s="15"/>
      <c r="X591" s="159">
        <v>49.81</v>
      </c>
      <c r="Y591" s="159">
        <f>Table2[[#This Row],[PREÇO UNITARIO]]*Table2[[#This Row],[QUANTIDADE]]</f>
        <v>49.81</v>
      </c>
      <c r="Z591" s="15"/>
      <c r="AA591" s="28">
        <f>MONTH(Table2[[#This Row],[DATA PEDIDO HP]])</f>
        <v>8</v>
      </c>
      <c r="AB591" s="32" t="s">
        <v>42</v>
      </c>
      <c r="AC591" s="5">
        <f t="shared" ca="1" si="9"/>
        <v>46232</v>
      </c>
      <c r="AD591" s="331">
        <f ca="1">_xlfn.DAYS(Table2[[#This Row],[HOJE]],Table2[[#This Row],[DATA PEDIDO HP]])</f>
        <v>350</v>
      </c>
      <c r="AE591" s="336" t="s">
        <v>43</v>
      </c>
    </row>
    <row r="592" spans="1:31" ht="14.45" hidden="1">
      <c r="A592" s="269" t="s">
        <v>1985</v>
      </c>
      <c r="B592" s="26">
        <v>45884</v>
      </c>
      <c r="C592" s="26">
        <v>45884</v>
      </c>
      <c r="D592" s="14" t="s">
        <v>1986</v>
      </c>
      <c r="E592" s="14" t="s">
        <v>109</v>
      </c>
      <c r="F592" s="14" t="s">
        <v>34</v>
      </c>
      <c r="G592" s="14">
        <v>50110229</v>
      </c>
      <c r="H592" s="14" t="s">
        <v>1052</v>
      </c>
      <c r="I592" s="14" t="s">
        <v>1053</v>
      </c>
      <c r="J592" s="14">
        <v>1</v>
      </c>
      <c r="K592" s="14" t="s">
        <v>37</v>
      </c>
      <c r="L592" s="14" t="s">
        <v>48</v>
      </c>
      <c r="M592" s="14" t="s">
        <v>58</v>
      </c>
      <c r="N592" s="14" t="s">
        <v>58</v>
      </c>
      <c r="O592" s="15">
        <v>1</v>
      </c>
      <c r="P592" s="15">
        <v>1</v>
      </c>
      <c r="Q592" s="15">
        <v>130067</v>
      </c>
      <c r="R592" s="15"/>
      <c r="S592" s="25"/>
      <c r="T592" s="25">
        <v>45927</v>
      </c>
      <c r="U592" s="25">
        <v>45932</v>
      </c>
      <c r="V592" s="15" t="s">
        <v>1153</v>
      </c>
      <c r="W592" s="15"/>
      <c r="X592" s="27">
        <v>422.15</v>
      </c>
      <c r="Y592" s="27">
        <f>Table2[[#This Row],[PREÇO UNITARIO]]*Table2[[#This Row],[QUANTIDADE]]</f>
        <v>422.15</v>
      </c>
      <c r="Z592" s="15"/>
      <c r="AA592" s="28">
        <f>MONTH(Table2[[#This Row],[DATA PEDIDO HP]])</f>
        <v>8</v>
      </c>
      <c r="AB592" s="32" t="s">
        <v>42</v>
      </c>
      <c r="AC592" s="5">
        <f t="shared" ca="1" si="9"/>
        <v>46232</v>
      </c>
      <c r="AD592" s="331">
        <f ca="1">_xlfn.DAYS(Table2[[#This Row],[HOJE]],Table2[[#This Row],[DATA PEDIDO HP]])</f>
        <v>348</v>
      </c>
      <c r="AE592" s="5" t="s">
        <v>43</v>
      </c>
    </row>
    <row r="593" spans="1:31" ht="14.45" hidden="1">
      <c r="A593" s="269" t="s">
        <v>1987</v>
      </c>
      <c r="B593" s="26">
        <v>45884</v>
      </c>
      <c r="C593" s="26">
        <v>45884</v>
      </c>
      <c r="D593" s="14" t="s">
        <v>1988</v>
      </c>
      <c r="E593" s="14" t="s">
        <v>54</v>
      </c>
      <c r="F593" s="14" t="s">
        <v>55</v>
      </c>
      <c r="G593" s="14">
        <v>44000216</v>
      </c>
      <c r="H593" s="14" t="s">
        <v>1890</v>
      </c>
      <c r="I593" s="14" t="s">
        <v>1891</v>
      </c>
      <c r="J593" s="14">
        <v>1</v>
      </c>
      <c r="K593" s="14" t="s">
        <v>37</v>
      </c>
      <c r="L593" s="14" t="s">
        <v>48</v>
      </c>
      <c r="M593" s="14" t="s">
        <v>58</v>
      </c>
      <c r="N593" s="14" t="s">
        <v>58</v>
      </c>
      <c r="O593" s="15">
        <v>1</v>
      </c>
      <c r="P593" s="15">
        <v>1</v>
      </c>
      <c r="Q593" s="15">
        <v>98057</v>
      </c>
      <c r="R593" s="15"/>
      <c r="S593" s="25"/>
      <c r="T593" s="25">
        <v>45927</v>
      </c>
      <c r="U593" s="25">
        <v>45932</v>
      </c>
      <c r="V593" s="15" t="s">
        <v>1153</v>
      </c>
      <c r="W593" s="15"/>
      <c r="X593" s="27">
        <v>1272.6400000000001</v>
      </c>
      <c r="Y593" s="27">
        <f>Table2[[#This Row],[PREÇO UNITARIO]]*Table2[[#This Row],[QUANTIDADE]]</f>
        <v>1272.6400000000001</v>
      </c>
      <c r="Z593" s="15"/>
      <c r="AA593" s="28">
        <f>MONTH(Table2[[#This Row],[DATA PEDIDO HP]])</f>
        <v>8</v>
      </c>
      <c r="AB593" s="32" t="s">
        <v>60</v>
      </c>
      <c r="AC593" s="5">
        <f t="shared" ca="1" si="9"/>
        <v>46232</v>
      </c>
      <c r="AD593" s="331">
        <f ca="1">_xlfn.DAYS(Table2[[#This Row],[HOJE]],Table2[[#This Row],[DATA PEDIDO HP]])</f>
        <v>348</v>
      </c>
      <c r="AE593" s="5" t="s">
        <v>43</v>
      </c>
    </row>
    <row r="594" spans="1:31" ht="14.45" hidden="1">
      <c r="A594" s="269" t="s">
        <v>1989</v>
      </c>
      <c r="B594" s="26">
        <v>45884</v>
      </c>
      <c r="C594" s="26">
        <v>45884</v>
      </c>
      <c r="D594" s="14" t="s">
        <v>1990</v>
      </c>
      <c r="E594" s="14" t="s">
        <v>73</v>
      </c>
      <c r="F594" s="14" t="s">
        <v>203</v>
      </c>
      <c r="G594" s="14">
        <v>60002095</v>
      </c>
      <c r="H594" s="14" t="s">
        <v>1991</v>
      </c>
      <c r="I594" s="14" t="s">
        <v>1992</v>
      </c>
      <c r="J594" s="14">
        <v>1</v>
      </c>
      <c r="K594" s="14" t="s">
        <v>37</v>
      </c>
      <c r="L594" s="14" t="s">
        <v>96</v>
      </c>
      <c r="M594" s="14" t="s">
        <v>39</v>
      </c>
      <c r="N594" s="14" t="s">
        <v>39</v>
      </c>
      <c r="O594" s="15">
        <v>1</v>
      </c>
      <c r="P594" s="15">
        <v>1</v>
      </c>
      <c r="Q594" s="15">
        <v>134816</v>
      </c>
      <c r="R594" s="15"/>
      <c r="S594" s="25">
        <v>45950</v>
      </c>
      <c r="T594" s="25">
        <v>45927</v>
      </c>
      <c r="U594" s="25">
        <v>45932</v>
      </c>
      <c r="V594" s="15" t="s">
        <v>1153</v>
      </c>
      <c r="W594" s="15"/>
      <c r="X594" s="159">
        <v>12.41</v>
      </c>
      <c r="Y594" s="159">
        <f>Table2[[#This Row],[PREÇO UNITARIO]]*Table2[[#This Row],[QUANTIDADE]]</f>
        <v>12.41</v>
      </c>
      <c r="Z594" s="15"/>
      <c r="AA594" s="28">
        <f>MONTH(Table2[[#This Row],[DATA PEDIDO HP]])</f>
        <v>8</v>
      </c>
      <c r="AB594" s="32" t="s">
        <v>42</v>
      </c>
      <c r="AC594" s="5">
        <f t="shared" ca="1" si="9"/>
        <v>46232</v>
      </c>
      <c r="AD594" s="331">
        <f ca="1">_xlfn.DAYS(Table2[[#This Row],[HOJE]],Table2[[#This Row],[DATA PEDIDO HP]])</f>
        <v>348</v>
      </c>
      <c r="AE594" s="336" t="s">
        <v>43</v>
      </c>
    </row>
    <row r="595" spans="1:31" ht="14.45" hidden="1">
      <c r="A595" s="269" t="s">
        <v>1993</v>
      </c>
      <c r="B595" s="26">
        <v>45884</v>
      </c>
      <c r="C595" s="26">
        <v>45883</v>
      </c>
      <c r="D595" s="14" t="s">
        <v>1994</v>
      </c>
      <c r="E595" s="14" t="s">
        <v>73</v>
      </c>
      <c r="F595" s="14" t="s">
        <v>203</v>
      </c>
      <c r="G595" s="14">
        <v>60002095</v>
      </c>
      <c r="H595" s="14" t="s">
        <v>134</v>
      </c>
      <c r="I595" s="14" t="s">
        <v>1849</v>
      </c>
      <c r="J595" s="14">
        <v>1</v>
      </c>
      <c r="K595" s="14" t="s">
        <v>37</v>
      </c>
      <c r="L595" s="14" t="s">
        <v>96</v>
      </c>
      <c r="M595" s="14" t="s">
        <v>39</v>
      </c>
      <c r="N595" s="14" t="s">
        <v>39</v>
      </c>
      <c r="O595" s="15">
        <v>1</v>
      </c>
      <c r="P595" s="15">
        <v>1</v>
      </c>
      <c r="Q595" s="15">
        <v>134354</v>
      </c>
      <c r="R595" s="15"/>
      <c r="S595" s="25">
        <v>45950</v>
      </c>
      <c r="T595" s="25">
        <v>45927</v>
      </c>
      <c r="U595" s="25">
        <v>45932</v>
      </c>
      <c r="V595" s="15" t="s">
        <v>1153</v>
      </c>
      <c r="W595" s="15"/>
      <c r="X595" s="159">
        <v>42.46</v>
      </c>
      <c r="Y595" s="159">
        <f>Table2[[#This Row],[PREÇO UNITARIO]]*Table2[[#This Row],[QUANTIDADE]]</f>
        <v>42.46</v>
      </c>
      <c r="Z595" s="15"/>
      <c r="AA595" s="28">
        <f>MONTH(Table2[[#This Row],[DATA PEDIDO HP]])</f>
        <v>8</v>
      </c>
      <c r="AB595" s="32" t="s">
        <v>42</v>
      </c>
      <c r="AC595" s="5">
        <f t="shared" ca="1" si="9"/>
        <v>46232</v>
      </c>
      <c r="AD595" s="331">
        <f ca="1">_xlfn.DAYS(Table2[[#This Row],[HOJE]],Table2[[#This Row],[DATA PEDIDO HP]])</f>
        <v>348</v>
      </c>
      <c r="AE595" s="336" t="s">
        <v>43</v>
      </c>
    </row>
    <row r="596" spans="1:31" ht="14.45" hidden="1">
      <c r="A596" s="269" t="s">
        <v>1993</v>
      </c>
      <c r="B596" s="26">
        <v>45884</v>
      </c>
      <c r="C596" s="26">
        <v>45883</v>
      </c>
      <c r="D596" s="14" t="s">
        <v>1994</v>
      </c>
      <c r="E596" s="14" t="s">
        <v>73</v>
      </c>
      <c r="F596" s="14" t="s">
        <v>203</v>
      </c>
      <c r="G596" s="14">
        <v>60002095</v>
      </c>
      <c r="H596" s="14" t="s">
        <v>136</v>
      </c>
      <c r="I596" s="14" t="s">
        <v>137</v>
      </c>
      <c r="J596" s="14">
        <v>1</v>
      </c>
      <c r="K596" s="14" t="s">
        <v>37</v>
      </c>
      <c r="L596" s="14" t="s">
        <v>96</v>
      </c>
      <c r="M596" s="14" t="s">
        <v>39</v>
      </c>
      <c r="N596" s="14" t="s">
        <v>39</v>
      </c>
      <c r="O596" s="15">
        <v>1</v>
      </c>
      <c r="P596" s="15">
        <v>1</v>
      </c>
      <c r="Q596" s="15">
        <v>134354</v>
      </c>
      <c r="R596" s="15"/>
      <c r="S596" s="25">
        <v>45950</v>
      </c>
      <c r="T596" s="25">
        <v>45927</v>
      </c>
      <c r="U596" s="25">
        <v>45932</v>
      </c>
      <c r="V596" s="15" t="s">
        <v>1153</v>
      </c>
      <c r="W596" s="15"/>
      <c r="X596" s="159">
        <v>19.600000000000001</v>
      </c>
      <c r="Y596" s="159">
        <f>Table2[[#This Row],[PREÇO UNITARIO]]*Table2[[#This Row],[QUANTIDADE]]</f>
        <v>19.600000000000001</v>
      </c>
      <c r="Z596" s="15"/>
      <c r="AA596" s="28">
        <f>MONTH(Table2[[#This Row],[DATA PEDIDO HP]])</f>
        <v>8</v>
      </c>
      <c r="AB596" s="32" t="s">
        <v>42</v>
      </c>
      <c r="AC596" s="5">
        <f t="shared" ca="1" si="9"/>
        <v>46232</v>
      </c>
      <c r="AD596" s="331">
        <f ca="1">_xlfn.DAYS(Table2[[#This Row],[HOJE]],Table2[[#This Row],[DATA PEDIDO HP]])</f>
        <v>348</v>
      </c>
      <c r="AE596" s="336" t="s">
        <v>43</v>
      </c>
    </row>
    <row r="597" spans="1:31" ht="14.45" hidden="1">
      <c r="A597" s="269" t="s">
        <v>1995</v>
      </c>
      <c r="B597" s="26">
        <v>45884</v>
      </c>
      <c r="C597" s="26">
        <v>45882</v>
      </c>
      <c r="D597" s="14" t="s">
        <v>1996</v>
      </c>
      <c r="E597" s="14" t="s">
        <v>33</v>
      </c>
      <c r="F597" s="14" t="s">
        <v>34</v>
      </c>
      <c r="G597" s="14">
        <v>50110193</v>
      </c>
      <c r="H597" s="14" t="s">
        <v>1997</v>
      </c>
      <c r="I597" s="14" t="s">
        <v>1998</v>
      </c>
      <c r="J597" s="14">
        <v>1</v>
      </c>
      <c r="K597" s="14" t="s">
        <v>37</v>
      </c>
      <c r="L597" s="14" t="s">
        <v>38</v>
      </c>
      <c r="M597" s="14" t="s">
        <v>39</v>
      </c>
      <c r="N597" s="14" t="s">
        <v>39</v>
      </c>
      <c r="O597" s="15">
        <v>1</v>
      </c>
      <c r="P597" s="15">
        <v>1</v>
      </c>
      <c r="Q597" s="15">
        <v>133662</v>
      </c>
      <c r="R597" s="15"/>
      <c r="S597" s="25">
        <v>45936</v>
      </c>
      <c r="T597" s="25">
        <v>45927</v>
      </c>
      <c r="U597" s="25">
        <v>45932</v>
      </c>
      <c r="V597" s="15" t="s">
        <v>1153</v>
      </c>
      <c r="W597" s="15"/>
      <c r="X597" s="159">
        <v>179.64</v>
      </c>
      <c r="Y597" s="159">
        <f>Table2[[#This Row],[PREÇO UNITARIO]]*Table2[[#This Row],[QUANTIDADE]]</f>
        <v>179.64</v>
      </c>
      <c r="Z597" s="15"/>
      <c r="AA597" s="28">
        <f>MONTH(Table2[[#This Row],[DATA PEDIDO HP]])</f>
        <v>8</v>
      </c>
      <c r="AB597" s="32" t="s">
        <v>42</v>
      </c>
      <c r="AC597" s="5">
        <f t="shared" ca="1" si="9"/>
        <v>46232</v>
      </c>
      <c r="AD597" s="331">
        <f ca="1">_xlfn.DAYS(Table2[[#This Row],[HOJE]],Table2[[#This Row],[DATA PEDIDO HP]])</f>
        <v>348</v>
      </c>
      <c r="AE597" s="336" t="s">
        <v>43</v>
      </c>
    </row>
    <row r="598" spans="1:31" ht="14.45" hidden="1">
      <c r="A598" s="269" t="s">
        <v>1995</v>
      </c>
      <c r="B598" s="26">
        <v>45884</v>
      </c>
      <c r="C598" s="26">
        <v>45882</v>
      </c>
      <c r="D598" s="14" t="s">
        <v>1996</v>
      </c>
      <c r="E598" s="14" t="s">
        <v>33</v>
      </c>
      <c r="F598" s="14" t="s">
        <v>34</v>
      </c>
      <c r="G598" s="14">
        <v>50110193</v>
      </c>
      <c r="H598" s="14" t="s">
        <v>1999</v>
      </c>
      <c r="I598" s="14" t="s">
        <v>2000</v>
      </c>
      <c r="J598" s="14">
        <v>1</v>
      </c>
      <c r="K598" s="14" t="s">
        <v>37</v>
      </c>
      <c r="L598" s="14" t="s">
        <v>38</v>
      </c>
      <c r="M598" s="14" t="s">
        <v>88</v>
      </c>
      <c r="N598" s="15" t="s">
        <v>89</v>
      </c>
      <c r="O598" s="15">
        <v>0</v>
      </c>
      <c r="P598" s="15">
        <v>1</v>
      </c>
      <c r="Q598" s="15">
        <v>133662</v>
      </c>
      <c r="R598" s="15"/>
      <c r="S598" s="25">
        <v>45936</v>
      </c>
      <c r="T598" s="25">
        <v>45927</v>
      </c>
      <c r="U598" s="25">
        <v>45932</v>
      </c>
      <c r="V598" s="15" t="s">
        <v>1153</v>
      </c>
      <c r="W598" s="15"/>
      <c r="X598" s="159">
        <v>3.97</v>
      </c>
      <c r="Y598" s="159">
        <f>Table2[[#This Row],[PREÇO UNITARIO]]*Table2[[#This Row],[QUANTIDADE]]</f>
        <v>3.97</v>
      </c>
      <c r="Z598" s="15"/>
      <c r="AA598" s="28">
        <f>MONTH(Table2[[#This Row],[DATA PEDIDO HP]])</f>
        <v>8</v>
      </c>
      <c r="AB598" s="32" t="s">
        <v>42</v>
      </c>
      <c r="AC598" s="5">
        <f t="shared" ca="1" si="9"/>
        <v>46232</v>
      </c>
      <c r="AD598" s="331">
        <f ca="1">_xlfn.DAYS(Table2[[#This Row],[HOJE]],Table2[[#This Row],[DATA PEDIDO HP]])</f>
        <v>348</v>
      </c>
      <c r="AE598" s="336" t="s">
        <v>43</v>
      </c>
    </row>
    <row r="599" spans="1:31" ht="14.45" hidden="1">
      <c r="A599" s="269" t="s">
        <v>1995</v>
      </c>
      <c r="B599" s="26">
        <v>45884</v>
      </c>
      <c r="C599" s="26">
        <v>45882</v>
      </c>
      <c r="D599" s="14" t="s">
        <v>1996</v>
      </c>
      <c r="E599" s="14" t="s">
        <v>33</v>
      </c>
      <c r="F599" s="14" t="s">
        <v>34</v>
      </c>
      <c r="G599" s="14">
        <v>50110193</v>
      </c>
      <c r="H599" s="14" t="s">
        <v>94</v>
      </c>
      <c r="I599" s="14" t="s">
        <v>1718</v>
      </c>
      <c r="J599" s="14">
        <v>1</v>
      </c>
      <c r="K599" s="14" t="s">
        <v>37</v>
      </c>
      <c r="L599" s="14" t="s">
        <v>38</v>
      </c>
      <c r="M599" s="14" t="s">
        <v>39</v>
      </c>
      <c r="N599" s="14" t="s">
        <v>39</v>
      </c>
      <c r="O599" s="15">
        <v>1</v>
      </c>
      <c r="P599" s="15">
        <v>1</v>
      </c>
      <c r="Q599" s="15">
        <v>133662</v>
      </c>
      <c r="R599" s="15"/>
      <c r="S599" s="25">
        <v>45936</v>
      </c>
      <c r="T599" s="25">
        <v>45927</v>
      </c>
      <c r="U599" s="25">
        <v>45932</v>
      </c>
      <c r="V599" s="15" t="s">
        <v>1153</v>
      </c>
      <c r="W599" s="15"/>
      <c r="X599" s="159">
        <v>207.82</v>
      </c>
      <c r="Y599" s="159">
        <f>Table2[[#This Row],[PREÇO UNITARIO]]*Table2[[#This Row],[QUANTIDADE]]</f>
        <v>207.82</v>
      </c>
      <c r="Z599" s="15"/>
      <c r="AA599" s="28">
        <f>MONTH(Table2[[#This Row],[DATA PEDIDO HP]])</f>
        <v>8</v>
      </c>
      <c r="AB599" s="32" t="s">
        <v>42</v>
      </c>
      <c r="AC599" s="5">
        <f t="shared" ca="1" si="9"/>
        <v>46232</v>
      </c>
      <c r="AD599" s="331">
        <f ca="1">_xlfn.DAYS(Table2[[#This Row],[HOJE]],Table2[[#This Row],[DATA PEDIDO HP]])</f>
        <v>348</v>
      </c>
      <c r="AE599" s="336" t="s">
        <v>43</v>
      </c>
    </row>
    <row r="600" spans="1:31" ht="14.45" hidden="1">
      <c r="A600" s="269" t="s">
        <v>1995</v>
      </c>
      <c r="B600" s="26">
        <v>45884</v>
      </c>
      <c r="C600" s="26">
        <v>45882</v>
      </c>
      <c r="D600" s="14" t="s">
        <v>1996</v>
      </c>
      <c r="E600" s="14" t="s">
        <v>33</v>
      </c>
      <c r="F600" s="14" t="s">
        <v>34</v>
      </c>
      <c r="G600" s="14">
        <v>50110193</v>
      </c>
      <c r="H600" s="14" t="s">
        <v>2001</v>
      </c>
      <c r="I600" s="14" t="s">
        <v>2002</v>
      </c>
      <c r="J600" s="14">
        <v>1</v>
      </c>
      <c r="K600" s="14" t="s">
        <v>67</v>
      </c>
      <c r="L600" s="14" t="s">
        <v>38</v>
      </c>
      <c r="M600" s="14" t="s">
        <v>88</v>
      </c>
      <c r="N600" s="15" t="s">
        <v>89</v>
      </c>
      <c r="O600" s="15">
        <v>0</v>
      </c>
      <c r="P600" s="15">
        <v>1</v>
      </c>
      <c r="Q600" s="15">
        <v>133662</v>
      </c>
      <c r="R600" s="15"/>
      <c r="S600" s="25">
        <v>45936</v>
      </c>
      <c r="T600" s="25">
        <v>45927</v>
      </c>
      <c r="U600" s="25">
        <v>45932</v>
      </c>
      <c r="V600" s="15" t="s">
        <v>1153</v>
      </c>
      <c r="W600" s="15"/>
      <c r="X600" s="159">
        <v>105.33</v>
      </c>
      <c r="Y600" s="159">
        <f>Table2[[#This Row],[PREÇO UNITARIO]]*Table2[[#This Row],[QUANTIDADE]]</f>
        <v>105.33</v>
      </c>
      <c r="Z600" s="15"/>
      <c r="AA600" s="28">
        <f>MONTH(Table2[[#This Row],[DATA PEDIDO HP]])</f>
        <v>8</v>
      </c>
      <c r="AB600" s="32" t="s">
        <v>42</v>
      </c>
      <c r="AC600" s="5">
        <f t="shared" ca="1" si="9"/>
        <v>46232</v>
      </c>
      <c r="AD600" s="331">
        <f ca="1">_xlfn.DAYS(Table2[[#This Row],[HOJE]],Table2[[#This Row],[DATA PEDIDO HP]])</f>
        <v>348</v>
      </c>
      <c r="AE600" s="336" t="s">
        <v>43</v>
      </c>
    </row>
    <row r="601" spans="1:31" ht="14.45" hidden="1">
      <c r="A601" s="269" t="s">
        <v>2003</v>
      </c>
      <c r="B601" s="26">
        <v>45887</v>
      </c>
      <c r="C601" s="26">
        <v>45887</v>
      </c>
      <c r="D601" s="14" t="s">
        <v>2004</v>
      </c>
      <c r="E601" s="14" t="s">
        <v>73</v>
      </c>
      <c r="F601" s="14" t="s">
        <v>203</v>
      </c>
      <c r="G601" s="14">
        <v>60002095</v>
      </c>
      <c r="H601" s="14" t="s">
        <v>2005</v>
      </c>
      <c r="I601" s="14" t="s">
        <v>2006</v>
      </c>
      <c r="J601" s="14">
        <v>1</v>
      </c>
      <c r="K601" s="14" t="s">
        <v>37</v>
      </c>
      <c r="L601" s="14" t="s">
        <v>96</v>
      </c>
      <c r="M601" s="14" t="s">
        <v>88</v>
      </c>
      <c r="N601" s="15" t="s">
        <v>89</v>
      </c>
      <c r="O601" s="15">
        <v>1</v>
      </c>
      <c r="P601" s="15">
        <v>1</v>
      </c>
      <c r="Q601" s="15">
        <v>135146</v>
      </c>
      <c r="R601" s="15"/>
      <c r="S601" s="25">
        <v>45950</v>
      </c>
      <c r="T601" s="25">
        <v>45927</v>
      </c>
      <c r="U601" s="25">
        <v>45932</v>
      </c>
      <c r="V601" s="15" t="s">
        <v>1153</v>
      </c>
      <c r="W601" s="15"/>
      <c r="X601" s="159">
        <v>100.16</v>
      </c>
      <c r="Y601" s="159">
        <f>Table2[[#This Row],[PREÇO UNITARIO]]*Table2[[#This Row],[QUANTIDADE]]</f>
        <v>100.16</v>
      </c>
      <c r="Z601" s="15"/>
      <c r="AA601" s="28">
        <f>MONTH(Table2[[#This Row],[DATA PEDIDO HP]])</f>
        <v>8</v>
      </c>
      <c r="AB601" s="32" t="s">
        <v>42</v>
      </c>
      <c r="AC601" s="5">
        <f t="shared" ca="1" si="9"/>
        <v>46232</v>
      </c>
      <c r="AD601" s="331">
        <f ca="1">_xlfn.DAYS(Table2[[#This Row],[HOJE]],Table2[[#This Row],[DATA PEDIDO HP]])</f>
        <v>345</v>
      </c>
      <c r="AE601" s="336" t="s">
        <v>43</v>
      </c>
    </row>
    <row r="602" spans="1:31" ht="14.45" hidden="1">
      <c r="A602" s="269" t="s">
        <v>2007</v>
      </c>
      <c r="B602" s="26">
        <v>45887</v>
      </c>
      <c r="C602" s="26">
        <v>45887</v>
      </c>
      <c r="D602" s="14" t="s">
        <v>2008</v>
      </c>
      <c r="E602" s="14" t="s">
        <v>85</v>
      </c>
      <c r="F602" s="14" t="s">
        <v>74</v>
      </c>
      <c r="G602" s="14">
        <v>50000260</v>
      </c>
      <c r="H602" s="14" t="s">
        <v>130</v>
      </c>
      <c r="I602" s="14" t="s">
        <v>497</v>
      </c>
      <c r="J602" s="14">
        <v>1</v>
      </c>
      <c r="K602" s="14" t="s">
        <v>37</v>
      </c>
      <c r="L602" s="14" t="s">
        <v>48</v>
      </c>
      <c r="M602" s="14" t="s">
        <v>58</v>
      </c>
      <c r="N602" s="14" t="s">
        <v>58</v>
      </c>
      <c r="O602" s="15">
        <v>1</v>
      </c>
      <c r="P602" s="15">
        <v>1</v>
      </c>
      <c r="Q602" s="15">
        <v>135180</v>
      </c>
      <c r="R602" s="15"/>
      <c r="S602" s="25"/>
      <c r="T602" s="25">
        <v>45927</v>
      </c>
      <c r="U602" s="25">
        <v>45932</v>
      </c>
      <c r="V602" s="15" t="s">
        <v>1153</v>
      </c>
      <c r="W602" s="15"/>
      <c r="X602" s="27">
        <v>17.28</v>
      </c>
      <c r="Y602" s="27">
        <f>Table2[[#This Row],[PREÇO UNITARIO]]*Table2[[#This Row],[QUANTIDADE]]</f>
        <v>17.28</v>
      </c>
      <c r="Z602" s="15"/>
      <c r="AA602" s="28">
        <f>MONTH(Table2[[#This Row],[DATA PEDIDO HP]])</f>
        <v>8</v>
      </c>
      <c r="AB602" s="32" t="s">
        <v>42</v>
      </c>
      <c r="AC602" s="5">
        <f t="shared" ca="1" si="9"/>
        <v>46232</v>
      </c>
      <c r="AD602" s="331">
        <f ca="1">_xlfn.DAYS(Table2[[#This Row],[HOJE]],Table2[[#This Row],[DATA PEDIDO HP]])</f>
        <v>345</v>
      </c>
      <c r="AE602" s="5" t="s">
        <v>43</v>
      </c>
    </row>
    <row r="603" spans="1:31" ht="14.45" hidden="1">
      <c r="A603" s="299" t="s">
        <v>2009</v>
      </c>
      <c r="B603" s="26">
        <v>45887</v>
      </c>
      <c r="C603" s="26">
        <v>45887</v>
      </c>
      <c r="D603" s="14" t="s">
        <v>2010</v>
      </c>
      <c r="E603" s="14" t="s">
        <v>1196</v>
      </c>
      <c r="F603" s="14" t="s">
        <v>1197</v>
      </c>
      <c r="G603" s="14">
        <v>51100064</v>
      </c>
      <c r="H603" s="14" t="s">
        <v>2011</v>
      </c>
      <c r="I603" s="14" t="s">
        <v>2012</v>
      </c>
      <c r="J603" s="14">
        <v>1</v>
      </c>
      <c r="K603" s="14"/>
      <c r="L603" s="14"/>
      <c r="M603" s="14" t="s">
        <v>88</v>
      </c>
      <c r="N603" s="15" t="s">
        <v>89</v>
      </c>
      <c r="O603" s="15">
        <v>0</v>
      </c>
      <c r="P603" s="15">
        <v>1</v>
      </c>
      <c r="Q603" s="15"/>
      <c r="R603" s="15"/>
      <c r="S603" s="25">
        <v>46002</v>
      </c>
      <c r="T603" s="25">
        <v>45979</v>
      </c>
      <c r="U603" s="25">
        <v>45993</v>
      </c>
      <c r="V603" s="15" t="s">
        <v>1290</v>
      </c>
      <c r="W603" s="15"/>
      <c r="X603" s="27">
        <v>29.24</v>
      </c>
      <c r="Y603" s="27">
        <f>Table2[[#This Row],[PREÇO UNITARIO]]*Table2[[#This Row],[QUANTIDADE]]</f>
        <v>29.24</v>
      </c>
      <c r="Z603" s="15"/>
      <c r="AA603" s="28">
        <f>MONTH(Table2[[#This Row],[DATA PEDIDO HP]])</f>
        <v>8</v>
      </c>
      <c r="AB603" s="32" t="s">
        <v>60</v>
      </c>
      <c r="AC603" s="5">
        <f t="shared" ca="1" si="9"/>
        <v>46232</v>
      </c>
      <c r="AD603" s="331">
        <f ca="1">_xlfn.DAYS(Table2[[#This Row],[HOJE]],Table2[[#This Row],[DATA PEDIDO HP]])</f>
        <v>345</v>
      </c>
      <c r="AE603" s="336" t="s">
        <v>43</v>
      </c>
    </row>
    <row r="604" spans="1:31" ht="14.45" hidden="1">
      <c r="A604" s="269" t="s">
        <v>2013</v>
      </c>
      <c r="B604" s="26">
        <v>45887</v>
      </c>
      <c r="C604" s="26">
        <v>45887</v>
      </c>
      <c r="D604" s="14" t="s">
        <v>2014</v>
      </c>
      <c r="E604" s="14" t="s">
        <v>33</v>
      </c>
      <c r="F604" s="14" t="s">
        <v>34</v>
      </c>
      <c r="G604" s="14">
        <v>50110193</v>
      </c>
      <c r="H604" s="14" t="s">
        <v>98</v>
      </c>
      <c r="I604" s="14" t="s">
        <v>99</v>
      </c>
      <c r="J604" s="14">
        <v>1</v>
      </c>
      <c r="K604" s="14" t="s">
        <v>37</v>
      </c>
      <c r="L604" s="14" t="s">
        <v>48</v>
      </c>
      <c r="M604" s="14" t="s">
        <v>39</v>
      </c>
      <c r="N604" s="14" t="s">
        <v>39</v>
      </c>
      <c r="O604" s="15">
        <v>1</v>
      </c>
      <c r="P604" s="15">
        <v>1</v>
      </c>
      <c r="Q604" s="15">
        <v>135179</v>
      </c>
      <c r="R604" s="15"/>
      <c r="S604" s="25">
        <v>45936</v>
      </c>
      <c r="T604" s="25">
        <v>45927</v>
      </c>
      <c r="U604" s="25">
        <v>45932</v>
      </c>
      <c r="V604" s="15" t="s">
        <v>1153</v>
      </c>
      <c r="W604" s="15"/>
      <c r="X604" s="159">
        <v>255.99</v>
      </c>
      <c r="Y604" s="159">
        <f>Table2[[#This Row],[PREÇO UNITARIO]]*Table2[[#This Row],[QUANTIDADE]]</f>
        <v>255.99</v>
      </c>
      <c r="Z604" s="15"/>
      <c r="AA604" s="28">
        <f>MONTH(Table2[[#This Row],[DATA PEDIDO HP]])</f>
        <v>8</v>
      </c>
      <c r="AB604" s="32" t="s">
        <v>42</v>
      </c>
      <c r="AC604" s="5">
        <f t="shared" ca="1" si="9"/>
        <v>46232</v>
      </c>
      <c r="AD604" s="331">
        <f ca="1">_xlfn.DAYS(Table2[[#This Row],[HOJE]],Table2[[#This Row],[DATA PEDIDO HP]])</f>
        <v>345</v>
      </c>
      <c r="AE604" s="336" t="s">
        <v>43</v>
      </c>
    </row>
    <row r="605" spans="1:31" ht="14.45" hidden="1">
      <c r="A605" s="269" t="s">
        <v>2015</v>
      </c>
      <c r="B605" s="26">
        <v>45888</v>
      </c>
      <c r="C605" s="26">
        <v>45888</v>
      </c>
      <c r="D605" s="14" t="s">
        <v>2016</v>
      </c>
      <c r="E605" s="14" t="s">
        <v>73</v>
      </c>
      <c r="F605" s="14" t="s">
        <v>34</v>
      </c>
      <c r="G605" s="14">
        <v>50110372</v>
      </c>
      <c r="H605" s="14" t="s">
        <v>330</v>
      </c>
      <c r="I605" s="14" t="s">
        <v>2017</v>
      </c>
      <c r="J605" s="14">
        <v>1</v>
      </c>
      <c r="K605" s="14" t="s">
        <v>37</v>
      </c>
      <c r="L605" s="14" t="s">
        <v>217</v>
      </c>
      <c r="M605" s="14" t="s">
        <v>39</v>
      </c>
      <c r="N605" s="14" t="s">
        <v>39</v>
      </c>
      <c r="O605" s="15">
        <v>1</v>
      </c>
      <c r="P605" s="15">
        <v>1</v>
      </c>
      <c r="Q605" s="15">
        <v>135674</v>
      </c>
      <c r="R605" s="15"/>
      <c r="S605" s="25">
        <v>45950</v>
      </c>
      <c r="T605" s="25">
        <v>45927</v>
      </c>
      <c r="U605" s="25">
        <v>45932</v>
      </c>
      <c r="V605" s="15" t="s">
        <v>1153</v>
      </c>
      <c r="W605" s="15"/>
      <c r="X605" s="159">
        <v>35.19</v>
      </c>
      <c r="Y605" s="159">
        <f>Table2[[#This Row],[PREÇO UNITARIO]]*Table2[[#This Row],[QUANTIDADE]]</f>
        <v>35.19</v>
      </c>
      <c r="Z605" s="15"/>
      <c r="AA605" s="28">
        <f>MONTH(Table2[[#This Row],[DATA PEDIDO HP]])</f>
        <v>8</v>
      </c>
      <c r="AB605" s="32" t="s">
        <v>42</v>
      </c>
      <c r="AC605" s="5">
        <f t="shared" ca="1" si="9"/>
        <v>46232</v>
      </c>
      <c r="AD605" s="331">
        <f ca="1">_xlfn.DAYS(Table2[[#This Row],[HOJE]],Table2[[#This Row],[DATA PEDIDO HP]])</f>
        <v>344</v>
      </c>
      <c r="AE605" s="336" t="s">
        <v>43</v>
      </c>
    </row>
    <row r="606" spans="1:31" ht="14.45" hidden="1">
      <c r="A606" s="269" t="s">
        <v>2018</v>
      </c>
      <c r="B606" s="26">
        <v>45888</v>
      </c>
      <c r="C606" s="26">
        <v>45888</v>
      </c>
      <c r="D606" s="14" t="s">
        <v>2019</v>
      </c>
      <c r="E606" s="14" t="s">
        <v>103</v>
      </c>
      <c r="F606" s="14" t="s">
        <v>104</v>
      </c>
      <c r="G606" s="14">
        <v>51000323</v>
      </c>
      <c r="H606" s="14" t="s">
        <v>105</v>
      </c>
      <c r="I606" s="14" t="s">
        <v>2020</v>
      </c>
      <c r="J606" s="14">
        <v>1</v>
      </c>
      <c r="K606" s="14" t="s">
        <v>37</v>
      </c>
      <c r="L606" s="14" t="s">
        <v>96</v>
      </c>
      <c r="M606" s="14" t="s">
        <v>58</v>
      </c>
      <c r="N606" s="14" t="s">
        <v>58</v>
      </c>
      <c r="O606" s="15">
        <v>1</v>
      </c>
      <c r="P606" s="15">
        <v>1</v>
      </c>
      <c r="Q606" s="15">
        <v>135579</v>
      </c>
      <c r="R606" s="15"/>
      <c r="S606" s="25"/>
      <c r="T606" s="25">
        <v>45927</v>
      </c>
      <c r="U606" s="25">
        <v>45932</v>
      </c>
      <c r="V606" s="15" t="s">
        <v>1153</v>
      </c>
      <c r="W606" s="15"/>
      <c r="X606" s="27">
        <v>113.5</v>
      </c>
      <c r="Y606" s="27">
        <f>Table2[[#This Row],[PREÇO UNITARIO]]*Table2[[#This Row],[QUANTIDADE]]</f>
        <v>113.5</v>
      </c>
      <c r="Z606" s="15"/>
      <c r="AA606" s="28">
        <f>MONTH(Table2[[#This Row],[DATA PEDIDO HP]])</f>
        <v>8</v>
      </c>
      <c r="AB606" s="32" t="s">
        <v>42</v>
      </c>
      <c r="AC606" s="5">
        <f t="shared" ca="1" si="9"/>
        <v>46232</v>
      </c>
      <c r="AD606" s="331">
        <f ca="1">_xlfn.DAYS(Table2[[#This Row],[HOJE]],Table2[[#This Row],[DATA PEDIDO HP]])</f>
        <v>344</v>
      </c>
      <c r="AE606" s="5" t="s">
        <v>43</v>
      </c>
    </row>
    <row r="607" spans="1:31" ht="14.45" hidden="1">
      <c r="A607" s="269" t="s">
        <v>2021</v>
      </c>
      <c r="B607" s="26">
        <v>45889</v>
      </c>
      <c r="C607" s="26">
        <v>45889</v>
      </c>
      <c r="D607" s="14" t="s">
        <v>2022</v>
      </c>
      <c r="E607" s="14" t="s">
        <v>33</v>
      </c>
      <c r="F607" s="14" t="s">
        <v>34</v>
      </c>
      <c r="G607" s="14">
        <v>50110193</v>
      </c>
      <c r="H607" s="14" t="s">
        <v>2023</v>
      </c>
      <c r="I607" s="14" t="s">
        <v>2024</v>
      </c>
      <c r="J607" s="14">
        <v>1</v>
      </c>
      <c r="K607" s="14" t="s">
        <v>37</v>
      </c>
      <c r="L607" s="14" t="s">
        <v>96</v>
      </c>
      <c r="M607" s="14" t="s">
        <v>39</v>
      </c>
      <c r="N607" s="14" t="s">
        <v>39</v>
      </c>
      <c r="O607" s="15">
        <v>1</v>
      </c>
      <c r="P607" s="15">
        <v>1</v>
      </c>
      <c r="Q607" s="15">
        <v>135873</v>
      </c>
      <c r="R607" s="15"/>
      <c r="S607" s="25">
        <v>45936</v>
      </c>
      <c r="T607" s="25">
        <v>45927</v>
      </c>
      <c r="U607" s="25">
        <v>45932</v>
      </c>
      <c r="V607" s="15" t="s">
        <v>1153</v>
      </c>
      <c r="W607" s="15"/>
      <c r="X607" s="159">
        <v>50.63</v>
      </c>
      <c r="Y607" s="159">
        <f>Table2[[#This Row],[PREÇO UNITARIO]]*Table2[[#This Row],[QUANTIDADE]]</f>
        <v>50.63</v>
      </c>
      <c r="Z607" s="15"/>
      <c r="AA607" s="28">
        <f>MONTH(Table2[[#This Row],[DATA PEDIDO HP]])</f>
        <v>8</v>
      </c>
      <c r="AB607" s="32" t="s">
        <v>42</v>
      </c>
      <c r="AC607" s="5">
        <f t="shared" ca="1" si="9"/>
        <v>46232</v>
      </c>
      <c r="AD607" s="331">
        <f ca="1">_xlfn.DAYS(Table2[[#This Row],[HOJE]],Table2[[#This Row],[DATA PEDIDO HP]])</f>
        <v>343</v>
      </c>
      <c r="AE607" s="336" t="s">
        <v>43</v>
      </c>
    </row>
    <row r="608" spans="1:31" ht="14.45" hidden="1">
      <c r="A608" s="269" t="s">
        <v>2025</v>
      </c>
      <c r="B608" s="26">
        <v>45889</v>
      </c>
      <c r="C608" s="26">
        <v>45889</v>
      </c>
      <c r="D608" s="14" t="s">
        <v>2026</v>
      </c>
      <c r="E608" s="14" t="s">
        <v>33</v>
      </c>
      <c r="F608" s="14" t="s">
        <v>34</v>
      </c>
      <c r="G608" s="14">
        <v>50110193</v>
      </c>
      <c r="H608" s="14" t="s">
        <v>1459</v>
      </c>
      <c r="I608" s="14" t="s">
        <v>1460</v>
      </c>
      <c r="J608" s="14">
        <v>2</v>
      </c>
      <c r="K608" s="14" t="s">
        <v>67</v>
      </c>
      <c r="L608" s="14" t="s">
        <v>38</v>
      </c>
      <c r="M608" s="14" t="s">
        <v>88</v>
      </c>
      <c r="N608" s="15" t="s">
        <v>89</v>
      </c>
      <c r="O608" s="15">
        <v>0</v>
      </c>
      <c r="P608" s="15">
        <v>2</v>
      </c>
      <c r="Q608" s="15">
        <v>135905</v>
      </c>
      <c r="R608" s="15"/>
      <c r="S608" s="25">
        <v>45936</v>
      </c>
      <c r="T608" s="25">
        <v>45927</v>
      </c>
      <c r="U608" s="25">
        <v>45932</v>
      </c>
      <c r="V608" s="15" t="s">
        <v>1153</v>
      </c>
      <c r="W608" s="15"/>
      <c r="X608" s="159">
        <v>57.79</v>
      </c>
      <c r="Y608" s="159">
        <f>Table2[[#This Row],[PREÇO UNITARIO]]*Table2[[#This Row],[QUANTIDADE]]</f>
        <v>115.58</v>
      </c>
      <c r="Z608" s="15"/>
      <c r="AA608" s="28">
        <f>MONTH(Table2[[#This Row],[DATA PEDIDO HP]])</f>
        <v>8</v>
      </c>
      <c r="AB608" s="32" t="s">
        <v>42</v>
      </c>
      <c r="AC608" s="5">
        <f t="shared" ca="1" si="9"/>
        <v>46232</v>
      </c>
      <c r="AD608" s="331">
        <f ca="1">_xlfn.DAYS(Table2[[#This Row],[HOJE]],Table2[[#This Row],[DATA PEDIDO HP]])</f>
        <v>343</v>
      </c>
      <c r="AE608" s="336" t="s">
        <v>43</v>
      </c>
    </row>
    <row r="609" spans="1:31" ht="14.45" hidden="1">
      <c r="A609" s="269" t="s">
        <v>2025</v>
      </c>
      <c r="B609" s="26">
        <v>45889</v>
      </c>
      <c r="C609" s="26">
        <v>45889</v>
      </c>
      <c r="D609" s="14" t="s">
        <v>2026</v>
      </c>
      <c r="E609" s="14" t="s">
        <v>33</v>
      </c>
      <c r="F609" s="14" t="s">
        <v>34</v>
      </c>
      <c r="G609" s="14">
        <v>50110193</v>
      </c>
      <c r="H609" s="14" t="s">
        <v>2027</v>
      </c>
      <c r="I609" s="14" t="s">
        <v>2028</v>
      </c>
      <c r="J609" s="14">
        <v>2</v>
      </c>
      <c r="K609" s="14" t="s">
        <v>37</v>
      </c>
      <c r="L609" s="14" t="s">
        <v>38</v>
      </c>
      <c r="M609" s="14" t="s">
        <v>88</v>
      </c>
      <c r="N609" s="15" t="s">
        <v>89</v>
      </c>
      <c r="O609" s="15">
        <v>0</v>
      </c>
      <c r="P609" s="15">
        <v>2</v>
      </c>
      <c r="Q609" s="15">
        <v>135905</v>
      </c>
      <c r="R609" s="15"/>
      <c r="S609" s="25">
        <v>45936</v>
      </c>
      <c r="T609" s="25">
        <v>45927</v>
      </c>
      <c r="U609" s="25">
        <v>45932</v>
      </c>
      <c r="V609" s="15" t="s">
        <v>1153</v>
      </c>
      <c r="W609" s="15"/>
      <c r="X609" s="159">
        <v>173.35</v>
      </c>
      <c r="Y609" s="159">
        <f>Table2[[#This Row],[PREÇO UNITARIO]]*Table2[[#This Row],[QUANTIDADE]]</f>
        <v>346.7</v>
      </c>
      <c r="Z609" s="15"/>
      <c r="AA609" s="28">
        <f>MONTH(Table2[[#This Row],[DATA PEDIDO HP]])</f>
        <v>8</v>
      </c>
      <c r="AB609" s="32" t="s">
        <v>42</v>
      </c>
      <c r="AC609" s="5">
        <f t="shared" ca="1" si="9"/>
        <v>46232</v>
      </c>
      <c r="AD609" s="331">
        <f ca="1">_xlfn.DAYS(Table2[[#This Row],[HOJE]],Table2[[#This Row],[DATA PEDIDO HP]])</f>
        <v>343</v>
      </c>
      <c r="AE609" s="336" t="s">
        <v>43</v>
      </c>
    </row>
    <row r="610" spans="1:31" ht="14.45" hidden="1">
      <c r="A610" s="297" t="s">
        <v>2025</v>
      </c>
      <c r="B610" s="26">
        <v>45889</v>
      </c>
      <c r="C610" s="26">
        <v>45889</v>
      </c>
      <c r="D610" s="14" t="s">
        <v>2026</v>
      </c>
      <c r="E610" s="14" t="s">
        <v>33</v>
      </c>
      <c r="F610" s="14" t="s">
        <v>34</v>
      </c>
      <c r="G610" s="14">
        <v>50110193</v>
      </c>
      <c r="H610" s="14" t="s">
        <v>2029</v>
      </c>
      <c r="I610" s="14" t="s">
        <v>2030</v>
      </c>
      <c r="J610" s="14">
        <v>2</v>
      </c>
      <c r="K610" s="14" t="s">
        <v>37</v>
      </c>
      <c r="L610" s="14" t="s">
        <v>38</v>
      </c>
      <c r="M610" s="14" t="s">
        <v>88</v>
      </c>
      <c r="N610" s="15" t="s">
        <v>89</v>
      </c>
      <c r="O610" s="15">
        <v>0</v>
      </c>
      <c r="P610" s="15">
        <v>2</v>
      </c>
      <c r="Q610" s="15">
        <v>135905</v>
      </c>
      <c r="R610" s="15" t="s">
        <v>2031</v>
      </c>
      <c r="S610" s="25">
        <v>45996</v>
      </c>
      <c r="T610" s="25">
        <v>45979</v>
      </c>
      <c r="U610" s="25">
        <v>45993</v>
      </c>
      <c r="V610" s="15" t="s">
        <v>1290</v>
      </c>
      <c r="W610" s="15"/>
      <c r="X610" s="27">
        <v>49.97</v>
      </c>
      <c r="Y610" s="27">
        <f>Table2[[#This Row],[PREÇO UNITARIO]]*Table2[[#This Row],[QUANTIDADE]]</f>
        <v>99.94</v>
      </c>
      <c r="Z610" s="15"/>
      <c r="AA610" s="28">
        <f>MONTH(Table2[[#This Row],[DATA PEDIDO HP]])</f>
        <v>8</v>
      </c>
      <c r="AB610" s="32" t="s">
        <v>42</v>
      </c>
      <c r="AC610" s="5">
        <f t="shared" ca="1" si="9"/>
        <v>46232</v>
      </c>
      <c r="AD610" s="331">
        <f ca="1">_xlfn.DAYS(Table2[[#This Row],[HOJE]],Table2[[#This Row],[DATA PEDIDO HP]])</f>
        <v>343</v>
      </c>
      <c r="AE610" s="336" t="s">
        <v>43</v>
      </c>
    </row>
    <row r="611" spans="1:31" ht="14.45" hidden="1">
      <c r="A611" s="269" t="s">
        <v>2025</v>
      </c>
      <c r="B611" s="26">
        <v>45889</v>
      </c>
      <c r="C611" s="26">
        <v>45889</v>
      </c>
      <c r="D611" s="14" t="s">
        <v>2026</v>
      </c>
      <c r="E611" s="14" t="s">
        <v>33</v>
      </c>
      <c r="F611" s="14" t="s">
        <v>34</v>
      </c>
      <c r="G611" s="14">
        <v>50110193</v>
      </c>
      <c r="H611" s="14" t="s">
        <v>2032</v>
      </c>
      <c r="I611" s="14" t="s">
        <v>2033</v>
      </c>
      <c r="J611" s="14">
        <v>2</v>
      </c>
      <c r="K611" s="14" t="s">
        <v>37</v>
      </c>
      <c r="L611" s="14" t="s">
        <v>38</v>
      </c>
      <c r="M611" s="14" t="s">
        <v>88</v>
      </c>
      <c r="N611" s="15" t="s">
        <v>89</v>
      </c>
      <c r="O611" s="15">
        <v>0</v>
      </c>
      <c r="P611" s="15">
        <v>2</v>
      </c>
      <c r="Q611" s="15">
        <v>135905</v>
      </c>
      <c r="R611" s="15"/>
      <c r="S611" s="25">
        <v>45936</v>
      </c>
      <c r="T611" s="25">
        <v>45927</v>
      </c>
      <c r="U611" s="25">
        <v>45932</v>
      </c>
      <c r="V611" s="15" t="s">
        <v>1153</v>
      </c>
      <c r="W611" s="15"/>
      <c r="X611" s="159">
        <v>74.23</v>
      </c>
      <c r="Y611" s="159">
        <f>Table2[[#This Row],[PREÇO UNITARIO]]*Table2[[#This Row],[QUANTIDADE]]</f>
        <v>148.46</v>
      </c>
      <c r="Z611" s="15"/>
      <c r="AA611" s="28">
        <f>MONTH(Table2[[#This Row],[DATA PEDIDO HP]])</f>
        <v>8</v>
      </c>
      <c r="AB611" s="32" t="s">
        <v>42</v>
      </c>
      <c r="AC611" s="5">
        <f t="shared" ca="1" si="9"/>
        <v>46232</v>
      </c>
      <c r="AD611" s="331">
        <f ca="1">_xlfn.DAYS(Table2[[#This Row],[HOJE]],Table2[[#This Row],[DATA PEDIDO HP]])</f>
        <v>343</v>
      </c>
      <c r="AE611" s="336" t="s">
        <v>43</v>
      </c>
    </row>
    <row r="612" spans="1:31" ht="14.45" hidden="1">
      <c r="A612" s="297" t="s">
        <v>2034</v>
      </c>
      <c r="B612" s="26">
        <v>45889</v>
      </c>
      <c r="C612" s="26">
        <v>45889</v>
      </c>
      <c r="D612" s="14" t="s">
        <v>2026</v>
      </c>
      <c r="E612" s="14" t="s">
        <v>33</v>
      </c>
      <c r="F612" s="14" t="s">
        <v>34</v>
      </c>
      <c r="G612" s="14">
        <v>50110193</v>
      </c>
      <c r="H612" s="14" t="s">
        <v>2035</v>
      </c>
      <c r="I612" s="14" t="s">
        <v>2036</v>
      </c>
      <c r="J612" s="14">
        <v>1</v>
      </c>
      <c r="K612" s="14" t="s">
        <v>67</v>
      </c>
      <c r="L612" s="14" t="s">
        <v>38</v>
      </c>
      <c r="M612" s="15" t="s">
        <v>384</v>
      </c>
      <c r="N612" s="15" t="s">
        <v>384</v>
      </c>
      <c r="O612" s="15">
        <v>0</v>
      </c>
      <c r="P612" s="15">
        <v>1</v>
      </c>
      <c r="Q612" s="15">
        <v>135905</v>
      </c>
      <c r="R612" s="15"/>
      <c r="S612" s="25">
        <v>45996</v>
      </c>
      <c r="T612" s="25">
        <v>45979</v>
      </c>
      <c r="U612" s="25">
        <v>45993</v>
      </c>
      <c r="V612" s="15" t="s">
        <v>1290</v>
      </c>
      <c r="W612" s="15"/>
      <c r="X612" s="27"/>
      <c r="Y612" s="27">
        <v>666.63</v>
      </c>
      <c r="Z612" s="14" t="s">
        <v>2037</v>
      </c>
      <c r="AA612" s="28">
        <f>MONTH(Table2[[#This Row],[DATA PEDIDO HP]])</f>
        <v>8</v>
      </c>
      <c r="AB612" s="32"/>
      <c r="AC612" s="5">
        <f t="shared" ca="1" si="9"/>
        <v>46232</v>
      </c>
      <c r="AD612" s="331">
        <f ca="1">_xlfn.DAYS(Table2[[#This Row],[HOJE]],Table2[[#This Row],[DATA PEDIDO HP]])</f>
        <v>343</v>
      </c>
      <c r="AE612" s="336" t="s">
        <v>43</v>
      </c>
    </row>
    <row r="613" spans="1:31" ht="14.45" hidden="1">
      <c r="A613" s="269" t="s">
        <v>2038</v>
      </c>
      <c r="B613" s="26">
        <v>45889</v>
      </c>
      <c r="C613" s="26">
        <v>45889</v>
      </c>
      <c r="D613" s="14" t="s">
        <v>2039</v>
      </c>
      <c r="E613" s="14" t="s">
        <v>118</v>
      </c>
      <c r="F613" s="14" t="s">
        <v>104</v>
      </c>
      <c r="G613" s="14">
        <v>51000174</v>
      </c>
      <c r="H613" s="14" t="s">
        <v>2040</v>
      </c>
      <c r="I613" s="14" t="s">
        <v>2041</v>
      </c>
      <c r="J613" s="14">
        <v>1</v>
      </c>
      <c r="K613" s="14" t="s">
        <v>67</v>
      </c>
      <c r="L613" s="14" t="s">
        <v>96</v>
      </c>
      <c r="M613" s="14" t="s">
        <v>88</v>
      </c>
      <c r="N613" s="15" t="s">
        <v>89</v>
      </c>
      <c r="O613" s="15">
        <v>0</v>
      </c>
      <c r="P613" s="15">
        <v>1</v>
      </c>
      <c r="Q613" s="15">
        <v>136202</v>
      </c>
      <c r="R613" s="15"/>
      <c r="S613" s="25">
        <v>45936</v>
      </c>
      <c r="T613" s="25">
        <v>45927</v>
      </c>
      <c r="U613" s="25">
        <v>45932</v>
      </c>
      <c r="V613" s="15" t="s">
        <v>1153</v>
      </c>
      <c r="W613" s="15"/>
      <c r="X613" s="159">
        <v>302.12</v>
      </c>
      <c r="Y613" s="159">
        <f>Table2[[#This Row],[PREÇO UNITARIO]]*Table2[[#This Row],[QUANTIDADE]]</f>
        <v>302.12</v>
      </c>
      <c r="Z613" s="15"/>
      <c r="AA613" s="28">
        <f>MONTH(Table2[[#This Row],[DATA PEDIDO HP]])</f>
        <v>8</v>
      </c>
      <c r="AB613" s="32" t="s">
        <v>60</v>
      </c>
      <c r="AC613" s="5">
        <f t="shared" ca="1" si="9"/>
        <v>46232</v>
      </c>
      <c r="AD613" s="331">
        <f ca="1">_xlfn.DAYS(Table2[[#This Row],[HOJE]],Table2[[#This Row],[DATA PEDIDO HP]])</f>
        <v>343</v>
      </c>
      <c r="AE613" s="336" t="s">
        <v>43</v>
      </c>
    </row>
    <row r="614" spans="1:31" ht="14.45" hidden="1">
      <c r="A614" s="269" t="s">
        <v>2042</v>
      </c>
      <c r="B614" s="26">
        <v>45889</v>
      </c>
      <c r="C614" s="26">
        <v>45889</v>
      </c>
      <c r="D614" s="14" t="s">
        <v>2043</v>
      </c>
      <c r="E614" s="14" t="s">
        <v>54</v>
      </c>
      <c r="F614" s="14" t="s">
        <v>55</v>
      </c>
      <c r="G614" s="14">
        <v>44000216</v>
      </c>
      <c r="H614" s="14" t="s">
        <v>2044</v>
      </c>
      <c r="I614" s="14" t="s">
        <v>2045</v>
      </c>
      <c r="J614" s="14">
        <v>1</v>
      </c>
      <c r="K614" s="14" t="s">
        <v>37</v>
      </c>
      <c r="L614" s="14" t="s">
        <v>294</v>
      </c>
      <c r="M614" s="14" t="s">
        <v>88</v>
      </c>
      <c r="N614" s="15" t="s">
        <v>89</v>
      </c>
      <c r="O614" s="15">
        <v>0</v>
      </c>
      <c r="P614" s="15">
        <v>1</v>
      </c>
      <c r="Q614" s="15">
        <v>131947</v>
      </c>
      <c r="R614" s="15"/>
      <c r="S614" s="25">
        <v>45950</v>
      </c>
      <c r="T614" s="25">
        <v>45927</v>
      </c>
      <c r="U614" s="25">
        <v>45932</v>
      </c>
      <c r="V614" s="15" t="s">
        <v>1153</v>
      </c>
      <c r="W614" s="15"/>
      <c r="X614" s="159">
        <v>114.54</v>
      </c>
      <c r="Y614" s="159">
        <f>Table2[[#This Row],[PREÇO UNITARIO]]*Table2[[#This Row],[QUANTIDADE]]</f>
        <v>114.54</v>
      </c>
      <c r="Z614" s="15"/>
      <c r="AA614" s="28">
        <f>MONTH(Table2[[#This Row],[DATA PEDIDO HP]])</f>
        <v>8</v>
      </c>
      <c r="AB614" s="32" t="s">
        <v>60</v>
      </c>
      <c r="AC614" s="5">
        <f t="shared" ca="1" si="9"/>
        <v>46232</v>
      </c>
      <c r="AD614" s="331">
        <f ca="1">_xlfn.DAYS(Table2[[#This Row],[HOJE]],Table2[[#This Row],[DATA PEDIDO HP]])</f>
        <v>343</v>
      </c>
      <c r="AE614" s="336" t="s">
        <v>43</v>
      </c>
    </row>
    <row r="615" spans="1:31" ht="14.45" hidden="1">
      <c r="A615" s="299" t="s">
        <v>2046</v>
      </c>
      <c r="B615" s="26">
        <v>45889</v>
      </c>
      <c r="C615" s="26">
        <v>45889</v>
      </c>
      <c r="D615" s="14" t="s">
        <v>2047</v>
      </c>
      <c r="E615" s="14" t="s">
        <v>181</v>
      </c>
      <c r="F615" s="14" t="s">
        <v>34</v>
      </c>
      <c r="G615" s="14">
        <v>50110057</v>
      </c>
      <c r="H615" s="14" t="s">
        <v>2035</v>
      </c>
      <c r="I615" s="14" t="s">
        <v>2036</v>
      </c>
      <c r="J615" s="14">
        <v>1</v>
      </c>
      <c r="K615" s="14" t="s">
        <v>37</v>
      </c>
      <c r="L615" s="14" t="s">
        <v>38</v>
      </c>
      <c r="M615" s="15" t="s">
        <v>384</v>
      </c>
      <c r="N615" s="15" t="s">
        <v>384</v>
      </c>
      <c r="O615" s="15">
        <v>0</v>
      </c>
      <c r="P615" s="15">
        <v>1</v>
      </c>
      <c r="Q615" s="15">
        <v>136235</v>
      </c>
      <c r="R615" s="15"/>
      <c r="S615" s="25">
        <v>46002</v>
      </c>
      <c r="T615" s="25">
        <v>45979</v>
      </c>
      <c r="U615" s="25">
        <v>45993</v>
      </c>
      <c r="V615" s="15" t="s">
        <v>1290</v>
      </c>
      <c r="W615" s="15"/>
      <c r="X615" s="27"/>
      <c r="Y615" s="27">
        <v>666.63</v>
      </c>
      <c r="Z615" s="14" t="s">
        <v>2048</v>
      </c>
      <c r="AA615" s="28">
        <f>MONTH(Table2[[#This Row],[DATA PEDIDO HP]])</f>
        <v>8</v>
      </c>
      <c r="AB615" s="32"/>
      <c r="AC615" s="5">
        <f t="shared" ca="1" si="9"/>
        <v>46232</v>
      </c>
      <c r="AD615" s="331">
        <f ca="1">_xlfn.DAYS(Table2[[#This Row],[HOJE]],Table2[[#This Row],[DATA PEDIDO HP]])</f>
        <v>343</v>
      </c>
      <c r="AE615" s="336" t="s">
        <v>43</v>
      </c>
    </row>
    <row r="616" spans="1:31" ht="14.45" hidden="1">
      <c r="A616" s="269" t="s">
        <v>2046</v>
      </c>
      <c r="B616" s="26">
        <v>45889</v>
      </c>
      <c r="C616" s="26">
        <v>45889</v>
      </c>
      <c r="D616" s="14" t="s">
        <v>2047</v>
      </c>
      <c r="E616" s="14" t="s">
        <v>181</v>
      </c>
      <c r="F616" s="14" t="s">
        <v>34</v>
      </c>
      <c r="G616" s="14">
        <v>50110057</v>
      </c>
      <c r="H616" s="14" t="s">
        <v>545</v>
      </c>
      <c r="I616" s="14" t="s">
        <v>1677</v>
      </c>
      <c r="J616" s="14">
        <v>1</v>
      </c>
      <c r="K616" s="14" t="s">
        <v>37</v>
      </c>
      <c r="L616" s="14" t="s">
        <v>38</v>
      </c>
      <c r="M616" s="14" t="s">
        <v>88</v>
      </c>
      <c r="N616" s="15" t="s">
        <v>89</v>
      </c>
      <c r="O616" s="15">
        <v>0</v>
      </c>
      <c r="P616" s="15">
        <v>1</v>
      </c>
      <c r="Q616" s="15">
        <v>136235</v>
      </c>
      <c r="R616" s="15"/>
      <c r="S616" s="25"/>
      <c r="T616" s="25">
        <v>45927</v>
      </c>
      <c r="U616" s="25">
        <v>45932</v>
      </c>
      <c r="V616" s="15" t="s">
        <v>1153</v>
      </c>
      <c r="W616" s="15"/>
      <c r="X616" s="159">
        <v>898.2</v>
      </c>
      <c r="Y616" s="159">
        <f>Table2[[#This Row],[PREÇO UNITARIO]]*Table2[[#This Row],[QUANTIDADE]]</f>
        <v>898.2</v>
      </c>
      <c r="Z616" s="15"/>
      <c r="AA616" s="28">
        <f>MONTH(Table2[[#This Row],[DATA PEDIDO HP]])</f>
        <v>8</v>
      </c>
      <c r="AB616" s="32" t="s">
        <v>42</v>
      </c>
      <c r="AC616" s="5">
        <f t="shared" ca="1" si="9"/>
        <v>46232</v>
      </c>
      <c r="AD616" s="331">
        <f ca="1">_xlfn.DAYS(Table2[[#This Row],[HOJE]],Table2[[#This Row],[DATA PEDIDO HP]])</f>
        <v>343</v>
      </c>
      <c r="AE616" s="5" t="s">
        <v>43</v>
      </c>
    </row>
    <row r="617" spans="1:31" ht="14.45" hidden="1">
      <c r="A617" s="269" t="s">
        <v>2049</v>
      </c>
      <c r="B617" s="26">
        <v>45890</v>
      </c>
      <c r="C617" s="26">
        <v>45890</v>
      </c>
      <c r="D617" s="14" t="s">
        <v>2050</v>
      </c>
      <c r="E617" s="14" t="s">
        <v>225</v>
      </c>
      <c r="F617" s="14" t="s">
        <v>34</v>
      </c>
      <c r="G617" s="14">
        <v>50110261</v>
      </c>
      <c r="H617" s="14" t="s">
        <v>2051</v>
      </c>
      <c r="I617" s="14" t="s">
        <v>2052</v>
      </c>
      <c r="J617" s="14">
        <v>2</v>
      </c>
      <c r="K617" s="14" t="s">
        <v>37</v>
      </c>
      <c r="L617" s="14" t="s">
        <v>48</v>
      </c>
      <c r="M617" s="14" t="s">
        <v>88</v>
      </c>
      <c r="N617" s="15" t="s">
        <v>89</v>
      </c>
      <c r="O617" s="15">
        <v>0</v>
      </c>
      <c r="P617" s="15">
        <v>2</v>
      </c>
      <c r="Q617" s="15">
        <v>135575</v>
      </c>
      <c r="R617" s="15"/>
      <c r="S617" s="25">
        <v>45950</v>
      </c>
      <c r="T617" s="25">
        <v>45927</v>
      </c>
      <c r="U617" s="25">
        <v>45932</v>
      </c>
      <c r="V617" s="15" t="s">
        <v>1153</v>
      </c>
      <c r="W617" s="15"/>
      <c r="X617" s="159">
        <v>54.61</v>
      </c>
      <c r="Y617" s="159">
        <f>Table2[[#This Row],[PREÇO UNITARIO]]*Table2[[#This Row],[QUANTIDADE]]</f>
        <v>109.22</v>
      </c>
      <c r="Z617" s="15"/>
      <c r="AA617" s="28">
        <f>MONTH(Table2[[#This Row],[DATA PEDIDO HP]])</f>
        <v>8</v>
      </c>
      <c r="AB617" s="32" t="s">
        <v>60</v>
      </c>
      <c r="AC617" s="5">
        <f t="shared" ca="1" si="9"/>
        <v>46232</v>
      </c>
      <c r="AD617" s="331">
        <f ca="1">_xlfn.DAYS(Table2[[#This Row],[HOJE]],Table2[[#This Row],[DATA PEDIDO HP]])</f>
        <v>342</v>
      </c>
      <c r="AE617" s="336" t="s">
        <v>43</v>
      </c>
    </row>
    <row r="618" spans="1:31" ht="14.45" hidden="1">
      <c r="A618" s="269" t="s">
        <v>2053</v>
      </c>
      <c r="B618" s="26">
        <v>45890</v>
      </c>
      <c r="C618" s="26">
        <v>45890</v>
      </c>
      <c r="D618" s="14" t="s">
        <v>2054</v>
      </c>
      <c r="E618" s="14" t="s">
        <v>54</v>
      </c>
      <c r="F618" s="14" t="s">
        <v>173</v>
      </c>
      <c r="G618" s="14">
        <v>48300315</v>
      </c>
      <c r="H618" s="14" t="s">
        <v>335</v>
      </c>
      <c r="I618" s="14" t="s">
        <v>1136</v>
      </c>
      <c r="J618" s="14">
        <v>1</v>
      </c>
      <c r="K618" s="14" t="s">
        <v>37</v>
      </c>
      <c r="L618" s="14" t="s">
        <v>96</v>
      </c>
      <c r="M618" s="14" t="s">
        <v>58</v>
      </c>
      <c r="N618" s="14" t="s">
        <v>58</v>
      </c>
      <c r="O618" s="15">
        <v>1</v>
      </c>
      <c r="P618" s="15">
        <v>1</v>
      </c>
      <c r="Q618" s="15">
        <v>136301</v>
      </c>
      <c r="R618" s="15"/>
      <c r="S618" s="25"/>
      <c r="T618" s="25">
        <v>45927</v>
      </c>
      <c r="U618" s="25">
        <v>45932</v>
      </c>
      <c r="V618" s="15" t="s">
        <v>1153</v>
      </c>
      <c r="W618" s="15"/>
      <c r="X618" s="27">
        <v>79.989999999999995</v>
      </c>
      <c r="Y618" s="27">
        <f>Table2[[#This Row],[PREÇO UNITARIO]]*Table2[[#This Row],[QUANTIDADE]]</f>
        <v>79.989999999999995</v>
      </c>
      <c r="Z618" s="15"/>
      <c r="AA618" s="28">
        <f>MONTH(Table2[[#This Row],[DATA PEDIDO HP]])</f>
        <v>8</v>
      </c>
      <c r="AB618" s="32" t="s">
        <v>60</v>
      </c>
      <c r="AC618" s="5">
        <f t="shared" ca="1" si="9"/>
        <v>46232</v>
      </c>
      <c r="AD618" s="331">
        <f ca="1">_xlfn.DAYS(Table2[[#This Row],[HOJE]],Table2[[#This Row],[DATA PEDIDO HP]])</f>
        <v>342</v>
      </c>
      <c r="AE618" s="5" t="s">
        <v>43</v>
      </c>
    </row>
    <row r="619" spans="1:31" ht="14.45" hidden="1">
      <c r="A619" s="269" t="s">
        <v>2055</v>
      </c>
      <c r="B619" s="26">
        <v>45890</v>
      </c>
      <c r="C619" s="26">
        <v>45890</v>
      </c>
      <c r="D619" s="14" t="s">
        <v>2056</v>
      </c>
      <c r="E619" s="14" t="s">
        <v>63</v>
      </c>
      <c r="F619" s="14" t="s">
        <v>173</v>
      </c>
      <c r="G619" s="14">
        <v>48300301</v>
      </c>
      <c r="H619" s="14" t="s">
        <v>2057</v>
      </c>
      <c r="I619" s="14" t="s">
        <v>2058</v>
      </c>
      <c r="J619" s="14">
        <v>1</v>
      </c>
      <c r="K619" s="14" t="s">
        <v>67</v>
      </c>
      <c r="L619" s="14" t="s">
        <v>2059</v>
      </c>
      <c r="M619" s="14" t="s">
        <v>88</v>
      </c>
      <c r="N619" s="15" t="s">
        <v>89</v>
      </c>
      <c r="O619" s="15">
        <v>0</v>
      </c>
      <c r="P619" s="15">
        <v>1</v>
      </c>
      <c r="Q619" s="15">
        <v>135839</v>
      </c>
      <c r="R619" s="15" t="s">
        <v>2060</v>
      </c>
      <c r="S619" s="25"/>
      <c r="T619" s="25">
        <v>45904</v>
      </c>
      <c r="U619" s="25">
        <v>45909</v>
      </c>
      <c r="V619" s="279" t="s">
        <v>2061</v>
      </c>
      <c r="W619" s="15"/>
      <c r="X619" s="27">
        <v>2887.31</v>
      </c>
      <c r="Y619" s="27">
        <f>Table2[[#This Row],[PREÇO UNITARIO]]*Table2[[#This Row],[QUANTIDADE]]</f>
        <v>2887.31</v>
      </c>
      <c r="Z619" s="15"/>
      <c r="AA619" s="28">
        <f>MONTH(Table2[[#This Row],[DATA PEDIDO HP]])</f>
        <v>8</v>
      </c>
      <c r="AB619" s="32" t="s">
        <v>60</v>
      </c>
      <c r="AC619" s="5">
        <f t="shared" ca="1" si="9"/>
        <v>46232</v>
      </c>
      <c r="AD619" s="331">
        <f ca="1">_xlfn.DAYS(Table2[[#This Row],[HOJE]],Table2[[#This Row],[DATA PEDIDO HP]])</f>
        <v>342</v>
      </c>
      <c r="AE619" s="5" t="s">
        <v>43</v>
      </c>
    </row>
    <row r="620" spans="1:31" ht="14.45" hidden="1">
      <c r="A620" s="269" t="s">
        <v>2062</v>
      </c>
      <c r="B620" s="26">
        <v>45890</v>
      </c>
      <c r="C620" s="26">
        <v>45890</v>
      </c>
      <c r="D620" s="14" t="s">
        <v>2063</v>
      </c>
      <c r="E620" s="14" t="s">
        <v>109</v>
      </c>
      <c r="F620" s="14" t="s">
        <v>34</v>
      </c>
      <c r="G620" s="14">
        <v>50110229</v>
      </c>
      <c r="H620" s="14" t="s">
        <v>35</v>
      </c>
      <c r="I620" s="14" t="s">
        <v>682</v>
      </c>
      <c r="J620" s="14">
        <v>1</v>
      </c>
      <c r="K620" s="14" t="s">
        <v>37</v>
      </c>
      <c r="L620" s="14" t="s">
        <v>48</v>
      </c>
      <c r="M620" s="14" t="s">
        <v>39</v>
      </c>
      <c r="N620" s="14" t="s">
        <v>39</v>
      </c>
      <c r="O620" s="15">
        <v>1</v>
      </c>
      <c r="P620" s="15">
        <v>1</v>
      </c>
      <c r="Q620" s="15">
        <v>136334</v>
      </c>
      <c r="R620" s="15"/>
      <c r="S620" s="25">
        <v>45950</v>
      </c>
      <c r="T620" s="25">
        <v>45927</v>
      </c>
      <c r="U620" s="25">
        <v>45932</v>
      </c>
      <c r="V620" s="15" t="s">
        <v>1153</v>
      </c>
      <c r="W620" s="15"/>
      <c r="X620" s="159">
        <v>790.42</v>
      </c>
      <c r="Y620" s="159">
        <f>Table2[[#This Row],[PREÇO UNITARIO]]*Table2[[#This Row],[QUANTIDADE]]</f>
        <v>790.42</v>
      </c>
      <c r="Z620" s="15"/>
      <c r="AA620" s="28">
        <f>MONTH(Table2[[#This Row],[DATA PEDIDO HP]])</f>
        <v>8</v>
      </c>
      <c r="AB620" s="32" t="s">
        <v>42</v>
      </c>
      <c r="AC620" s="5">
        <f t="shared" ca="1" si="9"/>
        <v>46232</v>
      </c>
      <c r="AD620" s="331">
        <f ca="1">_xlfn.DAYS(Table2[[#This Row],[HOJE]],Table2[[#This Row],[DATA PEDIDO HP]])</f>
        <v>342</v>
      </c>
      <c r="AE620" s="336" t="s">
        <v>43</v>
      </c>
    </row>
    <row r="621" spans="1:31" ht="14.45" hidden="1">
      <c r="A621" s="297" t="s">
        <v>2064</v>
      </c>
      <c r="B621" s="25">
        <v>45895</v>
      </c>
      <c r="C621" s="26">
        <v>45889</v>
      </c>
      <c r="D621" s="14" t="s">
        <v>2065</v>
      </c>
      <c r="E621" s="14" t="s">
        <v>2066</v>
      </c>
      <c r="F621" s="14" t="s">
        <v>899</v>
      </c>
      <c r="G621" s="14">
        <v>48500706</v>
      </c>
      <c r="H621" s="14" t="s">
        <v>856</v>
      </c>
      <c r="I621" s="14" t="s">
        <v>1877</v>
      </c>
      <c r="J621" s="14">
        <v>1</v>
      </c>
      <c r="K621" s="14" t="s">
        <v>37</v>
      </c>
      <c r="L621" s="14" t="s">
        <v>2067</v>
      </c>
      <c r="M621" s="14" t="s">
        <v>39</v>
      </c>
      <c r="N621" s="14" t="s">
        <v>39</v>
      </c>
      <c r="O621" s="15">
        <v>1</v>
      </c>
      <c r="P621" s="15">
        <v>1</v>
      </c>
      <c r="Q621" s="15">
        <v>133595</v>
      </c>
      <c r="R621" s="15"/>
      <c r="S621" s="25">
        <v>45996</v>
      </c>
      <c r="T621" s="25">
        <v>45979</v>
      </c>
      <c r="U621" s="25">
        <v>45993</v>
      </c>
      <c r="V621" s="15" t="s">
        <v>1290</v>
      </c>
      <c r="W621" s="15"/>
      <c r="X621" s="27">
        <v>274.36</v>
      </c>
      <c r="Y621" s="27">
        <f>Table2[[#This Row],[PREÇO UNITARIO]]*Table2[[#This Row],[QUANTIDADE]]</f>
        <v>274.36</v>
      </c>
      <c r="Z621" s="15"/>
      <c r="AA621" s="28">
        <f>MONTH(Table2[[#This Row],[DATA PEDIDO HP]])</f>
        <v>8</v>
      </c>
      <c r="AB621" s="32" t="s">
        <v>60</v>
      </c>
      <c r="AC621" s="5">
        <f t="shared" ca="1" si="9"/>
        <v>46232</v>
      </c>
      <c r="AD621" s="331">
        <f ca="1">_xlfn.DAYS(Table2[[#This Row],[HOJE]],Table2[[#This Row],[DATA PEDIDO HP]])</f>
        <v>337</v>
      </c>
      <c r="AE621" s="336" t="s">
        <v>43</v>
      </c>
    </row>
    <row r="622" spans="1:31" ht="14.45" hidden="1">
      <c r="A622" s="269" t="s">
        <v>2068</v>
      </c>
      <c r="B622" s="26">
        <v>45918</v>
      </c>
      <c r="C622" s="26">
        <v>45918</v>
      </c>
      <c r="D622" s="14" t="s">
        <v>2069</v>
      </c>
      <c r="E622" s="14" t="s">
        <v>118</v>
      </c>
      <c r="F622" s="14" t="s">
        <v>104</v>
      </c>
      <c r="G622" s="14">
        <v>51000174</v>
      </c>
      <c r="H622" s="14" t="s">
        <v>2070</v>
      </c>
      <c r="I622" s="14" t="s">
        <v>2071</v>
      </c>
      <c r="J622" s="14">
        <v>1</v>
      </c>
      <c r="K622" s="14" t="s">
        <v>37</v>
      </c>
      <c r="L622" s="14" t="s">
        <v>363</v>
      </c>
      <c r="M622" s="14" t="s">
        <v>58</v>
      </c>
      <c r="N622" s="14" t="s">
        <v>58</v>
      </c>
      <c r="O622" s="15">
        <v>1</v>
      </c>
      <c r="P622" s="15">
        <v>1</v>
      </c>
      <c r="Q622" s="15"/>
      <c r="R622" s="15"/>
      <c r="S622" s="25"/>
      <c r="T622" s="25">
        <v>45979</v>
      </c>
      <c r="U622" s="25">
        <v>45993</v>
      </c>
      <c r="V622" s="15" t="s">
        <v>1290</v>
      </c>
      <c r="W622" s="15"/>
      <c r="X622" s="233">
        <v>121.06</v>
      </c>
      <c r="Y622" s="27">
        <f>Table2[[#This Row],[PREÇO UNITARIO]]*Table2[[#This Row],[QUANTIDADE]]</f>
        <v>121.06</v>
      </c>
      <c r="Z622" s="199"/>
      <c r="AA622" s="32">
        <f>MONTH(Table2[[#This Row],[DATA PEDIDO HP]])</f>
        <v>9</v>
      </c>
      <c r="AB622" s="32" t="s">
        <v>60</v>
      </c>
      <c r="AC622" s="5">
        <f t="shared" ca="1" si="9"/>
        <v>46232</v>
      </c>
      <c r="AD622" s="331">
        <f ca="1">_xlfn.DAYS(Table2[[#This Row],[HOJE]],Table2[[#This Row],[DATA PEDIDO HP]])</f>
        <v>314</v>
      </c>
      <c r="AE622" s="5" t="s">
        <v>43</v>
      </c>
    </row>
    <row r="623" spans="1:31" ht="14.45" hidden="1">
      <c r="A623" s="269" t="s">
        <v>2072</v>
      </c>
      <c r="B623" s="25">
        <v>45891</v>
      </c>
      <c r="C623" s="26">
        <v>45887</v>
      </c>
      <c r="D623" s="14" t="s">
        <v>2073</v>
      </c>
      <c r="E623" s="14" t="s">
        <v>93</v>
      </c>
      <c r="F623" s="14" t="s">
        <v>74</v>
      </c>
      <c r="G623" s="14">
        <v>50000202</v>
      </c>
      <c r="H623" s="14" t="s">
        <v>2074</v>
      </c>
      <c r="I623" s="14" t="s">
        <v>2075</v>
      </c>
      <c r="J623" s="14">
        <v>2</v>
      </c>
      <c r="K623" s="14" t="s">
        <v>37</v>
      </c>
      <c r="L623" s="14" t="s">
        <v>459</v>
      </c>
      <c r="M623" s="14" t="s">
        <v>58</v>
      </c>
      <c r="N623" s="14" t="s">
        <v>58</v>
      </c>
      <c r="O623" s="15">
        <v>1</v>
      </c>
      <c r="P623" s="15">
        <v>1</v>
      </c>
      <c r="Q623" s="15"/>
      <c r="R623" s="15"/>
      <c r="S623" s="25"/>
      <c r="T623" s="25">
        <v>45927</v>
      </c>
      <c r="U623" s="25">
        <v>45932</v>
      </c>
      <c r="V623" s="15" t="s">
        <v>1153</v>
      </c>
      <c r="W623" s="15"/>
      <c r="X623" s="27">
        <v>1845.54</v>
      </c>
      <c r="Y623" s="27">
        <f>Table2[[#This Row],[PREÇO UNITARIO]]*Table2[[#This Row],[QUANTIDADE]]</f>
        <v>3691.08</v>
      </c>
      <c r="Z623" s="15"/>
      <c r="AA623" s="28">
        <f>MONTH(Table2[[#This Row],[DATA PEDIDO HP]])</f>
        <v>8</v>
      </c>
      <c r="AB623" s="32" t="s">
        <v>60</v>
      </c>
      <c r="AC623" s="5">
        <f t="shared" ca="1" si="9"/>
        <v>46232</v>
      </c>
      <c r="AD623" s="331">
        <f ca="1">_xlfn.DAYS(Table2[[#This Row],[HOJE]],Table2[[#This Row],[DATA PEDIDO HP]])</f>
        <v>341</v>
      </c>
      <c r="AE623" s="5" t="s">
        <v>43</v>
      </c>
    </row>
    <row r="624" spans="1:31" ht="14.45" hidden="1">
      <c r="A624" s="269" t="s">
        <v>2072</v>
      </c>
      <c r="B624" s="25">
        <v>45891</v>
      </c>
      <c r="C624" s="26">
        <v>45887</v>
      </c>
      <c r="D624" s="14" t="s">
        <v>2073</v>
      </c>
      <c r="E624" s="14" t="s">
        <v>93</v>
      </c>
      <c r="F624" s="14" t="s">
        <v>74</v>
      </c>
      <c r="G624" s="14">
        <v>50000202</v>
      </c>
      <c r="H624" s="14" t="s">
        <v>2076</v>
      </c>
      <c r="I624" s="14" t="s">
        <v>2077</v>
      </c>
      <c r="J624" s="14">
        <v>1</v>
      </c>
      <c r="K624" s="14" t="s">
        <v>37</v>
      </c>
      <c r="L624" s="14" t="s">
        <v>459</v>
      </c>
      <c r="M624" s="14" t="s">
        <v>58</v>
      </c>
      <c r="N624" s="14" t="s">
        <v>58</v>
      </c>
      <c r="O624" s="15">
        <v>1</v>
      </c>
      <c r="P624" s="15">
        <v>1</v>
      </c>
      <c r="Q624" s="15"/>
      <c r="R624" s="15" t="s">
        <v>589</v>
      </c>
      <c r="S624" s="25"/>
      <c r="T624" s="25">
        <v>45927</v>
      </c>
      <c r="U624" s="25">
        <v>45932</v>
      </c>
      <c r="V624" s="15" t="s">
        <v>1153</v>
      </c>
      <c r="W624" s="15"/>
      <c r="X624" s="27">
        <v>1207.54</v>
      </c>
      <c r="Y624" s="27">
        <f>Table2[[#This Row],[PREÇO UNITARIO]]*Table2[[#This Row],[QUANTIDADE]]</f>
        <v>1207.54</v>
      </c>
      <c r="Z624" s="15"/>
      <c r="AA624" s="28">
        <f>MONTH(Table2[[#This Row],[DATA PEDIDO HP]])</f>
        <v>8</v>
      </c>
      <c r="AB624" s="32" t="s">
        <v>60</v>
      </c>
      <c r="AC624" s="5">
        <f t="shared" ca="1" si="9"/>
        <v>46232</v>
      </c>
      <c r="AD624" s="331">
        <f ca="1">_xlfn.DAYS(Table2[[#This Row],[HOJE]],Table2[[#This Row],[DATA PEDIDO HP]])</f>
        <v>341</v>
      </c>
      <c r="AE624" s="5" t="s">
        <v>43</v>
      </c>
    </row>
    <row r="625" spans="1:31" ht="14.45" hidden="1">
      <c r="A625" s="269" t="s">
        <v>2072</v>
      </c>
      <c r="B625" s="25">
        <v>45891</v>
      </c>
      <c r="C625" s="26">
        <v>45887</v>
      </c>
      <c r="D625" s="14" t="s">
        <v>2073</v>
      </c>
      <c r="E625" s="14" t="s">
        <v>93</v>
      </c>
      <c r="F625" s="14" t="s">
        <v>74</v>
      </c>
      <c r="G625" s="14">
        <v>50000202</v>
      </c>
      <c r="H625" s="14" t="s">
        <v>2078</v>
      </c>
      <c r="I625" s="14" t="s">
        <v>2079</v>
      </c>
      <c r="J625" s="14">
        <v>1</v>
      </c>
      <c r="K625" s="14" t="s">
        <v>37</v>
      </c>
      <c r="L625" s="14" t="s">
        <v>459</v>
      </c>
      <c r="M625" s="14" t="s">
        <v>58</v>
      </c>
      <c r="N625" s="14" t="s">
        <v>58</v>
      </c>
      <c r="O625" s="15">
        <v>1</v>
      </c>
      <c r="P625" s="15">
        <v>1</v>
      </c>
      <c r="Q625" s="15"/>
      <c r="R625" s="15"/>
      <c r="S625" s="25"/>
      <c r="T625" s="25">
        <v>45927</v>
      </c>
      <c r="U625" s="25">
        <v>45932</v>
      </c>
      <c r="V625" s="15" t="s">
        <v>1153</v>
      </c>
      <c r="W625" s="15"/>
      <c r="X625" s="27">
        <v>264.56</v>
      </c>
      <c r="Y625" s="27">
        <f>Table2[[#This Row],[PREÇO UNITARIO]]*Table2[[#This Row],[QUANTIDADE]]</f>
        <v>264.56</v>
      </c>
      <c r="Z625" s="15"/>
      <c r="AA625" s="28">
        <f>MONTH(Table2[[#This Row],[DATA PEDIDO HP]])</f>
        <v>8</v>
      </c>
      <c r="AB625" s="32" t="s">
        <v>60</v>
      </c>
      <c r="AC625" s="5">
        <f t="shared" ca="1" si="9"/>
        <v>46232</v>
      </c>
      <c r="AD625" s="331">
        <f ca="1">_xlfn.DAYS(Table2[[#This Row],[HOJE]],Table2[[#This Row],[DATA PEDIDO HP]])</f>
        <v>341</v>
      </c>
      <c r="AE625" s="5" t="s">
        <v>43</v>
      </c>
    </row>
    <row r="626" spans="1:31" ht="14.45" hidden="1">
      <c r="A626" s="269" t="s">
        <v>2072</v>
      </c>
      <c r="B626" s="25">
        <v>45891</v>
      </c>
      <c r="C626" s="26">
        <v>45887</v>
      </c>
      <c r="D626" s="14" t="s">
        <v>2073</v>
      </c>
      <c r="E626" s="14" t="s">
        <v>93</v>
      </c>
      <c r="F626" s="14" t="s">
        <v>74</v>
      </c>
      <c r="G626" s="14">
        <v>50000202</v>
      </c>
      <c r="H626" s="14" t="s">
        <v>1936</v>
      </c>
      <c r="I626" s="14" t="s">
        <v>2080</v>
      </c>
      <c r="J626" s="14">
        <v>2</v>
      </c>
      <c r="K626" s="14" t="s">
        <v>37</v>
      </c>
      <c r="L626" s="14" t="s">
        <v>459</v>
      </c>
      <c r="M626" s="14" t="s">
        <v>58</v>
      </c>
      <c r="N626" s="14" t="s">
        <v>58</v>
      </c>
      <c r="O626" s="15">
        <v>1</v>
      </c>
      <c r="P626" s="15">
        <v>1</v>
      </c>
      <c r="Q626" s="15"/>
      <c r="R626" s="15" t="s">
        <v>1306</v>
      </c>
      <c r="S626" s="25"/>
      <c r="T626" s="25">
        <v>45927</v>
      </c>
      <c r="U626" s="25">
        <v>45932</v>
      </c>
      <c r="V626" s="15" t="s">
        <v>1153</v>
      </c>
      <c r="W626" s="15"/>
      <c r="X626" s="27">
        <v>73.489999999999995</v>
      </c>
      <c r="Y626" s="27">
        <f>Table2[[#This Row],[PREÇO UNITARIO]]*Table2[[#This Row],[QUANTIDADE]]</f>
        <v>146.97999999999999</v>
      </c>
      <c r="Z626" s="15"/>
      <c r="AA626" s="28">
        <f>MONTH(Table2[[#This Row],[DATA PEDIDO HP]])</f>
        <v>8</v>
      </c>
      <c r="AB626" s="32" t="s">
        <v>60</v>
      </c>
      <c r="AC626" s="5">
        <f t="shared" ca="1" si="9"/>
        <v>46232</v>
      </c>
      <c r="AD626" s="331">
        <f ca="1">_xlfn.DAYS(Table2[[#This Row],[HOJE]],Table2[[#This Row],[DATA PEDIDO HP]])</f>
        <v>341</v>
      </c>
      <c r="AE626" s="5" t="s">
        <v>43</v>
      </c>
    </row>
    <row r="627" spans="1:31" ht="14.45" hidden="1">
      <c r="A627" s="269" t="s">
        <v>2072</v>
      </c>
      <c r="B627" s="25">
        <v>45891</v>
      </c>
      <c r="C627" s="26">
        <v>45887</v>
      </c>
      <c r="D627" s="14" t="s">
        <v>2073</v>
      </c>
      <c r="E627" s="14" t="s">
        <v>93</v>
      </c>
      <c r="F627" s="14" t="s">
        <v>74</v>
      </c>
      <c r="G627" s="14">
        <v>50000202</v>
      </c>
      <c r="H627" s="14" t="s">
        <v>624</v>
      </c>
      <c r="I627" s="14" t="s">
        <v>2081</v>
      </c>
      <c r="J627" s="14">
        <v>1</v>
      </c>
      <c r="K627" s="14" t="s">
        <v>37</v>
      </c>
      <c r="L627" s="14" t="s">
        <v>459</v>
      </c>
      <c r="M627" s="14" t="s">
        <v>58</v>
      </c>
      <c r="N627" s="14" t="s">
        <v>58</v>
      </c>
      <c r="O627" s="15">
        <v>1</v>
      </c>
      <c r="P627" s="15">
        <v>1</v>
      </c>
      <c r="Q627" s="15"/>
      <c r="R627" s="15"/>
      <c r="S627" s="25"/>
      <c r="T627" s="25">
        <v>45979</v>
      </c>
      <c r="U627" s="25">
        <v>45993</v>
      </c>
      <c r="V627" s="15" t="s">
        <v>1290</v>
      </c>
      <c r="W627" s="15"/>
      <c r="X627" s="27">
        <v>397.76</v>
      </c>
      <c r="Y627" s="27">
        <f>Table2[[#This Row],[PREÇO UNITARIO]]*Table2[[#This Row],[QUANTIDADE]]</f>
        <v>397.76</v>
      </c>
      <c r="Z627" s="15"/>
      <c r="AA627" s="28">
        <f>MONTH(Table2[[#This Row],[DATA PEDIDO HP]])</f>
        <v>8</v>
      </c>
      <c r="AB627" s="32" t="s">
        <v>60</v>
      </c>
      <c r="AC627" s="5">
        <f t="shared" ca="1" si="9"/>
        <v>46232</v>
      </c>
      <c r="AD627" s="331">
        <f ca="1">_xlfn.DAYS(Table2[[#This Row],[HOJE]],Table2[[#This Row],[DATA PEDIDO HP]])</f>
        <v>341</v>
      </c>
      <c r="AE627" s="5" t="s">
        <v>43</v>
      </c>
    </row>
    <row r="628" spans="1:31" ht="14.45" hidden="1">
      <c r="A628" s="269" t="s">
        <v>2072</v>
      </c>
      <c r="B628" s="25">
        <v>45891</v>
      </c>
      <c r="C628" s="26">
        <v>45887</v>
      </c>
      <c r="D628" s="14" t="s">
        <v>2073</v>
      </c>
      <c r="E628" s="14" t="s">
        <v>93</v>
      </c>
      <c r="F628" s="14" t="s">
        <v>74</v>
      </c>
      <c r="G628" s="14">
        <v>50000202</v>
      </c>
      <c r="H628" s="14" t="s">
        <v>2082</v>
      </c>
      <c r="I628" s="14" t="s">
        <v>2083</v>
      </c>
      <c r="J628" s="14">
        <v>1</v>
      </c>
      <c r="K628" s="14" t="s">
        <v>37</v>
      </c>
      <c r="L628" s="14" t="s">
        <v>459</v>
      </c>
      <c r="M628" s="14" t="s">
        <v>58</v>
      </c>
      <c r="N628" s="14" t="s">
        <v>58</v>
      </c>
      <c r="O628" s="15">
        <v>1</v>
      </c>
      <c r="P628" s="15">
        <v>1</v>
      </c>
      <c r="Q628" s="15"/>
      <c r="R628" s="15"/>
      <c r="S628" s="25"/>
      <c r="T628" s="25">
        <v>45927</v>
      </c>
      <c r="U628" s="25">
        <v>45932</v>
      </c>
      <c r="V628" s="15" t="s">
        <v>1153</v>
      </c>
      <c r="W628" s="15"/>
      <c r="X628" s="27">
        <v>276.72000000000003</v>
      </c>
      <c r="Y628" s="27">
        <f>Table2[[#This Row],[PREÇO UNITARIO]]*Table2[[#This Row],[QUANTIDADE]]</f>
        <v>276.72000000000003</v>
      </c>
      <c r="Z628" s="15"/>
      <c r="AA628" s="28">
        <f>MONTH(Table2[[#This Row],[DATA PEDIDO HP]])</f>
        <v>8</v>
      </c>
      <c r="AB628" s="32" t="s">
        <v>60</v>
      </c>
      <c r="AC628" s="5">
        <f t="shared" ca="1" si="9"/>
        <v>46232</v>
      </c>
      <c r="AD628" s="331">
        <f ca="1">_xlfn.DAYS(Table2[[#This Row],[HOJE]],Table2[[#This Row],[DATA PEDIDO HP]])</f>
        <v>341</v>
      </c>
      <c r="AE628" s="5" t="s">
        <v>43</v>
      </c>
    </row>
    <row r="629" spans="1:31" ht="14.45" hidden="1">
      <c r="A629" s="269" t="s">
        <v>2072</v>
      </c>
      <c r="B629" s="25">
        <v>45891</v>
      </c>
      <c r="C629" s="26">
        <v>45887</v>
      </c>
      <c r="D629" s="14" t="s">
        <v>2073</v>
      </c>
      <c r="E629" s="14" t="s">
        <v>93</v>
      </c>
      <c r="F629" s="14" t="s">
        <v>74</v>
      </c>
      <c r="G629" s="14">
        <v>50000202</v>
      </c>
      <c r="H629" s="14" t="s">
        <v>2084</v>
      </c>
      <c r="I629" s="14" t="s">
        <v>2085</v>
      </c>
      <c r="J629" s="14">
        <v>1</v>
      </c>
      <c r="K629" s="14" t="s">
        <v>37</v>
      </c>
      <c r="L629" s="14" t="s">
        <v>459</v>
      </c>
      <c r="M629" s="14" t="s">
        <v>58</v>
      </c>
      <c r="N629" s="14" t="s">
        <v>58</v>
      </c>
      <c r="O629" s="15">
        <v>1</v>
      </c>
      <c r="P629" s="15">
        <v>1</v>
      </c>
      <c r="Q629" s="15"/>
      <c r="R629" s="15"/>
      <c r="S629" s="25"/>
      <c r="T629" s="25">
        <v>45927</v>
      </c>
      <c r="U629" s="25">
        <v>45932</v>
      </c>
      <c r="V629" s="15" t="s">
        <v>1153</v>
      </c>
      <c r="W629" s="15"/>
      <c r="X629" s="27">
        <v>104.32</v>
      </c>
      <c r="Y629" s="27">
        <f>Table2[[#This Row],[PREÇO UNITARIO]]*Table2[[#This Row],[QUANTIDADE]]</f>
        <v>104.32</v>
      </c>
      <c r="Z629" s="15"/>
      <c r="AA629" s="28">
        <f>MONTH(Table2[[#This Row],[DATA PEDIDO HP]])</f>
        <v>8</v>
      </c>
      <c r="AB629" s="32" t="s">
        <v>60</v>
      </c>
      <c r="AC629" s="5">
        <f t="shared" ca="1" si="9"/>
        <v>46232</v>
      </c>
      <c r="AD629" s="331">
        <f ca="1">_xlfn.DAYS(Table2[[#This Row],[HOJE]],Table2[[#This Row],[DATA PEDIDO HP]])</f>
        <v>341</v>
      </c>
      <c r="AE629" s="5" t="s">
        <v>43</v>
      </c>
    </row>
    <row r="630" spans="1:31" ht="14.45" hidden="1">
      <c r="A630" s="269" t="s">
        <v>2072</v>
      </c>
      <c r="B630" s="25">
        <v>45891</v>
      </c>
      <c r="C630" s="26">
        <v>45887</v>
      </c>
      <c r="D630" s="14" t="s">
        <v>2073</v>
      </c>
      <c r="E630" s="14" t="s">
        <v>93</v>
      </c>
      <c r="F630" s="14" t="s">
        <v>74</v>
      </c>
      <c r="G630" s="14">
        <v>50000202</v>
      </c>
      <c r="H630" s="14" t="s">
        <v>2086</v>
      </c>
      <c r="I630" s="14" t="s">
        <v>2087</v>
      </c>
      <c r="J630" s="14">
        <v>1</v>
      </c>
      <c r="K630" s="14" t="s">
        <v>37</v>
      </c>
      <c r="L630" s="14" t="s">
        <v>459</v>
      </c>
      <c r="M630" s="14" t="s">
        <v>58</v>
      </c>
      <c r="N630" s="14" t="s">
        <v>58</v>
      </c>
      <c r="O630" s="15">
        <v>1</v>
      </c>
      <c r="P630" s="15">
        <v>1</v>
      </c>
      <c r="Q630" s="15"/>
      <c r="R630" s="15"/>
      <c r="S630" s="25"/>
      <c r="T630" s="25">
        <v>45927</v>
      </c>
      <c r="U630" s="25">
        <v>45932</v>
      </c>
      <c r="V630" s="15" t="s">
        <v>1153</v>
      </c>
      <c r="W630" s="15"/>
      <c r="X630" s="27">
        <v>198.32</v>
      </c>
      <c r="Y630" s="27">
        <f>Table2[[#This Row],[PREÇO UNITARIO]]*Table2[[#This Row],[QUANTIDADE]]</f>
        <v>198.32</v>
      </c>
      <c r="Z630" s="15"/>
      <c r="AA630" s="28">
        <f>MONTH(Table2[[#This Row],[DATA PEDIDO HP]])</f>
        <v>8</v>
      </c>
      <c r="AB630" s="32" t="s">
        <v>60</v>
      </c>
      <c r="AC630" s="5">
        <f t="shared" ca="1" si="9"/>
        <v>46232</v>
      </c>
      <c r="AD630" s="331">
        <f ca="1">_xlfn.DAYS(Table2[[#This Row],[HOJE]],Table2[[#This Row],[DATA PEDIDO HP]])</f>
        <v>341</v>
      </c>
      <c r="AE630" s="5" t="s">
        <v>43</v>
      </c>
    </row>
    <row r="631" spans="1:31" ht="14.45" hidden="1">
      <c r="A631" s="269" t="s">
        <v>2088</v>
      </c>
      <c r="B631" s="26">
        <v>45895</v>
      </c>
      <c r="C631" s="26">
        <v>45894</v>
      </c>
      <c r="D631" s="14" t="s">
        <v>2089</v>
      </c>
      <c r="E631" s="14" t="s">
        <v>202</v>
      </c>
      <c r="F631" s="14" t="s">
        <v>203</v>
      </c>
      <c r="G631" s="14">
        <v>60002072</v>
      </c>
      <c r="H631" s="14" t="s">
        <v>1141</v>
      </c>
      <c r="I631" s="14" t="s">
        <v>1142</v>
      </c>
      <c r="J631" s="14">
        <v>1</v>
      </c>
      <c r="K631" s="14" t="s">
        <v>37</v>
      </c>
      <c r="L631" s="14" t="s">
        <v>96</v>
      </c>
      <c r="M631" s="14" t="s">
        <v>39</v>
      </c>
      <c r="N631" s="14" t="s">
        <v>39</v>
      </c>
      <c r="O631" s="15">
        <v>1</v>
      </c>
      <c r="P631" s="15">
        <v>1</v>
      </c>
      <c r="Q631" s="15">
        <v>136697</v>
      </c>
      <c r="R631" s="15"/>
      <c r="S631" s="25">
        <v>46062</v>
      </c>
      <c r="T631" s="25">
        <v>46042</v>
      </c>
      <c r="U631" s="25">
        <v>46055</v>
      </c>
      <c r="V631" s="15" t="s">
        <v>347</v>
      </c>
      <c r="W631" s="15"/>
      <c r="X631" s="159">
        <v>62</v>
      </c>
      <c r="Y631" s="159">
        <f>Table2[[#This Row],[PREÇO UNITARIO]]*Table2[[#This Row],[QUANTIDADE]]</f>
        <v>62</v>
      </c>
      <c r="Z631" s="15"/>
      <c r="AA631" s="28">
        <f>MONTH(Table2[[#This Row],[DATA PEDIDO HP]])</f>
        <v>8</v>
      </c>
      <c r="AB631" s="32" t="s">
        <v>60</v>
      </c>
      <c r="AC631" s="5">
        <f t="shared" ca="1" si="9"/>
        <v>46232</v>
      </c>
      <c r="AD631" s="331">
        <f ca="1">_xlfn.DAYS(Table2[[#This Row],[HOJE]],Table2[[#This Row],[DATA PEDIDO HP]])</f>
        <v>337</v>
      </c>
      <c r="AE631" s="331" t="s">
        <v>43</v>
      </c>
    </row>
    <row r="632" spans="1:31" ht="14.45" hidden="1">
      <c r="A632" s="299" t="s">
        <v>2090</v>
      </c>
      <c r="B632" s="26">
        <v>45895</v>
      </c>
      <c r="C632" s="26">
        <v>45894</v>
      </c>
      <c r="D632" s="14" t="s">
        <v>2091</v>
      </c>
      <c r="E632" s="14" t="s">
        <v>202</v>
      </c>
      <c r="F632" s="14" t="s">
        <v>203</v>
      </c>
      <c r="G632" s="14">
        <v>60002072</v>
      </c>
      <c r="H632" s="14" t="s">
        <v>484</v>
      </c>
      <c r="I632" s="14" t="s">
        <v>485</v>
      </c>
      <c r="J632" s="14">
        <v>1</v>
      </c>
      <c r="K632" s="14" t="s">
        <v>37</v>
      </c>
      <c r="L632" s="14" t="s">
        <v>96</v>
      </c>
      <c r="M632" s="14" t="s">
        <v>39</v>
      </c>
      <c r="N632" s="14" t="s">
        <v>39</v>
      </c>
      <c r="O632" s="15">
        <v>1</v>
      </c>
      <c r="P632" s="15">
        <v>1</v>
      </c>
      <c r="Q632" s="15">
        <v>136698</v>
      </c>
      <c r="R632" s="15"/>
      <c r="S632" s="25">
        <v>46001</v>
      </c>
      <c r="T632" s="25">
        <v>45979</v>
      </c>
      <c r="U632" s="25">
        <v>45993</v>
      </c>
      <c r="V632" s="15" t="s">
        <v>1290</v>
      </c>
      <c r="W632" s="15"/>
      <c r="X632" s="27">
        <v>125.99</v>
      </c>
      <c r="Y632" s="27">
        <f>Table2[[#This Row],[PREÇO UNITARIO]]*Table2[[#This Row],[QUANTIDADE]]</f>
        <v>125.99</v>
      </c>
      <c r="Z632" s="15"/>
      <c r="AA632" s="28">
        <f>MONTH(Table2[[#This Row],[DATA PEDIDO HP]])</f>
        <v>8</v>
      </c>
      <c r="AB632" s="32" t="s">
        <v>60</v>
      </c>
      <c r="AC632" s="5">
        <f t="shared" ca="1" si="9"/>
        <v>46232</v>
      </c>
      <c r="AD632" s="331">
        <f ca="1">_xlfn.DAYS(Table2[[#This Row],[HOJE]],Table2[[#This Row],[DATA PEDIDO HP]])</f>
        <v>337</v>
      </c>
      <c r="AE632" s="336" t="s">
        <v>43</v>
      </c>
    </row>
    <row r="633" spans="1:31" ht="14.45" hidden="1">
      <c r="A633" s="299" t="s">
        <v>2092</v>
      </c>
      <c r="B633" s="26">
        <v>45895</v>
      </c>
      <c r="C633" s="26">
        <v>45894</v>
      </c>
      <c r="D633" s="14" t="s">
        <v>2093</v>
      </c>
      <c r="E633" s="14" t="s">
        <v>103</v>
      </c>
      <c r="F633" s="14" t="s">
        <v>104</v>
      </c>
      <c r="G633" s="14">
        <v>51000136</v>
      </c>
      <c r="H633" s="14" t="s">
        <v>2094</v>
      </c>
      <c r="I633" s="14" t="s">
        <v>2095</v>
      </c>
      <c r="J633" s="14">
        <v>1</v>
      </c>
      <c r="K633" s="14" t="s">
        <v>67</v>
      </c>
      <c r="L633" s="14" t="s">
        <v>96</v>
      </c>
      <c r="M633" s="14" t="s">
        <v>88</v>
      </c>
      <c r="N633" s="15" t="s">
        <v>89</v>
      </c>
      <c r="O633" s="15">
        <v>0</v>
      </c>
      <c r="P633" s="15">
        <v>0</v>
      </c>
      <c r="Q633" s="15">
        <v>136928</v>
      </c>
      <c r="R633" s="15"/>
      <c r="S633" s="25">
        <v>46000</v>
      </c>
      <c r="T633" s="25">
        <v>45979</v>
      </c>
      <c r="U633" s="25">
        <v>45993</v>
      </c>
      <c r="V633" s="15" t="s">
        <v>1290</v>
      </c>
      <c r="W633" s="15"/>
      <c r="X633" s="27">
        <v>24.5</v>
      </c>
      <c r="Y633" s="27">
        <f>Table2[[#This Row],[PREÇO UNITARIO]]*Table2[[#This Row],[QUANTIDADE]]</f>
        <v>24.5</v>
      </c>
      <c r="Z633" s="15"/>
      <c r="AA633" s="28">
        <f>MONTH(Table2[[#This Row],[DATA PEDIDO HP]])</f>
        <v>8</v>
      </c>
      <c r="AB633" s="32" t="s">
        <v>42</v>
      </c>
      <c r="AC633" s="5">
        <f t="shared" ca="1" si="9"/>
        <v>46232</v>
      </c>
      <c r="AD633" s="331">
        <f ca="1">_xlfn.DAYS(Table2[[#This Row],[HOJE]],Table2[[#This Row],[DATA PEDIDO HP]])</f>
        <v>337</v>
      </c>
      <c r="AE633" s="336" t="s">
        <v>43</v>
      </c>
    </row>
    <row r="634" spans="1:31" ht="14.45" hidden="1">
      <c r="A634" s="269" t="s">
        <v>2096</v>
      </c>
      <c r="B634" s="26">
        <v>45895</v>
      </c>
      <c r="C634" s="26">
        <v>45894</v>
      </c>
      <c r="D634" s="14" t="s">
        <v>2097</v>
      </c>
      <c r="E634" s="14" t="s">
        <v>202</v>
      </c>
      <c r="F634" s="14" t="s">
        <v>203</v>
      </c>
      <c r="G634" s="14">
        <v>60002072</v>
      </c>
      <c r="H634" s="14" t="s">
        <v>136</v>
      </c>
      <c r="I634" s="14" t="s">
        <v>137</v>
      </c>
      <c r="J634" s="14">
        <v>1</v>
      </c>
      <c r="K634" s="14" t="s">
        <v>37</v>
      </c>
      <c r="L634" s="14" t="s">
        <v>346</v>
      </c>
      <c r="M634" s="14" t="s">
        <v>58</v>
      </c>
      <c r="N634" s="14" t="s">
        <v>58</v>
      </c>
      <c r="O634" s="15">
        <v>1</v>
      </c>
      <c r="P634" s="15">
        <v>1</v>
      </c>
      <c r="Q634" s="15"/>
      <c r="R634" s="15"/>
      <c r="S634" s="25"/>
      <c r="T634" s="25">
        <v>45979</v>
      </c>
      <c r="U634" s="25">
        <v>45993</v>
      </c>
      <c r="V634" s="15" t="s">
        <v>1290</v>
      </c>
      <c r="W634" s="15"/>
      <c r="X634" s="27">
        <v>19.600000000000001</v>
      </c>
      <c r="Y634" s="27">
        <f>Table2[[#This Row],[PREÇO UNITARIO]]*Table2[[#This Row],[QUANTIDADE]]</f>
        <v>19.600000000000001</v>
      </c>
      <c r="Z634" s="15"/>
      <c r="AA634" s="28">
        <f>MONTH(Table2[[#This Row],[DATA PEDIDO HP]])</f>
        <v>8</v>
      </c>
      <c r="AB634" s="32" t="s">
        <v>60</v>
      </c>
      <c r="AC634" s="5">
        <f t="shared" ca="1" si="9"/>
        <v>46232</v>
      </c>
      <c r="AD634" s="331">
        <f ca="1">_xlfn.DAYS(Table2[[#This Row],[HOJE]],Table2[[#This Row],[DATA PEDIDO HP]])</f>
        <v>337</v>
      </c>
      <c r="AE634" s="5" t="s">
        <v>43</v>
      </c>
    </row>
    <row r="635" spans="1:31" ht="14.45" hidden="1">
      <c r="A635" s="269" t="s">
        <v>2096</v>
      </c>
      <c r="B635" s="26">
        <v>45895</v>
      </c>
      <c r="C635" s="26">
        <v>45894</v>
      </c>
      <c r="D635" s="14" t="s">
        <v>2097</v>
      </c>
      <c r="E635" s="14" t="s">
        <v>202</v>
      </c>
      <c r="F635" s="14" t="s">
        <v>203</v>
      </c>
      <c r="G635" s="14">
        <v>60002072</v>
      </c>
      <c r="H635" s="14" t="s">
        <v>134</v>
      </c>
      <c r="I635" s="14" t="s">
        <v>2098</v>
      </c>
      <c r="J635" s="14">
        <v>1</v>
      </c>
      <c r="K635" s="14" t="s">
        <v>37</v>
      </c>
      <c r="L635" s="14" t="s">
        <v>346</v>
      </c>
      <c r="M635" s="14" t="s">
        <v>58</v>
      </c>
      <c r="N635" s="14" t="s">
        <v>58</v>
      </c>
      <c r="O635" s="15">
        <v>1</v>
      </c>
      <c r="P635" s="15">
        <v>1</v>
      </c>
      <c r="Q635" s="15"/>
      <c r="R635" s="15"/>
      <c r="S635" s="25"/>
      <c r="T635" s="25">
        <v>45979</v>
      </c>
      <c r="U635" s="25">
        <v>45993</v>
      </c>
      <c r="V635" s="15" t="s">
        <v>1290</v>
      </c>
      <c r="W635" s="15"/>
      <c r="X635" s="27">
        <v>42.46</v>
      </c>
      <c r="Y635" s="27">
        <f>Table2[[#This Row],[PREÇO UNITARIO]]*Table2[[#This Row],[QUANTIDADE]]</f>
        <v>42.46</v>
      </c>
      <c r="Z635" s="15"/>
      <c r="AA635" s="28">
        <f>MONTH(Table2[[#This Row],[DATA PEDIDO HP]])</f>
        <v>8</v>
      </c>
      <c r="AB635" s="32" t="s">
        <v>60</v>
      </c>
      <c r="AC635" s="5">
        <f t="shared" ca="1" si="9"/>
        <v>46232</v>
      </c>
      <c r="AD635" s="331">
        <f ca="1">_xlfn.DAYS(Table2[[#This Row],[HOJE]],Table2[[#This Row],[DATA PEDIDO HP]])</f>
        <v>337</v>
      </c>
      <c r="AE635" s="5" t="s">
        <v>43</v>
      </c>
    </row>
    <row r="636" spans="1:31" ht="14.45" hidden="1">
      <c r="A636" s="299" t="s">
        <v>2099</v>
      </c>
      <c r="B636" s="26">
        <v>45895</v>
      </c>
      <c r="C636" s="26">
        <v>45875</v>
      </c>
      <c r="D636" s="14" t="s">
        <v>2100</v>
      </c>
      <c r="E636" s="14" t="s">
        <v>2101</v>
      </c>
      <c r="F636" s="14" t="s">
        <v>899</v>
      </c>
      <c r="G636" s="14">
        <v>48500709</v>
      </c>
      <c r="H636" s="14" t="s">
        <v>2102</v>
      </c>
      <c r="I636" s="14" t="s">
        <v>2103</v>
      </c>
      <c r="J636" s="14">
        <v>1</v>
      </c>
      <c r="K636" s="14" t="s">
        <v>37</v>
      </c>
      <c r="L636" s="14" t="s">
        <v>217</v>
      </c>
      <c r="M636" s="14" t="s">
        <v>39</v>
      </c>
      <c r="N636" s="14" t="s">
        <v>39</v>
      </c>
      <c r="O636" s="15">
        <v>1</v>
      </c>
      <c r="P636" s="15">
        <v>1</v>
      </c>
      <c r="Q636" s="15">
        <v>131880</v>
      </c>
      <c r="R636" s="15"/>
      <c r="S636" s="25">
        <v>46002</v>
      </c>
      <c r="T636" s="25">
        <v>45979</v>
      </c>
      <c r="U636" s="25">
        <v>45993</v>
      </c>
      <c r="V636" s="15" t="s">
        <v>1290</v>
      </c>
      <c r="W636" s="15"/>
      <c r="X636" s="27">
        <v>17.96</v>
      </c>
      <c r="Y636" s="27">
        <f>Table2[[#This Row],[PREÇO UNITARIO]]*Table2[[#This Row],[QUANTIDADE]]</f>
        <v>17.96</v>
      </c>
      <c r="Z636" s="15"/>
      <c r="AA636" s="28">
        <f>MONTH(Table2[[#This Row],[DATA PEDIDO HP]])</f>
        <v>8</v>
      </c>
      <c r="AB636" s="32" t="s">
        <v>60</v>
      </c>
      <c r="AC636" s="5">
        <f t="shared" ca="1" si="9"/>
        <v>46232</v>
      </c>
      <c r="AD636" s="331">
        <f ca="1">_xlfn.DAYS(Table2[[#This Row],[HOJE]],Table2[[#This Row],[DATA PEDIDO HP]])</f>
        <v>337</v>
      </c>
      <c r="AE636" s="336" t="s">
        <v>43</v>
      </c>
    </row>
    <row r="637" spans="1:31" ht="14.45" hidden="1">
      <c r="A637" s="269" t="s">
        <v>2104</v>
      </c>
      <c r="B637" s="26">
        <v>45895</v>
      </c>
      <c r="C637" s="26">
        <v>45895</v>
      </c>
      <c r="D637" s="14" t="s">
        <v>2105</v>
      </c>
      <c r="E637" s="14" t="s">
        <v>79</v>
      </c>
      <c r="F637" s="14" t="s">
        <v>74</v>
      </c>
      <c r="G637" s="14">
        <v>50000530</v>
      </c>
      <c r="H637" s="14" t="s">
        <v>2106</v>
      </c>
      <c r="I637" s="14" t="s">
        <v>331</v>
      </c>
      <c r="J637" s="14">
        <v>1</v>
      </c>
      <c r="K637" s="14" t="s">
        <v>37</v>
      </c>
      <c r="L637" s="14" t="s">
        <v>96</v>
      </c>
      <c r="M637" s="14" t="s">
        <v>58</v>
      </c>
      <c r="N637" s="15" t="s">
        <v>58</v>
      </c>
      <c r="O637" s="15">
        <v>0</v>
      </c>
      <c r="P637" s="15">
        <v>1</v>
      </c>
      <c r="Q637" s="15">
        <v>137126</v>
      </c>
      <c r="R637" s="15"/>
      <c r="S637" s="25"/>
      <c r="T637" s="25">
        <v>45979</v>
      </c>
      <c r="U637" s="25">
        <v>45993</v>
      </c>
      <c r="V637" s="15" t="s">
        <v>1290</v>
      </c>
      <c r="W637" s="15"/>
      <c r="X637" s="27">
        <v>35.19</v>
      </c>
      <c r="Y637" s="27">
        <f>Table2[[#This Row],[PREÇO UNITARIO]]*Table2[[#This Row],[QUANTIDADE]]</f>
        <v>35.19</v>
      </c>
      <c r="Z637" s="15"/>
      <c r="AA637" s="28">
        <f>MONTH(Table2[[#This Row],[DATA PEDIDO HP]])</f>
        <v>8</v>
      </c>
      <c r="AB637" s="32" t="s">
        <v>60</v>
      </c>
      <c r="AC637" s="5">
        <f t="shared" ca="1" si="9"/>
        <v>46232</v>
      </c>
      <c r="AD637" s="331">
        <f ca="1">_xlfn.DAYS(Table2[[#This Row],[HOJE]],Table2[[#This Row],[DATA PEDIDO HP]])</f>
        <v>337</v>
      </c>
      <c r="AE637" s="5" t="s">
        <v>43</v>
      </c>
    </row>
    <row r="638" spans="1:31" ht="14.45" hidden="1">
      <c r="A638" s="269" t="s">
        <v>2107</v>
      </c>
      <c r="B638" s="26">
        <v>45895</v>
      </c>
      <c r="C638" s="26">
        <v>45895</v>
      </c>
      <c r="D638" s="14" t="s">
        <v>2108</v>
      </c>
      <c r="E638" s="14" t="s">
        <v>2101</v>
      </c>
      <c r="F638" s="14" t="s">
        <v>899</v>
      </c>
      <c r="G638" s="14">
        <v>48500709</v>
      </c>
      <c r="H638" s="14" t="s">
        <v>2109</v>
      </c>
      <c r="I638" s="14" t="s">
        <v>2110</v>
      </c>
      <c r="J638" s="14">
        <v>1</v>
      </c>
      <c r="K638" s="14" t="s">
        <v>67</v>
      </c>
      <c r="L638" s="14" t="s">
        <v>48</v>
      </c>
      <c r="M638" s="14" t="s">
        <v>88</v>
      </c>
      <c r="N638" s="15" t="s">
        <v>89</v>
      </c>
      <c r="O638" s="15">
        <v>0</v>
      </c>
      <c r="P638" s="15">
        <v>1</v>
      </c>
      <c r="Q638" s="15">
        <v>136763</v>
      </c>
      <c r="R638" s="15"/>
      <c r="S638" s="25"/>
      <c r="T638" s="25">
        <v>45904</v>
      </c>
      <c r="U638" s="25">
        <v>45909</v>
      </c>
      <c r="V638" s="15" t="s">
        <v>2061</v>
      </c>
      <c r="W638" s="15"/>
      <c r="X638" s="27">
        <v>6822.78</v>
      </c>
      <c r="Y638" s="27">
        <f>Table2[[#This Row],[PREÇO UNITARIO]]*Table2[[#This Row],[QUANTIDADE]]</f>
        <v>6822.78</v>
      </c>
      <c r="Z638" s="15"/>
      <c r="AA638" s="32">
        <f>MONTH(Table2[[#This Row],[DATA PEDIDO HP]])</f>
        <v>8</v>
      </c>
      <c r="AB638" s="32" t="s">
        <v>60</v>
      </c>
      <c r="AC638" s="5">
        <f t="shared" ca="1" si="9"/>
        <v>46232</v>
      </c>
      <c r="AD638" s="331">
        <f ca="1">_xlfn.DAYS(Table2[[#This Row],[HOJE]],Table2[[#This Row],[DATA PEDIDO HP]])</f>
        <v>337</v>
      </c>
      <c r="AE638" s="5" t="s">
        <v>43</v>
      </c>
    </row>
    <row r="639" spans="1:31" ht="14.45" hidden="1">
      <c r="A639" s="297" t="s">
        <v>2111</v>
      </c>
      <c r="B639" s="26">
        <v>45896</v>
      </c>
      <c r="C639" s="26">
        <v>45895</v>
      </c>
      <c r="D639" s="14" t="s">
        <v>2112</v>
      </c>
      <c r="E639" s="14" t="s">
        <v>2066</v>
      </c>
      <c r="F639" s="14" t="s">
        <v>899</v>
      </c>
      <c r="G639" s="14">
        <v>48500706</v>
      </c>
      <c r="H639" s="14" t="s">
        <v>2113</v>
      </c>
      <c r="I639" s="14" t="s">
        <v>2114</v>
      </c>
      <c r="J639" s="14">
        <v>1</v>
      </c>
      <c r="K639" s="14" t="s">
        <v>37</v>
      </c>
      <c r="L639" s="14" t="s">
        <v>2067</v>
      </c>
      <c r="M639" s="14" t="s">
        <v>88</v>
      </c>
      <c r="N639" s="15" t="s">
        <v>89</v>
      </c>
      <c r="O639" s="15">
        <v>0</v>
      </c>
      <c r="P639" s="15">
        <v>1</v>
      </c>
      <c r="Q639" s="15">
        <v>133595</v>
      </c>
      <c r="R639" s="15"/>
      <c r="S639" s="25">
        <v>45996</v>
      </c>
      <c r="T639" s="25">
        <v>45979</v>
      </c>
      <c r="U639" s="25">
        <v>45993</v>
      </c>
      <c r="V639" s="15" t="s">
        <v>1290</v>
      </c>
      <c r="W639" s="15"/>
      <c r="X639" s="27">
        <v>297.22000000000003</v>
      </c>
      <c r="Y639" s="27">
        <f>Table2[[#This Row],[PREÇO UNITARIO]]*Table2[[#This Row],[QUANTIDADE]]</f>
        <v>297.22000000000003</v>
      </c>
      <c r="Z639" s="15"/>
      <c r="AA639" s="28">
        <f>MONTH(Table2[[#This Row],[DATA PEDIDO HP]])</f>
        <v>8</v>
      </c>
      <c r="AB639" s="32" t="s">
        <v>60</v>
      </c>
      <c r="AC639" s="5">
        <f t="shared" ca="1" si="9"/>
        <v>46232</v>
      </c>
      <c r="AD639" s="331">
        <f ca="1">_xlfn.DAYS(Table2[[#This Row],[HOJE]],Table2[[#This Row],[DATA PEDIDO HP]])</f>
        <v>336</v>
      </c>
      <c r="AE639" s="336" t="s">
        <v>43</v>
      </c>
    </row>
    <row r="640" spans="1:31" ht="14.45" hidden="1">
      <c r="A640" s="269" t="s">
        <v>2115</v>
      </c>
      <c r="B640" s="26">
        <v>45896</v>
      </c>
      <c r="C640" s="26">
        <v>45896</v>
      </c>
      <c r="D640" s="14" t="s">
        <v>2116</v>
      </c>
      <c r="E640" s="14" t="s">
        <v>73</v>
      </c>
      <c r="F640" s="14" t="s">
        <v>203</v>
      </c>
      <c r="G640" s="14">
        <v>60002095</v>
      </c>
      <c r="H640" s="14" t="s">
        <v>2117</v>
      </c>
      <c r="I640" s="14" t="s">
        <v>2118</v>
      </c>
      <c r="J640" s="14">
        <v>1</v>
      </c>
      <c r="K640" s="14" t="s">
        <v>67</v>
      </c>
      <c r="L640" s="14" t="s">
        <v>346</v>
      </c>
      <c r="M640" s="14" t="s">
        <v>88</v>
      </c>
      <c r="N640" s="14" t="s">
        <v>89</v>
      </c>
      <c r="O640" s="15">
        <v>1</v>
      </c>
      <c r="P640" s="15">
        <v>1</v>
      </c>
      <c r="Q640" s="15"/>
      <c r="R640" s="15"/>
      <c r="S640" s="25">
        <v>46035</v>
      </c>
      <c r="T640" s="25">
        <v>45900</v>
      </c>
      <c r="U640" s="25">
        <v>45908</v>
      </c>
      <c r="V640" s="15" t="s">
        <v>69</v>
      </c>
      <c r="W640" s="15"/>
      <c r="X640" s="27">
        <v>629.66</v>
      </c>
      <c r="Y640" s="27">
        <f>Table2[[#This Row],[PREÇO UNITARIO]]*Table2[[#This Row],[QUANTIDADE]]</f>
        <v>629.66</v>
      </c>
      <c r="Z640" s="15"/>
      <c r="AA640" s="28">
        <f>MONTH(Table2[[#This Row],[DATA PEDIDO HP]])</f>
        <v>8</v>
      </c>
      <c r="AB640" s="32" t="s">
        <v>42</v>
      </c>
      <c r="AC640" s="5">
        <f t="shared" ca="1" si="9"/>
        <v>46232</v>
      </c>
      <c r="AD640" s="331">
        <f ca="1">_xlfn.DAYS(Table2[[#This Row],[HOJE]],Table2[[#This Row],[DATA PEDIDO HP]])</f>
        <v>336</v>
      </c>
      <c r="AE640" s="336" t="s">
        <v>43</v>
      </c>
    </row>
    <row r="641" spans="1:31" ht="14.45" hidden="1">
      <c r="A641" s="269" t="s">
        <v>2119</v>
      </c>
      <c r="B641" s="26">
        <v>45902</v>
      </c>
      <c r="C641" s="26">
        <v>45898</v>
      </c>
      <c r="D641" s="14" t="s">
        <v>2120</v>
      </c>
      <c r="E641" s="14" t="s">
        <v>445</v>
      </c>
      <c r="F641" s="14" t="s">
        <v>403</v>
      </c>
      <c r="G641" s="14">
        <v>50300097</v>
      </c>
      <c r="H641" s="14" t="s">
        <v>1058</v>
      </c>
      <c r="I641" s="14" t="s">
        <v>2121</v>
      </c>
      <c r="J641" s="14">
        <v>1</v>
      </c>
      <c r="K641" s="14" t="s">
        <v>37</v>
      </c>
      <c r="L641" s="14" t="s">
        <v>68</v>
      </c>
      <c r="M641" s="14" t="s">
        <v>58</v>
      </c>
      <c r="N641" s="14" t="s">
        <v>58</v>
      </c>
      <c r="O641" s="15">
        <v>1</v>
      </c>
      <c r="P641" s="15"/>
      <c r="Q641" s="15">
        <v>133265</v>
      </c>
      <c r="R641" s="15"/>
      <c r="S641" s="25"/>
      <c r="T641" s="25">
        <v>45979</v>
      </c>
      <c r="U641" s="25">
        <v>45993</v>
      </c>
      <c r="V641" s="15" t="s">
        <v>1290</v>
      </c>
      <c r="W641" s="15"/>
      <c r="X641" s="27">
        <v>131.79</v>
      </c>
      <c r="Y641" s="27">
        <f>Table2[[#This Row],[PREÇO UNITARIO]]*Table2[[#This Row],[QUANTIDADE]]</f>
        <v>131.79</v>
      </c>
      <c r="Z641" s="15"/>
      <c r="AA641" s="28">
        <f>MONTH(Table2[[#This Row],[DATA PEDIDO HP]])</f>
        <v>9</v>
      </c>
      <c r="AB641" s="32" t="s">
        <v>60</v>
      </c>
      <c r="AC641" s="5">
        <f t="shared" ca="1" si="9"/>
        <v>46232</v>
      </c>
      <c r="AD641" s="331">
        <f ca="1">_xlfn.DAYS(Table2[[#This Row],[HOJE]],Table2[[#This Row],[DATA PEDIDO HP]])</f>
        <v>330</v>
      </c>
      <c r="AE641" s="5" t="s">
        <v>43</v>
      </c>
    </row>
    <row r="642" spans="1:31" ht="14.45" hidden="1">
      <c r="A642" s="269" t="s">
        <v>2119</v>
      </c>
      <c r="B642" s="26">
        <v>45902</v>
      </c>
      <c r="C642" s="26">
        <v>45898</v>
      </c>
      <c r="D642" s="14" t="s">
        <v>2120</v>
      </c>
      <c r="E642" s="14" t="s">
        <v>445</v>
      </c>
      <c r="F642" s="14" t="s">
        <v>403</v>
      </c>
      <c r="G642" s="14">
        <v>50300097</v>
      </c>
      <c r="H642" s="14" t="s">
        <v>1056</v>
      </c>
      <c r="I642" s="14" t="s">
        <v>2122</v>
      </c>
      <c r="J642" s="14">
        <v>1</v>
      </c>
      <c r="K642" s="14" t="s">
        <v>37</v>
      </c>
      <c r="L642" s="14" t="s">
        <v>68</v>
      </c>
      <c r="M642" s="14" t="s">
        <v>58</v>
      </c>
      <c r="N642" s="14" t="s">
        <v>58</v>
      </c>
      <c r="O642" s="15">
        <v>1</v>
      </c>
      <c r="P642" s="15"/>
      <c r="Q642" s="15">
        <v>133265</v>
      </c>
      <c r="R642" s="15"/>
      <c r="S642" s="25"/>
      <c r="T642" s="25">
        <v>45979</v>
      </c>
      <c r="U642" s="25">
        <v>45993</v>
      </c>
      <c r="V642" s="15" t="s">
        <v>1290</v>
      </c>
      <c r="W642" s="15"/>
      <c r="X642" s="27">
        <v>635.59</v>
      </c>
      <c r="Y642" s="27">
        <f>Table2[[#This Row],[PREÇO UNITARIO]]*Table2[[#This Row],[QUANTIDADE]]</f>
        <v>635.59</v>
      </c>
      <c r="Z642" s="15"/>
      <c r="AA642" s="28">
        <f>MONTH(Table2[[#This Row],[DATA PEDIDO HP]])</f>
        <v>9</v>
      </c>
      <c r="AB642" s="32" t="s">
        <v>60</v>
      </c>
      <c r="AC642" s="5">
        <f t="shared" ref="AC642:AC705" ca="1" si="10">TODAY()</f>
        <v>46232</v>
      </c>
      <c r="AD642" s="331">
        <f ca="1">_xlfn.DAYS(Table2[[#This Row],[HOJE]],Table2[[#This Row],[DATA PEDIDO HP]])</f>
        <v>330</v>
      </c>
      <c r="AE642" s="5" t="s">
        <v>43</v>
      </c>
    </row>
    <row r="643" spans="1:31" ht="14.45" hidden="1">
      <c r="A643" s="269" t="s">
        <v>2123</v>
      </c>
      <c r="B643" s="26">
        <v>45898</v>
      </c>
      <c r="C643" s="26">
        <v>45898</v>
      </c>
      <c r="D643" s="14" t="s">
        <v>2124</v>
      </c>
      <c r="E643" s="14" t="s">
        <v>118</v>
      </c>
      <c r="F643" s="14" t="s">
        <v>64</v>
      </c>
      <c r="G643" s="14">
        <v>48000044</v>
      </c>
      <c r="H643" s="14" t="s">
        <v>2125</v>
      </c>
      <c r="I643" s="14" t="s">
        <v>2126</v>
      </c>
      <c r="J643" s="14">
        <v>1</v>
      </c>
      <c r="K643" s="14" t="s">
        <v>37</v>
      </c>
      <c r="L643" s="14" t="s">
        <v>48</v>
      </c>
      <c r="M643" s="14" t="s">
        <v>58</v>
      </c>
      <c r="N643" s="14" t="s">
        <v>58</v>
      </c>
      <c r="O643" s="15">
        <v>1</v>
      </c>
      <c r="P643" s="15">
        <v>1</v>
      </c>
      <c r="Q643" s="15">
        <v>137556</v>
      </c>
      <c r="R643" s="15"/>
      <c r="S643" s="25"/>
      <c r="T643" s="25">
        <v>45979</v>
      </c>
      <c r="U643" s="25">
        <v>45993</v>
      </c>
      <c r="V643" s="15" t="s">
        <v>1290</v>
      </c>
      <c r="W643" s="15"/>
      <c r="X643" s="27">
        <v>22.86</v>
      </c>
      <c r="Y643" s="27">
        <f>Table2[[#This Row],[PREÇO UNITARIO]]*Table2[[#This Row],[QUANTIDADE]]</f>
        <v>22.86</v>
      </c>
      <c r="Z643" s="15"/>
      <c r="AA643" s="28">
        <f>MONTH(Table2[[#This Row],[DATA PEDIDO HP]])</f>
        <v>8</v>
      </c>
      <c r="AB643" s="32" t="s">
        <v>60</v>
      </c>
      <c r="AC643" s="5">
        <f t="shared" ca="1" si="10"/>
        <v>46232</v>
      </c>
      <c r="AD643" s="331">
        <f ca="1">_xlfn.DAYS(Table2[[#This Row],[HOJE]],Table2[[#This Row],[DATA PEDIDO HP]])</f>
        <v>334</v>
      </c>
      <c r="AE643" s="5" t="s">
        <v>43</v>
      </c>
    </row>
    <row r="644" spans="1:31" ht="14.45" hidden="1">
      <c r="A644" s="299" t="s">
        <v>2127</v>
      </c>
      <c r="B644" s="26">
        <v>45901</v>
      </c>
      <c r="C644" s="26">
        <v>45898</v>
      </c>
      <c r="D644" s="14" t="s">
        <v>2128</v>
      </c>
      <c r="E644" s="14" t="s">
        <v>103</v>
      </c>
      <c r="F644" s="14" t="s">
        <v>104</v>
      </c>
      <c r="G644" s="14">
        <v>51000323</v>
      </c>
      <c r="H644" s="14" t="s">
        <v>1813</v>
      </c>
      <c r="I644" s="14" t="s">
        <v>2129</v>
      </c>
      <c r="J644" s="14">
        <v>1</v>
      </c>
      <c r="K644" s="14" t="s">
        <v>37</v>
      </c>
      <c r="L644" s="14" t="s">
        <v>96</v>
      </c>
      <c r="M644" s="14" t="s">
        <v>39</v>
      </c>
      <c r="N644" s="14" t="s">
        <v>39</v>
      </c>
      <c r="O644" s="15">
        <v>1</v>
      </c>
      <c r="P644" s="15"/>
      <c r="Q644" s="15">
        <v>137654</v>
      </c>
      <c r="R644" s="15" t="s">
        <v>165</v>
      </c>
      <c r="S644" s="25">
        <v>46000</v>
      </c>
      <c r="T644" s="25">
        <v>45979</v>
      </c>
      <c r="U644" s="25">
        <v>45993</v>
      </c>
      <c r="V644" s="15" t="s">
        <v>1290</v>
      </c>
      <c r="W644" s="15"/>
      <c r="X644" s="27">
        <v>354.38</v>
      </c>
      <c r="Y644" s="27">
        <f>Table2[[#This Row],[PREÇO UNITARIO]]*Table2[[#This Row],[QUANTIDADE]]</f>
        <v>354.38</v>
      </c>
      <c r="Z644" s="15"/>
      <c r="AA644" s="28">
        <f>MONTH(Table2[[#This Row],[DATA PEDIDO HP]])</f>
        <v>9</v>
      </c>
      <c r="AB644" s="32" t="s">
        <v>42</v>
      </c>
      <c r="AC644" s="5">
        <f t="shared" ca="1" si="10"/>
        <v>46232</v>
      </c>
      <c r="AD644" s="331">
        <f ca="1">_xlfn.DAYS(Table2[[#This Row],[HOJE]],Table2[[#This Row],[DATA PEDIDO HP]])</f>
        <v>331</v>
      </c>
      <c r="AE644" s="336" t="s">
        <v>43</v>
      </c>
    </row>
    <row r="645" spans="1:31" ht="14.45" hidden="1">
      <c r="A645" s="269" t="s">
        <v>2130</v>
      </c>
      <c r="B645" s="26">
        <v>45901</v>
      </c>
      <c r="C645" s="26">
        <v>45901</v>
      </c>
      <c r="D645" s="14" t="s">
        <v>2131</v>
      </c>
      <c r="E645" s="14" t="s">
        <v>2132</v>
      </c>
      <c r="F645" s="14" t="s">
        <v>203</v>
      </c>
      <c r="G645" s="14">
        <v>60001111</v>
      </c>
      <c r="H645" s="14" t="s">
        <v>2133</v>
      </c>
      <c r="I645" s="14" t="s">
        <v>2134</v>
      </c>
      <c r="J645" s="14">
        <v>1</v>
      </c>
      <c r="K645" s="14" t="s">
        <v>67</v>
      </c>
      <c r="L645" s="14" t="s">
        <v>96</v>
      </c>
      <c r="M645" s="14" t="s">
        <v>88</v>
      </c>
      <c r="N645" s="15" t="s">
        <v>89</v>
      </c>
      <c r="O645" s="15">
        <v>1</v>
      </c>
      <c r="P645" s="15">
        <v>1</v>
      </c>
      <c r="Q645" s="15">
        <v>137951</v>
      </c>
      <c r="R645" s="15"/>
      <c r="S645" s="25">
        <v>45925</v>
      </c>
      <c r="T645" s="25">
        <v>45918</v>
      </c>
      <c r="U645" s="25">
        <v>45924</v>
      </c>
      <c r="V645" s="15" t="s">
        <v>1939</v>
      </c>
      <c r="W645" s="15"/>
      <c r="X645" s="159">
        <v>274.36</v>
      </c>
      <c r="Y645" s="159">
        <f>Table2[[#This Row],[PREÇO UNITARIO]]*Table2[[#This Row],[QUANTIDADE]]</f>
        <v>274.36</v>
      </c>
      <c r="Z645" s="15"/>
      <c r="AA645" s="28">
        <f>MONTH(Table2[[#This Row],[DATA PEDIDO HP]])</f>
        <v>9</v>
      </c>
      <c r="AB645" s="32" t="s">
        <v>42</v>
      </c>
      <c r="AC645" s="5">
        <f t="shared" ca="1" si="10"/>
        <v>46232</v>
      </c>
      <c r="AD645" s="331">
        <f ca="1">_xlfn.DAYS(Table2[[#This Row],[HOJE]],Table2[[#This Row],[DATA PEDIDO HP]])</f>
        <v>331</v>
      </c>
      <c r="AE645" s="5" t="s">
        <v>43</v>
      </c>
    </row>
    <row r="646" spans="1:31" ht="14.45" hidden="1">
      <c r="A646" s="269" t="s">
        <v>2130</v>
      </c>
      <c r="B646" s="26">
        <v>45901</v>
      </c>
      <c r="C646" s="26">
        <v>45901</v>
      </c>
      <c r="D646" s="14" t="s">
        <v>2131</v>
      </c>
      <c r="E646" s="14" t="s">
        <v>2132</v>
      </c>
      <c r="F646" s="14" t="s">
        <v>203</v>
      </c>
      <c r="G646" s="14">
        <v>60001111</v>
      </c>
      <c r="H646" s="14" t="s">
        <v>2135</v>
      </c>
      <c r="I646" s="14" t="s">
        <v>2136</v>
      </c>
      <c r="J646" s="14">
        <v>1</v>
      </c>
      <c r="K646" s="14" t="s">
        <v>67</v>
      </c>
      <c r="L646" s="14" t="s">
        <v>96</v>
      </c>
      <c r="M646" s="14" t="s">
        <v>88</v>
      </c>
      <c r="N646" s="15" t="s">
        <v>89</v>
      </c>
      <c r="O646" s="15">
        <v>1</v>
      </c>
      <c r="P646" s="15">
        <v>1</v>
      </c>
      <c r="Q646" s="15">
        <v>137951</v>
      </c>
      <c r="R646" s="15"/>
      <c r="S646" s="25">
        <v>45925</v>
      </c>
      <c r="T646" s="25">
        <v>45918</v>
      </c>
      <c r="U646" s="25">
        <v>45924</v>
      </c>
      <c r="V646" s="15" t="s">
        <v>1939</v>
      </c>
      <c r="W646" s="15"/>
      <c r="X646" s="159">
        <v>555.25</v>
      </c>
      <c r="Y646" s="159">
        <f>Table2[[#This Row],[PREÇO UNITARIO]]*Table2[[#This Row],[QUANTIDADE]]</f>
        <v>555.25</v>
      </c>
      <c r="Z646" s="15"/>
      <c r="AA646" s="28">
        <f>MONTH(Table2[[#This Row],[DATA PEDIDO HP]])</f>
        <v>9</v>
      </c>
      <c r="AB646" s="32" t="s">
        <v>42</v>
      </c>
      <c r="AC646" s="5">
        <f t="shared" ca="1" si="10"/>
        <v>46232</v>
      </c>
      <c r="AD646" s="331">
        <f ca="1">_xlfn.DAYS(Table2[[#This Row],[HOJE]],Table2[[#This Row],[DATA PEDIDO HP]])</f>
        <v>331</v>
      </c>
      <c r="AE646" s="5" t="s">
        <v>43</v>
      </c>
    </row>
    <row r="647" spans="1:31" ht="14.45" hidden="1">
      <c r="A647" s="269" t="s">
        <v>2137</v>
      </c>
      <c r="B647" s="26">
        <v>45902</v>
      </c>
      <c r="C647" s="26">
        <v>45902</v>
      </c>
      <c r="D647" s="14" t="s">
        <v>2138</v>
      </c>
      <c r="E647" s="14" t="s">
        <v>73</v>
      </c>
      <c r="F647" s="14" t="s">
        <v>203</v>
      </c>
      <c r="G647" s="14">
        <v>60002095</v>
      </c>
      <c r="H647" s="14" t="s">
        <v>2139</v>
      </c>
      <c r="I647" s="14" t="s">
        <v>2140</v>
      </c>
      <c r="J647" s="14">
        <v>1</v>
      </c>
      <c r="K647" s="14" t="s">
        <v>37</v>
      </c>
      <c r="L647" s="14" t="s">
        <v>96</v>
      </c>
      <c r="M647" s="14" t="s">
        <v>88</v>
      </c>
      <c r="N647" s="15" t="s">
        <v>89</v>
      </c>
      <c r="O647" s="15">
        <v>1</v>
      </c>
      <c r="P647" s="15">
        <v>1</v>
      </c>
      <c r="Q647" s="15">
        <v>138116</v>
      </c>
      <c r="R647" s="15"/>
      <c r="S647" s="25">
        <v>45996</v>
      </c>
      <c r="T647" s="25">
        <v>45979</v>
      </c>
      <c r="U647" s="25">
        <v>45993</v>
      </c>
      <c r="V647" s="15" t="s">
        <v>1290</v>
      </c>
      <c r="W647" s="15"/>
      <c r="X647" s="233">
        <v>898.2</v>
      </c>
      <c r="Y647" s="27">
        <f>Table2[[#This Row],[PREÇO UNITARIO]]*Table2[[#This Row],[QUANTIDADE]]</f>
        <v>898.2</v>
      </c>
      <c r="Z647" s="199"/>
      <c r="AA647" s="32">
        <f>MONTH(Table2[[#This Row],[DATA PEDIDO HP]])</f>
        <v>9</v>
      </c>
      <c r="AB647" s="32" t="s">
        <v>42</v>
      </c>
      <c r="AC647" s="5">
        <f t="shared" ca="1" si="10"/>
        <v>46232</v>
      </c>
      <c r="AD647" s="331">
        <f ca="1">_xlfn.DAYS(Table2[[#This Row],[HOJE]],Table2[[#This Row],[DATA PEDIDO HP]])</f>
        <v>330</v>
      </c>
      <c r="AE647" s="336" t="s">
        <v>43</v>
      </c>
    </row>
    <row r="648" spans="1:31" ht="14.45" hidden="1">
      <c r="A648" s="269" t="s">
        <v>2141</v>
      </c>
      <c r="B648" s="26">
        <v>45902</v>
      </c>
      <c r="C648" s="26">
        <v>45902</v>
      </c>
      <c r="D648" s="14" t="s">
        <v>2142</v>
      </c>
      <c r="E648" s="14" t="s">
        <v>85</v>
      </c>
      <c r="F648" s="14" t="s">
        <v>74</v>
      </c>
      <c r="G648" s="14">
        <v>50000260</v>
      </c>
      <c r="H648" s="14" t="s">
        <v>354</v>
      </c>
      <c r="I648" s="14" t="s">
        <v>1956</v>
      </c>
      <c r="J648" s="14">
        <v>1</v>
      </c>
      <c r="K648" s="14" t="s">
        <v>37</v>
      </c>
      <c r="L648" s="14" t="s">
        <v>48</v>
      </c>
      <c r="M648" s="14" t="s">
        <v>58</v>
      </c>
      <c r="N648" s="14" t="s">
        <v>58</v>
      </c>
      <c r="O648" s="15">
        <v>1</v>
      </c>
      <c r="P648" s="15"/>
      <c r="Q648" s="15">
        <v>137787</v>
      </c>
      <c r="R648" s="15"/>
      <c r="S648" s="25"/>
      <c r="T648" s="25">
        <v>45979</v>
      </c>
      <c r="U648" s="25">
        <v>45993</v>
      </c>
      <c r="V648" s="15" t="s">
        <v>1290</v>
      </c>
      <c r="W648" s="15"/>
      <c r="X648" s="27">
        <v>274.36</v>
      </c>
      <c r="Y648" s="27">
        <f>Table2[[#This Row],[PREÇO UNITARIO]]*Table2[[#This Row],[QUANTIDADE]]</f>
        <v>274.36</v>
      </c>
      <c r="Z648" s="15"/>
      <c r="AA648" s="28">
        <f>MONTH(Table2[[#This Row],[DATA PEDIDO HP]])</f>
        <v>9</v>
      </c>
      <c r="AB648" s="32" t="s">
        <v>42</v>
      </c>
      <c r="AC648" s="5">
        <f t="shared" ca="1" si="10"/>
        <v>46232</v>
      </c>
      <c r="AD648" s="331">
        <f ca="1">_xlfn.DAYS(Table2[[#This Row],[HOJE]],Table2[[#This Row],[DATA PEDIDO HP]])</f>
        <v>330</v>
      </c>
      <c r="AE648" s="5" t="s">
        <v>43</v>
      </c>
    </row>
    <row r="649" spans="1:31" ht="14.45" hidden="1">
      <c r="A649" s="269" t="s">
        <v>2141</v>
      </c>
      <c r="B649" s="26">
        <v>45902</v>
      </c>
      <c r="C649" s="26">
        <v>45902</v>
      </c>
      <c r="D649" s="14" t="s">
        <v>2142</v>
      </c>
      <c r="E649" s="14" t="s">
        <v>85</v>
      </c>
      <c r="F649" s="14" t="s">
        <v>74</v>
      </c>
      <c r="G649" s="14">
        <v>50000260</v>
      </c>
      <c r="H649" s="14" t="s">
        <v>261</v>
      </c>
      <c r="I649" s="14" t="s">
        <v>2143</v>
      </c>
      <c r="J649" s="14">
        <v>1</v>
      </c>
      <c r="K649" s="14" t="s">
        <v>37</v>
      </c>
      <c r="L649" s="14" t="s">
        <v>48</v>
      </c>
      <c r="M649" s="14" t="s">
        <v>58</v>
      </c>
      <c r="N649" s="14" t="s">
        <v>58</v>
      </c>
      <c r="O649" s="15">
        <v>1</v>
      </c>
      <c r="P649" s="15"/>
      <c r="Q649" s="15">
        <v>137787</v>
      </c>
      <c r="R649" s="15" t="s">
        <v>263</v>
      </c>
      <c r="S649" s="25"/>
      <c r="T649" s="25">
        <v>45979</v>
      </c>
      <c r="U649" s="25">
        <v>45993</v>
      </c>
      <c r="V649" s="15" t="s">
        <v>1290</v>
      </c>
      <c r="W649" s="15"/>
      <c r="X649" s="27">
        <v>45.86</v>
      </c>
      <c r="Y649" s="27">
        <f>Table2[[#This Row],[PREÇO UNITARIO]]*Table2[[#This Row],[QUANTIDADE]]</f>
        <v>45.86</v>
      </c>
      <c r="Z649" s="15"/>
      <c r="AA649" s="28">
        <f>MONTH(Table2[[#This Row],[DATA PEDIDO HP]])</f>
        <v>9</v>
      </c>
      <c r="AB649" s="32" t="s">
        <v>42</v>
      </c>
      <c r="AC649" s="5">
        <f t="shared" ca="1" si="10"/>
        <v>46232</v>
      </c>
      <c r="AD649" s="331">
        <f ca="1">_xlfn.DAYS(Table2[[#This Row],[HOJE]],Table2[[#This Row],[DATA PEDIDO HP]])</f>
        <v>330</v>
      </c>
      <c r="AE649" s="5" t="s">
        <v>43</v>
      </c>
    </row>
    <row r="650" spans="1:31" ht="14.45" hidden="1">
      <c r="A650" s="299" t="s">
        <v>2144</v>
      </c>
      <c r="B650" s="26">
        <v>45902</v>
      </c>
      <c r="C650" s="26">
        <v>45902</v>
      </c>
      <c r="D650" s="14" t="s">
        <v>2145</v>
      </c>
      <c r="E650" s="14" t="s">
        <v>202</v>
      </c>
      <c r="F650" s="14" t="s">
        <v>203</v>
      </c>
      <c r="G650" s="14">
        <v>60002072</v>
      </c>
      <c r="H650" s="14" t="s">
        <v>545</v>
      </c>
      <c r="I650" s="14" t="s">
        <v>2140</v>
      </c>
      <c r="J650" s="14">
        <v>1</v>
      </c>
      <c r="K650" s="14" t="s">
        <v>37</v>
      </c>
      <c r="L650" s="14" t="s">
        <v>96</v>
      </c>
      <c r="M650" s="14" t="s">
        <v>384</v>
      </c>
      <c r="N650" s="14" t="s">
        <v>384</v>
      </c>
      <c r="O650" s="15">
        <v>1</v>
      </c>
      <c r="P650" s="15"/>
      <c r="Q650" s="15">
        <v>136565</v>
      </c>
      <c r="R650" s="15"/>
      <c r="S650" s="25">
        <v>46001</v>
      </c>
      <c r="T650" s="25">
        <v>45979</v>
      </c>
      <c r="U650" s="25">
        <v>45993</v>
      </c>
      <c r="V650" s="15" t="s">
        <v>1290</v>
      </c>
      <c r="W650" s="15"/>
      <c r="X650" s="27">
        <v>898.2</v>
      </c>
      <c r="Y650" s="27">
        <f>Table2[[#This Row],[PREÇO UNITARIO]]*Table2[[#This Row],[QUANTIDADE]]</f>
        <v>898.2</v>
      </c>
      <c r="Z650" s="15"/>
      <c r="AA650" s="28">
        <f>MONTH(Table2[[#This Row],[DATA PEDIDO HP]])</f>
        <v>9</v>
      </c>
      <c r="AB650" s="32"/>
      <c r="AC650" s="5">
        <f t="shared" ca="1" si="10"/>
        <v>46232</v>
      </c>
      <c r="AD650" s="331">
        <f ca="1">_xlfn.DAYS(Table2[[#This Row],[HOJE]],Table2[[#This Row],[DATA PEDIDO HP]])</f>
        <v>330</v>
      </c>
      <c r="AE650" s="336" t="s">
        <v>43</v>
      </c>
    </row>
    <row r="651" spans="1:31" ht="14.45" hidden="1">
      <c r="A651" s="299" t="s">
        <v>2146</v>
      </c>
      <c r="B651" s="26">
        <v>45903</v>
      </c>
      <c r="C651" s="26">
        <v>45902</v>
      </c>
      <c r="D651" s="14" t="s">
        <v>2147</v>
      </c>
      <c r="E651" s="14" t="s">
        <v>103</v>
      </c>
      <c r="F651" s="14" t="s">
        <v>104</v>
      </c>
      <c r="G651" s="14">
        <v>51000323</v>
      </c>
      <c r="H651" s="14" t="s">
        <v>1094</v>
      </c>
      <c r="I651" s="14" t="s">
        <v>2148</v>
      </c>
      <c r="J651" s="14">
        <v>1</v>
      </c>
      <c r="K651" s="14" t="s">
        <v>37</v>
      </c>
      <c r="L651" s="14" t="s">
        <v>96</v>
      </c>
      <c r="M651" s="14" t="s">
        <v>39</v>
      </c>
      <c r="N651" s="14" t="s">
        <v>39</v>
      </c>
      <c r="O651" s="15">
        <v>1</v>
      </c>
      <c r="P651" s="15"/>
      <c r="Q651" s="15">
        <v>138314</v>
      </c>
      <c r="R651" s="15" t="s">
        <v>2149</v>
      </c>
      <c r="S651" s="25">
        <v>46000</v>
      </c>
      <c r="T651" s="25">
        <v>45979</v>
      </c>
      <c r="U651" s="25">
        <v>45993</v>
      </c>
      <c r="V651" s="15" t="s">
        <v>1290</v>
      </c>
      <c r="W651" s="15"/>
      <c r="X651" s="27">
        <v>867.21</v>
      </c>
      <c r="Y651" s="27">
        <f>Table2[[#This Row],[PREÇO UNITARIO]]*Table2[[#This Row],[QUANTIDADE]]</f>
        <v>867.21</v>
      </c>
      <c r="Z651" s="15"/>
      <c r="AA651" s="28">
        <f>MONTH(Table2[[#This Row],[DATA PEDIDO HP]])</f>
        <v>9</v>
      </c>
      <c r="AB651" s="32" t="s">
        <v>42</v>
      </c>
      <c r="AC651" s="5">
        <f t="shared" ca="1" si="10"/>
        <v>46232</v>
      </c>
      <c r="AD651" s="331">
        <f ca="1">_xlfn.DAYS(Table2[[#This Row],[HOJE]],Table2[[#This Row],[DATA PEDIDO HP]])</f>
        <v>329</v>
      </c>
      <c r="AE651" s="336" t="s">
        <v>43</v>
      </c>
    </row>
    <row r="652" spans="1:31" ht="14.45" hidden="1">
      <c r="A652" s="269" t="s">
        <v>2150</v>
      </c>
      <c r="B652" s="26">
        <v>45903</v>
      </c>
      <c r="C652" s="26">
        <v>45903</v>
      </c>
      <c r="D652" s="14" t="s">
        <v>2151</v>
      </c>
      <c r="E652" s="14" t="s">
        <v>73</v>
      </c>
      <c r="F652" s="14" t="s">
        <v>203</v>
      </c>
      <c r="G652" s="14">
        <v>60002095</v>
      </c>
      <c r="H652" s="14" t="s">
        <v>136</v>
      </c>
      <c r="I652" s="14" t="s">
        <v>137</v>
      </c>
      <c r="J652" s="14">
        <v>1</v>
      </c>
      <c r="K652" s="14" t="s">
        <v>37</v>
      </c>
      <c r="L652" s="14" t="s">
        <v>48</v>
      </c>
      <c r="M652" s="14" t="s">
        <v>58</v>
      </c>
      <c r="N652" s="14" t="s">
        <v>58</v>
      </c>
      <c r="O652" s="15">
        <v>1</v>
      </c>
      <c r="P652" s="15"/>
      <c r="Q652" s="15">
        <v>138347</v>
      </c>
      <c r="R652" s="15"/>
      <c r="S652" s="25"/>
      <c r="T652" s="25">
        <v>45979</v>
      </c>
      <c r="U652" s="25">
        <v>45993</v>
      </c>
      <c r="V652" s="15" t="s">
        <v>1290</v>
      </c>
      <c r="W652" s="15"/>
      <c r="X652" s="27">
        <v>19.600000000000001</v>
      </c>
      <c r="Y652" s="27">
        <f>Table2[[#This Row],[PREÇO UNITARIO]]*Table2[[#This Row],[QUANTIDADE]]</f>
        <v>19.600000000000001</v>
      </c>
      <c r="Z652" s="15"/>
      <c r="AA652" s="28">
        <f>MONTH(Table2[[#This Row],[DATA PEDIDO HP]])</f>
        <v>9</v>
      </c>
      <c r="AB652" s="32" t="s">
        <v>42</v>
      </c>
      <c r="AC652" s="5">
        <f t="shared" ca="1" si="10"/>
        <v>46232</v>
      </c>
      <c r="AD652" s="331">
        <f ca="1">_xlfn.DAYS(Table2[[#This Row],[HOJE]],Table2[[#This Row],[DATA PEDIDO HP]])</f>
        <v>329</v>
      </c>
      <c r="AE652" s="5" t="s">
        <v>43</v>
      </c>
    </row>
    <row r="653" spans="1:31" ht="14.45" hidden="1">
      <c r="A653" s="269" t="s">
        <v>2150</v>
      </c>
      <c r="B653" s="26">
        <v>45903</v>
      </c>
      <c r="C653" s="26">
        <v>45903</v>
      </c>
      <c r="D653" s="14" t="s">
        <v>2151</v>
      </c>
      <c r="E653" s="14" t="s">
        <v>73</v>
      </c>
      <c r="F653" s="14" t="s">
        <v>203</v>
      </c>
      <c r="G653" s="14">
        <v>60002095</v>
      </c>
      <c r="H653" s="14" t="s">
        <v>134</v>
      </c>
      <c r="I653" s="14" t="s">
        <v>1386</v>
      </c>
      <c r="J653" s="14">
        <v>1</v>
      </c>
      <c r="K653" s="14" t="s">
        <v>37</v>
      </c>
      <c r="L653" s="14" t="s">
        <v>48</v>
      </c>
      <c r="M653" s="14" t="s">
        <v>58</v>
      </c>
      <c r="N653" s="14" t="s">
        <v>58</v>
      </c>
      <c r="O653" s="15">
        <v>1</v>
      </c>
      <c r="P653" s="15"/>
      <c r="Q653" s="15">
        <v>138347</v>
      </c>
      <c r="R653" s="15"/>
      <c r="S653" s="25"/>
      <c r="T653" s="25">
        <v>45979</v>
      </c>
      <c r="U653" s="25">
        <v>45993</v>
      </c>
      <c r="V653" s="15" t="s">
        <v>1290</v>
      </c>
      <c r="W653" s="15"/>
      <c r="X653" s="27">
        <v>42.46</v>
      </c>
      <c r="Y653" s="27">
        <f>Table2[[#This Row],[PREÇO UNITARIO]]*Table2[[#This Row],[QUANTIDADE]]</f>
        <v>42.46</v>
      </c>
      <c r="Z653" s="15"/>
      <c r="AA653" s="28">
        <f>MONTH(Table2[[#This Row],[DATA PEDIDO HP]])</f>
        <v>9</v>
      </c>
      <c r="AB653" s="32" t="s">
        <v>42</v>
      </c>
      <c r="AC653" s="5">
        <f t="shared" ca="1" si="10"/>
        <v>46232</v>
      </c>
      <c r="AD653" s="331">
        <f ca="1">_xlfn.DAYS(Table2[[#This Row],[HOJE]],Table2[[#This Row],[DATA PEDIDO HP]])</f>
        <v>329</v>
      </c>
      <c r="AE653" s="5" t="s">
        <v>43</v>
      </c>
    </row>
    <row r="654" spans="1:31" ht="14.45" hidden="1">
      <c r="A654" s="299" t="s">
        <v>2152</v>
      </c>
      <c r="B654" s="26">
        <v>45903</v>
      </c>
      <c r="C654" s="26">
        <v>45903</v>
      </c>
      <c r="D654" s="14" t="s">
        <v>2153</v>
      </c>
      <c r="E654" s="14" t="s">
        <v>109</v>
      </c>
      <c r="F654" s="14" t="s">
        <v>34</v>
      </c>
      <c r="G654" s="14">
        <v>50110229</v>
      </c>
      <c r="H654" s="14" t="s">
        <v>2154</v>
      </c>
      <c r="I654" s="14" t="s">
        <v>2155</v>
      </c>
      <c r="J654" s="14">
        <v>1</v>
      </c>
      <c r="K654" s="14" t="s">
        <v>37</v>
      </c>
      <c r="L654" s="14" t="s">
        <v>48</v>
      </c>
      <c r="M654" s="14" t="s">
        <v>88</v>
      </c>
      <c r="N654" s="15" t="s">
        <v>89</v>
      </c>
      <c r="O654" s="15">
        <v>0</v>
      </c>
      <c r="P654" s="15"/>
      <c r="Q654" s="15">
        <v>138382</v>
      </c>
      <c r="R654" s="15"/>
      <c r="S654" s="25">
        <v>46002</v>
      </c>
      <c r="T654" s="25">
        <v>45979</v>
      </c>
      <c r="U654" s="25">
        <v>45993</v>
      </c>
      <c r="V654" s="15" t="s">
        <v>1290</v>
      </c>
      <c r="W654" s="15"/>
      <c r="X654" s="27">
        <v>34.299999999999997</v>
      </c>
      <c r="Y654" s="27">
        <f>Table2[[#This Row],[PREÇO UNITARIO]]*Table2[[#This Row],[QUANTIDADE]]</f>
        <v>34.299999999999997</v>
      </c>
      <c r="Z654" s="15"/>
      <c r="AA654" s="28">
        <f>MONTH(Table2[[#This Row],[DATA PEDIDO HP]])</f>
        <v>9</v>
      </c>
      <c r="AB654" s="32" t="s">
        <v>42</v>
      </c>
      <c r="AC654" s="5">
        <f t="shared" ca="1" si="10"/>
        <v>46232</v>
      </c>
      <c r="AD654" s="331">
        <f ca="1">_xlfn.DAYS(Table2[[#This Row],[HOJE]],Table2[[#This Row],[DATA PEDIDO HP]])</f>
        <v>329</v>
      </c>
      <c r="AE654" s="336" t="s">
        <v>43</v>
      </c>
    </row>
    <row r="655" spans="1:31" ht="14.45" hidden="1">
      <c r="A655" s="297" t="s">
        <v>2156</v>
      </c>
      <c r="B655" s="26">
        <v>45903</v>
      </c>
      <c r="C655" s="26">
        <v>45903</v>
      </c>
      <c r="D655" s="14" t="s">
        <v>2157</v>
      </c>
      <c r="E655" s="14" t="s">
        <v>33</v>
      </c>
      <c r="F655" s="14" t="s">
        <v>34</v>
      </c>
      <c r="G655" s="14">
        <v>50110193</v>
      </c>
      <c r="H655" s="14" t="s">
        <v>545</v>
      </c>
      <c r="I655" s="14" t="s">
        <v>2140</v>
      </c>
      <c r="J655" s="14">
        <v>1</v>
      </c>
      <c r="K655" s="14" t="s">
        <v>37</v>
      </c>
      <c r="L655" s="14" t="s">
        <v>48</v>
      </c>
      <c r="M655" s="14" t="s">
        <v>384</v>
      </c>
      <c r="N655" s="14" t="s">
        <v>384</v>
      </c>
      <c r="O655" s="15">
        <v>1</v>
      </c>
      <c r="P655" s="15"/>
      <c r="Q655" s="15">
        <v>138380</v>
      </c>
      <c r="R655" s="15"/>
      <c r="S655" s="25">
        <v>45996</v>
      </c>
      <c r="T655" s="25">
        <v>45979</v>
      </c>
      <c r="U655" s="25">
        <v>45993</v>
      </c>
      <c r="V655" s="15" t="s">
        <v>1290</v>
      </c>
      <c r="W655" s="15"/>
      <c r="X655" s="27">
        <v>898</v>
      </c>
      <c r="Y655" s="27">
        <f>Table2[[#This Row],[PREÇO UNITARIO]]*Table2[[#This Row],[QUANTIDADE]]</f>
        <v>898</v>
      </c>
      <c r="Z655" s="15"/>
      <c r="AA655" s="28">
        <f>MONTH(Table2[[#This Row],[DATA PEDIDO HP]])</f>
        <v>9</v>
      </c>
      <c r="AB655" s="32"/>
      <c r="AC655" s="5">
        <f t="shared" ca="1" si="10"/>
        <v>46232</v>
      </c>
      <c r="AD655" s="331">
        <f ca="1">_xlfn.DAYS(Table2[[#This Row],[HOJE]],Table2[[#This Row],[DATA PEDIDO HP]])</f>
        <v>329</v>
      </c>
      <c r="AE655" s="336" t="s">
        <v>43</v>
      </c>
    </row>
    <row r="656" spans="1:31" ht="14.45" hidden="1">
      <c r="A656" s="299" t="s">
        <v>2158</v>
      </c>
      <c r="B656" s="25">
        <v>45910</v>
      </c>
      <c r="C656" s="26">
        <v>45904</v>
      </c>
      <c r="D656" s="14" t="s">
        <v>2159</v>
      </c>
      <c r="E656" s="14" t="s">
        <v>152</v>
      </c>
      <c r="F656" s="14" t="s">
        <v>640</v>
      </c>
      <c r="G656" s="14">
        <v>48500670</v>
      </c>
      <c r="H656" s="14" t="s">
        <v>2160</v>
      </c>
      <c r="I656" s="14" t="s">
        <v>2161</v>
      </c>
      <c r="J656" s="14">
        <v>1</v>
      </c>
      <c r="K656" s="14" t="s">
        <v>37</v>
      </c>
      <c r="L656" s="14" t="s">
        <v>2162</v>
      </c>
      <c r="M656" s="14" t="s">
        <v>88</v>
      </c>
      <c r="N656" s="15" t="s">
        <v>89</v>
      </c>
      <c r="O656" s="15">
        <v>1</v>
      </c>
      <c r="P656" s="15"/>
      <c r="Q656" s="15">
        <v>133663</v>
      </c>
      <c r="R656" s="15"/>
      <c r="S656" s="25">
        <v>46002</v>
      </c>
      <c r="T656" s="25">
        <v>45979</v>
      </c>
      <c r="U656" s="25">
        <v>45993</v>
      </c>
      <c r="V656" s="15" t="s">
        <v>1290</v>
      </c>
      <c r="W656" s="15"/>
      <c r="X656" s="233">
        <v>865.54</v>
      </c>
      <c r="Y656" s="27">
        <f>Table2[[#This Row],[PREÇO UNITARIO]]*Table2[[#This Row],[QUANTIDADE]]</f>
        <v>865.54</v>
      </c>
      <c r="Z656" s="199"/>
      <c r="AA656" s="32">
        <f>MONTH(Table2[[#This Row],[DATA PEDIDO HP]])</f>
        <v>9</v>
      </c>
      <c r="AB656" s="32" t="s">
        <v>60</v>
      </c>
      <c r="AC656" s="5">
        <f t="shared" ca="1" si="10"/>
        <v>46232</v>
      </c>
      <c r="AD656" s="331">
        <f ca="1">_xlfn.DAYS(Table2[[#This Row],[HOJE]],Table2[[#This Row],[DATA PEDIDO HP]])</f>
        <v>322</v>
      </c>
      <c r="AE656" s="336" t="s">
        <v>43</v>
      </c>
    </row>
    <row r="657" spans="1:31" ht="14.45" hidden="1">
      <c r="A657" s="269" t="s">
        <v>2158</v>
      </c>
      <c r="B657" s="25">
        <v>45910</v>
      </c>
      <c r="C657" s="26">
        <v>45904</v>
      </c>
      <c r="D657" s="14" t="s">
        <v>2159</v>
      </c>
      <c r="E657" s="14" t="s">
        <v>152</v>
      </c>
      <c r="F657" s="14" t="s">
        <v>640</v>
      </c>
      <c r="G657" s="14">
        <v>48300301</v>
      </c>
      <c r="H657" s="14" t="s">
        <v>2163</v>
      </c>
      <c r="I657" s="14" t="s">
        <v>2164</v>
      </c>
      <c r="J657" s="14">
        <v>1</v>
      </c>
      <c r="K657" s="14" t="s">
        <v>37</v>
      </c>
      <c r="L657" s="14" t="s">
        <v>2162</v>
      </c>
      <c r="M657" s="14" t="s">
        <v>58</v>
      </c>
      <c r="N657" s="14" t="s">
        <v>58</v>
      </c>
      <c r="O657" s="15">
        <v>1</v>
      </c>
      <c r="P657" s="15"/>
      <c r="Q657" s="15">
        <v>133663</v>
      </c>
      <c r="R657" s="15"/>
      <c r="S657" s="25"/>
      <c r="T657" s="25">
        <v>45979</v>
      </c>
      <c r="U657" s="25">
        <v>45993</v>
      </c>
      <c r="V657" s="15" t="s">
        <v>1290</v>
      </c>
      <c r="W657" s="15"/>
      <c r="X657" s="233">
        <v>327.5</v>
      </c>
      <c r="Y657" s="27">
        <f>Table2[[#This Row],[PREÇO UNITARIO]]*Table2[[#This Row],[QUANTIDADE]]</f>
        <v>327.5</v>
      </c>
      <c r="Z657" s="199"/>
      <c r="AA657" s="32">
        <f>MONTH(Table2[[#This Row],[DATA PEDIDO HP]])</f>
        <v>9</v>
      </c>
      <c r="AB657" s="32" t="s">
        <v>60</v>
      </c>
      <c r="AC657" s="5">
        <f t="shared" ca="1" si="10"/>
        <v>46232</v>
      </c>
      <c r="AD657" s="331">
        <f ca="1">_xlfn.DAYS(Table2[[#This Row],[HOJE]],Table2[[#This Row],[DATA PEDIDO HP]])</f>
        <v>322</v>
      </c>
      <c r="AE657" s="5" t="s">
        <v>43</v>
      </c>
    </row>
    <row r="658" spans="1:31" ht="14.45" hidden="1">
      <c r="A658" s="269" t="s">
        <v>2165</v>
      </c>
      <c r="B658" s="26">
        <v>45904</v>
      </c>
      <c r="C658" s="26">
        <v>45904</v>
      </c>
      <c r="D658" s="14" t="s">
        <v>2166</v>
      </c>
      <c r="E658" s="14" t="s">
        <v>79</v>
      </c>
      <c r="F658" s="14" t="s">
        <v>74</v>
      </c>
      <c r="G658" s="14">
        <v>50000530</v>
      </c>
      <c r="H658" s="14" t="s">
        <v>130</v>
      </c>
      <c r="I658" s="14" t="s">
        <v>1353</v>
      </c>
      <c r="J658" s="14">
        <v>2</v>
      </c>
      <c r="K658" s="14" t="s">
        <v>37</v>
      </c>
      <c r="L658" s="14" t="s">
        <v>48</v>
      </c>
      <c r="M658" s="14" t="s">
        <v>58</v>
      </c>
      <c r="N658" s="14" t="s">
        <v>58</v>
      </c>
      <c r="O658" s="15">
        <v>1</v>
      </c>
      <c r="P658" s="15"/>
      <c r="Q658" s="15">
        <v>137853</v>
      </c>
      <c r="R658" s="15"/>
      <c r="S658" s="25"/>
      <c r="T658" s="25">
        <v>45979</v>
      </c>
      <c r="U658" s="25">
        <v>45993</v>
      </c>
      <c r="V658" s="15" t="s">
        <v>1290</v>
      </c>
      <c r="W658" s="15"/>
      <c r="X658" s="27">
        <v>17.28</v>
      </c>
      <c r="Y658" s="27">
        <f>Table2[[#This Row],[PREÇO UNITARIO]]*Table2[[#This Row],[QUANTIDADE]]</f>
        <v>34.56</v>
      </c>
      <c r="Z658" s="15"/>
      <c r="AA658" s="28">
        <f>MONTH(Table2[[#This Row],[DATA PEDIDO HP]])</f>
        <v>9</v>
      </c>
      <c r="AB658" s="32" t="s">
        <v>60</v>
      </c>
      <c r="AC658" s="5">
        <f t="shared" ca="1" si="10"/>
        <v>46232</v>
      </c>
      <c r="AD658" s="331">
        <f ca="1">_xlfn.DAYS(Table2[[#This Row],[HOJE]],Table2[[#This Row],[DATA PEDIDO HP]])</f>
        <v>328</v>
      </c>
      <c r="AE658" s="5" t="s">
        <v>43</v>
      </c>
    </row>
    <row r="659" spans="1:31" ht="14.45" hidden="1">
      <c r="A659" s="269" t="s">
        <v>2167</v>
      </c>
      <c r="B659" s="26">
        <v>45904</v>
      </c>
      <c r="C659" s="26">
        <v>45904</v>
      </c>
      <c r="D659" s="14" t="s">
        <v>2168</v>
      </c>
      <c r="E659" s="14" t="s">
        <v>2132</v>
      </c>
      <c r="F659" s="14" t="s">
        <v>203</v>
      </c>
      <c r="G659" s="14">
        <v>60001111</v>
      </c>
      <c r="H659" s="14" t="s">
        <v>545</v>
      </c>
      <c r="I659" s="14" t="s">
        <v>2140</v>
      </c>
      <c r="J659" s="14">
        <v>1</v>
      </c>
      <c r="K659" s="14" t="s">
        <v>37</v>
      </c>
      <c r="L659" s="14" t="s">
        <v>48</v>
      </c>
      <c r="M659" s="14" t="s">
        <v>384</v>
      </c>
      <c r="N659" s="14" t="s">
        <v>384</v>
      </c>
      <c r="O659" s="15">
        <v>0</v>
      </c>
      <c r="P659" s="15">
        <v>1</v>
      </c>
      <c r="Q659" s="15">
        <v>138421</v>
      </c>
      <c r="R659" s="15"/>
      <c r="S659" s="25">
        <v>46000</v>
      </c>
      <c r="T659" s="25">
        <v>45979</v>
      </c>
      <c r="U659" s="25">
        <v>45993</v>
      </c>
      <c r="V659" s="15" t="s">
        <v>1290</v>
      </c>
      <c r="W659" s="15"/>
      <c r="X659" s="159">
        <v>898.2</v>
      </c>
      <c r="Y659" s="159">
        <f>Table2[[#This Row],[PREÇO UNITARIO]]*Table2[[#This Row],[QUANTIDADE]]</f>
        <v>898.2</v>
      </c>
      <c r="Z659" s="15"/>
      <c r="AA659" s="28">
        <f>MONTH(Table2[[#This Row],[DATA PEDIDO HP]])</f>
        <v>9</v>
      </c>
      <c r="AB659" s="32"/>
      <c r="AC659" s="5">
        <f t="shared" ca="1" si="10"/>
        <v>46232</v>
      </c>
      <c r="AD659" s="331">
        <f ca="1">_xlfn.DAYS(Table2[[#This Row],[HOJE]],Table2[[#This Row],[DATA PEDIDO HP]])</f>
        <v>328</v>
      </c>
      <c r="AE659" s="5" t="s">
        <v>43</v>
      </c>
    </row>
    <row r="660" spans="1:31" ht="14.45" hidden="1">
      <c r="A660" s="269" t="s">
        <v>2169</v>
      </c>
      <c r="B660" s="26">
        <v>45903</v>
      </c>
      <c r="C660" s="26">
        <v>45905</v>
      </c>
      <c r="D660" s="14"/>
      <c r="E660" s="14" t="s">
        <v>381</v>
      </c>
      <c r="F660" s="14" t="s">
        <v>2170</v>
      </c>
      <c r="G660" s="14"/>
      <c r="H660" s="14" t="s">
        <v>2171</v>
      </c>
      <c r="I660" s="14" t="s">
        <v>2172</v>
      </c>
      <c r="J660" s="14">
        <v>3</v>
      </c>
      <c r="K660" s="14"/>
      <c r="L660" s="14"/>
      <c r="M660" s="15" t="s">
        <v>384</v>
      </c>
      <c r="N660" s="15" t="s">
        <v>384</v>
      </c>
      <c r="O660" s="15">
        <v>0</v>
      </c>
      <c r="P660" s="15"/>
      <c r="Q660" s="15"/>
      <c r="R660" s="15"/>
      <c r="S660" s="25"/>
      <c r="T660" s="25"/>
      <c r="U660" s="25"/>
      <c r="V660" s="15"/>
      <c r="W660" s="15"/>
      <c r="X660" s="27">
        <v>191.68</v>
      </c>
      <c r="Y660" s="27">
        <f>Table2[[#This Row],[PREÇO UNITARIO]]*Table2[[#This Row],[QUANTIDADE]]</f>
        <v>575.04</v>
      </c>
      <c r="Z660" s="14" t="s">
        <v>2173</v>
      </c>
      <c r="AA660" s="28">
        <f>MONTH(Table2[[#This Row],[DATA PEDIDO HP]])</f>
        <v>9</v>
      </c>
      <c r="AB660" s="32"/>
      <c r="AC660" s="5">
        <f t="shared" ca="1" si="10"/>
        <v>46232</v>
      </c>
      <c r="AD660" s="331">
        <f ca="1">_xlfn.DAYS(Table2[[#This Row],[HOJE]],Table2[[#This Row],[DATA PEDIDO HP]])</f>
        <v>329</v>
      </c>
      <c r="AE660" s="5" t="s">
        <v>549</v>
      </c>
    </row>
    <row r="661" spans="1:31" ht="14.45" hidden="1">
      <c r="A661" s="269" t="s">
        <v>2174</v>
      </c>
      <c r="B661" s="26">
        <v>45903</v>
      </c>
      <c r="C661" s="26">
        <v>45905</v>
      </c>
      <c r="D661" s="14"/>
      <c r="E661" s="14" t="s">
        <v>445</v>
      </c>
      <c r="F661" s="14" t="s">
        <v>2175</v>
      </c>
      <c r="G661" s="14">
        <v>50300097</v>
      </c>
      <c r="H661" s="14" t="s">
        <v>2176</v>
      </c>
      <c r="I661" s="14" t="s">
        <v>2177</v>
      </c>
      <c r="J661" s="14">
        <v>1</v>
      </c>
      <c r="K661" s="14"/>
      <c r="L661" s="14"/>
      <c r="M661" s="15" t="s">
        <v>384</v>
      </c>
      <c r="N661" s="15" t="s">
        <v>384</v>
      </c>
      <c r="O661" s="15">
        <v>0</v>
      </c>
      <c r="P661" s="15"/>
      <c r="Q661" s="15"/>
      <c r="R661" s="15"/>
      <c r="S661" s="25"/>
      <c r="T661" s="25"/>
      <c r="U661" s="25"/>
      <c r="V661" s="15"/>
      <c r="W661" s="15"/>
      <c r="X661" s="27">
        <v>78.41</v>
      </c>
      <c r="Y661" s="27">
        <f>Table2[[#This Row],[PREÇO UNITARIO]]*Table2[[#This Row],[QUANTIDADE]]</f>
        <v>78.41</v>
      </c>
      <c r="Z661" s="14" t="s">
        <v>2178</v>
      </c>
      <c r="AA661" s="28">
        <f>MONTH(Table2[[#This Row],[DATA PEDIDO HP]])</f>
        <v>9</v>
      </c>
      <c r="AB661" s="32"/>
      <c r="AC661" s="5">
        <f t="shared" ca="1" si="10"/>
        <v>46232</v>
      </c>
      <c r="AD661" s="331">
        <f ca="1">_xlfn.DAYS(Table2[[#This Row],[HOJE]],Table2[[#This Row],[DATA PEDIDO HP]])</f>
        <v>329</v>
      </c>
      <c r="AE661" s="5" t="s">
        <v>549</v>
      </c>
    </row>
    <row r="662" spans="1:31" ht="14.45" hidden="1">
      <c r="A662" s="269" t="s">
        <v>2179</v>
      </c>
      <c r="B662" s="26">
        <v>45905</v>
      </c>
      <c r="C662" s="26">
        <v>45905</v>
      </c>
      <c r="D662" s="14" t="s">
        <v>2180</v>
      </c>
      <c r="E662" s="14" t="s">
        <v>1196</v>
      </c>
      <c r="F662" s="14" t="s">
        <v>173</v>
      </c>
      <c r="G662" s="14">
        <v>48300375</v>
      </c>
      <c r="H662" s="14" t="s">
        <v>1439</v>
      </c>
      <c r="I662" s="14" t="s">
        <v>1582</v>
      </c>
      <c r="J662" s="14">
        <v>1</v>
      </c>
      <c r="K662" s="14" t="s">
        <v>37</v>
      </c>
      <c r="L662" s="14" t="s">
        <v>48</v>
      </c>
      <c r="M662" s="14" t="s">
        <v>58</v>
      </c>
      <c r="N662" s="14" t="s">
        <v>58</v>
      </c>
      <c r="O662" s="15">
        <v>1</v>
      </c>
      <c r="P662" s="15"/>
      <c r="Q662" s="15">
        <v>138545</v>
      </c>
      <c r="R662" s="15"/>
      <c r="S662" s="25"/>
      <c r="T662" s="25">
        <v>45979</v>
      </c>
      <c r="U662" s="25">
        <v>45993</v>
      </c>
      <c r="V662" s="15" t="s">
        <v>1290</v>
      </c>
      <c r="W662" s="15"/>
      <c r="X662" s="27">
        <v>303.75</v>
      </c>
      <c r="Y662" s="27">
        <f>Table2[[#This Row],[PREÇO UNITARIO]]*Table2[[#This Row],[QUANTIDADE]]</f>
        <v>303.75</v>
      </c>
      <c r="Z662" s="15"/>
      <c r="AA662" s="28">
        <f>MONTH(Table2[[#This Row],[DATA PEDIDO HP]])</f>
        <v>9</v>
      </c>
      <c r="AB662" s="32" t="s">
        <v>60</v>
      </c>
      <c r="AC662" s="5">
        <f t="shared" ca="1" si="10"/>
        <v>46232</v>
      </c>
      <c r="AD662" s="331">
        <f ca="1">_xlfn.DAYS(Table2[[#This Row],[HOJE]],Table2[[#This Row],[DATA PEDIDO HP]])</f>
        <v>327</v>
      </c>
      <c r="AE662" s="5" t="s">
        <v>43</v>
      </c>
    </row>
    <row r="663" spans="1:31" ht="14.45" hidden="1">
      <c r="A663" s="269" t="s">
        <v>2181</v>
      </c>
      <c r="B663" s="26">
        <v>45905</v>
      </c>
      <c r="C663" s="26">
        <v>45905</v>
      </c>
      <c r="D663" s="14" t="s">
        <v>2182</v>
      </c>
      <c r="E663" s="14" t="s">
        <v>1837</v>
      </c>
      <c r="F663" s="14" t="s">
        <v>34</v>
      </c>
      <c r="G663" s="14">
        <v>50200095</v>
      </c>
      <c r="H663" s="14" t="s">
        <v>2183</v>
      </c>
      <c r="I663" s="14" t="s">
        <v>2184</v>
      </c>
      <c r="J663" s="14">
        <v>1</v>
      </c>
      <c r="K663" s="14" t="s">
        <v>37</v>
      </c>
      <c r="L663" s="14" t="s">
        <v>96</v>
      </c>
      <c r="M663" s="14" t="s">
        <v>88</v>
      </c>
      <c r="N663" s="15" t="s">
        <v>89</v>
      </c>
      <c r="O663" s="15">
        <v>0</v>
      </c>
      <c r="P663" s="15"/>
      <c r="Q663" s="15">
        <v>135872</v>
      </c>
      <c r="R663" s="15" t="s">
        <v>2185</v>
      </c>
      <c r="S663" s="25"/>
      <c r="T663" s="25">
        <v>45927</v>
      </c>
      <c r="U663" s="25">
        <v>45931</v>
      </c>
      <c r="V663" s="15" t="s">
        <v>2181</v>
      </c>
      <c r="W663" s="15"/>
      <c r="X663" s="27">
        <v>6014.68</v>
      </c>
      <c r="Y663" s="27">
        <f>Table2[[#This Row],[PREÇO UNITARIO]]*Table2[[#This Row],[QUANTIDADE]]</f>
        <v>6014.68</v>
      </c>
      <c r="Z663" s="15"/>
      <c r="AA663" s="28">
        <f>MONTH(Table2[[#This Row],[DATA PEDIDO HP]])</f>
        <v>9</v>
      </c>
      <c r="AB663" s="32" t="s">
        <v>60</v>
      </c>
      <c r="AC663" s="5">
        <f t="shared" ca="1" si="10"/>
        <v>46232</v>
      </c>
      <c r="AD663" s="331">
        <f ca="1">_xlfn.DAYS(Table2[[#This Row],[HOJE]],Table2[[#This Row],[DATA PEDIDO HP]])</f>
        <v>327</v>
      </c>
      <c r="AE663" s="5" t="s">
        <v>43</v>
      </c>
    </row>
    <row r="664" spans="1:31" ht="14.45" hidden="1">
      <c r="A664" s="269" t="s">
        <v>2186</v>
      </c>
      <c r="B664" s="26">
        <v>45905</v>
      </c>
      <c r="C664" s="26">
        <v>45904</v>
      </c>
      <c r="D664" s="14" t="s">
        <v>2187</v>
      </c>
      <c r="E664" s="14" t="s">
        <v>225</v>
      </c>
      <c r="F664" s="14" t="s">
        <v>34</v>
      </c>
      <c r="G664" s="14">
        <v>50110261</v>
      </c>
      <c r="H664" s="14" t="s">
        <v>292</v>
      </c>
      <c r="I664" s="14" t="s">
        <v>2188</v>
      </c>
      <c r="J664" s="14">
        <v>1</v>
      </c>
      <c r="K664" s="14" t="s">
        <v>37</v>
      </c>
      <c r="L664" s="14" t="s">
        <v>96</v>
      </c>
      <c r="M664" s="14" t="s">
        <v>58</v>
      </c>
      <c r="N664" s="15" t="s">
        <v>58</v>
      </c>
      <c r="O664" s="15">
        <v>0</v>
      </c>
      <c r="P664" s="15"/>
      <c r="Q664" s="15">
        <v>138018</v>
      </c>
      <c r="R664" s="15"/>
      <c r="S664" s="25"/>
      <c r="T664" s="25">
        <v>46069</v>
      </c>
      <c r="U664" s="25">
        <v>46078</v>
      </c>
      <c r="V664" s="15" t="s">
        <v>2189</v>
      </c>
      <c r="W664" s="15"/>
      <c r="X664" s="27">
        <v>97.79</v>
      </c>
      <c r="Y664" s="27">
        <f>Table2[[#This Row],[PREÇO UNITARIO]]*Table2[[#This Row],[QUANTIDADE]]</f>
        <v>97.79</v>
      </c>
      <c r="Z664" s="15"/>
      <c r="AA664" s="28">
        <f>MONTH(Table2[[#This Row],[DATA PEDIDO HP]])</f>
        <v>9</v>
      </c>
      <c r="AB664" s="32" t="s">
        <v>60</v>
      </c>
      <c r="AC664" s="5">
        <f t="shared" ca="1" si="10"/>
        <v>46232</v>
      </c>
      <c r="AD664" s="331">
        <f ca="1">_xlfn.DAYS(Table2[[#This Row],[HOJE]],Table2[[#This Row],[DATA PEDIDO HP]])</f>
        <v>327</v>
      </c>
      <c r="AE664" s="5" t="s">
        <v>549</v>
      </c>
    </row>
    <row r="665" spans="1:31" ht="14.45" hidden="1">
      <c r="A665" s="269" t="s">
        <v>2190</v>
      </c>
      <c r="B665" s="26">
        <v>45905</v>
      </c>
      <c r="C665" s="26">
        <v>45905</v>
      </c>
      <c r="D665" s="14" t="s">
        <v>2191</v>
      </c>
      <c r="E665" s="14" t="s">
        <v>118</v>
      </c>
      <c r="F665" s="14" t="s">
        <v>104</v>
      </c>
      <c r="G665" s="14">
        <v>51000174</v>
      </c>
      <c r="H665" s="14" t="s">
        <v>2192</v>
      </c>
      <c r="I665" s="14" t="s">
        <v>2193</v>
      </c>
      <c r="J665" s="14">
        <v>1</v>
      </c>
      <c r="K665" s="14" t="s">
        <v>37</v>
      </c>
      <c r="L665" s="14" t="s">
        <v>68</v>
      </c>
      <c r="M665" s="14" t="s">
        <v>58</v>
      </c>
      <c r="N665" s="14" t="s">
        <v>58</v>
      </c>
      <c r="O665" s="15">
        <v>1</v>
      </c>
      <c r="P665" s="15"/>
      <c r="Q665" s="15">
        <v>137820</v>
      </c>
      <c r="R665" s="15"/>
      <c r="S665" s="25"/>
      <c r="T665" s="25">
        <v>46042</v>
      </c>
      <c r="U665" s="25">
        <v>46055</v>
      </c>
      <c r="V665" s="15" t="s">
        <v>347</v>
      </c>
      <c r="W665" s="15"/>
      <c r="X665" s="159">
        <v>450.26</v>
      </c>
      <c r="Y665" s="159">
        <f>Table2[[#This Row],[PREÇO UNITARIO]]*Table2[[#This Row],[QUANTIDADE]]</f>
        <v>450.26</v>
      </c>
      <c r="Z665" s="15"/>
      <c r="AA665" s="28">
        <f>MONTH(Table2[[#This Row],[DATA PEDIDO HP]])</f>
        <v>9</v>
      </c>
      <c r="AB665" s="32" t="s">
        <v>60</v>
      </c>
      <c r="AC665" s="5">
        <f t="shared" ca="1" si="10"/>
        <v>46232</v>
      </c>
      <c r="AD665" s="331">
        <f ca="1">_xlfn.DAYS(Table2[[#This Row],[HOJE]],Table2[[#This Row],[DATA PEDIDO HP]])</f>
        <v>327</v>
      </c>
      <c r="AE665" s="331" t="str">
        <f ca="1">IF(Table2[[#This Row],[HOLD]]&gt;30,"ATRASADO","NO PRAZO")</f>
        <v>ATRASADO</v>
      </c>
    </row>
    <row r="666" spans="1:31" ht="14.45" hidden="1">
      <c r="A666" s="299" t="s">
        <v>2194</v>
      </c>
      <c r="B666" s="26">
        <v>45905</v>
      </c>
      <c r="C666" s="26">
        <v>45905</v>
      </c>
      <c r="D666" s="14" t="s">
        <v>2195</v>
      </c>
      <c r="E666" s="14" t="s">
        <v>103</v>
      </c>
      <c r="F666" s="14" t="s">
        <v>104</v>
      </c>
      <c r="G666" s="14">
        <v>51000323</v>
      </c>
      <c r="H666" s="14" t="s">
        <v>545</v>
      </c>
      <c r="I666" s="14" t="s">
        <v>2140</v>
      </c>
      <c r="J666" s="14">
        <v>1</v>
      </c>
      <c r="K666" s="14" t="s">
        <v>37</v>
      </c>
      <c r="L666" s="14" t="s">
        <v>48</v>
      </c>
      <c r="M666" s="14" t="s">
        <v>384</v>
      </c>
      <c r="N666" s="14" t="s">
        <v>384</v>
      </c>
      <c r="O666" s="15">
        <v>1</v>
      </c>
      <c r="P666" s="15"/>
      <c r="Q666" s="15">
        <v>139208</v>
      </c>
      <c r="R666" s="15"/>
      <c r="S666" s="25">
        <v>46000</v>
      </c>
      <c r="T666" s="25">
        <v>45979</v>
      </c>
      <c r="U666" s="25">
        <v>45993</v>
      </c>
      <c r="V666" s="15" t="s">
        <v>1290</v>
      </c>
      <c r="W666" s="15"/>
      <c r="X666" s="27">
        <v>898.2</v>
      </c>
      <c r="Y666" s="27">
        <f>Table2[[#This Row],[PREÇO UNITARIO]]*Table2[[#This Row],[QUANTIDADE]]</f>
        <v>898.2</v>
      </c>
      <c r="Z666" s="15" t="s">
        <v>2196</v>
      </c>
      <c r="AA666" s="28">
        <f>MONTH(Table2[[#This Row],[DATA PEDIDO HP]])</f>
        <v>9</v>
      </c>
      <c r="AB666" s="32"/>
      <c r="AC666" s="5">
        <f t="shared" ca="1" si="10"/>
        <v>46232</v>
      </c>
      <c r="AD666" s="331">
        <f ca="1">_xlfn.DAYS(Table2[[#This Row],[HOJE]],Table2[[#This Row],[DATA PEDIDO HP]])</f>
        <v>327</v>
      </c>
      <c r="AE666" s="336" t="s">
        <v>43</v>
      </c>
    </row>
    <row r="667" spans="1:31" ht="14.45" hidden="1">
      <c r="A667" s="269" t="s">
        <v>2197</v>
      </c>
      <c r="B667" s="26">
        <v>45905</v>
      </c>
      <c r="C667" s="26">
        <v>45905</v>
      </c>
      <c r="D667" s="14" t="s">
        <v>2198</v>
      </c>
      <c r="E667" s="14" t="s">
        <v>982</v>
      </c>
      <c r="F667" s="14" t="s">
        <v>983</v>
      </c>
      <c r="G667" s="14">
        <v>46000018</v>
      </c>
      <c r="H667" s="14" t="s">
        <v>2199</v>
      </c>
      <c r="I667" s="14" t="s">
        <v>2200</v>
      </c>
      <c r="J667" s="14">
        <v>1</v>
      </c>
      <c r="K667" s="14" t="s">
        <v>37</v>
      </c>
      <c r="L667" s="14" t="s">
        <v>48</v>
      </c>
      <c r="M667" s="14" t="s">
        <v>58</v>
      </c>
      <c r="N667" s="14" t="s">
        <v>58</v>
      </c>
      <c r="O667" s="15">
        <v>1</v>
      </c>
      <c r="P667" s="15"/>
      <c r="Q667" s="15">
        <v>137555</v>
      </c>
      <c r="R667" s="15"/>
      <c r="S667" s="25"/>
      <c r="T667" s="25">
        <v>45979</v>
      </c>
      <c r="U667" s="25">
        <v>45993</v>
      </c>
      <c r="V667" s="15" t="s">
        <v>1290</v>
      </c>
      <c r="W667" s="15"/>
      <c r="X667" s="27">
        <v>106.97</v>
      </c>
      <c r="Y667" s="27">
        <f>Table2[[#This Row],[PREÇO UNITARIO]]*Table2[[#This Row],[QUANTIDADE]]</f>
        <v>106.97</v>
      </c>
      <c r="Z667" s="15"/>
      <c r="AA667" s="28">
        <f>MONTH(Table2[[#This Row],[DATA PEDIDO HP]])</f>
        <v>9</v>
      </c>
      <c r="AB667" s="32" t="s">
        <v>60</v>
      </c>
      <c r="AC667" s="5">
        <f t="shared" ca="1" si="10"/>
        <v>46232</v>
      </c>
      <c r="AD667" s="331">
        <f ca="1">_xlfn.DAYS(Table2[[#This Row],[HOJE]],Table2[[#This Row],[DATA PEDIDO HP]])</f>
        <v>327</v>
      </c>
      <c r="AE667" s="5" t="s">
        <v>43</v>
      </c>
    </row>
    <row r="668" spans="1:31" ht="14.45" hidden="1">
      <c r="A668" s="297" t="s">
        <v>2201</v>
      </c>
      <c r="B668" s="26">
        <v>45909</v>
      </c>
      <c r="C668" s="26">
        <v>45908</v>
      </c>
      <c r="D668" s="14" t="s">
        <v>2202</v>
      </c>
      <c r="E668" s="14" t="s">
        <v>225</v>
      </c>
      <c r="F668" s="14" t="s">
        <v>34</v>
      </c>
      <c r="G668" s="14">
        <v>50110261</v>
      </c>
      <c r="H668" s="229" t="s">
        <v>629</v>
      </c>
      <c r="I668" s="14" t="s">
        <v>2203</v>
      </c>
      <c r="J668" s="14">
        <v>1</v>
      </c>
      <c r="K668" s="14" t="s">
        <v>37</v>
      </c>
      <c r="L668" s="14" t="s">
        <v>96</v>
      </c>
      <c r="M668" s="14" t="s">
        <v>39</v>
      </c>
      <c r="N668" s="14" t="s">
        <v>39</v>
      </c>
      <c r="O668" s="15">
        <v>1</v>
      </c>
      <c r="P668" s="15"/>
      <c r="Q668" s="15">
        <v>138018</v>
      </c>
      <c r="R668" s="15"/>
      <c r="S668" s="25">
        <v>45996</v>
      </c>
      <c r="T668" s="25">
        <v>45979</v>
      </c>
      <c r="U668" s="25">
        <v>45993</v>
      </c>
      <c r="V668" s="15" t="s">
        <v>1290</v>
      </c>
      <c r="W668" s="15"/>
      <c r="X668" s="27">
        <v>631.67999999999995</v>
      </c>
      <c r="Y668" s="27">
        <f>Table2[[#This Row],[PREÇO UNITARIO]]*Table2[[#This Row],[QUANTIDADE]]</f>
        <v>631.67999999999995</v>
      </c>
      <c r="Z668" s="15"/>
      <c r="AA668" s="28">
        <f>MONTH(Table2[[#This Row],[DATA PEDIDO HP]])</f>
        <v>9</v>
      </c>
      <c r="AB668" s="32" t="s">
        <v>60</v>
      </c>
      <c r="AC668" s="5">
        <f t="shared" ca="1" si="10"/>
        <v>46232</v>
      </c>
      <c r="AD668" s="331">
        <f ca="1">_xlfn.DAYS(Table2[[#This Row],[HOJE]],Table2[[#This Row],[DATA PEDIDO HP]])</f>
        <v>323</v>
      </c>
      <c r="AE668" s="336" t="s">
        <v>43</v>
      </c>
    </row>
    <row r="669" spans="1:31" ht="14.45" hidden="1">
      <c r="A669" s="297" t="s">
        <v>2204</v>
      </c>
      <c r="B669" s="26">
        <v>45909</v>
      </c>
      <c r="C669" s="26">
        <v>45908</v>
      </c>
      <c r="D669" s="14" t="s">
        <v>2205</v>
      </c>
      <c r="E669" s="14" t="s">
        <v>225</v>
      </c>
      <c r="F669" s="14" t="s">
        <v>34</v>
      </c>
      <c r="G669" s="14">
        <v>50110261</v>
      </c>
      <c r="H669" s="229" t="s">
        <v>100</v>
      </c>
      <c r="I669" s="14" t="s">
        <v>2206</v>
      </c>
      <c r="J669" s="14">
        <v>2</v>
      </c>
      <c r="K669" s="14" t="s">
        <v>37</v>
      </c>
      <c r="L669" s="14" t="s">
        <v>96</v>
      </c>
      <c r="M669" s="14" t="s">
        <v>39</v>
      </c>
      <c r="N669" s="14" t="s">
        <v>39</v>
      </c>
      <c r="O669" s="15">
        <v>1</v>
      </c>
      <c r="P669" s="15"/>
      <c r="Q669" s="15">
        <v>138018</v>
      </c>
      <c r="R669" s="15" t="s">
        <v>98</v>
      </c>
      <c r="S669" s="25">
        <v>45996</v>
      </c>
      <c r="T669" s="25">
        <v>45979</v>
      </c>
      <c r="U669" s="25">
        <v>45993</v>
      </c>
      <c r="V669" s="15" t="s">
        <v>1290</v>
      </c>
      <c r="W669" s="15"/>
      <c r="X669" s="27">
        <v>255.99</v>
      </c>
      <c r="Y669" s="27">
        <f>Table2[[#This Row],[PREÇO UNITARIO]]*Table2[[#This Row],[QUANTIDADE]]</f>
        <v>511.98</v>
      </c>
      <c r="Z669" s="15"/>
      <c r="AA669" s="28">
        <f>MONTH(Table2[[#This Row],[DATA PEDIDO HP]])</f>
        <v>9</v>
      </c>
      <c r="AB669" s="32" t="s">
        <v>60</v>
      </c>
      <c r="AC669" s="5">
        <f t="shared" ca="1" si="10"/>
        <v>46232</v>
      </c>
      <c r="AD669" s="331">
        <f ca="1">_xlfn.DAYS(Table2[[#This Row],[HOJE]],Table2[[#This Row],[DATA PEDIDO HP]])</f>
        <v>323</v>
      </c>
      <c r="AE669" s="336" t="s">
        <v>43</v>
      </c>
    </row>
    <row r="670" spans="1:31" ht="14.45" hidden="1">
      <c r="A670" s="269" t="s">
        <v>2207</v>
      </c>
      <c r="B670" s="26">
        <v>45909</v>
      </c>
      <c r="C670" s="26">
        <v>45909</v>
      </c>
      <c r="D670" s="14" t="s">
        <v>2208</v>
      </c>
      <c r="E670" s="14" t="s">
        <v>181</v>
      </c>
      <c r="F670" s="14" t="s">
        <v>34</v>
      </c>
      <c r="G670" s="14">
        <v>50110057</v>
      </c>
      <c r="H670" s="14" t="s">
        <v>2209</v>
      </c>
      <c r="I670" s="14" t="s">
        <v>1149</v>
      </c>
      <c r="J670" s="14">
        <v>1</v>
      </c>
      <c r="K670" s="14" t="s">
        <v>67</v>
      </c>
      <c r="L670" s="14" t="s">
        <v>48</v>
      </c>
      <c r="M670" s="14" t="s">
        <v>88</v>
      </c>
      <c r="N670" s="15" t="s">
        <v>89</v>
      </c>
      <c r="O670" s="15">
        <v>0</v>
      </c>
      <c r="P670" s="15"/>
      <c r="Q670" s="15">
        <v>139965</v>
      </c>
      <c r="R670" s="15" t="s">
        <v>1150</v>
      </c>
      <c r="S670" s="25"/>
      <c r="T670" s="25">
        <v>45911</v>
      </c>
      <c r="U670" s="25">
        <v>45922</v>
      </c>
      <c r="V670" s="15" t="s">
        <v>69</v>
      </c>
      <c r="W670" s="15"/>
      <c r="X670" s="27">
        <v>639.37</v>
      </c>
      <c r="Y670" s="27">
        <f>Table2[[#This Row],[PREÇO UNITARIO]]*Table2[[#This Row],[QUANTIDADE]]</f>
        <v>639.37</v>
      </c>
      <c r="Z670" s="15" t="s">
        <v>2210</v>
      </c>
      <c r="AA670" s="28">
        <f>MONTH(Table2[[#This Row],[DATA PEDIDO HP]])</f>
        <v>9</v>
      </c>
      <c r="AB670" s="32" t="s">
        <v>42</v>
      </c>
      <c r="AC670" s="5">
        <f t="shared" ca="1" si="10"/>
        <v>46232</v>
      </c>
      <c r="AD670" s="331">
        <f ca="1">_xlfn.DAYS(Table2[[#This Row],[HOJE]],Table2[[#This Row],[DATA PEDIDO HP]])</f>
        <v>323</v>
      </c>
      <c r="AE670" s="5" t="s">
        <v>43</v>
      </c>
    </row>
    <row r="671" spans="1:31" ht="14.45" hidden="1">
      <c r="A671" s="269" t="s">
        <v>2211</v>
      </c>
      <c r="B671" s="26">
        <v>45909</v>
      </c>
      <c r="C671" s="26">
        <v>45909</v>
      </c>
      <c r="D671" s="14" t="s">
        <v>2212</v>
      </c>
      <c r="E671" s="14" t="s">
        <v>202</v>
      </c>
      <c r="F671" s="14" t="s">
        <v>203</v>
      </c>
      <c r="G671" s="14">
        <v>60002072</v>
      </c>
      <c r="H671" s="14" t="s">
        <v>211</v>
      </c>
      <c r="I671" s="14" t="s">
        <v>2213</v>
      </c>
      <c r="J671" s="14">
        <v>1</v>
      </c>
      <c r="K671" s="14" t="s">
        <v>37</v>
      </c>
      <c r="L671" s="14" t="s">
        <v>346</v>
      </c>
      <c r="M671" s="14" t="s">
        <v>58</v>
      </c>
      <c r="N671" s="14" t="s">
        <v>58</v>
      </c>
      <c r="O671" s="15">
        <v>1</v>
      </c>
      <c r="P671" s="15"/>
      <c r="Q671" s="15"/>
      <c r="R671" s="15"/>
      <c r="S671" s="25"/>
      <c r="T671" s="25">
        <v>45979</v>
      </c>
      <c r="U671" s="25">
        <v>45993</v>
      </c>
      <c r="V671" s="15" t="s">
        <v>1290</v>
      </c>
      <c r="W671" s="15"/>
      <c r="X671" s="27">
        <v>60.47</v>
      </c>
      <c r="Y671" s="27">
        <f>Table2[[#This Row],[PREÇO UNITARIO]]*Table2[[#This Row],[QUANTIDADE]]</f>
        <v>60.47</v>
      </c>
      <c r="Z671" s="15"/>
      <c r="AA671" s="28">
        <f>MONTH(Table2[[#This Row],[DATA PEDIDO HP]])</f>
        <v>9</v>
      </c>
      <c r="AB671" s="32" t="s">
        <v>60</v>
      </c>
      <c r="AC671" s="5">
        <f t="shared" ca="1" si="10"/>
        <v>46232</v>
      </c>
      <c r="AD671" s="331">
        <f ca="1">_xlfn.DAYS(Table2[[#This Row],[HOJE]],Table2[[#This Row],[DATA PEDIDO HP]])</f>
        <v>323</v>
      </c>
      <c r="AE671" s="5" t="s">
        <v>43</v>
      </c>
    </row>
    <row r="672" spans="1:31" ht="14.45" hidden="1">
      <c r="A672" s="269" t="s">
        <v>2211</v>
      </c>
      <c r="B672" s="26">
        <v>45909</v>
      </c>
      <c r="C672" s="26">
        <v>45909</v>
      </c>
      <c r="D672" s="14" t="s">
        <v>2212</v>
      </c>
      <c r="E672" s="14" t="s">
        <v>202</v>
      </c>
      <c r="F672" s="14" t="s">
        <v>203</v>
      </c>
      <c r="G672" s="14">
        <v>60002072</v>
      </c>
      <c r="H672" s="14" t="s">
        <v>1495</v>
      </c>
      <c r="I672" s="14" t="s">
        <v>2214</v>
      </c>
      <c r="J672" s="14">
        <v>1</v>
      </c>
      <c r="K672" s="14" t="s">
        <v>37</v>
      </c>
      <c r="L672" s="14" t="s">
        <v>346</v>
      </c>
      <c r="M672" s="14" t="s">
        <v>58</v>
      </c>
      <c r="N672" s="14" t="s">
        <v>58</v>
      </c>
      <c r="O672" s="15">
        <v>1</v>
      </c>
      <c r="P672" s="15"/>
      <c r="Q672" s="15"/>
      <c r="R672" s="15"/>
      <c r="S672" s="25"/>
      <c r="T672" s="25">
        <v>45979</v>
      </c>
      <c r="U672" s="25">
        <v>45993</v>
      </c>
      <c r="V672" s="15" t="s">
        <v>1290</v>
      </c>
      <c r="W672" s="15"/>
      <c r="X672" s="27">
        <v>30.32</v>
      </c>
      <c r="Y672" s="27">
        <f>Table2[[#This Row],[PREÇO UNITARIO]]*Table2[[#This Row],[QUANTIDADE]]</f>
        <v>30.32</v>
      </c>
      <c r="Z672" s="15"/>
      <c r="AA672" s="28">
        <f>MONTH(Table2[[#This Row],[DATA PEDIDO HP]])</f>
        <v>9</v>
      </c>
      <c r="AB672" s="32" t="s">
        <v>60</v>
      </c>
      <c r="AC672" s="5">
        <f t="shared" ca="1" si="10"/>
        <v>46232</v>
      </c>
      <c r="AD672" s="331">
        <f ca="1">_xlfn.DAYS(Table2[[#This Row],[HOJE]],Table2[[#This Row],[DATA PEDIDO HP]])</f>
        <v>323</v>
      </c>
      <c r="AE672" s="5" t="s">
        <v>43</v>
      </c>
    </row>
    <row r="673" spans="1:31" ht="14.45" hidden="1">
      <c r="A673" s="269" t="s">
        <v>2211</v>
      </c>
      <c r="B673" s="26">
        <v>45909</v>
      </c>
      <c r="C673" s="26">
        <v>45909</v>
      </c>
      <c r="D673" s="14" t="s">
        <v>2212</v>
      </c>
      <c r="E673" s="14" t="s">
        <v>202</v>
      </c>
      <c r="F673" s="14" t="s">
        <v>203</v>
      </c>
      <c r="G673" s="14">
        <v>60002072</v>
      </c>
      <c r="H673" s="14" t="s">
        <v>484</v>
      </c>
      <c r="I673" s="14" t="s">
        <v>2215</v>
      </c>
      <c r="J673" s="14">
        <v>1</v>
      </c>
      <c r="K673" s="14" t="s">
        <v>37</v>
      </c>
      <c r="L673" s="14" t="s">
        <v>346</v>
      </c>
      <c r="M673" s="14" t="s">
        <v>58</v>
      </c>
      <c r="N673" s="14" t="s">
        <v>58</v>
      </c>
      <c r="O673" s="15">
        <v>1</v>
      </c>
      <c r="P673" s="15"/>
      <c r="Q673" s="15"/>
      <c r="R673" s="15"/>
      <c r="S673" s="25"/>
      <c r="T673" s="25">
        <v>45979</v>
      </c>
      <c r="U673" s="25">
        <v>45993</v>
      </c>
      <c r="V673" s="15" t="s">
        <v>1290</v>
      </c>
      <c r="W673" s="15"/>
      <c r="X673" s="27">
        <v>125.99</v>
      </c>
      <c r="Y673" s="27">
        <f>Table2[[#This Row],[PREÇO UNITARIO]]*Table2[[#This Row],[QUANTIDADE]]</f>
        <v>125.99</v>
      </c>
      <c r="Z673" s="15"/>
      <c r="AA673" s="28">
        <f>MONTH(Table2[[#This Row],[DATA PEDIDO HP]])</f>
        <v>9</v>
      </c>
      <c r="AB673" s="32" t="s">
        <v>60</v>
      </c>
      <c r="AC673" s="5">
        <f t="shared" ca="1" si="10"/>
        <v>46232</v>
      </c>
      <c r="AD673" s="331">
        <f ca="1">_xlfn.DAYS(Table2[[#This Row],[HOJE]],Table2[[#This Row],[DATA PEDIDO HP]])</f>
        <v>323</v>
      </c>
      <c r="AE673" s="5" t="s">
        <v>43</v>
      </c>
    </row>
    <row r="674" spans="1:31" ht="14.45" hidden="1">
      <c r="A674" s="269" t="s">
        <v>2216</v>
      </c>
      <c r="B674" s="26">
        <v>45909</v>
      </c>
      <c r="C674" s="26">
        <v>45909</v>
      </c>
      <c r="D674" s="14" t="s">
        <v>2217</v>
      </c>
      <c r="E674" s="14" t="s">
        <v>152</v>
      </c>
      <c r="F674" s="14" t="s">
        <v>64</v>
      </c>
      <c r="G674" s="14">
        <v>48000482</v>
      </c>
      <c r="H674" s="14" t="s">
        <v>2218</v>
      </c>
      <c r="I674" s="14" t="s">
        <v>2219</v>
      </c>
      <c r="J674" s="14">
        <v>1</v>
      </c>
      <c r="K674" s="14" t="s">
        <v>37</v>
      </c>
      <c r="L674" s="14" t="s">
        <v>96</v>
      </c>
      <c r="M674" s="14" t="s">
        <v>58</v>
      </c>
      <c r="N674" s="14" t="s">
        <v>58</v>
      </c>
      <c r="O674" s="15">
        <v>1</v>
      </c>
      <c r="P674" s="15"/>
      <c r="Q674" s="15">
        <v>139900</v>
      </c>
      <c r="R674" s="15"/>
      <c r="S674" s="25"/>
      <c r="T674" s="25">
        <v>45979</v>
      </c>
      <c r="U674" s="25">
        <v>45993</v>
      </c>
      <c r="V674" s="15" t="s">
        <v>1290</v>
      </c>
      <c r="W674" s="15"/>
      <c r="X674" s="27">
        <v>13.15</v>
      </c>
      <c r="Y674" s="27">
        <f>Table2[[#This Row],[PREÇO UNITARIO]]*Table2[[#This Row],[QUANTIDADE]]</f>
        <v>13.15</v>
      </c>
      <c r="Z674" s="15"/>
      <c r="AA674" s="28">
        <f>MONTH(Table2[[#This Row],[DATA PEDIDO HP]])</f>
        <v>9</v>
      </c>
      <c r="AB674" s="32" t="s">
        <v>60</v>
      </c>
      <c r="AC674" s="5">
        <f t="shared" ca="1" si="10"/>
        <v>46232</v>
      </c>
      <c r="AD674" s="331">
        <f ca="1">_xlfn.DAYS(Table2[[#This Row],[HOJE]],Table2[[#This Row],[DATA PEDIDO HP]])</f>
        <v>323</v>
      </c>
      <c r="AE674" s="5" t="s">
        <v>43</v>
      </c>
    </row>
    <row r="675" spans="1:31" ht="14.45" hidden="1">
      <c r="A675" s="299" t="s">
        <v>2220</v>
      </c>
      <c r="B675" s="26">
        <v>45910</v>
      </c>
      <c r="C675" s="26">
        <v>45909</v>
      </c>
      <c r="D675" s="14" t="s">
        <v>2221</v>
      </c>
      <c r="E675" s="14" t="s">
        <v>93</v>
      </c>
      <c r="F675" s="14" t="s">
        <v>74</v>
      </c>
      <c r="G675" s="14">
        <v>50000202</v>
      </c>
      <c r="H675" s="14" t="s">
        <v>392</v>
      </c>
      <c r="I675" s="14" t="s">
        <v>2222</v>
      </c>
      <c r="J675" s="14">
        <v>1</v>
      </c>
      <c r="K675" s="14"/>
      <c r="L675" s="14"/>
      <c r="M675" s="15" t="s">
        <v>384</v>
      </c>
      <c r="N675" s="15" t="s">
        <v>384</v>
      </c>
      <c r="O675" s="15">
        <v>0</v>
      </c>
      <c r="P675" s="15"/>
      <c r="Q675" s="15"/>
      <c r="R675" s="15"/>
      <c r="S675" s="25">
        <v>46001</v>
      </c>
      <c r="T675" s="25">
        <v>45979</v>
      </c>
      <c r="U675" s="25">
        <v>45993</v>
      </c>
      <c r="V675" s="15" t="s">
        <v>1290</v>
      </c>
      <c r="W675" s="15"/>
      <c r="X675" s="233">
        <v>145.35</v>
      </c>
      <c r="Y675" s="27">
        <f>Table2[[#This Row],[PREÇO UNITARIO]]*Table2[[#This Row],[QUANTIDADE]]</f>
        <v>145.35</v>
      </c>
      <c r="Z675" s="14" t="s">
        <v>2223</v>
      </c>
      <c r="AA675" s="32">
        <f>MONTH(Table2[[#This Row],[DATA PEDIDO HP]])</f>
        <v>9</v>
      </c>
      <c r="AB675" s="32"/>
      <c r="AC675" s="5">
        <f t="shared" ca="1" si="10"/>
        <v>46232</v>
      </c>
      <c r="AD675" s="331">
        <f ca="1">_xlfn.DAYS(Table2[[#This Row],[HOJE]],Table2[[#This Row],[DATA PEDIDO HP]])</f>
        <v>322</v>
      </c>
      <c r="AE675" s="336" t="s">
        <v>43</v>
      </c>
    </row>
    <row r="676" spans="1:31" ht="14.45" hidden="1">
      <c r="A676" s="299" t="s">
        <v>2224</v>
      </c>
      <c r="B676" s="26">
        <v>45910</v>
      </c>
      <c r="C676" s="26">
        <v>45910</v>
      </c>
      <c r="D676" s="14" t="s">
        <v>2225</v>
      </c>
      <c r="E676" s="14" t="s">
        <v>103</v>
      </c>
      <c r="F676" s="14" t="s">
        <v>104</v>
      </c>
      <c r="G676" s="14">
        <v>51000136</v>
      </c>
      <c r="H676" s="14" t="s">
        <v>1070</v>
      </c>
      <c r="I676" s="14" t="s">
        <v>2226</v>
      </c>
      <c r="J676" s="14">
        <v>1</v>
      </c>
      <c r="K676" s="14" t="s">
        <v>37</v>
      </c>
      <c r="L676" s="14" t="s">
        <v>48</v>
      </c>
      <c r="M676" s="14" t="s">
        <v>39</v>
      </c>
      <c r="N676" s="14" t="s">
        <v>39</v>
      </c>
      <c r="O676" s="15">
        <v>1</v>
      </c>
      <c r="P676" s="15"/>
      <c r="Q676" s="15">
        <v>140063</v>
      </c>
      <c r="R676" s="15"/>
      <c r="S676" s="25">
        <v>46000</v>
      </c>
      <c r="T676" s="25">
        <v>45979</v>
      </c>
      <c r="U676" s="25">
        <v>45993</v>
      </c>
      <c r="V676" s="15" t="s">
        <v>1290</v>
      </c>
      <c r="W676" s="15"/>
      <c r="X676" s="27">
        <v>24.5</v>
      </c>
      <c r="Y676" s="27">
        <f>Table2[[#This Row],[PREÇO UNITARIO]]*Table2[[#This Row],[QUANTIDADE]]</f>
        <v>24.5</v>
      </c>
      <c r="Z676" s="15"/>
      <c r="AA676" s="28">
        <f>MONTH(Table2[[#This Row],[DATA PEDIDO HP]])</f>
        <v>9</v>
      </c>
      <c r="AB676" s="32" t="s">
        <v>42</v>
      </c>
      <c r="AC676" s="5">
        <f t="shared" ca="1" si="10"/>
        <v>46232</v>
      </c>
      <c r="AD676" s="331">
        <f ca="1">_xlfn.DAYS(Table2[[#This Row],[HOJE]],Table2[[#This Row],[DATA PEDIDO HP]])</f>
        <v>322</v>
      </c>
      <c r="AE676" s="336" t="s">
        <v>43</v>
      </c>
    </row>
    <row r="677" spans="1:31" ht="14.45" hidden="1">
      <c r="A677" s="297" t="s">
        <v>2227</v>
      </c>
      <c r="B677" s="25">
        <v>45912</v>
      </c>
      <c r="C677" s="26">
        <v>45910</v>
      </c>
      <c r="D677" s="14" t="s">
        <v>2228</v>
      </c>
      <c r="E677" s="14" t="s">
        <v>225</v>
      </c>
      <c r="F677" s="14" t="s">
        <v>34</v>
      </c>
      <c r="G677" s="14">
        <v>50110261</v>
      </c>
      <c r="H677" s="229" t="s">
        <v>2032</v>
      </c>
      <c r="I677" s="14" t="s">
        <v>2033</v>
      </c>
      <c r="J677" s="14">
        <v>2</v>
      </c>
      <c r="K677" s="14" t="s">
        <v>37</v>
      </c>
      <c r="L677" s="14" t="s">
        <v>96</v>
      </c>
      <c r="M677" s="14" t="s">
        <v>88</v>
      </c>
      <c r="N677" s="15" t="s">
        <v>89</v>
      </c>
      <c r="O677" s="15">
        <v>0</v>
      </c>
      <c r="P677" s="15">
        <v>2</v>
      </c>
      <c r="Q677" s="15">
        <v>138018</v>
      </c>
      <c r="R677" s="15"/>
      <c r="S677" s="25">
        <v>45996</v>
      </c>
      <c r="T677" s="25">
        <v>45979</v>
      </c>
      <c r="U677" s="25">
        <v>45993</v>
      </c>
      <c r="V677" s="15" t="s">
        <v>1290</v>
      </c>
      <c r="W677" s="15"/>
      <c r="X677" s="27">
        <v>74.23</v>
      </c>
      <c r="Y677" s="27">
        <f>Table2[[#This Row],[PREÇO UNITARIO]]*Table2[[#This Row],[QUANTIDADE]]</f>
        <v>148.46</v>
      </c>
      <c r="Z677" s="15"/>
      <c r="AA677" s="28">
        <f>MONTH(Table2[[#This Row],[DATA PEDIDO HP]])</f>
        <v>9</v>
      </c>
      <c r="AB677" s="32" t="s">
        <v>60</v>
      </c>
      <c r="AC677" s="5">
        <f t="shared" ca="1" si="10"/>
        <v>46232</v>
      </c>
      <c r="AD677" s="331">
        <f ca="1">_xlfn.DAYS(Table2[[#This Row],[HOJE]],Table2[[#This Row],[DATA PEDIDO HP]])</f>
        <v>320</v>
      </c>
      <c r="AE677" s="336" t="s">
        <v>43</v>
      </c>
    </row>
    <row r="678" spans="1:31" ht="14.45" hidden="1">
      <c r="A678" s="297" t="s">
        <v>2227</v>
      </c>
      <c r="B678" s="25">
        <v>45917</v>
      </c>
      <c r="C678" s="26">
        <v>45910</v>
      </c>
      <c r="D678" s="14" t="s">
        <v>2228</v>
      </c>
      <c r="E678" s="14" t="s">
        <v>225</v>
      </c>
      <c r="F678" s="14" t="s">
        <v>34</v>
      </c>
      <c r="G678" s="14">
        <v>50110261</v>
      </c>
      <c r="H678" s="229" t="s">
        <v>2229</v>
      </c>
      <c r="I678" s="14" t="s">
        <v>2230</v>
      </c>
      <c r="J678" s="14">
        <v>2</v>
      </c>
      <c r="K678" s="14" t="s">
        <v>37</v>
      </c>
      <c r="L678" s="14" t="s">
        <v>96</v>
      </c>
      <c r="M678" s="14" t="s">
        <v>88</v>
      </c>
      <c r="N678" s="15" t="s">
        <v>89</v>
      </c>
      <c r="O678" s="15">
        <v>0</v>
      </c>
      <c r="P678" s="15">
        <v>2</v>
      </c>
      <c r="Q678" s="15">
        <v>138018</v>
      </c>
      <c r="R678" s="15" t="s">
        <v>2231</v>
      </c>
      <c r="S678" s="25">
        <v>45996</v>
      </c>
      <c r="T678" s="25">
        <v>45979</v>
      </c>
      <c r="U678" s="25">
        <v>45993</v>
      </c>
      <c r="V678" s="15" t="s">
        <v>1290</v>
      </c>
      <c r="W678" s="15"/>
      <c r="X678" s="27">
        <v>59.79</v>
      </c>
      <c r="Y678" s="27">
        <f>Table2[[#This Row],[PREÇO UNITARIO]]*Table2[[#This Row],[QUANTIDADE]]</f>
        <v>119.58</v>
      </c>
      <c r="Z678" s="15"/>
      <c r="AA678" s="28">
        <f>MONTH(Table2[[#This Row],[DATA PEDIDO HP]])</f>
        <v>9</v>
      </c>
      <c r="AB678" s="32" t="s">
        <v>60</v>
      </c>
      <c r="AC678" s="5">
        <f t="shared" ca="1" si="10"/>
        <v>46232</v>
      </c>
      <c r="AD678" s="331">
        <f ca="1">_xlfn.DAYS(Table2[[#This Row],[HOJE]],Table2[[#This Row],[DATA PEDIDO HP]])</f>
        <v>315</v>
      </c>
      <c r="AE678" s="336" t="s">
        <v>43</v>
      </c>
    </row>
    <row r="679" spans="1:31" ht="14.45" hidden="1">
      <c r="A679" s="269" t="s">
        <v>2232</v>
      </c>
      <c r="B679" s="26">
        <v>45912</v>
      </c>
      <c r="C679" s="26">
        <v>45912</v>
      </c>
      <c r="D679" s="14" t="s">
        <v>2233</v>
      </c>
      <c r="E679" s="14" t="s">
        <v>2132</v>
      </c>
      <c r="F679" s="14" t="s">
        <v>203</v>
      </c>
      <c r="G679" s="14">
        <v>60001111</v>
      </c>
      <c r="H679" s="14" t="s">
        <v>464</v>
      </c>
      <c r="I679" s="14" t="s">
        <v>1789</v>
      </c>
      <c r="J679" s="14">
        <v>1</v>
      </c>
      <c r="K679" s="14" t="s">
        <v>37</v>
      </c>
      <c r="L679" s="14" t="s">
        <v>48</v>
      </c>
      <c r="M679" s="14" t="s">
        <v>39</v>
      </c>
      <c r="N679" s="14" t="s">
        <v>39</v>
      </c>
      <c r="O679" s="15">
        <v>1</v>
      </c>
      <c r="P679" s="15">
        <v>1</v>
      </c>
      <c r="Q679" s="15">
        <v>139271</v>
      </c>
      <c r="R679" s="15"/>
      <c r="S679" s="25">
        <v>46000</v>
      </c>
      <c r="T679" s="25">
        <v>45979</v>
      </c>
      <c r="U679" s="25">
        <v>45993</v>
      </c>
      <c r="V679" s="15" t="s">
        <v>1290</v>
      </c>
      <c r="W679" s="15"/>
      <c r="X679" s="159">
        <v>359.28</v>
      </c>
      <c r="Y679" s="159">
        <f>Table2[[#This Row],[PREÇO UNITARIO]]*Table2[[#This Row],[QUANTIDADE]]</f>
        <v>359.28</v>
      </c>
      <c r="Z679" s="15"/>
      <c r="AA679" s="28">
        <f>MONTH(Table2[[#This Row],[DATA PEDIDO HP]])</f>
        <v>9</v>
      </c>
      <c r="AB679" s="32" t="s">
        <v>42</v>
      </c>
      <c r="AC679" s="5">
        <f t="shared" ca="1" si="10"/>
        <v>46232</v>
      </c>
      <c r="AD679" s="331">
        <f ca="1">_xlfn.DAYS(Table2[[#This Row],[HOJE]],Table2[[#This Row],[DATA PEDIDO HP]])</f>
        <v>320</v>
      </c>
      <c r="AE679" s="5" t="s">
        <v>43</v>
      </c>
    </row>
    <row r="680" spans="1:31" ht="14.45" hidden="1">
      <c r="A680" s="269" t="s">
        <v>2234</v>
      </c>
      <c r="B680" s="26">
        <v>45912</v>
      </c>
      <c r="C680" s="26">
        <v>45909</v>
      </c>
      <c r="D680" s="14" t="s">
        <v>2217</v>
      </c>
      <c r="E680" s="14" t="s">
        <v>152</v>
      </c>
      <c r="F680" s="14" t="s">
        <v>64</v>
      </c>
      <c r="G680" s="14">
        <v>48000482</v>
      </c>
      <c r="H680" s="14" t="s">
        <v>2218</v>
      </c>
      <c r="I680" s="14" t="s">
        <v>2219</v>
      </c>
      <c r="J680" s="14">
        <v>1</v>
      </c>
      <c r="K680" s="14" t="s">
        <v>37</v>
      </c>
      <c r="L680" s="14" t="s">
        <v>96</v>
      </c>
      <c r="M680" s="14" t="s">
        <v>58</v>
      </c>
      <c r="N680" s="14" t="s">
        <v>58</v>
      </c>
      <c r="O680" s="15">
        <v>1</v>
      </c>
      <c r="P680" s="15"/>
      <c r="Q680" s="15">
        <v>139900</v>
      </c>
      <c r="R680" s="15"/>
      <c r="S680" s="25"/>
      <c r="T680" s="25">
        <v>45979</v>
      </c>
      <c r="U680" s="25">
        <v>45993</v>
      </c>
      <c r="V680" s="15" t="s">
        <v>1290</v>
      </c>
      <c r="W680" s="15"/>
      <c r="X680" s="27">
        <v>13.15</v>
      </c>
      <c r="Y680" s="27">
        <f>Table2[[#This Row],[PREÇO UNITARIO]]*Table2[[#This Row],[QUANTIDADE]]</f>
        <v>13.15</v>
      </c>
      <c r="Z680" s="15"/>
      <c r="AA680" s="28">
        <f>MONTH(Table2[[#This Row],[DATA PEDIDO HP]])</f>
        <v>9</v>
      </c>
      <c r="AB680" s="32" t="s">
        <v>60</v>
      </c>
      <c r="AC680" s="5">
        <f t="shared" ca="1" si="10"/>
        <v>46232</v>
      </c>
      <c r="AD680" s="331">
        <f ca="1">_xlfn.DAYS(Table2[[#This Row],[HOJE]],Table2[[#This Row],[DATA PEDIDO HP]])</f>
        <v>320</v>
      </c>
      <c r="AE680" s="5" t="s">
        <v>43</v>
      </c>
    </row>
    <row r="681" spans="1:31" ht="14.45" hidden="1">
      <c r="A681" s="297" t="s">
        <v>2235</v>
      </c>
      <c r="B681" s="26">
        <v>45912</v>
      </c>
      <c r="C681" s="26">
        <v>45912</v>
      </c>
      <c r="D681" s="14" t="s">
        <v>2236</v>
      </c>
      <c r="E681" s="14" t="s">
        <v>118</v>
      </c>
      <c r="F681" s="14" t="s">
        <v>64</v>
      </c>
      <c r="G681" s="14">
        <v>48000044</v>
      </c>
      <c r="H681" s="14" t="s">
        <v>2237</v>
      </c>
      <c r="I681" s="14" t="s">
        <v>2238</v>
      </c>
      <c r="J681" s="14">
        <v>1</v>
      </c>
      <c r="K681" s="14" t="s">
        <v>37</v>
      </c>
      <c r="L681" s="14" t="s">
        <v>48</v>
      </c>
      <c r="M681" s="14" t="s">
        <v>88</v>
      </c>
      <c r="N681" s="15" t="s">
        <v>89</v>
      </c>
      <c r="O681" s="15">
        <v>0</v>
      </c>
      <c r="P681" s="15"/>
      <c r="Q681" s="15">
        <v>138611</v>
      </c>
      <c r="R681" s="15"/>
      <c r="S681" s="25">
        <v>45996</v>
      </c>
      <c r="T681" s="25">
        <v>45979</v>
      </c>
      <c r="U681" s="25">
        <v>45993</v>
      </c>
      <c r="V681" s="15" t="s">
        <v>1290</v>
      </c>
      <c r="W681" s="15"/>
      <c r="X681" s="27">
        <v>83.29</v>
      </c>
      <c r="Y681" s="27">
        <f>Table2[[#This Row],[PREÇO UNITARIO]]*Table2[[#This Row],[QUANTIDADE]]</f>
        <v>83.29</v>
      </c>
      <c r="Z681" s="15"/>
      <c r="AA681" s="28">
        <f>MONTH(Table2[[#This Row],[DATA PEDIDO HP]])</f>
        <v>9</v>
      </c>
      <c r="AB681" s="32" t="s">
        <v>60</v>
      </c>
      <c r="AC681" s="5">
        <f t="shared" ca="1" si="10"/>
        <v>46232</v>
      </c>
      <c r="AD681" s="331">
        <f ca="1">_xlfn.DAYS(Table2[[#This Row],[HOJE]],Table2[[#This Row],[DATA PEDIDO HP]])</f>
        <v>320</v>
      </c>
      <c r="AE681" s="336" t="s">
        <v>43</v>
      </c>
    </row>
    <row r="682" spans="1:31" ht="14.45" hidden="1">
      <c r="A682" s="297" t="s">
        <v>2235</v>
      </c>
      <c r="B682" s="26">
        <v>45912</v>
      </c>
      <c r="C682" s="26">
        <v>45912</v>
      </c>
      <c r="D682" s="14" t="s">
        <v>2236</v>
      </c>
      <c r="E682" s="14" t="s">
        <v>118</v>
      </c>
      <c r="F682" s="14" t="s">
        <v>64</v>
      </c>
      <c r="G682" s="14">
        <v>48000044</v>
      </c>
      <c r="H682" s="14" t="s">
        <v>2239</v>
      </c>
      <c r="I682" s="14" t="s">
        <v>2240</v>
      </c>
      <c r="J682" s="14">
        <v>1</v>
      </c>
      <c r="K682" s="14" t="s">
        <v>37</v>
      </c>
      <c r="L682" s="14" t="s">
        <v>48</v>
      </c>
      <c r="M682" s="14" t="s">
        <v>88</v>
      </c>
      <c r="N682" s="15" t="s">
        <v>89</v>
      </c>
      <c r="O682" s="15">
        <v>0</v>
      </c>
      <c r="P682" s="15"/>
      <c r="Q682" s="15">
        <v>138611</v>
      </c>
      <c r="R682" s="15"/>
      <c r="S682" s="25">
        <v>45996</v>
      </c>
      <c r="T682" s="25">
        <v>45979</v>
      </c>
      <c r="U682" s="25">
        <v>45993</v>
      </c>
      <c r="V682" s="15" t="s">
        <v>1290</v>
      </c>
      <c r="W682" s="15"/>
      <c r="X682" s="27">
        <v>90.74</v>
      </c>
      <c r="Y682" s="27">
        <f>Table2[[#This Row],[PREÇO UNITARIO]]*Table2[[#This Row],[QUANTIDADE]]</f>
        <v>90.74</v>
      </c>
      <c r="Z682" s="15"/>
      <c r="AA682" s="28">
        <f>MONTH(Table2[[#This Row],[DATA PEDIDO HP]])</f>
        <v>9</v>
      </c>
      <c r="AB682" s="32" t="s">
        <v>60</v>
      </c>
      <c r="AC682" s="5">
        <f t="shared" ca="1" si="10"/>
        <v>46232</v>
      </c>
      <c r="AD682" s="331">
        <f ca="1">_xlfn.DAYS(Table2[[#This Row],[HOJE]],Table2[[#This Row],[DATA PEDIDO HP]])</f>
        <v>320</v>
      </c>
      <c r="AE682" s="336" t="s">
        <v>43</v>
      </c>
    </row>
    <row r="683" spans="1:31" ht="14.45" hidden="1">
      <c r="A683" s="269" t="s">
        <v>2241</v>
      </c>
      <c r="B683" s="26">
        <v>45912</v>
      </c>
      <c r="C683" s="26">
        <v>45912</v>
      </c>
      <c r="D683" s="14" t="s">
        <v>2242</v>
      </c>
      <c r="E683" s="14" t="s">
        <v>118</v>
      </c>
      <c r="F683" s="14" t="s">
        <v>104</v>
      </c>
      <c r="G683" s="14">
        <v>51000174</v>
      </c>
      <c r="H683" s="14" t="s">
        <v>130</v>
      </c>
      <c r="I683" s="14" t="s">
        <v>497</v>
      </c>
      <c r="J683" s="14">
        <v>2</v>
      </c>
      <c r="K683" s="14" t="s">
        <v>67</v>
      </c>
      <c r="L683" s="14" t="s">
        <v>48</v>
      </c>
      <c r="M683" s="14" t="s">
        <v>58</v>
      </c>
      <c r="N683" s="14" t="s">
        <v>58</v>
      </c>
      <c r="O683" s="15">
        <v>1</v>
      </c>
      <c r="P683" s="15"/>
      <c r="Q683" s="15">
        <v>138612</v>
      </c>
      <c r="R683" s="15"/>
      <c r="S683" s="25"/>
      <c r="T683" s="25">
        <v>45979</v>
      </c>
      <c r="U683" s="25">
        <v>45993</v>
      </c>
      <c r="V683" s="15" t="s">
        <v>1290</v>
      </c>
      <c r="W683" s="15"/>
      <c r="X683" s="27">
        <v>17.28</v>
      </c>
      <c r="Y683" s="27">
        <f>Table2[[#This Row],[PREÇO UNITARIO]]*Table2[[#This Row],[QUANTIDADE]]</f>
        <v>34.56</v>
      </c>
      <c r="Z683" s="15"/>
      <c r="AA683" s="28">
        <f>MONTH(Table2[[#This Row],[DATA PEDIDO HP]])</f>
        <v>9</v>
      </c>
      <c r="AB683" s="32" t="s">
        <v>60</v>
      </c>
      <c r="AC683" s="5">
        <f t="shared" ca="1" si="10"/>
        <v>46232</v>
      </c>
      <c r="AD683" s="331">
        <f ca="1">_xlfn.DAYS(Table2[[#This Row],[HOJE]],Table2[[#This Row],[DATA PEDIDO HP]])</f>
        <v>320</v>
      </c>
      <c r="AE683" s="5" t="s">
        <v>43</v>
      </c>
    </row>
    <row r="684" spans="1:31" ht="14.45" hidden="1">
      <c r="A684" s="269" t="s">
        <v>2241</v>
      </c>
      <c r="B684" s="26">
        <v>45912</v>
      </c>
      <c r="C684" s="26">
        <v>45912</v>
      </c>
      <c r="D684" s="14" t="s">
        <v>2242</v>
      </c>
      <c r="E684" s="14" t="s">
        <v>118</v>
      </c>
      <c r="F684" s="14" t="s">
        <v>104</v>
      </c>
      <c r="G684" s="14">
        <v>51000174</v>
      </c>
      <c r="H684" s="14" t="s">
        <v>2243</v>
      </c>
      <c r="I684" s="14" t="s">
        <v>2244</v>
      </c>
      <c r="J684" s="14">
        <v>2</v>
      </c>
      <c r="K684" s="14" t="s">
        <v>67</v>
      </c>
      <c r="L684" s="14" t="s">
        <v>48</v>
      </c>
      <c r="M684" s="14" t="s">
        <v>58</v>
      </c>
      <c r="N684" s="14" t="s">
        <v>58</v>
      </c>
      <c r="O684" s="15">
        <v>1</v>
      </c>
      <c r="P684" s="15"/>
      <c r="Q684" s="15">
        <v>138612</v>
      </c>
      <c r="R684" s="15"/>
      <c r="S684" s="25"/>
      <c r="T684" s="25">
        <v>45979</v>
      </c>
      <c r="U684" s="25">
        <v>45993</v>
      </c>
      <c r="V684" s="15" t="s">
        <v>1290</v>
      </c>
      <c r="W684" s="15"/>
      <c r="X684" s="27">
        <v>11.59</v>
      </c>
      <c r="Y684" s="27">
        <f>Table2[[#This Row],[PREÇO UNITARIO]]*Table2[[#This Row],[QUANTIDADE]]</f>
        <v>23.18</v>
      </c>
      <c r="Z684" s="15"/>
      <c r="AA684" s="28">
        <f>MONTH(Table2[[#This Row],[DATA PEDIDO HP]])</f>
        <v>9</v>
      </c>
      <c r="AB684" s="32" t="s">
        <v>60</v>
      </c>
      <c r="AC684" s="5">
        <f t="shared" ca="1" si="10"/>
        <v>46232</v>
      </c>
      <c r="AD684" s="331">
        <f ca="1">_xlfn.DAYS(Table2[[#This Row],[HOJE]],Table2[[#This Row],[DATA PEDIDO HP]])</f>
        <v>320</v>
      </c>
      <c r="AE684" s="5" t="s">
        <v>43</v>
      </c>
    </row>
    <row r="685" spans="1:31" ht="14.45" hidden="1">
      <c r="A685" s="297" t="s">
        <v>2241</v>
      </c>
      <c r="B685" s="26">
        <v>45912</v>
      </c>
      <c r="C685" s="26">
        <v>45912</v>
      </c>
      <c r="D685" s="14" t="s">
        <v>2242</v>
      </c>
      <c r="E685" s="14" t="s">
        <v>118</v>
      </c>
      <c r="F685" s="14" t="s">
        <v>104</v>
      </c>
      <c r="G685" s="14">
        <v>51000174</v>
      </c>
      <c r="H685" s="14" t="s">
        <v>2245</v>
      </c>
      <c r="I685" s="14" t="s">
        <v>2246</v>
      </c>
      <c r="J685" s="14">
        <v>1</v>
      </c>
      <c r="K685" s="14" t="s">
        <v>67</v>
      </c>
      <c r="L685" s="14" t="s">
        <v>48</v>
      </c>
      <c r="M685" s="14" t="s">
        <v>88</v>
      </c>
      <c r="N685" s="15" t="s">
        <v>89</v>
      </c>
      <c r="O685" s="15">
        <v>0</v>
      </c>
      <c r="P685" s="15"/>
      <c r="Q685" s="15">
        <v>138612</v>
      </c>
      <c r="R685" s="15"/>
      <c r="S685" s="25">
        <v>45996</v>
      </c>
      <c r="T685" s="25">
        <v>45979</v>
      </c>
      <c r="U685" s="25">
        <v>45993</v>
      </c>
      <c r="V685" s="15" t="s">
        <v>1290</v>
      </c>
      <c r="W685" s="15"/>
      <c r="X685" s="27">
        <v>1040.28</v>
      </c>
      <c r="Y685" s="27">
        <f>Table2[[#This Row],[PREÇO UNITARIO]]*Table2[[#This Row],[QUANTIDADE]]</f>
        <v>1040.28</v>
      </c>
      <c r="Z685" s="15"/>
      <c r="AA685" s="28">
        <f>MONTH(Table2[[#This Row],[DATA PEDIDO HP]])</f>
        <v>9</v>
      </c>
      <c r="AB685" s="32" t="s">
        <v>60</v>
      </c>
      <c r="AC685" s="5">
        <f t="shared" ca="1" si="10"/>
        <v>46232</v>
      </c>
      <c r="AD685" s="331">
        <f ca="1">_xlfn.DAYS(Table2[[#This Row],[HOJE]],Table2[[#This Row],[DATA PEDIDO HP]])</f>
        <v>320</v>
      </c>
      <c r="AE685" s="336" t="s">
        <v>43</v>
      </c>
    </row>
    <row r="686" spans="1:31" ht="14.45" hidden="1">
      <c r="A686" s="269" t="s">
        <v>2247</v>
      </c>
      <c r="B686" s="26">
        <v>45912</v>
      </c>
      <c r="C686" s="26">
        <v>45911</v>
      </c>
      <c r="D686" s="14" t="s">
        <v>2248</v>
      </c>
      <c r="E686" s="14" t="s">
        <v>118</v>
      </c>
      <c r="F686" s="14" t="s">
        <v>64</v>
      </c>
      <c r="G686" s="14">
        <v>48000044</v>
      </c>
      <c r="H686" s="14" t="s">
        <v>736</v>
      </c>
      <c r="I686" s="14" t="s">
        <v>1145</v>
      </c>
      <c r="J686" s="14">
        <v>1</v>
      </c>
      <c r="K686" s="14" t="s">
        <v>37</v>
      </c>
      <c r="L686" s="14" t="s">
        <v>48</v>
      </c>
      <c r="M686" s="14" t="s">
        <v>58</v>
      </c>
      <c r="N686" s="14" t="s">
        <v>58</v>
      </c>
      <c r="O686" s="15">
        <v>1</v>
      </c>
      <c r="P686" s="15"/>
      <c r="Q686" s="15">
        <v>140031</v>
      </c>
      <c r="R686" s="15" t="s">
        <v>856</v>
      </c>
      <c r="S686" s="25"/>
      <c r="T686" s="25">
        <v>45979</v>
      </c>
      <c r="U686" s="25">
        <v>45993</v>
      </c>
      <c r="V686" s="15" t="s">
        <v>1290</v>
      </c>
      <c r="W686" s="15"/>
      <c r="X686" s="27">
        <v>274.36</v>
      </c>
      <c r="Y686" s="27">
        <f>Table2[[#This Row],[PREÇO UNITARIO]]*Table2[[#This Row],[QUANTIDADE]]</f>
        <v>274.36</v>
      </c>
      <c r="Z686" s="15"/>
      <c r="AA686" s="28">
        <f>MONTH(Table2[[#This Row],[DATA PEDIDO HP]])</f>
        <v>9</v>
      </c>
      <c r="AB686" s="32" t="s">
        <v>60</v>
      </c>
      <c r="AC686" s="5">
        <f t="shared" ca="1" si="10"/>
        <v>46232</v>
      </c>
      <c r="AD686" s="331">
        <f ca="1">_xlfn.DAYS(Table2[[#This Row],[HOJE]],Table2[[#This Row],[DATA PEDIDO HP]])</f>
        <v>320</v>
      </c>
      <c r="AE686" s="5" t="s">
        <v>43</v>
      </c>
    </row>
    <row r="687" spans="1:31" ht="14.45" hidden="1">
      <c r="A687" s="297" t="s">
        <v>2249</v>
      </c>
      <c r="B687" s="26">
        <v>45915</v>
      </c>
      <c r="C687" s="26">
        <v>45915</v>
      </c>
      <c r="D687" s="14" t="s">
        <v>2250</v>
      </c>
      <c r="E687" s="14" t="s">
        <v>33</v>
      </c>
      <c r="F687" s="14" t="s">
        <v>34</v>
      </c>
      <c r="G687" s="14">
        <v>50110193</v>
      </c>
      <c r="H687" s="14" t="s">
        <v>2251</v>
      </c>
      <c r="I687" s="14" t="s">
        <v>2252</v>
      </c>
      <c r="J687" s="14">
        <v>1</v>
      </c>
      <c r="K687" s="14" t="s">
        <v>37</v>
      </c>
      <c r="L687" s="14" t="s">
        <v>48</v>
      </c>
      <c r="M687" s="14" t="s">
        <v>39</v>
      </c>
      <c r="N687" s="14" t="s">
        <v>39</v>
      </c>
      <c r="O687" s="15">
        <v>1</v>
      </c>
      <c r="P687" s="15"/>
      <c r="Q687" s="15">
        <v>140822</v>
      </c>
      <c r="R687" s="15"/>
      <c r="S687" s="25">
        <v>45996</v>
      </c>
      <c r="T687" s="25">
        <v>45979</v>
      </c>
      <c r="U687" s="25">
        <v>45993</v>
      </c>
      <c r="V687" s="15" t="s">
        <v>1290</v>
      </c>
      <c r="W687" s="15"/>
      <c r="X687" s="27">
        <v>742.73</v>
      </c>
      <c r="Y687" s="27">
        <f>Table2[[#This Row],[PREÇO UNITARIO]]*Table2[[#This Row],[QUANTIDADE]]</f>
        <v>742.73</v>
      </c>
      <c r="Z687" s="15"/>
      <c r="AA687" s="28">
        <f>MONTH(Table2[[#This Row],[DATA PEDIDO HP]])</f>
        <v>9</v>
      </c>
      <c r="AB687" s="32" t="s">
        <v>42</v>
      </c>
      <c r="AC687" s="5">
        <f t="shared" ca="1" si="10"/>
        <v>46232</v>
      </c>
      <c r="AD687" s="331">
        <f ca="1">_xlfn.DAYS(Table2[[#This Row],[HOJE]],Table2[[#This Row],[DATA PEDIDO HP]])</f>
        <v>317</v>
      </c>
      <c r="AE687" s="336" t="s">
        <v>43</v>
      </c>
    </row>
    <row r="688" spans="1:31" ht="14.45" hidden="1">
      <c r="A688" s="299" t="s">
        <v>2253</v>
      </c>
      <c r="B688" s="26">
        <v>45915</v>
      </c>
      <c r="C688" s="26">
        <v>45915</v>
      </c>
      <c r="D688" s="14" t="s">
        <v>2254</v>
      </c>
      <c r="E688" s="14" t="s">
        <v>233</v>
      </c>
      <c r="F688" s="14" t="s">
        <v>234</v>
      </c>
      <c r="G688" s="14">
        <v>47100399</v>
      </c>
      <c r="H688" s="14" t="s">
        <v>312</v>
      </c>
      <c r="I688" s="14" t="s">
        <v>2255</v>
      </c>
      <c r="J688" s="14">
        <v>1</v>
      </c>
      <c r="K688" s="14" t="s">
        <v>37</v>
      </c>
      <c r="L688" s="14" t="s">
        <v>217</v>
      </c>
      <c r="M688" s="15" t="s">
        <v>384</v>
      </c>
      <c r="N688" s="15" t="s">
        <v>384</v>
      </c>
      <c r="O688" s="15">
        <v>0</v>
      </c>
      <c r="P688" s="15"/>
      <c r="Q688" s="15">
        <v>141086</v>
      </c>
      <c r="R688" s="15" t="s">
        <v>314</v>
      </c>
      <c r="S688" s="25">
        <v>46002</v>
      </c>
      <c r="T688" s="25">
        <v>45979</v>
      </c>
      <c r="U688" s="25">
        <v>45993</v>
      </c>
      <c r="V688" s="15" t="s">
        <v>1290</v>
      </c>
      <c r="W688" s="15"/>
      <c r="X688" s="27">
        <v>159.5</v>
      </c>
      <c r="Y688" s="27">
        <f>Table2[[#This Row],[PREÇO UNITARIO]]*Table2[[#This Row],[QUANTIDADE]]</f>
        <v>159.5</v>
      </c>
      <c r="Z688" s="15"/>
      <c r="AA688" s="28">
        <f>MONTH(Table2[[#This Row],[DATA PEDIDO HP]])</f>
        <v>9</v>
      </c>
      <c r="AB688" s="32"/>
      <c r="AC688" s="5">
        <f t="shared" ca="1" si="10"/>
        <v>46232</v>
      </c>
      <c r="AD688" s="331">
        <f ca="1">_xlfn.DAYS(Table2[[#This Row],[HOJE]],Table2[[#This Row],[DATA PEDIDO HP]])</f>
        <v>317</v>
      </c>
      <c r="AE688" s="336" t="s">
        <v>43</v>
      </c>
    </row>
    <row r="689" spans="1:31" ht="14.45" hidden="1">
      <c r="A689" s="297" t="s">
        <v>2256</v>
      </c>
      <c r="B689" s="26">
        <v>45916</v>
      </c>
      <c r="C689" s="26">
        <v>45915</v>
      </c>
      <c r="D689" s="14" t="s">
        <v>2257</v>
      </c>
      <c r="E689" s="14" t="s">
        <v>225</v>
      </c>
      <c r="F689" s="14" t="s">
        <v>34</v>
      </c>
      <c r="G689" s="14">
        <v>50110261</v>
      </c>
      <c r="H689" s="229" t="s">
        <v>1646</v>
      </c>
      <c r="I689" s="14" t="s">
        <v>1647</v>
      </c>
      <c r="J689" s="14">
        <v>1</v>
      </c>
      <c r="K689" s="14" t="s">
        <v>37</v>
      </c>
      <c r="L689" s="14" t="s">
        <v>96</v>
      </c>
      <c r="M689" s="14" t="s">
        <v>88</v>
      </c>
      <c r="N689" s="15" t="s">
        <v>89</v>
      </c>
      <c r="O689" s="15">
        <v>0</v>
      </c>
      <c r="P689" s="15"/>
      <c r="Q689" s="15">
        <v>128744</v>
      </c>
      <c r="R689" s="15"/>
      <c r="S689" s="25">
        <v>45996</v>
      </c>
      <c r="T689" s="25">
        <v>45979</v>
      </c>
      <c r="U689" s="25">
        <v>45993</v>
      </c>
      <c r="V689" s="15" t="s">
        <v>1290</v>
      </c>
      <c r="W689" s="15"/>
      <c r="X689" s="27">
        <v>1370.16</v>
      </c>
      <c r="Y689" s="27">
        <f>Table2[[#This Row],[PREÇO UNITARIO]]*Table2[[#This Row],[QUANTIDADE]]</f>
        <v>1370.16</v>
      </c>
      <c r="Z689" s="15"/>
      <c r="AA689" s="28">
        <f>MONTH(Table2[[#This Row],[DATA PEDIDO HP]])</f>
        <v>9</v>
      </c>
      <c r="AB689" s="32" t="s">
        <v>60</v>
      </c>
      <c r="AC689" s="5">
        <f t="shared" ca="1" si="10"/>
        <v>46232</v>
      </c>
      <c r="AD689" s="331">
        <f ca="1">_xlfn.DAYS(Table2[[#This Row],[HOJE]],Table2[[#This Row],[DATA PEDIDO HP]])</f>
        <v>316</v>
      </c>
      <c r="AE689" s="336" t="s">
        <v>43</v>
      </c>
    </row>
    <row r="690" spans="1:31" ht="14.45" hidden="1">
      <c r="A690" s="269" t="s">
        <v>2258</v>
      </c>
      <c r="B690" s="26">
        <v>45917</v>
      </c>
      <c r="C690" s="26">
        <v>45916</v>
      </c>
      <c r="D690" s="14" t="s">
        <v>2259</v>
      </c>
      <c r="E690" s="14" t="s">
        <v>2132</v>
      </c>
      <c r="F690" s="14" t="s">
        <v>203</v>
      </c>
      <c r="G690" s="14">
        <v>60001111</v>
      </c>
      <c r="H690" s="14" t="s">
        <v>2260</v>
      </c>
      <c r="I690" s="14" t="s">
        <v>2261</v>
      </c>
      <c r="J690" s="14">
        <v>1</v>
      </c>
      <c r="K690" s="14" t="s">
        <v>67</v>
      </c>
      <c r="L690" s="14" t="s">
        <v>346</v>
      </c>
      <c r="M690" s="14" t="s">
        <v>88</v>
      </c>
      <c r="N690" s="15" t="s">
        <v>89</v>
      </c>
      <c r="O690" s="15">
        <v>1</v>
      </c>
      <c r="P690" s="15">
        <v>1</v>
      </c>
      <c r="Q690" s="15"/>
      <c r="R690" s="15"/>
      <c r="S690" s="25">
        <v>46000</v>
      </c>
      <c r="T690" s="25">
        <v>45979</v>
      </c>
      <c r="U690" s="25">
        <v>45993</v>
      </c>
      <c r="V690" s="15" t="s">
        <v>1290</v>
      </c>
      <c r="W690" s="15"/>
      <c r="X690" s="159">
        <v>57.16</v>
      </c>
      <c r="Y690" s="159">
        <f>Table2[[#This Row],[PREÇO UNITARIO]]*Table2[[#This Row],[QUANTIDADE]]</f>
        <v>57.16</v>
      </c>
      <c r="Z690" s="15"/>
      <c r="AA690" s="28">
        <f>MONTH(Table2[[#This Row],[DATA PEDIDO HP]])</f>
        <v>9</v>
      </c>
      <c r="AB690" s="32" t="s">
        <v>42</v>
      </c>
      <c r="AC690" s="5">
        <f t="shared" ca="1" si="10"/>
        <v>46232</v>
      </c>
      <c r="AD690" s="331">
        <f ca="1">_xlfn.DAYS(Table2[[#This Row],[HOJE]],Table2[[#This Row],[DATA PEDIDO HP]])</f>
        <v>315</v>
      </c>
      <c r="AE690" s="5" t="s">
        <v>43</v>
      </c>
    </row>
    <row r="691" spans="1:31" ht="14.45" hidden="1">
      <c r="A691" s="297" t="s">
        <v>2262</v>
      </c>
      <c r="B691" s="26">
        <v>45917</v>
      </c>
      <c r="C691" s="26">
        <v>45916</v>
      </c>
      <c r="D691" s="14" t="s">
        <v>2263</v>
      </c>
      <c r="E691" s="14" t="s">
        <v>225</v>
      </c>
      <c r="F691" s="14" t="s">
        <v>34</v>
      </c>
      <c r="G691" s="14">
        <v>50110261</v>
      </c>
      <c r="H691" s="229" t="s">
        <v>2264</v>
      </c>
      <c r="I691" s="14" t="s">
        <v>2265</v>
      </c>
      <c r="J691" s="14">
        <v>1</v>
      </c>
      <c r="K691" s="14" t="s">
        <v>37</v>
      </c>
      <c r="L691" s="14" t="s">
        <v>96</v>
      </c>
      <c r="M691" s="14" t="s">
        <v>88</v>
      </c>
      <c r="N691" s="15" t="s">
        <v>89</v>
      </c>
      <c r="O691" s="15">
        <v>0</v>
      </c>
      <c r="P691" s="15"/>
      <c r="Q691" s="15">
        <v>140657</v>
      </c>
      <c r="R691" s="15" t="s">
        <v>2266</v>
      </c>
      <c r="S691" s="25">
        <v>45996</v>
      </c>
      <c r="T691" s="25">
        <v>45979</v>
      </c>
      <c r="U691" s="25">
        <v>45993</v>
      </c>
      <c r="V691" s="15" t="s">
        <v>1290</v>
      </c>
      <c r="W691" s="15"/>
      <c r="X691" s="27">
        <v>447.47</v>
      </c>
      <c r="Y691" s="27">
        <f>Table2[[#This Row],[PREÇO UNITARIO]]*Table2[[#This Row],[QUANTIDADE]]</f>
        <v>447.47</v>
      </c>
      <c r="Z691" s="15"/>
      <c r="AA691" s="28">
        <f>MONTH(Table2[[#This Row],[DATA PEDIDO HP]])</f>
        <v>9</v>
      </c>
      <c r="AB691" s="32" t="s">
        <v>60</v>
      </c>
      <c r="AC691" s="5">
        <f t="shared" ca="1" si="10"/>
        <v>46232</v>
      </c>
      <c r="AD691" s="331">
        <f ca="1">_xlfn.DAYS(Table2[[#This Row],[HOJE]],Table2[[#This Row],[DATA PEDIDO HP]])</f>
        <v>315</v>
      </c>
      <c r="AE691" s="336" t="s">
        <v>43</v>
      </c>
    </row>
    <row r="692" spans="1:31" ht="14.45" hidden="1">
      <c r="A692" s="269" t="s">
        <v>2267</v>
      </c>
      <c r="B692" s="26">
        <v>45917</v>
      </c>
      <c r="C692" s="26">
        <v>45917</v>
      </c>
      <c r="D692" s="14" t="s">
        <v>2268</v>
      </c>
      <c r="E692" s="14" t="s">
        <v>93</v>
      </c>
      <c r="F692" s="14" t="s">
        <v>74</v>
      </c>
      <c r="G692" s="14">
        <v>50000202</v>
      </c>
      <c r="H692" s="14" t="s">
        <v>1089</v>
      </c>
      <c r="I692" s="14" t="s">
        <v>2269</v>
      </c>
      <c r="J692" s="14">
        <v>1</v>
      </c>
      <c r="K692" s="14" t="s">
        <v>37</v>
      </c>
      <c r="L692" s="14" t="s">
        <v>459</v>
      </c>
      <c r="M692" s="14" t="s">
        <v>58</v>
      </c>
      <c r="N692" s="15" t="s">
        <v>58</v>
      </c>
      <c r="O692" s="15">
        <v>1</v>
      </c>
      <c r="P692" s="15"/>
      <c r="Q692" s="15">
        <v>122243</v>
      </c>
      <c r="R692" s="15" t="s">
        <v>1091</v>
      </c>
      <c r="S692" s="25"/>
      <c r="T692" s="25">
        <v>45979</v>
      </c>
      <c r="U692" s="25">
        <v>45993</v>
      </c>
      <c r="V692" s="15" t="s">
        <v>1290</v>
      </c>
      <c r="W692" s="15"/>
      <c r="X692" s="27">
        <v>62.83</v>
      </c>
      <c r="Y692" s="27">
        <f>Table2[[#This Row],[PREÇO UNITARIO]]*Table2[[#This Row],[QUANTIDADE]]</f>
        <v>62.83</v>
      </c>
      <c r="Z692" s="15"/>
      <c r="AA692" s="28">
        <f>MONTH(Table2[[#This Row],[DATA PEDIDO HP]])</f>
        <v>9</v>
      </c>
      <c r="AB692" s="32" t="s">
        <v>60</v>
      </c>
      <c r="AC692" s="5">
        <f t="shared" ca="1" si="10"/>
        <v>46232</v>
      </c>
      <c r="AD692" s="331">
        <f ca="1">_xlfn.DAYS(Table2[[#This Row],[HOJE]],Table2[[#This Row],[DATA PEDIDO HP]])</f>
        <v>315</v>
      </c>
      <c r="AE692" s="5" t="s">
        <v>43</v>
      </c>
    </row>
    <row r="693" spans="1:31" ht="14.45" hidden="1">
      <c r="A693" s="269" t="s">
        <v>2270</v>
      </c>
      <c r="B693" s="26">
        <v>45917</v>
      </c>
      <c r="C693" s="26">
        <v>45917</v>
      </c>
      <c r="D693" s="14" t="s">
        <v>2271</v>
      </c>
      <c r="E693" s="14" t="s">
        <v>79</v>
      </c>
      <c r="F693" s="14" t="s">
        <v>74</v>
      </c>
      <c r="G693" s="14">
        <v>50000530</v>
      </c>
      <c r="H693" s="14" t="s">
        <v>1089</v>
      </c>
      <c r="I693" s="14" t="s">
        <v>2269</v>
      </c>
      <c r="J693" s="14">
        <v>1</v>
      </c>
      <c r="K693" s="14" t="s">
        <v>37</v>
      </c>
      <c r="L693" s="14" t="s">
        <v>459</v>
      </c>
      <c r="M693" s="14" t="s">
        <v>88</v>
      </c>
      <c r="N693" s="15" t="s">
        <v>58</v>
      </c>
      <c r="O693" s="15">
        <v>1</v>
      </c>
      <c r="P693" s="15"/>
      <c r="Q693" s="15">
        <v>140789</v>
      </c>
      <c r="R693" s="15" t="s">
        <v>1091</v>
      </c>
      <c r="S693" s="25"/>
      <c r="T693" s="25">
        <v>45979</v>
      </c>
      <c r="U693" s="25">
        <v>45993</v>
      </c>
      <c r="V693" s="15" t="s">
        <v>1290</v>
      </c>
      <c r="W693" s="15"/>
      <c r="X693" s="27">
        <v>62.83</v>
      </c>
      <c r="Y693" s="27">
        <f>Table2[[#This Row],[PREÇO UNITARIO]]*Table2[[#This Row],[QUANTIDADE]]</f>
        <v>62.83</v>
      </c>
      <c r="Z693" s="15"/>
      <c r="AA693" s="28">
        <f>MONTH(Table2[[#This Row],[DATA PEDIDO HP]])</f>
        <v>9</v>
      </c>
      <c r="AB693" s="32" t="s">
        <v>60</v>
      </c>
      <c r="AC693" s="5">
        <f t="shared" ca="1" si="10"/>
        <v>46232</v>
      </c>
      <c r="AD693" s="331">
        <f ca="1">_xlfn.DAYS(Table2[[#This Row],[HOJE]],Table2[[#This Row],[DATA PEDIDO HP]])</f>
        <v>315</v>
      </c>
      <c r="AE693" s="5" t="s">
        <v>43</v>
      </c>
    </row>
    <row r="694" spans="1:31" ht="14.45" hidden="1">
      <c r="A694" s="269" t="s">
        <v>2270</v>
      </c>
      <c r="B694" s="26">
        <v>45917</v>
      </c>
      <c r="C694" s="26">
        <v>45917</v>
      </c>
      <c r="D694" s="14" t="s">
        <v>2271</v>
      </c>
      <c r="E694" s="14" t="s">
        <v>79</v>
      </c>
      <c r="F694" s="14" t="s">
        <v>74</v>
      </c>
      <c r="G694" s="14">
        <v>50000530</v>
      </c>
      <c r="H694" s="14" t="s">
        <v>2192</v>
      </c>
      <c r="I694" s="14" t="s">
        <v>2272</v>
      </c>
      <c r="J694" s="14">
        <v>1</v>
      </c>
      <c r="K694" s="14" t="s">
        <v>37</v>
      </c>
      <c r="L694" s="14" t="s">
        <v>459</v>
      </c>
      <c r="M694" s="14" t="s">
        <v>58</v>
      </c>
      <c r="N694" s="15" t="s">
        <v>58</v>
      </c>
      <c r="O694" s="15">
        <v>0</v>
      </c>
      <c r="P694" s="15"/>
      <c r="Q694" s="15">
        <v>140789</v>
      </c>
      <c r="R694" s="15"/>
      <c r="S694" s="25">
        <v>45915</v>
      </c>
      <c r="T694" s="25">
        <v>46042</v>
      </c>
      <c r="U694" s="25">
        <v>46055</v>
      </c>
      <c r="V694" s="15" t="s">
        <v>347</v>
      </c>
      <c r="W694" s="15"/>
      <c r="X694" s="159">
        <v>450.26</v>
      </c>
      <c r="Y694" s="159">
        <f>Table2[[#This Row],[PREÇO UNITARIO]]*Table2[[#This Row],[QUANTIDADE]]</f>
        <v>450.26</v>
      </c>
      <c r="Z694" s="15"/>
      <c r="AA694" s="28">
        <f>MONTH(Table2[[#This Row],[DATA PEDIDO HP]])</f>
        <v>9</v>
      </c>
      <c r="AB694" s="32" t="s">
        <v>60</v>
      </c>
      <c r="AC694" s="5">
        <f t="shared" ca="1" si="10"/>
        <v>46232</v>
      </c>
      <c r="AD694" s="331">
        <f ca="1">_xlfn.DAYS(Table2[[#This Row],[HOJE]],Table2[[#This Row],[DATA PEDIDO HP]])</f>
        <v>315</v>
      </c>
      <c r="AE694" s="331" t="s">
        <v>43</v>
      </c>
    </row>
    <row r="695" spans="1:31" ht="14.45" hidden="1">
      <c r="A695" s="269" t="s">
        <v>2273</v>
      </c>
      <c r="B695" s="26">
        <v>45917</v>
      </c>
      <c r="C695" s="26">
        <v>45917</v>
      </c>
      <c r="D695" s="14" t="s">
        <v>2274</v>
      </c>
      <c r="E695" s="14" t="s">
        <v>118</v>
      </c>
      <c r="F695" s="14" t="s">
        <v>104</v>
      </c>
      <c r="G695" s="14">
        <v>51000316</v>
      </c>
      <c r="H695" s="14" t="s">
        <v>2275</v>
      </c>
      <c r="I695" s="14" t="s">
        <v>2276</v>
      </c>
      <c r="J695" s="14">
        <v>1</v>
      </c>
      <c r="K695" s="14" t="s">
        <v>67</v>
      </c>
      <c r="L695" s="14" t="s">
        <v>48</v>
      </c>
      <c r="M695" s="14" t="s">
        <v>88</v>
      </c>
      <c r="N695" s="15" t="s">
        <v>89</v>
      </c>
      <c r="O695" s="15">
        <v>0</v>
      </c>
      <c r="P695" s="15"/>
      <c r="Q695" s="15">
        <v>141416</v>
      </c>
      <c r="R695" s="15"/>
      <c r="S695" s="25"/>
      <c r="T695" s="25">
        <v>46007</v>
      </c>
      <c r="U695" s="25">
        <v>46031</v>
      </c>
      <c r="V695" s="15" t="s">
        <v>1775</v>
      </c>
      <c r="W695" s="15"/>
      <c r="X695" s="27">
        <v>969.73</v>
      </c>
      <c r="Y695" s="27">
        <f>Table2[[#This Row],[PREÇO UNITARIO]]*Table2[[#This Row],[QUANTIDADE]]</f>
        <v>969.73</v>
      </c>
      <c r="Z695" s="15"/>
      <c r="AA695" s="28">
        <f>MONTH(Table2[[#This Row],[DATA PEDIDO HP]])</f>
        <v>9</v>
      </c>
      <c r="AB695" s="32" t="s">
        <v>60</v>
      </c>
      <c r="AC695" s="5">
        <f t="shared" ca="1" si="10"/>
        <v>46232</v>
      </c>
      <c r="AD695" s="331">
        <f ca="1">_xlfn.DAYS(Table2[[#This Row],[HOJE]],Table2[[#This Row],[DATA PEDIDO HP]])</f>
        <v>315</v>
      </c>
      <c r="AE695" s="5" t="s">
        <v>43</v>
      </c>
    </row>
    <row r="696" spans="1:31" ht="14.45" hidden="1">
      <c r="A696" s="299" t="s">
        <v>2277</v>
      </c>
      <c r="B696" s="26">
        <v>45918</v>
      </c>
      <c r="C696" s="26">
        <v>45918</v>
      </c>
      <c r="D696" s="14" t="s">
        <v>2278</v>
      </c>
      <c r="E696" s="14" t="s">
        <v>152</v>
      </c>
      <c r="F696" s="14" t="s">
        <v>64</v>
      </c>
      <c r="G696" s="14">
        <v>48000482</v>
      </c>
      <c r="H696" s="14" t="s">
        <v>2279</v>
      </c>
      <c r="I696" s="14" t="s">
        <v>1353</v>
      </c>
      <c r="J696" s="14">
        <v>1</v>
      </c>
      <c r="K696" s="14" t="s">
        <v>37</v>
      </c>
      <c r="L696" s="14" t="s">
        <v>96</v>
      </c>
      <c r="M696" s="14" t="s">
        <v>39</v>
      </c>
      <c r="N696" s="14" t="s">
        <v>39</v>
      </c>
      <c r="O696" s="15">
        <v>1</v>
      </c>
      <c r="P696" s="15"/>
      <c r="Q696" s="15">
        <v>141515</v>
      </c>
      <c r="R696" s="15"/>
      <c r="S696" s="25">
        <v>46002</v>
      </c>
      <c r="T696" s="25">
        <v>45979</v>
      </c>
      <c r="U696" s="25">
        <v>45993</v>
      </c>
      <c r="V696" s="15" t="s">
        <v>1290</v>
      </c>
      <c r="W696" s="15"/>
      <c r="X696" s="27">
        <v>47.91</v>
      </c>
      <c r="Y696" s="27">
        <f>Table2[[#This Row],[PREÇO UNITARIO]]*Table2[[#This Row],[QUANTIDADE]]</f>
        <v>47.91</v>
      </c>
      <c r="Z696" s="15"/>
      <c r="AA696" s="28">
        <f>MONTH(Table2[[#This Row],[DATA PEDIDO HP]])</f>
        <v>9</v>
      </c>
      <c r="AB696" s="32" t="s">
        <v>60</v>
      </c>
      <c r="AC696" s="5">
        <f t="shared" ca="1" si="10"/>
        <v>46232</v>
      </c>
      <c r="AD696" s="331">
        <f ca="1">_xlfn.DAYS(Table2[[#This Row],[HOJE]],Table2[[#This Row],[DATA PEDIDO HP]])</f>
        <v>314</v>
      </c>
      <c r="AE696" s="336" t="s">
        <v>43</v>
      </c>
    </row>
    <row r="697" spans="1:31" ht="14.45" hidden="1">
      <c r="A697" s="269" t="s">
        <v>2277</v>
      </c>
      <c r="B697" s="26">
        <v>45918</v>
      </c>
      <c r="C697" s="26">
        <v>45918</v>
      </c>
      <c r="D697" s="14" t="s">
        <v>2278</v>
      </c>
      <c r="E697" s="14" t="s">
        <v>152</v>
      </c>
      <c r="F697" s="14" t="s">
        <v>64</v>
      </c>
      <c r="G697" s="14">
        <v>48000482</v>
      </c>
      <c r="H697" s="14" t="s">
        <v>2279</v>
      </c>
      <c r="I697" s="14" t="s">
        <v>1353</v>
      </c>
      <c r="J697" s="14">
        <v>1</v>
      </c>
      <c r="K697" s="14" t="s">
        <v>37</v>
      </c>
      <c r="L697" s="14" t="s">
        <v>96</v>
      </c>
      <c r="M697" s="14" t="s">
        <v>88</v>
      </c>
      <c r="N697" s="15" t="s">
        <v>89</v>
      </c>
      <c r="O697" s="15">
        <v>0</v>
      </c>
      <c r="P697" s="15">
        <v>1</v>
      </c>
      <c r="Q697" s="15">
        <v>151515</v>
      </c>
      <c r="R697" s="15"/>
      <c r="S697" s="25"/>
      <c r="T697" s="25">
        <v>45979</v>
      </c>
      <c r="U697" s="25">
        <v>45993</v>
      </c>
      <c r="V697" s="15" t="s">
        <v>1290</v>
      </c>
      <c r="W697" s="15"/>
      <c r="X697" s="27">
        <v>47.91</v>
      </c>
      <c r="Y697" s="27">
        <f>Table2[[#This Row],[PREÇO UNITARIO]]*Table2[[#This Row],[QUANTIDADE]]</f>
        <v>47.91</v>
      </c>
      <c r="Z697" s="15"/>
      <c r="AA697" s="28">
        <f>MONTH(Table2[[#This Row],[DATA PEDIDO HP]])</f>
        <v>9</v>
      </c>
      <c r="AB697" s="32" t="s">
        <v>60</v>
      </c>
      <c r="AC697" s="5">
        <f t="shared" ca="1" si="10"/>
        <v>46232</v>
      </c>
      <c r="AD697" s="331">
        <f ca="1">_xlfn.DAYS(Table2[[#This Row],[HOJE]],Table2[[#This Row],[DATA PEDIDO HP]])</f>
        <v>314</v>
      </c>
      <c r="AE697" s="5" t="s">
        <v>43</v>
      </c>
    </row>
    <row r="698" spans="1:31" ht="14.45" hidden="1">
      <c r="A698" s="269" t="s">
        <v>2280</v>
      </c>
      <c r="B698" s="26">
        <v>45918</v>
      </c>
      <c r="C698" s="26">
        <v>45918</v>
      </c>
      <c r="D698" s="14" t="s">
        <v>2281</v>
      </c>
      <c r="E698" s="14" t="s">
        <v>152</v>
      </c>
      <c r="F698" s="14" t="s">
        <v>899</v>
      </c>
      <c r="G698" s="14">
        <v>48500670</v>
      </c>
      <c r="H698" s="14" t="s">
        <v>854</v>
      </c>
      <c r="I698" s="14" t="s">
        <v>855</v>
      </c>
      <c r="J698" s="14">
        <v>1</v>
      </c>
      <c r="K698" s="14" t="s">
        <v>37</v>
      </c>
      <c r="L698" s="14" t="s">
        <v>294</v>
      </c>
      <c r="M698" s="14" t="s">
        <v>88</v>
      </c>
      <c r="N698" s="15" t="s">
        <v>89</v>
      </c>
      <c r="O698" s="15">
        <v>0</v>
      </c>
      <c r="P698" s="15"/>
      <c r="Q698" s="15">
        <v>140427</v>
      </c>
      <c r="R698" s="15"/>
      <c r="S698" s="25">
        <v>45959</v>
      </c>
      <c r="T698" s="25">
        <v>45957</v>
      </c>
      <c r="U698" s="25">
        <v>45959</v>
      </c>
      <c r="V698" s="15" t="s">
        <v>2282</v>
      </c>
      <c r="W698" s="15"/>
      <c r="X698" s="27">
        <v>1208.49</v>
      </c>
      <c r="Y698" s="27">
        <f>Table2[[#This Row],[PREÇO UNITARIO]]*Table2[[#This Row],[QUANTIDADE]]</f>
        <v>1208.49</v>
      </c>
      <c r="Z698" s="15"/>
      <c r="AA698" s="28">
        <f>MONTH(Table2[[#This Row],[DATA PEDIDO HP]])</f>
        <v>9</v>
      </c>
      <c r="AB698" s="32" t="s">
        <v>60</v>
      </c>
      <c r="AC698" s="5">
        <f t="shared" ca="1" si="10"/>
        <v>46232</v>
      </c>
      <c r="AD698" s="331">
        <f ca="1">_xlfn.DAYS(Table2[[#This Row],[HOJE]],Table2[[#This Row],[DATA PEDIDO HP]])</f>
        <v>314</v>
      </c>
      <c r="AE698" s="336" t="s">
        <v>43</v>
      </c>
    </row>
    <row r="699" spans="1:31" ht="14.45" hidden="1">
      <c r="A699" s="269" t="s">
        <v>2283</v>
      </c>
      <c r="B699" s="25">
        <v>45929</v>
      </c>
      <c r="C699" s="26">
        <v>45924</v>
      </c>
      <c r="D699" s="14" t="s">
        <v>2284</v>
      </c>
      <c r="E699" s="14" t="s">
        <v>93</v>
      </c>
      <c r="F699" s="14" t="s">
        <v>74</v>
      </c>
      <c r="G699" s="14">
        <v>50000202</v>
      </c>
      <c r="H699" s="14" t="s">
        <v>2285</v>
      </c>
      <c r="I699" s="14" t="s">
        <v>2286</v>
      </c>
      <c r="J699" s="14">
        <v>1</v>
      </c>
      <c r="K699" s="14" t="s">
        <v>67</v>
      </c>
      <c r="L699" s="14" t="s">
        <v>363</v>
      </c>
      <c r="M699" s="14" t="s">
        <v>88</v>
      </c>
      <c r="N699" s="15" t="s">
        <v>89</v>
      </c>
      <c r="O699" s="15">
        <v>0</v>
      </c>
      <c r="P699" s="15"/>
      <c r="Q699" s="15"/>
      <c r="R699" s="15" t="s">
        <v>2287</v>
      </c>
      <c r="S699" s="25"/>
      <c r="T699" s="25">
        <v>45953</v>
      </c>
      <c r="U699" s="25">
        <v>45960</v>
      </c>
      <c r="V699" s="15" t="s">
        <v>69</v>
      </c>
      <c r="W699" s="15"/>
      <c r="X699" s="233">
        <v>29.68</v>
      </c>
      <c r="Y699" s="27">
        <f>Table2[[#This Row],[PREÇO UNITARIO]]*Table2[[#This Row],[QUANTIDADE]]</f>
        <v>29.68</v>
      </c>
      <c r="Z699" s="199"/>
      <c r="AA699" s="32">
        <f>MONTH(Table2[[#This Row],[DATA PEDIDO HP]])</f>
        <v>9</v>
      </c>
      <c r="AB699" s="32" t="s">
        <v>60</v>
      </c>
      <c r="AC699" s="5">
        <f t="shared" ca="1" si="10"/>
        <v>46232</v>
      </c>
      <c r="AD699" s="331">
        <f ca="1">_xlfn.DAYS(Table2[[#This Row],[HOJE]],Table2[[#This Row],[DATA PEDIDO HP]])</f>
        <v>303</v>
      </c>
      <c r="AE699" s="5" t="s">
        <v>43</v>
      </c>
    </row>
    <row r="700" spans="1:31" ht="14.45" hidden="1">
      <c r="A700" s="269" t="s">
        <v>2288</v>
      </c>
      <c r="B700" s="25">
        <v>45926</v>
      </c>
      <c r="C700" s="26">
        <v>45924</v>
      </c>
      <c r="D700" s="14" t="s">
        <v>2289</v>
      </c>
      <c r="E700" s="14" t="s">
        <v>181</v>
      </c>
      <c r="F700" s="14" t="s">
        <v>34</v>
      </c>
      <c r="G700" s="14">
        <v>50110057</v>
      </c>
      <c r="H700" s="14" t="s">
        <v>2290</v>
      </c>
      <c r="I700" s="14" t="s">
        <v>2291</v>
      </c>
      <c r="J700" s="14">
        <v>1</v>
      </c>
      <c r="K700" s="14" t="s">
        <v>67</v>
      </c>
      <c r="L700" s="14" t="s">
        <v>38</v>
      </c>
      <c r="M700" s="14" t="s">
        <v>88</v>
      </c>
      <c r="N700" s="15" t="s">
        <v>89</v>
      </c>
      <c r="O700" s="15">
        <v>0</v>
      </c>
      <c r="P700" s="15"/>
      <c r="Q700" s="15">
        <v>142310</v>
      </c>
      <c r="R700" s="15"/>
      <c r="S700" s="25">
        <v>45959</v>
      </c>
      <c r="T700" s="25">
        <v>45957</v>
      </c>
      <c r="U700" s="25">
        <v>45959</v>
      </c>
      <c r="V700" s="15" t="s">
        <v>2282</v>
      </c>
      <c r="W700" s="15"/>
      <c r="X700" s="27">
        <v>53.89</v>
      </c>
      <c r="Y700" s="27">
        <f>Table2[[#This Row],[PREÇO UNITARIO]]*Table2[[#This Row],[QUANTIDADE]]</f>
        <v>53.89</v>
      </c>
      <c r="Z700" s="15"/>
      <c r="AA700" s="28">
        <f>MONTH(Table2[[#This Row],[DATA PEDIDO HP]])</f>
        <v>9</v>
      </c>
      <c r="AB700" s="32" t="s">
        <v>42</v>
      </c>
      <c r="AC700" s="5">
        <f t="shared" ca="1" si="10"/>
        <v>46232</v>
      </c>
      <c r="AD700" s="331">
        <f ca="1">_xlfn.DAYS(Table2[[#This Row],[HOJE]],Table2[[#This Row],[DATA PEDIDO HP]])</f>
        <v>306</v>
      </c>
      <c r="AE700" s="336" t="s">
        <v>43</v>
      </c>
    </row>
    <row r="701" spans="1:31" ht="14.45" hidden="1">
      <c r="A701" s="299" t="s">
        <v>2292</v>
      </c>
      <c r="B701" s="25">
        <v>45929</v>
      </c>
      <c r="C701" s="25">
        <v>45930</v>
      </c>
      <c r="D701" s="14" t="s">
        <v>2293</v>
      </c>
      <c r="E701" s="14" t="s">
        <v>202</v>
      </c>
      <c r="F701" s="14" t="s">
        <v>2294</v>
      </c>
      <c r="G701" s="14">
        <v>60002072</v>
      </c>
      <c r="H701" s="14" t="s">
        <v>2295</v>
      </c>
      <c r="I701" s="14" t="s">
        <v>2296</v>
      </c>
      <c r="J701" s="14">
        <v>1</v>
      </c>
      <c r="K701" s="14"/>
      <c r="L701" s="14"/>
      <c r="M701" s="15" t="s">
        <v>384</v>
      </c>
      <c r="N701" s="15" t="s">
        <v>384</v>
      </c>
      <c r="O701" s="15">
        <v>1</v>
      </c>
      <c r="P701" s="15"/>
      <c r="Q701" s="15"/>
      <c r="R701" s="15"/>
      <c r="S701" s="25">
        <v>46001</v>
      </c>
      <c r="T701" s="25">
        <v>45979</v>
      </c>
      <c r="U701" s="25">
        <v>45993</v>
      </c>
      <c r="V701" s="15" t="s">
        <v>1290</v>
      </c>
      <c r="W701" s="15"/>
      <c r="X701" s="27">
        <v>2051.0100000000002</v>
      </c>
      <c r="Y701" s="27">
        <f>Table2[[#This Row],[PREÇO UNITARIO]]*Table2[[#This Row],[QUANTIDADE]]</f>
        <v>2051.0100000000002</v>
      </c>
      <c r="Z701" s="14" t="s">
        <v>2297</v>
      </c>
      <c r="AA701" s="28">
        <f>MONTH(Table2[[#This Row],[DATA PEDIDO HP]])</f>
        <v>9</v>
      </c>
      <c r="AB701" s="32"/>
      <c r="AC701" s="5">
        <f t="shared" ca="1" si="10"/>
        <v>46232</v>
      </c>
      <c r="AD701" s="331">
        <f ca="1">_xlfn.DAYS(Table2[[#This Row],[HOJE]],Table2[[#This Row],[DATA PEDIDO HP]])</f>
        <v>303</v>
      </c>
      <c r="AE701" s="336" t="s">
        <v>43</v>
      </c>
    </row>
    <row r="702" spans="1:31" ht="14.45" hidden="1">
      <c r="A702" s="269" t="s">
        <v>2298</v>
      </c>
      <c r="B702" s="26">
        <v>45931</v>
      </c>
      <c r="C702" s="26">
        <v>45930</v>
      </c>
      <c r="D702" s="14" t="s">
        <v>2299</v>
      </c>
      <c r="E702" s="14" t="s">
        <v>2132</v>
      </c>
      <c r="F702" s="14" t="s">
        <v>203</v>
      </c>
      <c r="G702" s="14">
        <v>60001111</v>
      </c>
      <c r="H702" s="14" t="s">
        <v>2300</v>
      </c>
      <c r="I702" s="14" t="s">
        <v>2301</v>
      </c>
      <c r="J702" s="14">
        <v>5</v>
      </c>
      <c r="K702" s="14" t="s">
        <v>67</v>
      </c>
      <c r="L702" s="14" t="s">
        <v>217</v>
      </c>
      <c r="M702" s="14" t="s">
        <v>384</v>
      </c>
      <c r="N702" s="14" t="s">
        <v>384</v>
      </c>
      <c r="O702" s="15">
        <v>0</v>
      </c>
      <c r="P702" s="15">
        <v>5</v>
      </c>
      <c r="Q702" s="15"/>
      <c r="R702" s="15"/>
      <c r="S702" s="25">
        <v>46000</v>
      </c>
      <c r="T702" s="25">
        <v>45979</v>
      </c>
      <c r="U702" s="25">
        <v>45993</v>
      </c>
      <c r="V702" s="15" t="s">
        <v>1290</v>
      </c>
      <c r="W702" s="15"/>
      <c r="X702" s="159">
        <v>0.12</v>
      </c>
      <c r="Y702" s="159">
        <f>Table2[[#This Row],[PREÇO UNITARIO]]*Table2[[#This Row],[QUANTIDADE]]</f>
        <v>0.6</v>
      </c>
      <c r="Z702" s="15"/>
      <c r="AA702" s="28">
        <f>MONTH(Table2[[#This Row],[DATA PEDIDO HP]])</f>
        <v>10</v>
      </c>
      <c r="AB702" s="32"/>
      <c r="AC702" s="5">
        <f t="shared" ca="1" si="10"/>
        <v>46232</v>
      </c>
      <c r="AD702" s="331">
        <f ca="1">_xlfn.DAYS(Table2[[#This Row],[HOJE]],Table2[[#This Row],[DATA PEDIDO HP]])</f>
        <v>301</v>
      </c>
      <c r="AE702" s="5" t="s">
        <v>43</v>
      </c>
    </row>
    <row r="703" spans="1:31" ht="14.45" hidden="1">
      <c r="A703" s="269" t="s">
        <v>2298</v>
      </c>
      <c r="B703" s="26">
        <v>45931</v>
      </c>
      <c r="C703" s="26">
        <v>45930</v>
      </c>
      <c r="D703" s="14" t="s">
        <v>2299</v>
      </c>
      <c r="E703" s="14" t="s">
        <v>2132</v>
      </c>
      <c r="F703" s="14" t="s">
        <v>203</v>
      </c>
      <c r="G703" s="14">
        <v>60001111</v>
      </c>
      <c r="H703" s="14" t="s">
        <v>2302</v>
      </c>
      <c r="I703" s="14" t="s">
        <v>2303</v>
      </c>
      <c r="J703" s="14">
        <v>5</v>
      </c>
      <c r="K703" s="14" t="s">
        <v>67</v>
      </c>
      <c r="L703" s="14" t="s">
        <v>217</v>
      </c>
      <c r="M703" s="14" t="s">
        <v>384</v>
      </c>
      <c r="N703" s="14" t="s">
        <v>384</v>
      </c>
      <c r="O703" s="15">
        <v>0</v>
      </c>
      <c r="P703" s="15">
        <v>5</v>
      </c>
      <c r="Q703" s="15"/>
      <c r="R703" s="15"/>
      <c r="S703" s="25">
        <v>46000</v>
      </c>
      <c r="T703" s="25">
        <v>45979</v>
      </c>
      <c r="U703" s="25">
        <v>45993</v>
      </c>
      <c r="V703" s="15" t="s">
        <v>1290</v>
      </c>
      <c r="W703" s="15"/>
      <c r="X703" s="159">
        <v>0.57999999999999996</v>
      </c>
      <c r="Y703" s="159">
        <f>Table2[[#This Row],[PREÇO UNITARIO]]*Table2[[#This Row],[QUANTIDADE]]</f>
        <v>2.9</v>
      </c>
      <c r="Z703" s="15"/>
      <c r="AA703" s="28">
        <f>MONTH(Table2[[#This Row],[DATA PEDIDO HP]])</f>
        <v>10</v>
      </c>
      <c r="AB703" s="32"/>
      <c r="AC703" s="5">
        <f t="shared" ca="1" si="10"/>
        <v>46232</v>
      </c>
      <c r="AD703" s="331">
        <f ca="1">_xlfn.DAYS(Table2[[#This Row],[HOJE]],Table2[[#This Row],[DATA PEDIDO HP]])</f>
        <v>301</v>
      </c>
      <c r="AE703" s="5" t="s">
        <v>43</v>
      </c>
    </row>
    <row r="704" spans="1:31" ht="14.45" hidden="1">
      <c r="A704" s="269" t="s">
        <v>2304</v>
      </c>
      <c r="B704" s="26">
        <v>45931</v>
      </c>
      <c r="C704" s="26">
        <v>45929</v>
      </c>
      <c r="D704" s="14" t="s">
        <v>2305</v>
      </c>
      <c r="E704" s="14" t="s">
        <v>109</v>
      </c>
      <c r="F704" s="14" t="s">
        <v>34</v>
      </c>
      <c r="G704" s="14">
        <v>50110229</v>
      </c>
      <c r="H704" s="14" t="s">
        <v>245</v>
      </c>
      <c r="I704" s="14" t="s">
        <v>246</v>
      </c>
      <c r="J704" s="14">
        <v>1</v>
      </c>
      <c r="K704" s="14" t="s">
        <v>37</v>
      </c>
      <c r="L704" s="14" t="s">
        <v>48</v>
      </c>
      <c r="M704" s="14" t="s">
        <v>39</v>
      </c>
      <c r="N704" s="14" t="s">
        <v>39</v>
      </c>
      <c r="O704" s="15">
        <v>0</v>
      </c>
      <c r="P704" s="15">
        <v>0</v>
      </c>
      <c r="Q704" s="15">
        <v>143365</v>
      </c>
      <c r="R704" s="15" t="s">
        <v>247</v>
      </c>
      <c r="S704" s="25">
        <v>46002</v>
      </c>
      <c r="T704" s="25">
        <v>45979</v>
      </c>
      <c r="U704" s="25">
        <v>45993</v>
      </c>
      <c r="V704" s="15" t="s">
        <v>1290</v>
      </c>
      <c r="W704" s="15"/>
      <c r="X704" s="27">
        <v>80.180000000000007</v>
      </c>
      <c r="Y704" s="27">
        <f>Table2[[#This Row],[PREÇO UNITARIO]]*Table2[[#This Row],[QUANTIDADE]]</f>
        <v>80.180000000000007</v>
      </c>
      <c r="Z704" s="15"/>
      <c r="AA704" s="28">
        <f>MONTH(Table2[[#This Row],[DATA PEDIDO HP]])</f>
        <v>10</v>
      </c>
      <c r="AB704" s="32" t="s">
        <v>42</v>
      </c>
      <c r="AC704" s="5">
        <f t="shared" ca="1" si="10"/>
        <v>46232</v>
      </c>
      <c r="AD704" s="331">
        <f ca="1">_xlfn.DAYS(Table2[[#This Row],[HOJE]],Table2[[#This Row],[DATA PEDIDO HP]])</f>
        <v>301</v>
      </c>
      <c r="AE704" s="336" t="s">
        <v>43</v>
      </c>
    </row>
    <row r="705" spans="1:31" ht="14.45" hidden="1">
      <c r="A705" s="269" t="s">
        <v>2306</v>
      </c>
      <c r="B705" s="26">
        <v>45931</v>
      </c>
      <c r="C705" s="26">
        <v>45926</v>
      </c>
      <c r="D705" s="14" t="s">
        <v>2307</v>
      </c>
      <c r="E705" s="14" t="s">
        <v>1837</v>
      </c>
      <c r="F705" s="14" t="s">
        <v>34</v>
      </c>
      <c r="G705" s="14">
        <v>50200095</v>
      </c>
      <c r="H705" s="14" t="s">
        <v>1507</v>
      </c>
      <c r="I705" s="14" t="s">
        <v>1508</v>
      </c>
      <c r="J705" s="14">
        <v>2</v>
      </c>
      <c r="K705" s="14" t="s">
        <v>37</v>
      </c>
      <c r="L705" s="14" t="s">
        <v>48</v>
      </c>
      <c r="M705" s="14" t="s">
        <v>58</v>
      </c>
      <c r="N705" s="14" t="s">
        <v>58</v>
      </c>
      <c r="O705" s="15">
        <v>1</v>
      </c>
      <c r="P705" s="15">
        <v>1</v>
      </c>
      <c r="Q705" s="15">
        <v>143133</v>
      </c>
      <c r="R705" s="15" t="s">
        <v>1585</v>
      </c>
      <c r="S705" s="25"/>
      <c r="T705" s="25">
        <v>45979</v>
      </c>
      <c r="U705" s="25">
        <v>45993</v>
      </c>
      <c r="V705" s="15" t="s">
        <v>1290</v>
      </c>
      <c r="W705" s="15"/>
      <c r="X705" s="27">
        <v>32.79</v>
      </c>
      <c r="Y705" s="27">
        <f>Table2[[#This Row],[PREÇO UNITARIO]]*Table2[[#This Row],[QUANTIDADE]]</f>
        <v>65.58</v>
      </c>
      <c r="Z705" s="15"/>
      <c r="AA705" s="28">
        <f>MONTH(Table2[[#This Row],[DATA PEDIDO HP]])</f>
        <v>10</v>
      </c>
      <c r="AB705" s="32" t="s">
        <v>60</v>
      </c>
      <c r="AC705" s="5">
        <f t="shared" ca="1" si="10"/>
        <v>46232</v>
      </c>
      <c r="AD705" s="331">
        <f ca="1">_xlfn.DAYS(Table2[[#This Row],[HOJE]],Table2[[#This Row],[DATA PEDIDO HP]])</f>
        <v>301</v>
      </c>
      <c r="AE705" s="5" t="s">
        <v>43</v>
      </c>
    </row>
    <row r="706" spans="1:31" ht="14.45" hidden="1">
      <c r="A706" s="269" t="s">
        <v>2306</v>
      </c>
      <c r="B706" s="26">
        <v>45931</v>
      </c>
      <c r="C706" s="26">
        <v>45926</v>
      </c>
      <c r="D706" s="14" t="s">
        <v>2307</v>
      </c>
      <c r="E706" s="14" t="s">
        <v>1837</v>
      </c>
      <c r="F706" s="14" t="s">
        <v>34</v>
      </c>
      <c r="G706" s="14">
        <v>50200095</v>
      </c>
      <c r="H706" s="14" t="s">
        <v>2308</v>
      </c>
      <c r="I706" s="14" t="s">
        <v>2309</v>
      </c>
      <c r="J706" s="14">
        <v>1</v>
      </c>
      <c r="K706" s="14" t="s">
        <v>37</v>
      </c>
      <c r="L706" s="14" t="s">
        <v>48</v>
      </c>
      <c r="M706" s="14" t="s">
        <v>58</v>
      </c>
      <c r="N706" s="14" t="s">
        <v>58</v>
      </c>
      <c r="O706" s="15">
        <v>2</v>
      </c>
      <c r="P706" s="15">
        <v>2</v>
      </c>
      <c r="Q706" s="15">
        <v>143133</v>
      </c>
      <c r="R706" s="15"/>
      <c r="S706" s="25"/>
      <c r="T706" s="25">
        <v>45979</v>
      </c>
      <c r="U706" s="25">
        <v>45993</v>
      </c>
      <c r="V706" s="15" t="s">
        <v>1290</v>
      </c>
      <c r="W706" s="15"/>
      <c r="X706" s="27">
        <v>310.29000000000002</v>
      </c>
      <c r="Y706" s="27">
        <f>Table2[[#This Row],[PREÇO UNITARIO]]*Table2[[#This Row],[QUANTIDADE]]</f>
        <v>310.29000000000002</v>
      </c>
      <c r="Z706" s="15"/>
      <c r="AA706" s="28">
        <f>MONTH(Table2[[#This Row],[DATA PEDIDO HP]])</f>
        <v>10</v>
      </c>
      <c r="AB706" s="32" t="s">
        <v>60</v>
      </c>
      <c r="AC706" s="5">
        <f t="shared" ref="AC706:AC769" ca="1" si="11">TODAY()</f>
        <v>46232</v>
      </c>
      <c r="AD706" s="331">
        <f ca="1">_xlfn.DAYS(Table2[[#This Row],[HOJE]],Table2[[#This Row],[DATA PEDIDO HP]])</f>
        <v>301</v>
      </c>
      <c r="AE706" s="5" t="s">
        <v>43</v>
      </c>
    </row>
    <row r="707" spans="1:31" ht="14.45" hidden="1">
      <c r="A707" s="269" t="s">
        <v>2310</v>
      </c>
      <c r="B707" s="26">
        <v>45931</v>
      </c>
      <c r="C707" s="26">
        <v>45922</v>
      </c>
      <c r="D707" s="14" t="s">
        <v>2311</v>
      </c>
      <c r="E707" s="14" t="s">
        <v>73</v>
      </c>
      <c r="F707" s="14" t="s">
        <v>34</v>
      </c>
      <c r="G707" s="14">
        <v>50110372</v>
      </c>
      <c r="H707" s="14" t="s">
        <v>80</v>
      </c>
      <c r="I707" s="14" t="s">
        <v>433</v>
      </c>
      <c r="J707" s="14">
        <v>1</v>
      </c>
      <c r="K707" s="14" t="s">
        <v>37</v>
      </c>
      <c r="L707" s="14" t="s">
        <v>48</v>
      </c>
      <c r="M707" s="14" t="s">
        <v>39</v>
      </c>
      <c r="N707" s="14" t="s">
        <v>39</v>
      </c>
      <c r="O707" s="15">
        <v>0</v>
      </c>
      <c r="P707" s="15">
        <v>0</v>
      </c>
      <c r="Q707" s="15">
        <v>142308</v>
      </c>
      <c r="R707" s="15"/>
      <c r="S707" s="25">
        <v>45996</v>
      </c>
      <c r="T707" s="25">
        <v>45979</v>
      </c>
      <c r="U707" s="25">
        <v>45993</v>
      </c>
      <c r="V707" s="15" t="s">
        <v>1290</v>
      </c>
      <c r="W707" s="15"/>
      <c r="X707" s="27">
        <v>49.81</v>
      </c>
      <c r="Y707" s="27">
        <f>Table2[[#This Row],[PREÇO UNITARIO]]*Table2[[#This Row],[QUANTIDADE]]</f>
        <v>49.81</v>
      </c>
      <c r="Z707" s="15"/>
      <c r="AA707" s="28">
        <f>MONTH(Table2[[#This Row],[DATA PEDIDO HP]])</f>
        <v>10</v>
      </c>
      <c r="AB707" s="32" t="s">
        <v>42</v>
      </c>
      <c r="AC707" s="5">
        <f t="shared" ca="1" si="11"/>
        <v>46232</v>
      </c>
      <c r="AD707" s="331">
        <f ca="1">_xlfn.DAYS(Table2[[#This Row],[HOJE]],Table2[[#This Row],[DATA PEDIDO HP]])</f>
        <v>301</v>
      </c>
      <c r="AE707" s="336" t="s">
        <v>43</v>
      </c>
    </row>
    <row r="708" spans="1:31" ht="14.45" hidden="1">
      <c r="A708" s="297" t="s">
        <v>2312</v>
      </c>
      <c r="B708" s="26">
        <v>45931</v>
      </c>
      <c r="C708" s="26">
        <v>45926</v>
      </c>
      <c r="D708" s="14" t="s">
        <v>2313</v>
      </c>
      <c r="E708" s="14" t="s">
        <v>33</v>
      </c>
      <c r="F708" s="14" t="s">
        <v>34</v>
      </c>
      <c r="G708" s="14">
        <v>50110193</v>
      </c>
      <c r="H708" s="14" t="s">
        <v>100</v>
      </c>
      <c r="I708" s="14" t="s">
        <v>2314</v>
      </c>
      <c r="J708" s="14">
        <v>1</v>
      </c>
      <c r="K708" s="14" t="s">
        <v>37</v>
      </c>
      <c r="L708" s="14" t="s">
        <v>48</v>
      </c>
      <c r="M708" s="14" t="s">
        <v>39</v>
      </c>
      <c r="N708" s="14" t="s">
        <v>39</v>
      </c>
      <c r="O708" s="15">
        <v>0</v>
      </c>
      <c r="P708" s="15">
        <v>0</v>
      </c>
      <c r="Q708" s="15">
        <v>142968</v>
      </c>
      <c r="R708" s="15" t="s">
        <v>98</v>
      </c>
      <c r="S708" s="25">
        <v>45996</v>
      </c>
      <c r="T708" s="25">
        <v>45979</v>
      </c>
      <c r="U708" s="25">
        <v>45993</v>
      </c>
      <c r="V708" s="15" t="s">
        <v>1290</v>
      </c>
      <c r="W708" s="15"/>
      <c r="X708" s="27">
        <v>255.99</v>
      </c>
      <c r="Y708" s="27">
        <f>Table2[[#This Row],[PREÇO UNITARIO]]*Table2[[#This Row],[QUANTIDADE]]</f>
        <v>255.99</v>
      </c>
      <c r="Z708" s="15"/>
      <c r="AA708" s="28">
        <f>MONTH(Table2[[#This Row],[DATA PEDIDO HP]])</f>
        <v>10</v>
      </c>
      <c r="AB708" s="32" t="s">
        <v>42</v>
      </c>
      <c r="AC708" s="5">
        <f t="shared" ca="1" si="11"/>
        <v>46232</v>
      </c>
      <c r="AD708" s="331">
        <f ca="1">_xlfn.DAYS(Table2[[#This Row],[HOJE]],Table2[[#This Row],[DATA PEDIDO HP]])</f>
        <v>301</v>
      </c>
      <c r="AE708" s="336" t="s">
        <v>43</v>
      </c>
    </row>
    <row r="709" spans="1:31" ht="14.45" hidden="1">
      <c r="A709" s="297" t="s">
        <v>2315</v>
      </c>
      <c r="B709" s="26">
        <v>45931</v>
      </c>
      <c r="C709" s="26">
        <v>45918</v>
      </c>
      <c r="D709" s="14" t="s">
        <v>2316</v>
      </c>
      <c r="E709" s="14" t="s">
        <v>33</v>
      </c>
      <c r="F709" s="14" t="s">
        <v>34</v>
      </c>
      <c r="G709" s="14">
        <v>50110193</v>
      </c>
      <c r="H709" s="14" t="s">
        <v>2317</v>
      </c>
      <c r="I709" s="14" t="s">
        <v>2318</v>
      </c>
      <c r="J709" s="14">
        <v>1</v>
      </c>
      <c r="K709" s="14" t="s">
        <v>37</v>
      </c>
      <c r="L709" s="14" t="s">
        <v>96</v>
      </c>
      <c r="M709" s="14" t="s">
        <v>88</v>
      </c>
      <c r="N709" s="15" t="s">
        <v>89</v>
      </c>
      <c r="O709" s="15">
        <v>0</v>
      </c>
      <c r="P709" s="15"/>
      <c r="Q709" s="15">
        <v>141878</v>
      </c>
      <c r="R709" s="15"/>
      <c r="S709" s="25">
        <v>45996</v>
      </c>
      <c r="T709" s="25">
        <v>45979</v>
      </c>
      <c r="U709" s="25">
        <v>45993</v>
      </c>
      <c r="V709" s="15" t="s">
        <v>1290</v>
      </c>
      <c r="W709" s="15"/>
      <c r="X709" s="27">
        <v>34.08</v>
      </c>
      <c r="Y709" s="27">
        <f>Table2[[#This Row],[PREÇO UNITARIO]]*Table2[[#This Row],[QUANTIDADE]]</f>
        <v>34.08</v>
      </c>
      <c r="Z709" s="15"/>
      <c r="AA709" s="28">
        <f>MONTH(Table2[[#This Row],[DATA PEDIDO HP]])</f>
        <v>10</v>
      </c>
      <c r="AB709" s="32" t="s">
        <v>42</v>
      </c>
      <c r="AC709" s="5">
        <f t="shared" ca="1" si="11"/>
        <v>46232</v>
      </c>
      <c r="AD709" s="331">
        <f ca="1">_xlfn.DAYS(Table2[[#This Row],[HOJE]],Table2[[#This Row],[DATA PEDIDO HP]])</f>
        <v>301</v>
      </c>
      <c r="AE709" s="336" t="s">
        <v>43</v>
      </c>
    </row>
    <row r="710" spans="1:31" ht="14.45" hidden="1">
      <c r="A710" s="297" t="s">
        <v>2315</v>
      </c>
      <c r="B710" s="26">
        <v>45931</v>
      </c>
      <c r="C710" s="26">
        <v>45918</v>
      </c>
      <c r="D710" s="14" t="s">
        <v>2316</v>
      </c>
      <c r="E710" s="14" t="s">
        <v>33</v>
      </c>
      <c r="F710" s="14" t="s">
        <v>34</v>
      </c>
      <c r="G710" s="14">
        <v>50110193</v>
      </c>
      <c r="H710" s="14" t="s">
        <v>2319</v>
      </c>
      <c r="I710" s="14" t="s">
        <v>2320</v>
      </c>
      <c r="J710" s="14">
        <v>1</v>
      </c>
      <c r="K710" s="14" t="s">
        <v>37</v>
      </c>
      <c r="L710" s="14" t="s">
        <v>96</v>
      </c>
      <c r="M710" s="14" t="s">
        <v>39</v>
      </c>
      <c r="N710" s="14" t="s">
        <v>39</v>
      </c>
      <c r="O710" s="15">
        <v>0</v>
      </c>
      <c r="P710" s="15">
        <v>0</v>
      </c>
      <c r="Q710" s="15">
        <v>141878</v>
      </c>
      <c r="R710" s="15" t="s">
        <v>1356</v>
      </c>
      <c r="S710" s="25">
        <v>45996</v>
      </c>
      <c r="T710" s="25">
        <v>45979</v>
      </c>
      <c r="U710" s="25">
        <v>45993</v>
      </c>
      <c r="V710" s="15" t="s">
        <v>1290</v>
      </c>
      <c r="W710" s="15"/>
      <c r="X710" s="27">
        <v>106.15</v>
      </c>
      <c r="Y710" s="27">
        <f>Table2[[#This Row],[PREÇO UNITARIO]]*Table2[[#This Row],[QUANTIDADE]]</f>
        <v>106.15</v>
      </c>
      <c r="Z710" s="15"/>
      <c r="AA710" s="28">
        <f>MONTH(Table2[[#This Row],[DATA PEDIDO HP]])</f>
        <v>10</v>
      </c>
      <c r="AB710" s="32" t="s">
        <v>42</v>
      </c>
      <c r="AC710" s="5">
        <f t="shared" ca="1" si="11"/>
        <v>46232</v>
      </c>
      <c r="AD710" s="331">
        <f ca="1">_xlfn.DAYS(Table2[[#This Row],[HOJE]],Table2[[#This Row],[DATA PEDIDO HP]])</f>
        <v>301</v>
      </c>
      <c r="AE710" s="336" t="s">
        <v>43</v>
      </c>
    </row>
    <row r="711" spans="1:31" ht="14.45" hidden="1">
      <c r="A711" s="299" t="s">
        <v>2321</v>
      </c>
      <c r="B711" s="26">
        <v>45931</v>
      </c>
      <c r="C711" s="26">
        <v>45918</v>
      </c>
      <c r="D711" s="14" t="s">
        <v>2322</v>
      </c>
      <c r="E711" s="14" t="s">
        <v>63</v>
      </c>
      <c r="F711" s="14" t="s">
        <v>64</v>
      </c>
      <c r="G711" s="14">
        <v>48000432</v>
      </c>
      <c r="H711" s="14" t="s">
        <v>130</v>
      </c>
      <c r="I711" s="14" t="s">
        <v>2323</v>
      </c>
      <c r="J711" s="14">
        <v>1</v>
      </c>
      <c r="K711" s="14" t="s">
        <v>37</v>
      </c>
      <c r="L711" s="14" t="s">
        <v>96</v>
      </c>
      <c r="M711" s="14" t="s">
        <v>39</v>
      </c>
      <c r="N711" s="14" t="s">
        <v>39</v>
      </c>
      <c r="O711" s="15">
        <v>0</v>
      </c>
      <c r="P711" s="15">
        <v>0</v>
      </c>
      <c r="Q711" s="15">
        <v>141614</v>
      </c>
      <c r="R711" s="15"/>
      <c r="S711" s="25">
        <v>46000</v>
      </c>
      <c r="T711" s="25">
        <v>45979</v>
      </c>
      <c r="U711" s="25">
        <v>45993</v>
      </c>
      <c r="V711" s="15" t="s">
        <v>1290</v>
      </c>
      <c r="W711" s="15"/>
      <c r="X711" s="27">
        <v>17.28</v>
      </c>
      <c r="Y711" s="27">
        <f>Table2[[#This Row],[PREÇO UNITARIO]]*Table2[[#This Row],[QUANTIDADE]]</f>
        <v>17.28</v>
      </c>
      <c r="Z711" s="15"/>
      <c r="AA711" s="28">
        <f>MONTH(Table2[[#This Row],[DATA PEDIDO HP]])</f>
        <v>10</v>
      </c>
      <c r="AB711" s="32" t="s">
        <v>60</v>
      </c>
      <c r="AC711" s="5">
        <f t="shared" ca="1" si="11"/>
        <v>46232</v>
      </c>
      <c r="AD711" s="331">
        <f ca="1">_xlfn.DAYS(Table2[[#This Row],[HOJE]],Table2[[#This Row],[DATA PEDIDO HP]])</f>
        <v>301</v>
      </c>
      <c r="AE711" s="336" t="s">
        <v>43</v>
      </c>
    </row>
    <row r="712" spans="1:31" ht="14.45" hidden="1">
      <c r="A712" s="269" t="s">
        <v>2324</v>
      </c>
      <c r="B712" s="26">
        <v>45931</v>
      </c>
      <c r="C712" s="26">
        <v>45918</v>
      </c>
      <c r="D712" s="14" t="s">
        <v>2325</v>
      </c>
      <c r="E712" s="14" t="s">
        <v>63</v>
      </c>
      <c r="F712" s="14" t="s">
        <v>64</v>
      </c>
      <c r="G712" s="14">
        <v>48000432</v>
      </c>
      <c r="H712" s="14" t="s">
        <v>723</v>
      </c>
      <c r="I712" s="14" t="s">
        <v>724</v>
      </c>
      <c r="J712" s="14">
        <v>1</v>
      </c>
      <c r="K712" s="14" t="s">
        <v>37</v>
      </c>
      <c r="L712" s="14" t="s">
        <v>96</v>
      </c>
      <c r="M712" s="14" t="s">
        <v>39</v>
      </c>
      <c r="N712" s="14" t="s">
        <v>39</v>
      </c>
      <c r="O712" s="15">
        <v>0</v>
      </c>
      <c r="P712" s="15">
        <v>0</v>
      </c>
      <c r="Q712" s="15">
        <v>141614</v>
      </c>
      <c r="R712" s="15"/>
      <c r="S712" s="25">
        <v>46059</v>
      </c>
      <c r="T712" s="25">
        <v>46042</v>
      </c>
      <c r="U712" s="25">
        <v>46055</v>
      </c>
      <c r="V712" s="15" t="s">
        <v>347</v>
      </c>
      <c r="W712" s="15"/>
      <c r="X712" s="159">
        <v>147.61000000000001</v>
      </c>
      <c r="Y712" s="159">
        <f>Table2[[#This Row],[PREÇO UNITARIO]]*Table2[[#This Row],[QUANTIDADE]]</f>
        <v>147.61000000000001</v>
      </c>
      <c r="Z712" s="15"/>
      <c r="AA712" s="28">
        <f>MONTH(Table2[[#This Row],[DATA PEDIDO HP]])</f>
        <v>10</v>
      </c>
      <c r="AB712" s="32" t="s">
        <v>60</v>
      </c>
      <c r="AC712" s="5">
        <f t="shared" ca="1" si="11"/>
        <v>46232</v>
      </c>
      <c r="AD712" s="331">
        <f ca="1">_xlfn.DAYS(Table2[[#This Row],[HOJE]],Table2[[#This Row],[DATA PEDIDO HP]])</f>
        <v>301</v>
      </c>
      <c r="AE712" s="331" t="s">
        <v>43</v>
      </c>
    </row>
    <row r="713" spans="1:31" ht="14.45" hidden="1">
      <c r="A713" s="269" t="s">
        <v>2326</v>
      </c>
      <c r="B713" s="26">
        <v>45931</v>
      </c>
      <c r="C713" s="26">
        <v>45918</v>
      </c>
      <c r="D713" s="14" t="s">
        <v>2327</v>
      </c>
      <c r="E713" s="14" t="s">
        <v>63</v>
      </c>
      <c r="F713" s="14" t="s">
        <v>173</v>
      </c>
      <c r="G713" s="14">
        <v>48300301</v>
      </c>
      <c r="H713" s="14" t="s">
        <v>723</v>
      </c>
      <c r="I713" s="14" t="s">
        <v>724</v>
      </c>
      <c r="J713" s="14">
        <v>1</v>
      </c>
      <c r="K713" s="14" t="s">
        <v>37</v>
      </c>
      <c r="L713" s="14" t="s">
        <v>96</v>
      </c>
      <c r="M713" s="14" t="s">
        <v>39</v>
      </c>
      <c r="N713" s="14" t="s">
        <v>39</v>
      </c>
      <c r="O713" s="15">
        <v>0</v>
      </c>
      <c r="P713" s="15">
        <v>0</v>
      </c>
      <c r="Q713" s="15">
        <v>141647</v>
      </c>
      <c r="R713" s="15"/>
      <c r="S713" s="25">
        <v>46059</v>
      </c>
      <c r="T713" s="25">
        <v>46042</v>
      </c>
      <c r="U713" s="25">
        <v>46055</v>
      </c>
      <c r="V713" s="15" t="s">
        <v>347</v>
      </c>
      <c r="W713" s="15"/>
      <c r="X713" s="159">
        <v>147.61000000000001</v>
      </c>
      <c r="Y713" s="159">
        <f>Table2[[#This Row],[PREÇO UNITARIO]]*Table2[[#This Row],[QUANTIDADE]]</f>
        <v>147.61000000000001</v>
      </c>
      <c r="Z713" s="15"/>
      <c r="AA713" s="28">
        <f>MONTH(Table2[[#This Row],[DATA PEDIDO HP]])</f>
        <v>10</v>
      </c>
      <c r="AB713" s="32" t="s">
        <v>60</v>
      </c>
      <c r="AC713" s="5">
        <f t="shared" ca="1" si="11"/>
        <v>46232</v>
      </c>
      <c r="AD713" s="331">
        <f ca="1">_xlfn.DAYS(Table2[[#This Row],[HOJE]],Table2[[#This Row],[DATA PEDIDO HP]])</f>
        <v>301</v>
      </c>
      <c r="AE713" s="331" t="s">
        <v>43</v>
      </c>
    </row>
    <row r="714" spans="1:31" ht="14.45" hidden="1">
      <c r="A714" s="299" t="s">
        <v>2328</v>
      </c>
      <c r="B714" s="26">
        <v>45931</v>
      </c>
      <c r="C714" s="26">
        <v>45923</v>
      </c>
      <c r="D714" s="14" t="s">
        <v>2329</v>
      </c>
      <c r="E714" s="14" t="s">
        <v>152</v>
      </c>
      <c r="F714" s="14" t="s">
        <v>899</v>
      </c>
      <c r="G714" s="14">
        <v>48500670</v>
      </c>
      <c r="H714" s="14" t="s">
        <v>574</v>
      </c>
      <c r="I714" s="14" t="s">
        <v>2330</v>
      </c>
      <c r="J714" s="14">
        <v>1</v>
      </c>
      <c r="K714" s="14" t="s">
        <v>37</v>
      </c>
      <c r="L714" s="14" t="s">
        <v>2067</v>
      </c>
      <c r="M714" s="14" t="s">
        <v>88</v>
      </c>
      <c r="N714" s="15" t="s">
        <v>89</v>
      </c>
      <c r="O714" s="15">
        <v>0</v>
      </c>
      <c r="P714" s="15"/>
      <c r="Q714" s="15">
        <v>142538</v>
      </c>
      <c r="R714" s="15"/>
      <c r="S714" s="25">
        <v>46002</v>
      </c>
      <c r="T714" s="25">
        <v>45979</v>
      </c>
      <c r="U714" s="25">
        <v>45993</v>
      </c>
      <c r="V714" s="15" t="s">
        <v>1290</v>
      </c>
      <c r="W714" s="15"/>
      <c r="X714" s="27">
        <v>1323.87</v>
      </c>
      <c r="Y714" s="27">
        <f>Table2[[#This Row],[PREÇO UNITARIO]]*Table2[[#This Row],[QUANTIDADE]]</f>
        <v>1323.87</v>
      </c>
      <c r="Z714" s="15"/>
      <c r="AA714" s="28">
        <f>MONTH(Table2[[#This Row],[DATA PEDIDO HP]])</f>
        <v>10</v>
      </c>
      <c r="AB714" s="32" t="s">
        <v>60</v>
      </c>
      <c r="AC714" s="5">
        <f t="shared" ca="1" si="11"/>
        <v>46232</v>
      </c>
      <c r="AD714" s="331">
        <f ca="1">_xlfn.DAYS(Table2[[#This Row],[HOJE]],Table2[[#This Row],[DATA PEDIDO HP]])</f>
        <v>301</v>
      </c>
      <c r="AE714" s="336" t="s">
        <v>43</v>
      </c>
    </row>
    <row r="715" spans="1:31" ht="14.45" hidden="1">
      <c r="A715" s="299" t="s">
        <v>2331</v>
      </c>
      <c r="B715" s="26">
        <v>45931</v>
      </c>
      <c r="C715" s="26">
        <v>45923</v>
      </c>
      <c r="D715" s="14" t="s">
        <v>2332</v>
      </c>
      <c r="E715" s="14" t="s">
        <v>202</v>
      </c>
      <c r="F715" s="14" t="s">
        <v>203</v>
      </c>
      <c r="G715" s="14">
        <v>60002072</v>
      </c>
      <c r="H715" s="14" t="s">
        <v>1991</v>
      </c>
      <c r="I715" s="14" t="s">
        <v>2333</v>
      </c>
      <c r="J715" s="14">
        <v>1</v>
      </c>
      <c r="K715" s="14" t="s">
        <v>37</v>
      </c>
      <c r="L715" s="14" t="s">
        <v>48</v>
      </c>
      <c r="M715" s="14" t="s">
        <v>39</v>
      </c>
      <c r="N715" s="14" t="s">
        <v>39</v>
      </c>
      <c r="O715" s="15">
        <v>0</v>
      </c>
      <c r="P715" s="15">
        <v>0</v>
      </c>
      <c r="Q715" s="15">
        <v>142406</v>
      </c>
      <c r="R715" s="15"/>
      <c r="S715" s="25">
        <v>46001</v>
      </c>
      <c r="T715" s="25">
        <v>45979</v>
      </c>
      <c r="U715" s="25">
        <v>45993</v>
      </c>
      <c r="V715" s="15" t="s">
        <v>1290</v>
      </c>
      <c r="W715" s="15"/>
      <c r="X715" s="27">
        <v>12.41</v>
      </c>
      <c r="Y715" s="27">
        <f>Table2[[#This Row],[PREÇO UNITARIO]]*Table2[[#This Row],[QUANTIDADE]]</f>
        <v>12.41</v>
      </c>
      <c r="Z715" s="15"/>
      <c r="AA715" s="28">
        <f>MONTH(Table2[[#This Row],[DATA PEDIDO HP]])</f>
        <v>10</v>
      </c>
      <c r="AB715" s="32" t="s">
        <v>60</v>
      </c>
      <c r="AC715" s="5">
        <f t="shared" ca="1" si="11"/>
        <v>46232</v>
      </c>
      <c r="AD715" s="331">
        <f ca="1">_xlfn.DAYS(Table2[[#This Row],[HOJE]],Table2[[#This Row],[DATA PEDIDO HP]])</f>
        <v>301</v>
      </c>
      <c r="AE715" s="336" t="s">
        <v>43</v>
      </c>
    </row>
    <row r="716" spans="1:31" ht="14.45" hidden="1">
      <c r="A716" s="299" t="s">
        <v>2334</v>
      </c>
      <c r="B716" s="26">
        <v>45931</v>
      </c>
      <c r="C716" s="26">
        <v>45931</v>
      </c>
      <c r="D716" s="14" t="s">
        <v>2335</v>
      </c>
      <c r="E716" s="14" t="s">
        <v>63</v>
      </c>
      <c r="F716" s="14" t="s">
        <v>64</v>
      </c>
      <c r="G716" s="14">
        <v>48000432</v>
      </c>
      <c r="H716" s="14" t="s">
        <v>736</v>
      </c>
      <c r="I716" s="14" t="s">
        <v>2336</v>
      </c>
      <c r="J716" s="14">
        <v>1</v>
      </c>
      <c r="K716" s="14" t="s">
        <v>37</v>
      </c>
      <c r="L716" s="14" t="s">
        <v>48</v>
      </c>
      <c r="M716" s="14" t="s">
        <v>39</v>
      </c>
      <c r="N716" s="14" t="s">
        <v>39</v>
      </c>
      <c r="O716" s="15">
        <v>0</v>
      </c>
      <c r="P716" s="15">
        <v>0</v>
      </c>
      <c r="Q716" s="15">
        <v>142506</v>
      </c>
      <c r="R716" s="15"/>
      <c r="S716" s="25">
        <v>46000</v>
      </c>
      <c r="T716" s="25">
        <v>45979</v>
      </c>
      <c r="U716" s="25">
        <v>45993</v>
      </c>
      <c r="V716" s="15" t="s">
        <v>1290</v>
      </c>
      <c r="W716" s="15"/>
      <c r="X716" s="27">
        <v>180.46</v>
      </c>
      <c r="Y716" s="27">
        <f>Table2[[#This Row],[PREÇO UNITARIO]]*Table2[[#This Row],[QUANTIDADE]]</f>
        <v>180.46</v>
      </c>
      <c r="Z716" s="15"/>
      <c r="AA716" s="28">
        <f>MONTH(Table2[[#This Row],[DATA PEDIDO HP]])</f>
        <v>10</v>
      </c>
      <c r="AB716" s="32" t="s">
        <v>60</v>
      </c>
      <c r="AC716" s="5">
        <f t="shared" ca="1" si="11"/>
        <v>46232</v>
      </c>
      <c r="AD716" s="331">
        <f ca="1">_xlfn.DAYS(Table2[[#This Row],[HOJE]],Table2[[#This Row],[DATA PEDIDO HP]])</f>
        <v>301</v>
      </c>
      <c r="AE716" s="336" t="s">
        <v>43</v>
      </c>
    </row>
    <row r="717" spans="1:31" ht="14.45" hidden="1">
      <c r="A717" s="269" t="s">
        <v>2337</v>
      </c>
      <c r="B717" s="26">
        <v>45931</v>
      </c>
      <c r="C717" s="26">
        <v>45926</v>
      </c>
      <c r="D717" s="14" t="s">
        <v>2338</v>
      </c>
      <c r="E717" s="14" t="s">
        <v>79</v>
      </c>
      <c r="F717" s="14" t="s">
        <v>74</v>
      </c>
      <c r="G717" s="14">
        <v>50000530</v>
      </c>
      <c r="H717" s="14" t="s">
        <v>2319</v>
      </c>
      <c r="I717" s="14" t="s">
        <v>2320</v>
      </c>
      <c r="J717" s="14">
        <v>1</v>
      </c>
      <c r="K717" s="14" t="s">
        <v>37</v>
      </c>
      <c r="L717" s="14" t="s">
        <v>48</v>
      </c>
      <c r="M717" s="14" t="s">
        <v>58</v>
      </c>
      <c r="N717" s="14" t="s">
        <v>58</v>
      </c>
      <c r="O717" s="14">
        <v>1</v>
      </c>
      <c r="P717" s="15">
        <v>1</v>
      </c>
      <c r="Q717" s="15">
        <v>143132</v>
      </c>
      <c r="R717" s="15" t="s">
        <v>1356</v>
      </c>
      <c r="S717" s="25"/>
      <c r="T717" s="25">
        <v>45979</v>
      </c>
      <c r="U717" s="25">
        <v>45993</v>
      </c>
      <c r="V717" s="15" t="s">
        <v>1290</v>
      </c>
      <c r="W717" s="15"/>
      <c r="X717" s="27">
        <v>106.15</v>
      </c>
      <c r="Y717" s="27">
        <f>Table2[[#This Row],[PREÇO UNITARIO]]*Table2[[#This Row],[QUANTIDADE]]</f>
        <v>106.15</v>
      </c>
      <c r="Z717" s="15"/>
      <c r="AA717" s="28">
        <f>MONTH(Table2[[#This Row],[DATA PEDIDO HP]])</f>
        <v>10</v>
      </c>
      <c r="AB717" s="32" t="s">
        <v>60</v>
      </c>
      <c r="AC717" s="5">
        <f t="shared" ca="1" si="11"/>
        <v>46232</v>
      </c>
      <c r="AD717" s="331">
        <f ca="1">_xlfn.DAYS(Table2[[#This Row],[HOJE]],Table2[[#This Row],[DATA PEDIDO HP]])</f>
        <v>301</v>
      </c>
      <c r="AE717" s="5" t="s">
        <v>43</v>
      </c>
    </row>
    <row r="718" spans="1:31" ht="14.45" hidden="1">
      <c r="A718" s="299" t="s">
        <v>2339</v>
      </c>
      <c r="B718" s="26">
        <v>45931</v>
      </c>
      <c r="C718" s="26">
        <v>45925</v>
      </c>
      <c r="D718" s="14" t="s">
        <v>2340</v>
      </c>
      <c r="E718" s="14" t="s">
        <v>85</v>
      </c>
      <c r="F718" s="14" t="s">
        <v>74</v>
      </c>
      <c r="G718" s="14">
        <v>50000260</v>
      </c>
      <c r="H718" s="14" t="s">
        <v>245</v>
      </c>
      <c r="I718" s="14" t="s">
        <v>2341</v>
      </c>
      <c r="J718" s="14">
        <v>1</v>
      </c>
      <c r="K718" s="14" t="s">
        <v>37</v>
      </c>
      <c r="L718" s="14" t="s">
        <v>294</v>
      </c>
      <c r="M718" s="14" t="s">
        <v>88</v>
      </c>
      <c r="N718" s="15" t="s">
        <v>89</v>
      </c>
      <c r="O718" s="14">
        <v>3</v>
      </c>
      <c r="P718" s="15">
        <v>1</v>
      </c>
      <c r="Q718" s="15">
        <v>142309</v>
      </c>
      <c r="R718" s="15" t="s">
        <v>247</v>
      </c>
      <c r="S718" s="25">
        <v>46002</v>
      </c>
      <c r="T718" s="25">
        <v>45979</v>
      </c>
      <c r="U718" s="25">
        <v>45993</v>
      </c>
      <c r="V718" s="15" t="s">
        <v>1290</v>
      </c>
      <c r="W718" s="15"/>
      <c r="X718" s="27">
        <v>80.180000000000007</v>
      </c>
      <c r="Y718" s="27">
        <f>Table2[[#This Row],[PREÇO UNITARIO]]*Table2[[#This Row],[QUANTIDADE]]</f>
        <v>80.180000000000007</v>
      </c>
      <c r="Z718" s="15"/>
      <c r="AA718" s="28">
        <f>MONTH(Table2[[#This Row],[DATA PEDIDO HP]])</f>
        <v>10</v>
      </c>
      <c r="AB718" s="32" t="s">
        <v>42</v>
      </c>
      <c r="AC718" s="5">
        <f t="shared" ca="1" si="11"/>
        <v>46232</v>
      </c>
      <c r="AD718" s="331">
        <f ca="1">_xlfn.DAYS(Table2[[#This Row],[HOJE]],Table2[[#This Row],[DATA PEDIDO HP]])</f>
        <v>301</v>
      </c>
      <c r="AE718" s="336" t="s">
        <v>43</v>
      </c>
    </row>
    <row r="719" spans="1:31" ht="14.45" hidden="1">
      <c r="A719" s="269" t="s">
        <v>2342</v>
      </c>
      <c r="B719" s="26">
        <v>45931</v>
      </c>
      <c r="C719" s="26">
        <v>45926</v>
      </c>
      <c r="D719" s="14" t="s">
        <v>2343</v>
      </c>
      <c r="E719" s="14" t="s">
        <v>73</v>
      </c>
      <c r="F719" s="14" t="s">
        <v>203</v>
      </c>
      <c r="G719" s="14">
        <v>60002095</v>
      </c>
      <c r="H719" s="14" t="s">
        <v>1572</v>
      </c>
      <c r="I719" s="14" t="s">
        <v>2344</v>
      </c>
      <c r="J719" s="14">
        <v>3</v>
      </c>
      <c r="K719" s="14" t="s">
        <v>37</v>
      </c>
      <c r="L719" s="14" t="s">
        <v>48</v>
      </c>
      <c r="M719" s="14" t="s">
        <v>58</v>
      </c>
      <c r="N719" s="14" t="s">
        <v>58</v>
      </c>
      <c r="O719" s="14">
        <v>3</v>
      </c>
      <c r="P719" s="15">
        <v>3</v>
      </c>
      <c r="Q719" s="15">
        <v>143265</v>
      </c>
      <c r="R719" s="15"/>
      <c r="S719" s="25"/>
      <c r="T719" s="25">
        <v>45979</v>
      </c>
      <c r="U719" s="25">
        <v>45993</v>
      </c>
      <c r="V719" s="15" t="s">
        <v>1290</v>
      </c>
      <c r="W719" s="15"/>
      <c r="X719" s="27">
        <v>67.349999999999994</v>
      </c>
      <c r="Y719" s="27">
        <f>Table2[[#This Row],[PREÇO UNITARIO]]*Table2[[#This Row],[QUANTIDADE]]</f>
        <v>202.04999999999998</v>
      </c>
      <c r="Z719" s="15"/>
      <c r="AA719" s="28">
        <f>MONTH(Table2[[#This Row],[DATA PEDIDO HP]])</f>
        <v>10</v>
      </c>
      <c r="AB719" s="32" t="s">
        <v>42</v>
      </c>
      <c r="AC719" s="5">
        <f t="shared" ca="1" si="11"/>
        <v>46232</v>
      </c>
      <c r="AD719" s="331">
        <f ca="1">_xlfn.DAYS(Table2[[#This Row],[HOJE]],Table2[[#This Row],[DATA PEDIDO HP]])</f>
        <v>301</v>
      </c>
      <c r="AE719" s="5" t="s">
        <v>43</v>
      </c>
    </row>
    <row r="720" spans="1:31" ht="14.45" hidden="1">
      <c r="A720" s="269" t="s">
        <v>2345</v>
      </c>
      <c r="B720" s="26">
        <v>45932</v>
      </c>
      <c r="C720" s="26">
        <v>45930</v>
      </c>
      <c r="D720" s="14" t="s">
        <v>2346</v>
      </c>
      <c r="E720" s="14" t="s">
        <v>445</v>
      </c>
      <c r="F720" s="14" t="s">
        <v>403</v>
      </c>
      <c r="G720" s="14">
        <v>50300097</v>
      </c>
      <c r="H720" s="14" t="s">
        <v>1507</v>
      </c>
      <c r="I720" s="14" t="s">
        <v>1508</v>
      </c>
      <c r="J720" s="14">
        <v>7</v>
      </c>
      <c r="K720" s="14" t="s">
        <v>37</v>
      </c>
      <c r="L720" s="14" t="s">
        <v>48</v>
      </c>
      <c r="M720" s="14" t="s">
        <v>58</v>
      </c>
      <c r="N720" s="14" t="s">
        <v>58</v>
      </c>
      <c r="O720" s="15">
        <v>7</v>
      </c>
      <c r="P720" s="15">
        <v>7</v>
      </c>
      <c r="Q720" s="15">
        <v>142604</v>
      </c>
      <c r="R720" s="15" t="s">
        <v>1585</v>
      </c>
      <c r="S720" s="25"/>
      <c r="T720" s="25">
        <v>45979</v>
      </c>
      <c r="U720" s="25">
        <v>45993</v>
      </c>
      <c r="V720" s="15" t="s">
        <v>1290</v>
      </c>
      <c r="W720" s="15"/>
      <c r="X720" s="27">
        <v>32.79</v>
      </c>
      <c r="Y720" s="27">
        <f>Table2[[#This Row],[PREÇO UNITARIO]]*Table2[[#This Row],[QUANTIDADE]]</f>
        <v>229.53</v>
      </c>
      <c r="Z720" s="15"/>
      <c r="AA720" s="28">
        <f>MONTH(Table2[[#This Row],[DATA PEDIDO HP]])</f>
        <v>10</v>
      </c>
      <c r="AB720" s="32" t="s">
        <v>60</v>
      </c>
      <c r="AC720" s="5">
        <f t="shared" ca="1" si="11"/>
        <v>46232</v>
      </c>
      <c r="AD720" s="331">
        <f ca="1">_xlfn.DAYS(Table2[[#This Row],[HOJE]],Table2[[#This Row],[DATA PEDIDO HP]])</f>
        <v>300</v>
      </c>
      <c r="AE720" s="5" t="s">
        <v>43</v>
      </c>
    </row>
    <row r="721" spans="1:31" ht="14.45" hidden="1">
      <c r="A721" s="269" t="s">
        <v>2347</v>
      </c>
      <c r="B721" s="26">
        <v>45932</v>
      </c>
      <c r="C721" s="26">
        <v>45931</v>
      </c>
      <c r="D721" s="14" t="s">
        <v>2348</v>
      </c>
      <c r="E721" s="14" t="s">
        <v>73</v>
      </c>
      <c r="F721" s="14" t="s">
        <v>34</v>
      </c>
      <c r="G721" s="14">
        <v>50110372</v>
      </c>
      <c r="H721" s="14" t="s">
        <v>1302</v>
      </c>
      <c r="I721" s="14" t="s">
        <v>2349</v>
      </c>
      <c r="J721" s="14">
        <v>1</v>
      </c>
      <c r="K721" s="14" t="s">
        <v>37</v>
      </c>
      <c r="L721" s="14" t="s">
        <v>48</v>
      </c>
      <c r="M721" s="14" t="s">
        <v>39</v>
      </c>
      <c r="N721" s="14" t="s">
        <v>39</v>
      </c>
      <c r="O721" s="15">
        <v>0</v>
      </c>
      <c r="P721" s="15">
        <v>0</v>
      </c>
      <c r="Q721" s="15">
        <v>143434</v>
      </c>
      <c r="R721" s="15"/>
      <c r="S721" s="25">
        <v>45996</v>
      </c>
      <c r="T721" s="25">
        <v>45979</v>
      </c>
      <c r="U721" s="25">
        <v>45993</v>
      </c>
      <c r="V721" s="15" t="s">
        <v>1290</v>
      </c>
      <c r="W721" s="15"/>
      <c r="X721" s="27">
        <v>109.04</v>
      </c>
      <c r="Y721" s="27">
        <f>Table2[[#This Row],[PREÇO UNITARIO]]*Table2[[#This Row],[QUANTIDADE]]</f>
        <v>109.04</v>
      </c>
      <c r="Z721" s="15"/>
      <c r="AA721" s="28">
        <f>MONTH(Table2[[#This Row],[DATA PEDIDO HP]])</f>
        <v>10</v>
      </c>
      <c r="AB721" s="32" t="s">
        <v>42</v>
      </c>
      <c r="AC721" s="5">
        <f t="shared" ca="1" si="11"/>
        <v>46232</v>
      </c>
      <c r="AD721" s="331">
        <f ca="1">_xlfn.DAYS(Table2[[#This Row],[HOJE]],Table2[[#This Row],[DATA PEDIDO HP]])</f>
        <v>300</v>
      </c>
      <c r="AE721" s="336" t="s">
        <v>43</v>
      </c>
    </row>
    <row r="722" spans="1:31" ht="14.45" hidden="1">
      <c r="A722" s="286" t="s">
        <v>2350</v>
      </c>
      <c r="B722" s="26">
        <v>45965</v>
      </c>
      <c r="C722" s="26">
        <v>45924</v>
      </c>
      <c r="D722" s="14" t="s">
        <v>2351</v>
      </c>
      <c r="E722" s="14" t="s">
        <v>181</v>
      </c>
      <c r="F722" s="14" t="s">
        <v>34</v>
      </c>
      <c r="G722" s="14">
        <v>50110057</v>
      </c>
      <c r="H722" s="14" t="s">
        <v>2352</v>
      </c>
      <c r="I722" s="14" t="s">
        <v>2353</v>
      </c>
      <c r="J722" s="14">
        <v>1</v>
      </c>
      <c r="K722" s="14" t="s">
        <v>67</v>
      </c>
      <c r="L722" s="14" t="s">
        <v>38</v>
      </c>
      <c r="M722" s="14" t="s">
        <v>88</v>
      </c>
      <c r="N722" s="14" t="s">
        <v>89</v>
      </c>
      <c r="O722" s="14">
        <v>0</v>
      </c>
      <c r="P722" s="14">
        <v>0</v>
      </c>
      <c r="Q722" s="14">
        <v>141285</v>
      </c>
      <c r="R722" s="14"/>
      <c r="S722" s="26">
        <v>46066</v>
      </c>
      <c r="T722" s="25">
        <v>46042</v>
      </c>
      <c r="U722" s="25">
        <v>46055</v>
      </c>
      <c r="V722" s="14" t="s">
        <v>347</v>
      </c>
      <c r="W722" s="14"/>
      <c r="X722" s="356">
        <v>29.4</v>
      </c>
      <c r="Y722" s="355">
        <f>Table2[[#This Row],[PREÇO UNITARIO]]*Table2[[#This Row],[QUANTIDADE]]</f>
        <v>29.4</v>
      </c>
      <c r="Z722" s="289"/>
      <c r="AA722" s="290">
        <f>MONTH(Table2[[#This Row],[DATA PEDIDO HP]])</f>
        <v>11</v>
      </c>
      <c r="AB722" s="290" t="s">
        <v>42</v>
      </c>
      <c r="AC722" s="5">
        <f t="shared" ca="1" si="11"/>
        <v>46232</v>
      </c>
      <c r="AD722" s="331">
        <f ca="1">_xlfn.DAYS(Table2[[#This Row],[HOJE]],Table2[[#This Row],[DATA PEDIDO HP]])</f>
        <v>267</v>
      </c>
      <c r="AE722" s="331" t="s">
        <v>43</v>
      </c>
    </row>
    <row r="723" spans="1:31" ht="14.45" hidden="1">
      <c r="A723" s="269" t="s">
        <v>2354</v>
      </c>
      <c r="B723" s="26">
        <v>45932</v>
      </c>
      <c r="C723" s="26">
        <v>45924</v>
      </c>
      <c r="D723" s="14" t="s">
        <v>2289</v>
      </c>
      <c r="E723" s="14" t="s">
        <v>181</v>
      </c>
      <c r="F723" s="14" t="s">
        <v>34</v>
      </c>
      <c r="G723" s="14">
        <v>50110057</v>
      </c>
      <c r="H723" s="14" t="s">
        <v>2290</v>
      </c>
      <c r="I723" s="14" t="s">
        <v>2291</v>
      </c>
      <c r="J723" s="14">
        <v>1</v>
      </c>
      <c r="K723" s="14" t="s">
        <v>67</v>
      </c>
      <c r="L723" s="14" t="s">
        <v>38</v>
      </c>
      <c r="M723" s="14" t="s">
        <v>88</v>
      </c>
      <c r="N723" s="15" t="s">
        <v>89</v>
      </c>
      <c r="O723" s="15">
        <v>0</v>
      </c>
      <c r="P723" s="15"/>
      <c r="Q723" s="15">
        <v>142310</v>
      </c>
      <c r="R723" s="15"/>
      <c r="S723" s="26">
        <v>46066</v>
      </c>
      <c r="T723" s="25">
        <v>46042</v>
      </c>
      <c r="U723" s="25">
        <v>46055</v>
      </c>
      <c r="V723" s="15" t="s">
        <v>347</v>
      </c>
      <c r="W723" s="15"/>
      <c r="X723" s="159">
        <v>53.89</v>
      </c>
      <c r="Y723" s="159">
        <f>Table2[[#This Row],[PREÇO UNITARIO]]*Table2[[#This Row],[QUANTIDADE]]</f>
        <v>53.89</v>
      </c>
      <c r="Z723" s="15"/>
      <c r="AA723" s="28">
        <f>MONTH(Table2[[#This Row],[DATA PEDIDO HP]])</f>
        <v>10</v>
      </c>
      <c r="AB723" s="32" t="s">
        <v>42</v>
      </c>
      <c r="AC723" s="5">
        <f t="shared" ca="1" si="11"/>
        <v>46232</v>
      </c>
      <c r="AD723" s="331">
        <f ca="1">_xlfn.DAYS(Table2[[#This Row],[HOJE]],Table2[[#This Row],[DATA PEDIDO HP]])</f>
        <v>300</v>
      </c>
      <c r="AE723" s="331" t="s">
        <v>43</v>
      </c>
    </row>
    <row r="724" spans="1:31" ht="14.45" hidden="1">
      <c r="A724" s="269" t="s">
        <v>2355</v>
      </c>
      <c r="B724" s="26">
        <v>45932</v>
      </c>
      <c r="C724" s="26">
        <v>45925</v>
      </c>
      <c r="D724" s="14" t="s">
        <v>2356</v>
      </c>
      <c r="E724" s="14" t="s">
        <v>1106</v>
      </c>
      <c r="F724" s="14" t="s">
        <v>1107</v>
      </c>
      <c r="G724" s="14">
        <v>51100110</v>
      </c>
      <c r="H724" s="14" t="s">
        <v>321</v>
      </c>
      <c r="I724" s="14" t="s">
        <v>322</v>
      </c>
      <c r="J724" s="14">
        <v>1</v>
      </c>
      <c r="K724" s="14" t="s">
        <v>37</v>
      </c>
      <c r="L724" s="14" t="s">
        <v>38</v>
      </c>
      <c r="M724" s="14" t="s">
        <v>58</v>
      </c>
      <c r="N724" s="14" t="s">
        <v>58</v>
      </c>
      <c r="O724" s="15">
        <v>1</v>
      </c>
      <c r="P724" s="15">
        <v>1</v>
      </c>
      <c r="Q724" s="15">
        <v>143068</v>
      </c>
      <c r="R724" s="15"/>
      <c r="S724" s="25"/>
      <c r="T724" s="25">
        <v>45979</v>
      </c>
      <c r="U724" s="25">
        <v>45993</v>
      </c>
      <c r="V724" s="15" t="s">
        <v>1290</v>
      </c>
      <c r="W724" s="15"/>
      <c r="X724" s="27">
        <v>396.84</v>
      </c>
      <c r="Y724" s="27">
        <f>Table2[[#This Row],[PREÇO UNITARIO]]*Table2[[#This Row],[QUANTIDADE]]</f>
        <v>396.84</v>
      </c>
      <c r="Z724" s="15"/>
      <c r="AA724" s="28">
        <f>MONTH(Table2[[#This Row],[DATA PEDIDO HP]])</f>
        <v>10</v>
      </c>
      <c r="AB724" s="32" t="s">
        <v>60</v>
      </c>
      <c r="AC724" s="5">
        <f t="shared" ca="1" si="11"/>
        <v>46232</v>
      </c>
      <c r="AD724" s="331">
        <f ca="1">_xlfn.DAYS(Table2[[#This Row],[HOJE]],Table2[[#This Row],[DATA PEDIDO HP]])</f>
        <v>300</v>
      </c>
      <c r="AE724" s="5" t="s">
        <v>43</v>
      </c>
    </row>
    <row r="725" spans="1:31" ht="14.45" hidden="1">
      <c r="A725" s="269" t="s">
        <v>2357</v>
      </c>
      <c r="B725" s="26">
        <v>45932</v>
      </c>
      <c r="C725" s="26">
        <v>45925</v>
      </c>
      <c r="D725" s="14" t="s">
        <v>2358</v>
      </c>
      <c r="E725" s="14" t="s">
        <v>569</v>
      </c>
      <c r="F725" s="14" t="s">
        <v>640</v>
      </c>
      <c r="G725" s="14">
        <v>48500616</v>
      </c>
      <c r="H725" s="14" t="s">
        <v>2359</v>
      </c>
      <c r="I725" s="14" t="s">
        <v>2360</v>
      </c>
      <c r="J725" s="14">
        <v>1</v>
      </c>
      <c r="K725" s="14" t="s">
        <v>37</v>
      </c>
      <c r="L725" s="14" t="s">
        <v>363</v>
      </c>
      <c r="M725" s="14" t="s">
        <v>58</v>
      </c>
      <c r="N725" s="14" t="s">
        <v>58</v>
      </c>
      <c r="O725" s="15">
        <v>1</v>
      </c>
      <c r="P725" s="15">
        <v>1</v>
      </c>
      <c r="Q725" s="15"/>
      <c r="R725" s="15"/>
      <c r="S725" s="25"/>
      <c r="T725" s="25">
        <v>45979</v>
      </c>
      <c r="U725" s="25">
        <v>45993</v>
      </c>
      <c r="V725" s="15" t="s">
        <v>1290</v>
      </c>
      <c r="W725" s="15"/>
      <c r="X725" s="27">
        <v>509.85</v>
      </c>
      <c r="Y725" s="27">
        <f>Table2[[#This Row],[PREÇO UNITARIO]]*Table2[[#This Row],[QUANTIDADE]]</f>
        <v>509.85</v>
      </c>
      <c r="Z725" s="15"/>
      <c r="AA725" s="28">
        <f>MONTH(Table2[[#This Row],[DATA PEDIDO HP]])</f>
        <v>10</v>
      </c>
      <c r="AB725" s="32" t="s">
        <v>60</v>
      </c>
      <c r="AC725" s="5">
        <f t="shared" ca="1" si="11"/>
        <v>46232</v>
      </c>
      <c r="AD725" s="331">
        <f ca="1">_xlfn.DAYS(Table2[[#This Row],[HOJE]],Table2[[#This Row],[DATA PEDIDO HP]])</f>
        <v>300</v>
      </c>
      <c r="AE725" s="5" t="s">
        <v>43</v>
      </c>
    </row>
    <row r="726" spans="1:31" ht="14.45" hidden="1">
      <c r="A726" s="299" t="s">
        <v>2361</v>
      </c>
      <c r="B726" s="26">
        <v>45932</v>
      </c>
      <c r="C726" s="26">
        <v>45930</v>
      </c>
      <c r="D726" s="14" t="s">
        <v>2362</v>
      </c>
      <c r="E726" s="14" t="s">
        <v>63</v>
      </c>
      <c r="F726" s="14" t="s">
        <v>173</v>
      </c>
      <c r="G726" s="14">
        <v>48300301</v>
      </c>
      <c r="H726" s="14" t="s">
        <v>326</v>
      </c>
      <c r="I726" s="14" t="s">
        <v>644</v>
      </c>
      <c r="J726" s="14">
        <v>1</v>
      </c>
      <c r="K726" s="14" t="s">
        <v>37</v>
      </c>
      <c r="L726" s="14" t="s">
        <v>48</v>
      </c>
      <c r="M726" s="14" t="s">
        <v>88</v>
      </c>
      <c r="N726" s="15" t="s">
        <v>89</v>
      </c>
      <c r="O726" s="15">
        <v>0</v>
      </c>
      <c r="P726" s="15"/>
      <c r="Q726" s="15">
        <v>143398</v>
      </c>
      <c r="R726" s="15"/>
      <c r="S726" s="25">
        <v>46000</v>
      </c>
      <c r="T726" s="25">
        <v>45979</v>
      </c>
      <c r="U726" s="25">
        <v>45993</v>
      </c>
      <c r="V726" s="15" t="s">
        <v>1290</v>
      </c>
      <c r="W726" s="15"/>
      <c r="X726" s="27">
        <v>882.69</v>
      </c>
      <c r="Y726" s="27">
        <f>Table2[[#This Row],[PREÇO UNITARIO]]*Table2[[#This Row],[QUANTIDADE]]</f>
        <v>882.69</v>
      </c>
      <c r="Z726" s="15"/>
      <c r="AA726" s="28">
        <f>MONTH(Table2[[#This Row],[DATA PEDIDO HP]])</f>
        <v>10</v>
      </c>
      <c r="AB726" s="32" t="s">
        <v>60</v>
      </c>
      <c r="AC726" s="5">
        <f t="shared" ca="1" si="11"/>
        <v>46232</v>
      </c>
      <c r="AD726" s="331">
        <f ca="1">_xlfn.DAYS(Table2[[#This Row],[HOJE]],Table2[[#This Row],[DATA PEDIDO HP]])</f>
        <v>300</v>
      </c>
      <c r="AE726" s="336" t="s">
        <v>43</v>
      </c>
    </row>
    <row r="727" spans="1:31" ht="14.45" hidden="1">
      <c r="A727" s="297" t="s">
        <v>2363</v>
      </c>
      <c r="B727" s="26">
        <v>45932</v>
      </c>
      <c r="C727" s="26">
        <v>45930</v>
      </c>
      <c r="D727" s="14" t="s">
        <v>2364</v>
      </c>
      <c r="E727" s="14" t="s">
        <v>225</v>
      </c>
      <c r="F727" s="14" t="s">
        <v>34</v>
      </c>
      <c r="G727" s="14">
        <v>50110261</v>
      </c>
      <c r="H727" s="229" t="s">
        <v>813</v>
      </c>
      <c r="I727" s="14" t="s">
        <v>814</v>
      </c>
      <c r="J727" s="14">
        <v>1</v>
      </c>
      <c r="K727" s="14" t="s">
        <v>37</v>
      </c>
      <c r="L727" s="14" t="s">
        <v>48</v>
      </c>
      <c r="M727" s="14" t="s">
        <v>88</v>
      </c>
      <c r="N727" s="15" t="s">
        <v>89</v>
      </c>
      <c r="O727" s="15">
        <v>0</v>
      </c>
      <c r="P727" s="15"/>
      <c r="Q727" s="15"/>
      <c r="R727" s="15"/>
      <c r="S727" s="25">
        <v>45996</v>
      </c>
      <c r="T727" s="25">
        <v>45979</v>
      </c>
      <c r="U727" s="25">
        <v>45993</v>
      </c>
      <c r="V727" s="15" t="s">
        <v>1290</v>
      </c>
      <c r="W727" s="15"/>
      <c r="X727" s="27">
        <v>179.64</v>
      </c>
      <c r="Y727" s="27">
        <f>Table2[[#This Row],[PREÇO UNITARIO]]*Table2[[#This Row],[QUANTIDADE]]</f>
        <v>179.64</v>
      </c>
      <c r="Z727" s="15"/>
      <c r="AA727" s="28">
        <f>MONTH(Table2[[#This Row],[DATA PEDIDO HP]])</f>
        <v>10</v>
      </c>
      <c r="AB727" s="32" t="s">
        <v>60</v>
      </c>
      <c r="AC727" s="5">
        <f t="shared" ca="1" si="11"/>
        <v>46232</v>
      </c>
      <c r="AD727" s="331">
        <f ca="1">_xlfn.DAYS(Table2[[#This Row],[HOJE]],Table2[[#This Row],[DATA PEDIDO HP]])</f>
        <v>300</v>
      </c>
      <c r="AE727" s="336" t="s">
        <v>43</v>
      </c>
    </row>
    <row r="728" spans="1:31" ht="14.45" hidden="1">
      <c r="A728" s="297" t="s">
        <v>2363</v>
      </c>
      <c r="B728" s="26">
        <v>45932</v>
      </c>
      <c r="C728" s="26">
        <v>45930</v>
      </c>
      <c r="D728" s="14" t="s">
        <v>2364</v>
      </c>
      <c r="E728" s="14" t="s">
        <v>225</v>
      </c>
      <c r="F728" s="14" t="s">
        <v>34</v>
      </c>
      <c r="G728" s="14">
        <v>50110261</v>
      </c>
      <c r="H728" s="229" t="s">
        <v>2365</v>
      </c>
      <c r="I728" s="14" t="s">
        <v>2366</v>
      </c>
      <c r="J728" s="14">
        <v>1</v>
      </c>
      <c r="K728" s="14" t="s">
        <v>37</v>
      </c>
      <c r="L728" s="14" t="s">
        <v>48</v>
      </c>
      <c r="M728" s="14" t="s">
        <v>88</v>
      </c>
      <c r="N728" s="15" t="s">
        <v>89</v>
      </c>
      <c r="O728" s="15">
        <v>0</v>
      </c>
      <c r="P728" s="15"/>
      <c r="Q728" s="15"/>
      <c r="R728" s="15"/>
      <c r="S728" s="25">
        <v>45996</v>
      </c>
      <c r="T728" s="25">
        <v>45979</v>
      </c>
      <c r="U728" s="25">
        <v>45993</v>
      </c>
      <c r="V728" s="15" t="s">
        <v>1290</v>
      </c>
      <c r="W728" s="15"/>
      <c r="X728" s="27">
        <v>456.12</v>
      </c>
      <c r="Y728" s="27">
        <f>Table2[[#This Row],[PREÇO UNITARIO]]*Table2[[#This Row],[QUANTIDADE]]</f>
        <v>456.12</v>
      </c>
      <c r="Z728" s="15" t="s">
        <v>2367</v>
      </c>
      <c r="AA728" s="28">
        <f>MONTH(Table2[[#This Row],[DATA PEDIDO HP]])</f>
        <v>10</v>
      </c>
      <c r="AB728" s="32" t="s">
        <v>60</v>
      </c>
      <c r="AC728" s="5">
        <f t="shared" ca="1" si="11"/>
        <v>46232</v>
      </c>
      <c r="AD728" s="331">
        <f ca="1">_xlfn.DAYS(Table2[[#This Row],[HOJE]],Table2[[#This Row],[DATA PEDIDO HP]])</f>
        <v>300</v>
      </c>
      <c r="AE728" s="336" t="s">
        <v>43</v>
      </c>
    </row>
    <row r="729" spans="1:31" ht="14.45" hidden="1">
      <c r="A729" s="297" t="s">
        <v>2368</v>
      </c>
      <c r="B729" s="26">
        <v>45933</v>
      </c>
      <c r="C729" s="26">
        <v>45930</v>
      </c>
      <c r="D729" s="14" t="s">
        <v>2369</v>
      </c>
      <c r="E729" s="14" t="s">
        <v>192</v>
      </c>
      <c r="F729" s="14" t="s">
        <v>193</v>
      </c>
      <c r="G729" s="14">
        <v>41000142</v>
      </c>
      <c r="H729" s="14" t="s">
        <v>2370</v>
      </c>
      <c r="I729" s="14" t="s">
        <v>2371</v>
      </c>
      <c r="J729" s="14">
        <v>1</v>
      </c>
      <c r="K729" s="14" t="s">
        <v>37</v>
      </c>
      <c r="L729" s="14" t="s">
        <v>48</v>
      </c>
      <c r="M729" s="14" t="s">
        <v>88</v>
      </c>
      <c r="N729" s="15" t="s">
        <v>89</v>
      </c>
      <c r="O729" s="15">
        <v>0</v>
      </c>
      <c r="P729" s="15"/>
      <c r="Q729" s="15">
        <v>140595</v>
      </c>
      <c r="R729" s="15"/>
      <c r="S729" s="25">
        <v>45996</v>
      </c>
      <c r="T729" s="25">
        <v>45979</v>
      </c>
      <c r="U729" s="25">
        <v>45993</v>
      </c>
      <c r="V729" s="15" t="s">
        <v>1290</v>
      </c>
      <c r="W729" s="15"/>
      <c r="X729" s="27">
        <v>192.7</v>
      </c>
      <c r="Y729" s="27">
        <f>Table2[[#This Row],[PREÇO UNITARIO]]*Table2[[#This Row],[QUANTIDADE]]</f>
        <v>192.7</v>
      </c>
      <c r="Z729" s="15"/>
      <c r="AA729" s="28">
        <f>MONTH(Table2[[#This Row],[DATA PEDIDO HP]])</f>
        <v>10</v>
      </c>
      <c r="AB729" s="32" t="s">
        <v>60</v>
      </c>
      <c r="AC729" s="5">
        <f t="shared" ca="1" si="11"/>
        <v>46232</v>
      </c>
      <c r="AD729" s="331">
        <f ca="1">_xlfn.DAYS(Table2[[#This Row],[HOJE]],Table2[[#This Row],[DATA PEDIDO HP]])</f>
        <v>299</v>
      </c>
      <c r="AE729" s="336" t="s">
        <v>43</v>
      </c>
    </row>
    <row r="730" spans="1:31" ht="14.45" hidden="1">
      <c r="A730" s="269" t="s">
        <v>2372</v>
      </c>
      <c r="B730" s="26">
        <v>45933</v>
      </c>
      <c r="C730" s="26">
        <v>45933</v>
      </c>
      <c r="D730" s="14" t="s">
        <v>2373</v>
      </c>
      <c r="E730" s="14" t="s">
        <v>2132</v>
      </c>
      <c r="F730" s="14" t="s">
        <v>203</v>
      </c>
      <c r="G730" s="14">
        <v>60001111</v>
      </c>
      <c r="H730" s="14" t="s">
        <v>2374</v>
      </c>
      <c r="I730" s="14" t="s">
        <v>2375</v>
      </c>
      <c r="J730" s="14">
        <v>1</v>
      </c>
      <c r="K730" s="14" t="s">
        <v>37</v>
      </c>
      <c r="L730" s="14" t="s">
        <v>217</v>
      </c>
      <c r="M730" s="14" t="s">
        <v>39</v>
      </c>
      <c r="N730" s="14" t="s">
        <v>39</v>
      </c>
      <c r="O730" s="15">
        <v>0</v>
      </c>
      <c r="P730" s="15">
        <v>1</v>
      </c>
      <c r="Q730" s="15"/>
      <c r="R730" s="15"/>
      <c r="S730" s="25">
        <v>46000</v>
      </c>
      <c r="T730" s="25">
        <v>45979</v>
      </c>
      <c r="U730" s="25">
        <v>45993</v>
      </c>
      <c r="V730" s="15" t="s">
        <v>1290</v>
      </c>
      <c r="W730" s="15"/>
      <c r="X730" s="159">
        <v>450.88</v>
      </c>
      <c r="Y730" s="159">
        <f>Table2[[#This Row],[PREÇO UNITARIO]]*Table2[[#This Row],[QUANTIDADE]]</f>
        <v>450.88</v>
      </c>
      <c r="Z730" s="15"/>
      <c r="AA730" s="28">
        <f>MONTH(Table2[[#This Row],[DATA PEDIDO HP]])</f>
        <v>10</v>
      </c>
      <c r="AB730" s="32" t="s">
        <v>42</v>
      </c>
      <c r="AC730" s="5">
        <f t="shared" ca="1" si="11"/>
        <v>46232</v>
      </c>
      <c r="AD730" s="331">
        <f ca="1">_xlfn.DAYS(Table2[[#This Row],[HOJE]],Table2[[#This Row],[DATA PEDIDO HP]])</f>
        <v>299</v>
      </c>
      <c r="AE730" s="5" t="s">
        <v>43</v>
      </c>
    </row>
    <row r="731" spans="1:31" ht="14.45" hidden="1">
      <c r="A731" s="269" t="s">
        <v>2376</v>
      </c>
      <c r="B731" s="26">
        <v>45933</v>
      </c>
      <c r="C731" s="26">
        <v>45933</v>
      </c>
      <c r="D731" s="14" t="s">
        <v>2377</v>
      </c>
      <c r="E731" s="14" t="s">
        <v>2132</v>
      </c>
      <c r="F731" s="14" t="s">
        <v>203</v>
      </c>
      <c r="G731" s="14">
        <v>60001111</v>
      </c>
      <c r="H731" s="14" t="s">
        <v>2378</v>
      </c>
      <c r="I731" s="14" t="s">
        <v>2379</v>
      </c>
      <c r="J731" s="14">
        <v>2</v>
      </c>
      <c r="K731" s="14" t="s">
        <v>37</v>
      </c>
      <c r="L731" s="14" t="s">
        <v>217</v>
      </c>
      <c r="M731" s="14" t="s">
        <v>39</v>
      </c>
      <c r="N731" s="14" t="s">
        <v>39</v>
      </c>
      <c r="O731" s="15">
        <v>0</v>
      </c>
      <c r="P731" s="15">
        <v>1</v>
      </c>
      <c r="Q731" s="15"/>
      <c r="R731" s="15"/>
      <c r="S731" s="25">
        <v>46000</v>
      </c>
      <c r="T731" s="25">
        <v>45979</v>
      </c>
      <c r="U731" s="25">
        <v>45993</v>
      </c>
      <c r="V731" s="15" t="s">
        <v>1290</v>
      </c>
      <c r="W731" s="15"/>
      <c r="X731" s="159">
        <v>649.97</v>
      </c>
      <c r="Y731" s="159">
        <f>Table2[[#This Row],[PREÇO UNITARIO]]*Table2[[#This Row],[QUANTIDADE]]</f>
        <v>1299.94</v>
      </c>
      <c r="Z731" s="15"/>
      <c r="AA731" s="28">
        <f>MONTH(Table2[[#This Row],[DATA PEDIDO HP]])</f>
        <v>10</v>
      </c>
      <c r="AB731" s="32" t="s">
        <v>42</v>
      </c>
      <c r="AC731" s="5">
        <f t="shared" ca="1" si="11"/>
        <v>46232</v>
      </c>
      <c r="AD731" s="331">
        <f ca="1">_xlfn.DAYS(Table2[[#This Row],[HOJE]],Table2[[#This Row],[DATA PEDIDO HP]])</f>
        <v>299</v>
      </c>
      <c r="AE731" s="5" t="s">
        <v>43</v>
      </c>
    </row>
    <row r="732" spans="1:31" ht="14.45" hidden="1">
      <c r="A732" s="269" t="s">
        <v>2380</v>
      </c>
      <c r="B732" s="26">
        <v>45936</v>
      </c>
      <c r="C732" s="26">
        <v>45933</v>
      </c>
      <c r="D732" s="14" t="s">
        <v>2381</v>
      </c>
      <c r="E732" s="14" t="s">
        <v>2132</v>
      </c>
      <c r="F732" s="14" t="s">
        <v>203</v>
      </c>
      <c r="G732" s="14">
        <v>60001111</v>
      </c>
      <c r="H732" s="14" t="s">
        <v>672</v>
      </c>
      <c r="I732" s="14" t="s">
        <v>2382</v>
      </c>
      <c r="J732" s="14">
        <v>1</v>
      </c>
      <c r="K732" s="14" t="s">
        <v>37</v>
      </c>
      <c r="L732" s="14" t="s">
        <v>48</v>
      </c>
      <c r="M732" s="14" t="s">
        <v>58</v>
      </c>
      <c r="N732" s="15" t="s">
        <v>58</v>
      </c>
      <c r="O732" s="15">
        <v>1</v>
      </c>
      <c r="P732" s="15">
        <v>1</v>
      </c>
      <c r="Q732" s="15">
        <v>143463</v>
      </c>
      <c r="R732" s="15"/>
      <c r="S732" s="25">
        <v>46041</v>
      </c>
      <c r="T732" s="25">
        <v>45979</v>
      </c>
      <c r="U732" s="25">
        <v>45993</v>
      </c>
      <c r="V732" s="15" t="s">
        <v>1290</v>
      </c>
      <c r="W732" s="15"/>
      <c r="X732" s="159">
        <v>11.43</v>
      </c>
      <c r="Y732" s="159">
        <f>Table2[[#This Row],[PREÇO UNITARIO]]*Table2[[#This Row],[QUANTIDADE]]</f>
        <v>11.43</v>
      </c>
      <c r="Z732" s="15"/>
      <c r="AA732" s="28">
        <f>MONTH(Table2[[#This Row],[DATA PEDIDO HP]])</f>
        <v>10</v>
      </c>
      <c r="AB732" s="32" t="s">
        <v>42</v>
      </c>
      <c r="AC732" s="5">
        <f t="shared" ca="1" si="11"/>
        <v>46232</v>
      </c>
      <c r="AD732" s="331">
        <f ca="1">_xlfn.DAYS(Table2[[#This Row],[HOJE]],Table2[[#This Row],[DATA PEDIDO HP]])</f>
        <v>296</v>
      </c>
      <c r="AE732" s="5" t="s">
        <v>43</v>
      </c>
    </row>
    <row r="733" spans="1:31" ht="14.45" hidden="1">
      <c r="A733" s="299" t="s">
        <v>2383</v>
      </c>
      <c r="B733" s="337">
        <v>45936</v>
      </c>
      <c r="C733" s="338">
        <v>45933</v>
      </c>
      <c r="D733" s="339" t="s">
        <v>2384</v>
      </c>
      <c r="E733" s="339" t="s">
        <v>515</v>
      </c>
      <c r="F733" s="339" t="s">
        <v>516</v>
      </c>
      <c r="G733" s="339">
        <v>61000037</v>
      </c>
      <c r="H733" s="339" t="s">
        <v>2385</v>
      </c>
      <c r="I733" s="339" t="s">
        <v>755</v>
      </c>
      <c r="J733" s="339">
        <v>2</v>
      </c>
      <c r="K733" s="339" t="s">
        <v>2386</v>
      </c>
      <c r="L733" s="339" t="s">
        <v>363</v>
      </c>
      <c r="M733" s="339" t="s">
        <v>88</v>
      </c>
      <c r="N733" s="340" t="s">
        <v>89</v>
      </c>
      <c r="O733" s="340">
        <v>0</v>
      </c>
      <c r="P733" s="340">
        <v>2</v>
      </c>
      <c r="Q733" s="340"/>
      <c r="R733" s="340"/>
      <c r="S733" s="337">
        <v>46000</v>
      </c>
      <c r="T733" s="337">
        <v>46042</v>
      </c>
      <c r="U733" s="337">
        <v>46055</v>
      </c>
      <c r="V733" s="340" t="s">
        <v>2387</v>
      </c>
      <c r="W733" s="340"/>
      <c r="X733" s="341">
        <v>60.43</v>
      </c>
      <c r="Y733" s="341">
        <f>Table2[[#This Row],[PREÇO UNITARIO]]*Table2[[#This Row],[QUANTIDADE]]</f>
        <v>120.86</v>
      </c>
      <c r="Z733" s="342"/>
      <c r="AA733" s="343">
        <f>MONTH(Table2[[#This Row],[DATA PEDIDO HP]])</f>
        <v>10</v>
      </c>
      <c r="AB733" s="343" t="s">
        <v>60</v>
      </c>
      <c r="AC733" s="344">
        <f t="shared" ca="1" si="11"/>
        <v>46232</v>
      </c>
      <c r="AD733" s="345">
        <f ca="1">_xlfn.DAYS(Table2[[#This Row],[HOJE]],Table2[[#This Row],[DATA PEDIDO HP]])</f>
        <v>296</v>
      </c>
      <c r="AE733" s="345" t="s">
        <v>43</v>
      </c>
    </row>
    <row r="734" spans="1:31" ht="14.45" hidden="1">
      <c r="A734" s="269" t="s">
        <v>2388</v>
      </c>
      <c r="B734" s="26">
        <v>45936</v>
      </c>
      <c r="C734" s="26">
        <v>45932</v>
      </c>
      <c r="D734" s="14" t="s">
        <v>2389</v>
      </c>
      <c r="E734" s="14" t="s">
        <v>381</v>
      </c>
      <c r="F734" s="14" t="s">
        <v>74</v>
      </c>
      <c r="G734" s="14">
        <v>50000351</v>
      </c>
      <c r="H734" s="14" t="s">
        <v>2390</v>
      </c>
      <c r="I734" s="14" t="s">
        <v>2391</v>
      </c>
      <c r="J734" s="14">
        <v>2</v>
      </c>
      <c r="K734" s="14" t="s">
        <v>67</v>
      </c>
      <c r="L734" s="14" t="s">
        <v>217</v>
      </c>
      <c r="M734" s="14" t="s">
        <v>384</v>
      </c>
      <c r="N734" s="15" t="s">
        <v>384</v>
      </c>
      <c r="O734" s="15">
        <v>0</v>
      </c>
      <c r="P734" s="15">
        <v>0</v>
      </c>
      <c r="Q734" s="15"/>
      <c r="R734" s="15"/>
      <c r="S734" s="25"/>
      <c r="T734" s="25">
        <v>46042</v>
      </c>
      <c r="U734" s="25">
        <v>46055</v>
      </c>
      <c r="V734" s="15" t="s">
        <v>347</v>
      </c>
      <c r="W734" s="15"/>
      <c r="X734" s="159">
        <v>81.650000000000006</v>
      </c>
      <c r="Y734" s="159">
        <f>Table2[[#This Row],[PREÇO UNITARIO]]*Table2[[#This Row],[QUANTIDADE]]</f>
        <v>163.30000000000001</v>
      </c>
      <c r="Z734" s="15"/>
      <c r="AA734" s="28">
        <f>MONTH(Table2[[#This Row],[DATA PEDIDO HP]])</f>
        <v>10</v>
      </c>
      <c r="AB734" s="32"/>
      <c r="AC734" s="5">
        <f t="shared" ca="1" si="11"/>
        <v>46232</v>
      </c>
      <c r="AD734" s="331">
        <f ca="1">_xlfn.DAYS(Table2[[#This Row],[HOJE]],Table2[[#This Row],[DATA PEDIDO HP]])</f>
        <v>296</v>
      </c>
      <c r="AE734" s="331" t="str">
        <f ca="1">IF(Table2[[#This Row],[HOLD]]&gt;30,"ATRASADO","NO PRAZO")</f>
        <v>ATRASADO</v>
      </c>
    </row>
    <row r="735" spans="1:31" ht="14.45" hidden="1">
      <c r="A735" s="269" t="s">
        <v>2392</v>
      </c>
      <c r="B735" s="26">
        <v>45936</v>
      </c>
      <c r="C735" s="26">
        <v>45932</v>
      </c>
      <c r="D735" s="14" t="s">
        <v>2393</v>
      </c>
      <c r="E735" s="14" t="s">
        <v>79</v>
      </c>
      <c r="F735" s="14" t="s">
        <v>74</v>
      </c>
      <c r="G735" s="14">
        <v>50000530</v>
      </c>
      <c r="H735" s="14" t="s">
        <v>2390</v>
      </c>
      <c r="I735" s="14" t="s">
        <v>2391</v>
      </c>
      <c r="J735" s="14">
        <v>2</v>
      </c>
      <c r="K735" s="14" t="s">
        <v>67</v>
      </c>
      <c r="L735" s="14" t="s">
        <v>217</v>
      </c>
      <c r="M735" s="14" t="s">
        <v>384</v>
      </c>
      <c r="N735" s="15" t="s">
        <v>384</v>
      </c>
      <c r="O735" s="15">
        <v>0</v>
      </c>
      <c r="P735" s="15">
        <v>0</v>
      </c>
      <c r="Q735" s="15"/>
      <c r="R735" s="15"/>
      <c r="S735" s="25">
        <v>46062</v>
      </c>
      <c r="T735" s="25">
        <v>46042</v>
      </c>
      <c r="U735" s="25">
        <v>46055</v>
      </c>
      <c r="V735" s="15" t="s">
        <v>347</v>
      </c>
      <c r="W735" s="15"/>
      <c r="X735" s="159">
        <v>81.650000000000006</v>
      </c>
      <c r="Y735" s="159">
        <f>Table2[[#This Row],[PREÇO UNITARIO]]*Table2[[#This Row],[QUANTIDADE]]</f>
        <v>163.30000000000001</v>
      </c>
      <c r="Z735" s="15"/>
      <c r="AA735" s="28">
        <f>MONTH(Table2[[#This Row],[DATA PEDIDO HP]])</f>
        <v>10</v>
      </c>
      <c r="AB735" s="32" t="s">
        <v>2394</v>
      </c>
      <c r="AC735" s="5">
        <f t="shared" ca="1" si="11"/>
        <v>46232</v>
      </c>
      <c r="AD735" s="331">
        <f ca="1">_xlfn.DAYS(Table2[[#This Row],[HOJE]],Table2[[#This Row],[DATA PEDIDO HP]])</f>
        <v>296</v>
      </c>
      <c r="AE735" s="331" t="s">
        <v>43</v>
      </c>
    </row>
    <row r="736" spans="1:31" ht="14.45" hidden="1">
      <c r="A736" s="269" t="s">
        <v>2395</v>
      </c>
      <c r="B736" s="26">
        <v>45936</v>
      </c>
      <c r="C736" s="26">
        <v>45932</v>
      </c>
      <c r="D736" s="14" t="s">
        <v>2396</v>
      </c>
      <c r="E736" s="14" t="s">
        <v>93</v>
      </c>
      <c r="F736" s="14" t="s">
        <v>74</v>
      </c>
      <c r="G736" s="14">
        <v>50000202</v>
      </c>
      <c r="H736" s="14" t="s">
        <v>2390</v>
      </c>
      <c r="I736" s="14" t="s">
        <v>2391</v>
      </c>
      <c r="J736" s="14">
        <v>2</v>
      </c>
      <c r="K736" s="14" t="s">
        <v>67</v>
      </c>
      <c r="L736" s="14" t="s">
        <v>217</v>
      </c>
      <c r="M736" s="14" t="s">
        <v>384</v>
      </c>
      <c r="N736" s="15" t="s">
        <v>384</v>
      </c>
      <c r="O736" s="15">
        <v>0</v>
      </c>
      <c r="P736" s="15">
        <v>0</v>
      </c>
      <c r="Q736" s="15"/>
      <c r="R736" s="15"/>
      <c r="S736" s="25">
        <v>46062</v>
      </c>
      <c r="T736" s="25">
        <v>46042</v>
      </c>
      <c r="U736" s="25">
        <v>46055</v>
      </c>
      <c r="V736" s="15" t="s">
        <v>347</v>
      </c>
      <c r="W736" s="15"/>
      <c r="X736" s="159">
        <v>81.650000000000006</v>
      </c>
      <c r="Y736" s="159">
        <f>Table2[[#This Row],[PREÇO UNITARIO]]*Table2[[#This Row],[QUANTIDADE]]</f>
        <v>163.30000000000001</v>
      </c>
      <c r="Z736" s="15"/>
      <c r="AA736" s="28">
        <f>MONTH(Table2[[#This Row],[DATA PEDIDO HP]])</f>
        <v>10</v>
      </c>
      <c r="AB736" s="32"/>
      <c r="AC736" s="5">
        <f t="shared" ca="1" si="11"/>
        <v>46232</v>
      </c>
      <c r="AD736" s="331">
        <f ca="1">_xlfn.DAYS(Table2[[#This Row],[HOJE]],Table2[[#This Row],[DATA PEDIDO HP]])</f>
        <v>296</v>
      </c>
      <c r="AE736" s="331" t="s">
        <v>43</v>
      </c>
    </row>
    <row r="737" spans="1:34" ht="14.45" hidden="1">
      <c r="A737" s="269" t="s">
        <v>2397</v>
      </c>
      <c r="B737" s="26">
        <v>45936</v>
      </c>
      <c r="C737" s="26">
        <v>45932</v>
      </c>
      <c r="D737" s="14" t="s">
        <v>2398</v>
      </c>
      <c r="E737" s="14" t="s">
        <v>85</v>
      </c>
      <c r="F737" s="14" t="s">
        <v>74</v>
      </c>
      <c r="G737" s="14">
        <v>50000260</v>
      </c>
      <c r="H737" s="14" t="s">
        <v>2390</v>
      </c>
      <c r="I737" s="14" t="s">
        <v>2391</v>
      </c>
      <c r="J737" s="14">
        <v>2</v>
      </c>
      <c r="K737" s="14" t="s">
        <v>67</v>
      </c>
      <c r="L737" s="14" t="s">
        <v>217</v>
      </c>
      <c r="M737" s="14" t="s">
        <v>384</v>
      </c>
      <c r="N737" s="15" t="s">
        <v>384</v>
      </c>
      <c r="O737" s="15">
        <v>0</v>
      </c>
      <c r="P737" s="15">
        <v>0</v>
      </c>
      <c r="Q737" s="15"/>
      <c r="R737" s="15"/>
      <c r="S737" s="25">
        <v>46062</v>
      </c>
      <c r="T737" s="25">
        <v>46042</v>
      </c>
      <c r="U737" s="25">
        <v>46055</v>
      </c>
      <c r="V737" s="15" t="s">
        <v>347</v>
      </c>
      <c r="W737" s="15"/>
      <c r="X737" s="159">
        <v>81.650000000000006</v>
      </c>
      <c r="Y737" s="159">
        <f>Table2[[#This Row],[PREÇO UNITARIO]]*Table2[[#This Row],[QUANTIDADE]]</f>
        <v>163.30000000000001</v>
      </c>
      <c r="Z737" s="15"/>
      <c r="AA737" s="28">
        <f>MONTH(Table2[[#This Row],[DATA PEDIDO HP]])</f>
        <v>10</v>
      </c>
      <c r="AB737" s="32"/>
      <c r="AC737" s="5">
        <f t="shared" ca="1" si="11"/>
        <v>46232</v>
      </c>
      <c r="AD737" s="331">
        <f ca="1">_xlfn.DAYS(Table2[[#This Row],[HOJE]],Table2[[#This Row],[DATA PEDIDO HP]])</f>
        <v>296</v>
      </c>
      <c r="AE737" s="331" t="s">
        <v>43</v>
      </c>
      <c r="AH737" s="329"/>
    </row>
    <row r="738" spans="1:34" ht="14.45" hidden="1">
      <c r="A738" s="269" t="s">
        <v>2399</v>
      </c>
      <c r="B738" s="26">
        <v>45936</v>
      </c>
      <c r="C738" s="26">
        <v>45932</v>
      </c>
      <c r="D738" s="14" t="s">
        <v>2400</v>
      </c>
      <c r="E738" s="14" t="s">
        <v>202</v>
      </c>
      <c r="F738" s="14" t="s">
        <v>203</v>
      </c>
      <c r="G738" s="14">
        <v>60002072</v>
      </c>
      <c r="H738" s="14" t="s">
        <v>2390</v>
      </c>
      <c r="I738" s="14" t="s">
        <v>2391</v>
      </c>
      <c r="J738" s="14">
        <v>2</v>
      </c>
      <c r="K738" s="14" t="s">
        <v>67</v>
      </c>
      <c r="L738" s="14" t="s">
        <v>217</v>
      </c>
      <c r="M738" s="14" t="s">
        <v>384</v>
      </c>
      <c r="N738" s="15" t="s">
        <v>384</v>
      </c>
      <c r="O738" s="15">
        <v>0</v>
      </c>
      <c r="P738" s="15">
        <v>0</v>
      </c>
      <c r="Q738" s="15"/>
      <c r="R738" s="15"/>
      <c r="S738" s="25">
        <v>46062</v>
      </c>
      <c r="T738" s="25">
        <v>46042</v>
      </c>
      <c r="U738" s="25">
        <v>46055</v>
      </c>
      <c r="V738" s="15" t="s">
        <v>347</v>
      </c>
      <c r="W738" s="15"/>
      <c r="X738" s="159">
        <v>81.650000000000006</v>
      </c>
      <c r="Y738" s="159">
        <f>Table2[[#This Row],[PREÇO UNITARIO]]*Table2[[#This Row],[QUANTIDADE]]</f>
        <v>163.30000000000001</v>
      </c>
      <c r="Z738" s="15"/>
      <c r="AA738" s="28">
        <f>MONTH(Table2[[#This Row],[DATA PEDIDO HP]])</f>
        <v>10</v>
      </c>
      <c r="AB738" s="32"/>
      <c r="AC738" s="5">
        <f t="shared" ca="1" si="11"/>
        <v>46232</v>
      </c>
      <c r="AD738" s="331">
        <f ca="1">_xlfn.DAYS(Table2[[#This Row],[HOJE]],Table2[[#This Row],[DATA PEDIDO HP]])</f>
        <v>296</v>
      </c>
      <c r="AE738" s="331" t="s">
        <v>43</v>
      </c>
    </row>
    <row r="739" spans="1:34" ht="14.45" hidden="1">
      <c r="A739" s="269" t="s">
        <v>2401</v>
      </c>
      <c r="B739" s="26">
        <v>45936</v>
      </c>
      <c r="C739" s="26">
        <v>45932</v>
      </c>
      <c r="D739" s="14" t="s">
        <v>2402</v>
      </c>
      <c r="E739" s="14" t="s">
        <v>73</v>
      </c>
      <c r="F739" s="14" t="s">
        <v>203</v>
      </c>
      <c r="G739" s="14">
        <v>60002095</v>
      </c>
      <c r="H739" s="14" t="s">
        <v>2390</v>
      </c>
      <c r="I739" s="14" t="s">
        <v>2391</v>
      </c>
      <c r="J739" s="14">
        <v>2</v>
      </c>
      <c r="K739" s="14" t="s">
        <v>67</v>
      </c>
      <c r="L739" s="14" t="s">
        <v>217</v>
      </c>
      <c r="M739" s="14" t="s">
        <v>384</v>
      </c>
      <c r="N739" s="15" t="s">
        <v>384</v>
      </c>
      <c r="O739" s="15">
        <v>0</v>
      </c>
      <c r="P739" s="15">
        <v>0</v>
      </c>
      <c r="Q739" s="15"/>
      <c r="R739" s="15"/>
      <c r="S739" s="25">
        <v>45693</v>
      </c>
      <c r="T739" s="25">
        <v>46042</v>
      </c>
      <c r="U739" s="25">
        <v>46055</v>
      </c>
      <c r="V739" s="15" t="s">
        <v>347</v>
      </c>
      <c r="W739" s="15" t="s">
        <v>41</v>
      </c>
      <c r="X739" s="159">
        <v>81.650000000000006</v>
      </c>
      <c r="Y739" s="159">
        <f>Table2[[#This Row],[PREÇO UNITARIO]]*Table2[[#This Row],[QUANTIDADE]]</f>
        <v>163.30000000000001</v>
      </c>
      <c r="Z739" s="15"/>
      <c r="AA739" s="28">
        <f>MONTH(Table2[[#This Row],[DATA PEDIDO HP]])</f>
        <v>10</v>
      </c>
      <c r="AB739" s="32" t="s">
        <v>42</v>
      </c>
      <c r="AC739" s="5">
        <f t="shared" ca="1" si="11"/>
        <v>46232</v>
      </c>
      <c r="AD739" s="331">
        <f ca="1">_xlfn.DAYS(Table2[[#This Row],[HOJE]],Table2[[#This Row],[DATA PEDIDO HP]])</f>
        <v>296</v>
      </c>
      <c r="AE739" s="331" t="s">
        <v>43</v>
      </c>
    </row>
    <row r="740" spans="1:34" ht="14.45" hidden="1">
      <c r="A740" s="269" t="s">
        <v>2403</v>
      </c>
      <c r="B740" s="26">
        <v>45936</v>
      </c>
      <c r="C740" s="26">
        <v>45932</v>
      </c>
      <c r="D740" s="14" t="s">
        <v>2404</v>
      </c>
      <c r="E740" s="14" t="s">
        <v>33</v>
      </c>
      <c r="F740" s="14" t="s">
        <v>34</v>
      </c>
      <c r="G740" s="14">
        <v>50110193</v>
      </c>
      <c r="H740" s="14" t="s">
        <v>2390</v>
      </c>
      <c r="I740" s="14" t="s">
        <v>2391</v>
      </c>
      <c r="J740" s="14">
        <v>2</v>
      </c>
      <c r="K740" s="14" t="s">
        <v>67</v>
      </c>
      <c r="L740" s="14" t="s">
        <v>217</v>
      </c>
      <c r="M740" s="14" t="s">
        <v>384</v>
      </c>
      <c r="N740" s="15" t="s">
        <v>384</v>
      </c>
      <c r="O740" s="15">
        <v>0</v>
      </c>
      <c r="P740" s="15">
        <v>0</v>
      </c>
      <c r="Q740" s="15"/>
      <c r="R740" s="15"/>
      <c r="S740" s="25">
        <v>46060</v>
      </c>
      <c r="T740" s="25">
        <v>46042</v>
      </c>
      <c r="U740" s="25">
        <v>46055</v>
      </c>
      <c r="V740" s="15" t="s">
        <v>347</v>
      </c>
      <c r="W740" s="15"/>
      <c r="X740" s="159">
        <v>81.650000000000006</v>
      </c>
      <c r="Y740" s="159">
        <f>Table2[[#This Row],[PREÇO UNITARIO]]*Table2[[#This Row],[QUANTIDADE]]</f>
        <v>163.30000000000001</v>
      </c>
      <c r="Z740" s="15"/>
      <c r="AA740" s="28">
        <f>MONTH(Table2[[#This Row],[DATA PEDIDO HP]])</f>
        <v>10</v>
      </c>
      <c r="AB740" s="32" t="s">
        <v>2394</v>
      </c>
      <c r="AC740" s="5">
        <f t="shared" ca="1" si="11"/>
        <v>46232</v>
      </c>
      <c r="AD740" s="331">
        <v>124</v>
      </c>
      <c r="AE740" s="331" t="s">
        <v>43</v>
      </c>
    </row>
    <row r="741" spans="1:34" ht="14.45" hidden="1">
      <c r="A741" s="269" t="s">
        <v>2405</v>
      </c>
      <c r="B741" s="26">
        <v>45936</v>
      </c>
      <c r="C741" s="26">
        <v>45932</v>
      </c>
      <c r="D741" s="14" t="s">
        <v>2406</v>
      </c>
      <c r="E741" s="14" t="s">
        <v>1837</v>
      </c>
      <c r="F741" s="14" t="s">
        <v>34</v>
      </c>
      <c r="G741" s="14">
        <v>50200095</v>
      </c>
      <c r="H741" s="14" t="s">
        <v>2390</v>
      </c>
      <c r="I741" s="14" t="s">
        <v>2391</v>
      </c>
      <c r="J741" s="14">
        <v>2</v>
      </c>
      <c r="K741" s="14" t="s">
        <v>67</v>
      </c>
      <c r="L741" s="14" t="s">
        <v>217</v>
      </c>
      <c r="M741" s="14" t="s">
        <v>384</v>
      </c>
      <c r="N741" s="15" t="s">
        <v>384</v>
      </c>
      <c r="O741" s="15">
        <v>0</v>
      </c>
      <c r="P741" s="15">
        <v>0</v>
      </c>
      <c r="Q741" s="15"/>
      <c r="R741" s="15"/>
      <c r="S741" s="25"/>
      <c r="T741" s="25">
        <v>46042</v>
      </c>
      <c r="U741" s="25">
        <v>46055</v>
      </c>
      <c r="V741" s="15" t="s">
        <v>347</v>
      </c>
      <c r="W741" s="15"/>
      <c r="X741" s="159">
        <v>81.650000000000006</v>
      </c>
      <c r="Y741" s="159">
        <f>Table2[[#This Row],[PREÇO UNITARIO]]*Table2[[#This Row],[QUANTIDADE]]</f>
        <v>163.30000000000001</v>
      </c>
      <c r="Z741" s="15"/>
      <c r="AA741" s="28">
        <f>MONTH(Table2[[#This Row],[DATA PEDIDO HP]])</f>
        <v>10</v>
      </c>
      <c r="AB741" s="32"/>
      <c r="AC741" s="5">
        <f t="shared" ca="1" si="11"/>
        <v>46232</v>
      </c>
      <c r="AD741" s="331">
        <f ca="1">_xlfn.DAYS(Table2[[#This Row],[HOJE]],Table2[[#This Row],[DATA PEDIDO HP]])</f>
        <v>296</v>
      </c>
      <c r="AE741" s="331" t="s">
        <v>43</v>
      </c>
    </row>
    <row r="742" spans="1:34" ht="14.45" hidden="1">
      <c r="A742" s="269" t="s">
        <v>2407</v>
      </c>
      <c r="B742" s="26">
        <v>45936</v>
      </c>
      <c r="C742" s="26">
        <v>45932</v>
      </c>
      <c r="D742" s="14" t="s">
        <v>2408</v>
      </c>
      <c r="E742" s="14" t="s">
        <v>109</v>
      </c>
      <c r="F742" s="14" t="s">
        <v>34</v>
      </c>
      <c r="G742" s="14">
        <v>50110229</v>
      </c>
      <c r="H742" s="14" t="s">
        <v>2390</v>
      </c>
      <c r="I742" s="14" t="s">
        <v>2391</v>
      </c>
      <c r="J742" s="14">
        <v>2</v>
      </c>
      <c r="K742" s="14" t="s">
        <v>67</v>
      </c>
      <c r="L742" s="14" t="s">
        <v>217</v>
      </c>
      <c r="M742" s="14" t="s">
        <v>384</v>
      </c>
      <c r="N742" s="15" t="s">
        <v>384</v>
      </c>
      <c r="O742" s="15">
        <v>0</v>
      </c>
      <c r="P742" s="15">
        <v>0</v>
      </c>
      <c r="Q742" s="15"/>
      <c r="R742" s="15"/>
      <c r="S742" s="25">
        <v>46062</v>
      </c>
      <c r="T742" s="25">
        <v>46042</v>
      </c>
      <c r="U742" s="25">
        <v>46055</v>
      </c>
      <c r="V742" s="15" t="s">
        <v>347</v>
      </c>
      <c r="W742" s="15"/>
      <c r="X742" s="159">
        <v>81.650000000000006</v>
      </c>
      <c r="Y742" s="159">
        <f>Table2[[#This Row],[PREÇO UNITARIO]]*Table2[[#This Row],[QUANTIDADE]]</f>
        <v>163.30000000000001</v>
      </c>
      <c r="Z742" s="15"/>
      <c r="AA742" s="28">
        <f>MONTH(Table2[[#This Row],[DATA PEDIDO HP]])</f>
        <v>10</v>
      </c>
      <c r="AB742" s="32"/>
      <c r="AC742" s="5">
        <f t="shared" ca="1" si="11"/>
        <v>46232</v>
      </c>
      <c r="AD742" s="331">
        <f ca="1">_xlfn.DAYS(Table2[[#This Row],[HOJE]],Table2[[#This Row],[DATA PEDIDO HP]])</f>
        <v>296</v>
      </c>
      <c r="AE742" s="331" t="s">
        <v>43</v>
      </c>
    </row>
    <row r="743" spans="1:34" ht="14.45" hidden="1">
      <c r="A743" s="269" t="s">
        <v>2409</v>
      </c>
      <c r="B743" s="26">
        <v>45936</v>
      </c>
      <c r="C743" s="26">
        <v>45932</v>
      </c>
      <c r="D743" s="14" t="s">
        <v>2410</v>
      </c>
      <c r="E743" s="14" t="s">
        <v>181</v>
      </c>
      <c r="F743" s="14" t="s">
        <v>34</v>
      </c>
      <c r="G743" s="14">
        <v>50110057</v>
      </c>
      <c r="H743" s="14" t="s">
        <v>2390</v>
      </c>
      <c r="I743" s="14" t="s">
        <v>2391</v>
      </c>
      <c r="J743" s="14">
        <v>2</v>
      </c>
      <c r="K743" s="14" t="s">
        <v>67</v>
      </c>
      <c r="L743" s="14" t="s">
        <v>217</v>
      </c>
      <c r="M743" s="14" t="s">
        <v>384</v>
      </c>
      <c r="N743" s="15" t="s">
        <v>384</v>
      </c>
      <c r="O743" s="15">
        <v>0</v>
      </c>
      <c r="P743" s="15">
        <v>0</v>
      </c>
      <c r="Q743" s="15"/>
      <c r="R743" s="15"/>
      <c r="S743" s="26">
        <v>46066</v>
      </c>
      <c r="T743" s="25">
        <v>46042</v>
      </c>
      <c r="U743" s="25">
        <v>46055</v>
      </c>
      <c r="V743" s="15" t="s">
        <v>347</v>
      </c>
      <c r="W743" s="15"/>
      <c r="X743" s="159">
        <v>81.650000000000006</v>
      </c>
      <c r="Y743" s="159">
        <f>Table2[[#This Row],[PREÇO UNITARIO]]*Table2[[#This Row],[QUANTIDADE]]</f>
        <v>163.30000000000001</v>
      </c>
      <c r="Z743" s="15"/>
      <c r="AA743" s="28">
        <f>MONTH(Table2[[#This Row],[DATA PEDIDO HP]])</f>
        <v>10</v>
      </c>
      <c r="AB743" s="32"/>
      <c r="AC743" s="5">
        <f t="shared" ca="1" si="11"/>
        <v>46232</v>
      </c>
      <c r="AD743" s="331">
        <f ca="1">_xlfn.DAYS(Table2[[#This Row],[HOJE]],Table2[[#This Row],[DATA PEDIDO HP]])</f>
        <v>296</v>
      </c>
      <c r="AE743" s="331" t="s">
        <v>43</v>
      </c>
    </row>
    <row r="744" spans="1:34" ht="14.45" hidden="1">
      <c r="A744" s="269" t="s">
        <v>2411</v>
      </c>
      <c r="B744" s="26">
        <v>45936</v>
      </c>
      <c r="C744" s="26">
        <v>45932</v>
      </c>
      <c r="D744" s="14" t="s">
        <v>2412</v>
      </c>
      <c r="E744" s="14" t="s">
        <v>73</v>
      </c>
      <c r="F744" s="14" t="s">
        <v>34</v>
      </c>
      <c r="G744" s="14">
        <v>50110372</v>
      </c>
      <c r="H744" s="14" t="s">
        <v>2390</v>
      </c>
      <c r="I744" s="14" t="s">
        <v>2391</v>
      </c>
      <c r="J744" s="14">
        <v>2</v>
      </c>
      <c r="K744" s="14" t="s">
        <v>67</v>
      </c>
      <c r="L744" s="14" t="s">
        <v>217</v>
      </c>
      <c r="M744" s="14" t="s">
        <v>384</v>
      </c>
      <c r="N744" s="15" t="s">
        <v>384</v>
      </c>
      <c r="O744" s="15">
        <v>0</v>
      </c>
      <c r="P744" s="15">
        <v>0</v>
      </c>
      <c r="Q744" s="15"/>
      <c r="R744" s="15"/>
      <c r="S744" s="25">
        <v>45693</v>
      </c>
      <c r="T744" s="25">
        <v>46042</v>
      </c>
      <c r="U744" s="25">
        <v>46055</v>
      </c>
      <c r="V744" s="15" t="s">
        <v>347</v>
      </c>
      <c r="W744" s="15" t="s">
        <v>41</v>
      </c>
      <c r="X744" s="159">
        <v>81.650000000000006</v>
      </c>
      <c r="Y744" s="159">
        <f>Table2[[#This Row],[PREÇO UNITARIO]]*Table2[[#This Row],[QUANTIDADE]]</f>
        <v>163.30000000000001</v>
      </c>
      <c r="Z744" s="15"/>
      <c r="AA744" s="28">
        <f>MONTH(Table2[[#This Row],[DATA PEDIDO HP]])</f>
        <v>10</v>
      </c>
      <c r="AB744" s="32" t="s">
        <v>42</v>
      </c>
      <c r="AC744" s="5">
        <f t="shared" ca="1" si="11"/>
        <v>46232</v>
      </c>
      <c r="AD744" s="331">
        <f ca="1">_xlfn.DAYS(Table2[[#This Row],[HOJE]],Table2[[#This Row],[DATA PEDIDO HP]])</f>
        <v>296</v>
      </c>
      <c r="AE744" s="331" t="s">
        <v>43</v>
      </c>
    </row>
    <row r="745" spans="1:34" ht="14.45" hidden="1">
      <c r="A745" s="269" t="s">
        <v>2413</v>
      </c>
      <c r="B745" s="26">
        <v>45936</v>
      </c>
      <c r="C745" s="26">
        <v>45932</v>
      </c>
      <c r="D745" s="14" t="s">
        <v>2414</v>
      </c>
      <c r="E745" s="14" t="s">
        <v>225</v>
      </c>
      <c r="F745" s="14" t="s">
        <v>34</v>
      </c>
      <c r="G745" s="14">
        <v>50110261</v>
      </c>
      <c r="H745" s="14" t="s">
        <v>2390</v>
      </c>
      <c r="I745" s="14" t="s">
        <v>2391</v>
      </c>
      <c r="J745" s="14">
        <v>2</v>
      </c>
      <c r="K745" s="14" t="s">
        <v>67</v>
      </c>
      <c r="L745" s="14" t="s">
        <v>217</v>
      </c>
      <c r="M745" s="14" t="s">
        <v>384</v>
      </c>
      <c r="N745" s="15" t="s">
        <v>384</v>
      </c>
      <c r="O745" s="15">
        <v>0</v>
      </c>
      <c r="P745" s="15">
        <v>0</v>
      </c>
      <c r="Q745" s="15"/>
      <c r="R745" s="15"/>
      <c r="S745" s="25">
        <v>46065</v>
      </c>
      <c r="T745" s="25">
        <v>46042</v>
      </c>
      <c r="U745" s="25">
        <v>46055</v>
      </c>
      <c r="V745" s="15" t="s">
        <v>347</v>
      </c>
      <c r="W745" s="15"/>
      <c r="X745" s="159">
        <v>81.650000000000006</v>
      </c>
      <c r="Y745" s="159">
        <f>Table2[[#This Row],[PREÇO UNITARIO]]*Table2[[#This Row],[QUANTIDADE]]</f>
        <v>163.30000000000001</v>
      </c>
      <c r="Z745" s="15"/>
      <c r="AA745" s="28">
        <f>MONTH(Table2[[#This Row],[DATA PEDIDO HP]])</f>
        <v>10</v>
      </c>
      <c r="AB745" s="32"/>
      <c r="AC745" s="5">
        <f t="shared" ca="1" si="11"/>
        <v>46232</v>
      </c>
      <c r="AD745" s="331">
        <f ca="1">_xlfn.DAYS(Table2[[#This Row],[HOJE]],Table2[[#This Row],[DATA PEDIDO HP]])</f>
        <v>296</v>
      </c>
      <c r="AE745" s="331" t="s">
        <v>43</v>
      </c>
    </row>
    <row r="746" spans="1:34" ht="14.45" hidden="1">
      <c r="A746" s="269" t="s">
        <v>2415</v>
      </c>
      <c r="B746" s="26">
        <v>45936</v>
      </c>
      <c r="C746" s="26">
        <v>45932</v>
      </c>
      <c r="D746" s="14" t="s">
        <v>2416</v>
      </c>
      <c r="E746" s="14" t="s">
        <v>780</v>
      </c>
      <c r="F746" s="14" t="s">
        <v>403</v>
      </c>
      <c r="G746" s="14">
        <v>50300129</v>
      </c>
      <c r="H746" s="14" t="s">
        <v>2390</v>
      </c>
      <c r="I746" s="14" t="s">
        <v>2391</v>
      </c>
      <c r="J746" s="14">
        <v>2</v>
      </c>
      <c r="K746" s="14" t="s">
        <v>67</v>
      </c>
      <c r="L746" s="14" t="s">
        <v>217</v>
      </c>
      <c r="M746" s="14" t="s">
        <v>384</v>
      </c>
      <c r="N746" s="15" t="s">
        <v>384</v>
      </c>
      <c r="O746" s="15">
        <v>0</v>
      </c>
      <c r="P746" s="15">
        <v>0</v>
      </c>
      <c r="Q746" s="15"/>
      <c r="R746" s="15"/>
      <c r="S746" s="25">
        <v>46062</v>
      </c>
      <c r="T746" s="25">
        <v>46042</v>
      </c>
      <c r="U746" s="25">
        <v>46055</v>
      </c>
      <c r="V746" s="15" t="s">
        <v>347</v>
      </c>
      <c r="W746" s="15"/>
      <c r="X746" s="159">
        <v>81.650000000000006</v>
      </c>
      <c r="Y746" s="159">
        <f>Table2[[#This Row],[PREÇO UNITARIO]]*Table2[[#This Row],[QUANTIDADE]]</f>
        <v>163.30000000000001</v>
      </c>
      <c r="Z746" s="15"/>
      <c r="AA746" s="28">
        <f>MONTH(Table2[[#This Row],[DATA PEDIDO HP]])</f>
        <v>10</v>
      </c>
      <c r="AB746" s="32"/>
      <c r="AC746" s="5">
        <f t="shared" ca="1" si="11"/>
        <v>46232</v>
      </c>
      <c r="AD746" s="331">
        <f ca="1">_xlfn.DAYS(Table2[[#This Row],[HOJE]],Table2[[#This Row],[DATA PEDIDO HP]])</f>
        <v>296</v>
      </c>
      <c r="AE746" s="331" t="s">
        <v>43</v>
      </c>
    </row>
    <row r="747" spans="1:34" ht="14.45" hidden="1">
      <c r="A747" s="269" t="s">
        <v>2417</v>
      </c>
      <c r="B747" s="26">
        <v>45936</v>
      </c>
      <c r="C747" s="26">
        <v>45932</v>
      </c>
      <c r="D747" s="14" t="s">
        <v>2418</v>
      </c>
      <c r="E747" s="14" t="s">
        <v>445</v>
      </c>
      <c r="F747" s="14" t="s">
        <v>403</v>
      </c>
      <c r="G747" s="14">
        <v>50300097</v>
      </c>
      <c r="H747" s="14" t="s">
        <v>2390</v>
      </c>
      <c r="I747" s="14" t="s">
        <v>2391</v>
      </c>
      <c r="J747" s="14">
        <v>2</v>
      </c>
      <c r="K747" s="14" t="s">
        <v>67</v>
      </c>
      <c r="L747" s="14" t="s">
        <v>217</v>
      </c>
      <c r="M747" s="14" t="s">
        <v>384</v>
      </c>
      <c r="N747" s="15" t="s">
        <v>384</v>
      </c>
      <c r="O747" s="15">
        <v>0</v>
      </c>
      <c r="P747" s="15">
        <v>0</v>
      </c>
      <c r="Q747" s="15"/>
      <c r="R747" s="15"/>
      <c r="S747" s="25">
        <v>46066</v>
      </c>
      <c r="T747" s="25">
        <v>46042</v>
      </c>
      <c r="U747" s="25">
        <v>46055</v>
      </c>
      <c r="V747" s="15" t="s">
        <v>347</v>
      </c>
      <c r="W747" s="15"/>
      <c r="X747" s="159">
        <v>81.650000000000006</v>
      </c>
      <c r="Y747" s="159">
        <f>Table2[[#This Row],[PREÇO UNITARIO]]*Table2[[#This Row],[QUANTIDADE]]</f>
        <v>163.30000000000001</v>
      </c>
      <c r="Z747" s="15"/>
      <c r="AA747" s="28">
        <f>MONTH(Table2[[#This Row],[DATA PEDIDO HP]])</f>
        <v>10</v>
      </c>
      <c r="AB747" s="32"/>
      <c r="AC747" s="5">
        <f t="shared" ca="1" si="11"/>
        <v>46232</v>
      </c>
      <c r="AD747" s="331">
        <f ca="1">_xlfn.DAYS(Table2[[#This Row],[HOJE]],Table2[[#This Row],[DATA PEDIDO HP]])</f>
        <v>296</v>
      </c>
      <c r="AE747" s="331" t="str">
        <f ca="1">IF(Table2[[#This Row],[HOLD]]&gt;30,"ATRASADO","NO PRAZO")</f>
        <v>ATRASADO</v>
      </c>
    </row>
    <row r="748" spans="1:34" ht="14.45" hidden="1">
      <c r="A748" s="269" t="s">
        <v>2419</v>
      </c>
      <c r="B748" s="26">
        <v>45936</v>
      </c>
      <c r="C748" s="26">
        <v>45932</v>
      </c>
      <c r="D748" s="14" t="s">
        <v>2420</v>
      </c>
      <c r="E748" s="14" t="s">
        <v>402</v>
      </c>
      <c r="F748" s="14" t="s">
        <v>403</v>
      </c>
      <c r="G748" s="14">
        <v>50300141</v>
      </c>
      <c r="H748" s="14" t="s">
        <v>2390</v>
      </c>
      <c r="I748" s="14" t="s">
        <v>2391</v>
      </c>
      <c r="J748" s="14">
        <v>2</v>
      </c>
      <c r="K748" s="14" t="s">
        <v>67</v>
      </c>
      <c r="L748" s="14" t="s">
        <v>217</v>
      </c>
      <c r="M748" s="14" t="s">
        <v>384</v>
      </c>
      <c r="N748" s="15" t="s">
        <v>384</v>
      </c>
      <c r="O748" s="15">
        <v>0</v>
      </c>
      <c r="P748" s="15">
        <v>0</v>
      </c>
      <c r="Q748" s="15"/>
      <c r="R748" s="15"/>
      <c r="S748" s="25">
        <v>46066</v>
      </c>
      <c r="T748" s="25">
        <v>46042</v>
      </c>
      <c r="U748" s="25">
        <v>46055</v>
      </c>
      <c r="V748" s="15" t="s">
        <v>347</v>
      </c>
      <c r="W748" s="15"/>
      <c r="X748" s="159">
        <v>81.650000000000006</v>
      </c>
      <c r="Y748" s="159">
        <f>Table2[[#This Row],[PREÇO UNITARIO]]*Table2[[#This Row],[QUANTIDADE]]</f>
        <v>163.30000000000001</v>
      </c>
      <c r="Z748" s="15"/>
      <c r="AA748" s="28">
        <f>MONTH(Table2[[#This Row],[DATA PEDIDO HP]])</f>
        <v>10</v>
      </c>
      <c r="AB748" s="32"/>
      <c r="AC748" s="5">
        <f t="shared" ca="1" si="11"/>
        <v>46232</v>
      </c>
      <c r="AD748" s="331">
        <f ca="1">_xlfn.DAYS(Table2[[#This Row],[HOJE]],Table2[[#This Row],[DATA PEDIDO HP]])</f>
        <v>296</v>
      </c>
      <c r="AE748" s="331" t="s">
        <v>43</v>
      </c>
    </row>
    <row r="749" spans="1:34" ht="14.45" hidden="1">
      <c r="A749" s="269" t="s">
        <v>2421</v>
      </c>
      <c r="B749" s="26">
        <v>45936</v>
      </c>
      <c r="C749" s="26">
        <v>45936</v>
      </c>
      <c r="D749" s="14" t="s">
        <v>2422</v>
      </c>
      <c r="E749" s="14" t="s">
        <v>2132</v>
      </c>
      <c r="F749" s="14" t="s">
        <v>203</v>
      </c>
      <c r="G749" s="14">
        <v>60001111</v>
      </c>
      <c r="H749" s="14" t="s">
        <v>2423</v>
      </c>
      <c r="I749" s="14" t="s">
        <v>2424</v>
      </c>
      <c r="J749" s="14">
        <v>1</v>
      </c>
      <c r="K749" s="14" t="s">
        <v>37</v>
      </c>
      <c r="L749" s="14" t="s">
        <v>217</v>
      </c>
      <c r="M749" s="14" t="s">
        <v>58</v>
      </c>
      <c r="N749" s="15" t="s">
        <v>58</v>
      </c>
      <c r="O749" s="15">
        <v>1</v>
      </c>
      <c r="P749" s="15">
        <v>1</v>
      </c>
      <c r="Q749" s="15"/>
      <c r="R749" s="15"/>
      <c r="S749" s="25"/>
      <c r="T749" s="25">
        <v>46042</v>
      </c>
      <c r="U749" s="25">
        <v>46055</v>
      </c>
      <c r="V749" s="15" t="s">
        <v>347</v>
      </c>
      <c r="W749" s="15"/>
      <c r="X749" s="159">
        <v>19.27</v>
      </c>
      <c r="Y749" s="159">
        <f>Table2[[#This Row],[PREÇO UNITARIO]]*Table2[[#This Row],[QUANTIDADE]]</f>
        <v>19.27</v>
      </c>
      <c r="Z749" s="15"/>
      <c r="AA749" s="28">
        <f>MONTH(Table2[[#This Row],[DATA PEDIDO HP]])</f>
        <v>10</v>
      </c>
      <c r="AB749" s="32" t="s">
        <v>42</v>
      </c>
      <c r="AC749" s="5">
        <f t="shared" ca="1" si="11"/>
        <v>46232</v>
      </c>
      <c r="AD749" s="331">
        <f ca="1">_xlfn.DAYS(Table2[[#This Row],[HOJE]],Table2[[#This Row],[DATA PEDIDO HP]])</f>
        <v>296</v>
      </c>
      <c r="AE749" s="5" t="s">
        <v>43</v>
      </c>
    </row>
    <row r="750" spans="1:34" ht="14.45" hidden="1">
      <c r="A750" s="269" t="s">
        <v>2425</v>
      </c>
      <c r="B750" s="26">
        <v>45937</v>
      </c>
      <c r="C750" s="26">
        <v>45937</v>
      </c>
      <c r="D750" s="14" t="s">
        <v>2426</v>
      </c>
      <c r="E750" s="14" t="s">
        <v>118</v>
      </c>
      <c r="F750" s="14" t="s">
        <v>64</v>
      </c>
      <c r="G750" s="14">
        <v>48000044</v>
      </c>
      <c r="H750" s="14" t="s">
        <v>2427</v>
      </c>
      <c r="I750" s="14" t="s">
        <v>2428</v>
      </c>
      <c r="J750" s="14">
        <v>1</v>
      </c>
      <c r="K750" s="14" t="s">
        <v>67</v>
      </c>
      <c r="L750" s="14" t="s">
        <v>217</v>
      </c>
      <c r="M750" s="14" t="s">
        <v>58</v>
      </c>
      <c r="N750" s="14" t="s">
        <v>58</v>
      </c>
      <c r="O750" s="15">
        <v>1</v>
      </c>
      <c r="P750" s="15">
        <v>1</v>
      </c>
      <c r="Q750" s="15">
        <v>143502</v>
      </c>
      <c r="R750" s="15"/>
      <c r="S750" s="25"/>
      <c r="T750" s="25">
        <v>45979</v>
      </c>
      <c r="U750" s="25">
        <v>45993</v>
      </c>
      <c r="V750" s="15" t="s">
        <v>1290</v>
      </c>
      <c r="W750" s="15"/>
      <c r="X750" s="27">
        <v>77.010000000000005</v>
      </c>
      <c r="Y750" s="27">
        <f>Table2[[#This Row],[PREÇO UNITARIO]]*Table2[[#This Row],[QUANTIDADE]]</f>
        <v>77.010000000000005</v>
      </c>
      <c r="Z750" s="15"/>
      <c r="AA750" s="28">
        <f>MONTH(Table2[[#This Row],[DATA PEDIDO HP]])</f>
        <v>10</v>
      </c>
      <c r="AB750" s="32" t="s">
        <v>60</v>
      </c>
      <c r="AC750" s="5">
        <f t="shared" ca="1" si="11"/>
        <v>46232</v>
      </c>
      <c r="AD750" s="331">
        <f ca="1">_xlfn.DAYS(Table2[[#This Row],[HOJE]],Table2[[#This Row],[DATA PEDIDO HP]])</f>
        <v>295</v>
      </c>
      <c r="AE750" s="5" t="s">
        <v>43</v>
      </c>
    </row>
    <row r="751" spans="1:34" ht="14.45" hidden="1">
      <c r="A751" s="299" t="s">
        <v>2429</v>
      </c>
      <c r="B751" s="26">
        <v>45937</v>
      </c>
      <c r="C751" s="26">
        <v>45937</v>
      </c>
      <c r="D751" s="14" t="s">
        <v>2430</v>
      </c>
      <c r="E751" s="14" t="s">
        <v>202</v>
      </c>
      <c r="F751" s="14" t="s">
        <v>203</v>
      </c>
      <c r="G751" s="14">
        <v>60002072</v>
      </c>
      <c r="H751" s="14" t="s">
        <v>2431</v>
      </c>
      <c r="I751" s="14" t="s">
        <v>2432</v>
      </c>
      <c r="J751" s="14">
        <v>1</v>
      </c>
      <c r="K751" s="14" t="s">
        <v>67</v>
      </c>
      <c r="L751" s="14" t="s">
        <v>217</v>
      </c>
      <c r="M751" s="14" t="s">
        <v>39</v>
      </c>
      <c r="N751" s="14" t="s">
        <v>39</v>
      </c>
      <c r="O751" s="15">
        <v>1</v>
      </c>
      <c r="P751" s="15">
        <v>1</v>
      </c>
      <c r="Q751" s="15">
        <v>143495</v>
      </c>
      <c r="R751" s="15"/>
      <c r="S751" s="25">
        <v>46001</v>
      </c>
      <c r="T751" s="25">
        <v>45979</v>
      </c>
      <c r="U751" s="25">
        <v>45993</v>
      </c>
      <c r="V751" s="15" t="s">
        <v>1290</v>
      </c>
      <c r="W751" s="15"/>
      <c r="X751" s="27">
        <v>9.92</v>
      </c>
      <c r="Y751" s="27">
        <f>Table2[[#This Row],[PREÇO UNITARIO]]*Table2[[#This Row],[QUANTIDADE]]</f>
        <v>9.92</v>
      </c>
      <c r="Z751" s="15"/>
      <c r="AA751" s="28">
        <f>MONTH(Table2[[#This Row],[DATA PEDIDO HP]])</f>
        <v>10</v>
      </c>
      <c r="AB751" s="32" t="s">
        <v>60</v>
      </c>
      <c r="AC751" s="5">
        <f t="shared" ca="1" si="11"/>
        <v>46232</v>
      </c>
      <c r="AD751" s="331">
        <f ca="1">_xlfn.DAYS(Table2[[#This Row],[HOJE]],Table2[[#This Row],[DATA PEDIDO HP]])</f>
        <v>295</v>
      </c>
      <c r="AE751" s="336" t="s">
        <v>43</v>
      </c>
    </row>
    <row r="752" spans="1:34" ht="14.45" hidden="1">
      <c r="A752" s="269" t="s">
        <v>2433</v>
      </c>
      <c r="B752" s="26">
        <v>45937</v>
      </c>
      <c r="C752" s="26">
        <v>45937</v>
      </c>
      <c r="D752" s="14" t="s">
        <v>2434</v>
      </c>
      <c r="E752" s="14" t="s">
        <v>109</v>
      </c>
      <c r="F752" s="14" t="s">
        <v>34</v>
      </c>
      <c r="G752" s="14">
        <v>50110229</v>
      </c>
      <c r="H752" s="14" t="s">
        <v>130</v>
      </c>
      <c r="I752" s="14" t="s">
        <v>633</v>
      </c>
      <c r="J752" s="14">
        <v>1</v>
      </c>
      <c r="K752" s="14" t="s">
        <v>67</v>
      </c>
      <c r="L752" s="14" t="s">
        <v>217</v>
      </c>
      <c r="M752" s="14" t="s">
        <v>39</v>
      </c>
      <c r="N752" s="14" t="s">
        <v>39</v>
      </c>
      <c r="O752" s="15">
        <v>1</v>
      </c>
      <c r="P752" s="15">
        <v>1</v>
      </c>
      <c r="Q752" s="15">
        <v>143503</v>
      </c>
      <c r="R752" s="15"/>
      <c r="S752" s="25">
        <v>46002</v>
      </c>
      <c r="T752" s="25">
        <v>45979</v>
      </c>
      <c r="U752" s="25">
        <v>45993</v>
      </c>
      <c r="V752" s="15" t="s">
        <v>1290</v>
      </c>
      <c r="W752" s="15"/>
      <c r="X752" s="27">
        <v>17.28</v>
      </c>
      <c r="Y752" s="27">
        <f>Table2[[#This Row],[PREÇO UNITARIO]]*Table2[[#This Row],[QUANTIDADE]]</f>
        <v>17.28</v>
      </c>
      <c r="Z752" s="15"/>
      <c r="AA752" s="28">
        <f>MONTH(Table2[[#This Row],[DATA PEDIDO HP]])</f>
        <v>10</v>
      </c>
      <c r="AB752" s="32" t="s">
        <v>42</v>
      </c>
      <c r="AC752" s="5">
        <f t="shared" ca="1" si="11"/>
        <v>46232</v>
      </c>
      <c r="AD752" s="331">
        <f ca="1">_xlfn.DAYS(Table2[[#This Row],[HOJE]],Table2[[#This Row],[DATA PEDIDO HP]])</f>
        <v>295</v>
      </c>
      <c r="AE752" s="336" t="s">
        <v>43</v>
      </c>
    </row>
    <row r="753" spans="1:31" ht="14.45" hidden="1">
      <c r="A753" s="269" t="s">
        <v>2435</v>
      </c>
      <c r="B753" s="26">
        <v>45937</v>
      </c>
      <c r="C753" s="26">
        <v>45937</v>
      </c>
      <c r="D753" s="14" t="s">
        <v>2436</v>
      </c>
      <c r="E753" s="14" t="s">
        <v>2437</v>
      </c>
      <c r="F753" s="14" t="s">
        <v>899</v>
      </c>
      <c r="G753" s="14">
        <v>48500778</v>
      </c>
      <c r="H753" s="14" t="s">
        <v>2438</v>
      </c>
      <c r="I753" s="14" t="s">
        <v>2439</v>
      </c>
      <c r="J753" s="14">
        <v>1</v>
      </c>
      <c r="K753" s="14" t="s">
        <v>37</v>
      </c>
      <c r="L753" s="14" t="s">
        <v>2067</v>
      </c>
      <c r="M753" s="14" t="s">
        <v>88</v>
      </c>
      <c r="N753" s="15" t="s">
        <v>89</v>
      </c>
      <c r="O753" s="15">
        <v>0</v>
      </c>
      <c r="P753" s="15">
        <v>1</v>
      </c>
      <c r="Q753" s="15">
        <v>132506</v>
      </c>
      <c r="R753" s="15"/>
      <c r="S753" s="25">
        <v>46211</v>
      </c>
      <c r="T753" s="25">
        <v>46007</v>
      </c>
      <c r="U753" s="25">
        <v>46031</v>
      </c>
      <c r="V753" s="15" t="s">
        <v>1775</v>
      </c>
      <c r="W753" s="15"/>
      <c r="X753" s="27">
        <v>1189.48</v>
      </c>
      <c r="Y753" s="27">
        <f>Table2[[#This Row],[PREÇO UNITARIO]]*Table2[[#This Row],[QUANTIDADE]]</f>
        <v>1189.48</v>
      </c>
      <c r="Z753" s="15"/>
      <c r="AA753" s="28">
        <f>MONTH(Table2[[#This Row],[DATA PEDIDO HP]])</f>
        <v>10</v>
      </c>
      <c r="AB753" s="32" t="s">
        <v>60</v>
      </c>
      <c r="AC753" s="5">
        <f t="shared" ca="1" si="11"/>
        <v>46232</v>
      </c>
      <c r="AD753" s="331">
        <f ca="1">_xlfn.DAYS(Table2[[#This Row],[HOJE]],Table2[[#This Row],[DATA PEDIDO HP]])</f>
        <v>295</v>
      </c>
      <c r="AE753" s="5" t="s">
        <v>43</v>
      </c>
    </row>
    <row r="754" spans="1:31" ht="14.45" hidden="1">
      <c r="A754" s="269" t="s">
        <v>2435</v>
      </c>
      <c r="B754" s="26">
        <v>45937</v>
      </c>
      <c r="C754" s="26">
        <v>45937</v>
      </c>
      <c r="D754" s="14" t="s">
        <v>2436</v>
      </c>
      <c r="E754" s="14" t="s">
        <v>2437</v>
      </c>
      <c r="F754" s="14" t="s">
        <v>899</v>
      </c>
      <c r="G754" s="14">
        <v>48500778</v>
      </c>
      <c r="H754" s="14" t="s">
        <v>2440</v>
      </c>
      <c r="I754" s="14" t="s">
        <v>2441</v>
      </c>
      <c r="J754" s="14">
        <v>1</v>
      </c>
      <c r="K754" s="14" t="s">
        <v>37</v>
      </c>
      <c r="L754" s="14" t="s">
        <v>2067</v>
      </c>
      <c r="M754" s="14" t="s">
        <v>88</v>
      </c>
      <c r="N754" s="15" t="s">
        <v>89</v>
      </c>
      <c r="O754" s="15">
        <v>0</v>
      </c>
      <c r="P754" s="15">
        <v>1</v>
      </c>
      <c r="Q754" s="15">
        <v>132506</v>
      </c>
      <c r="R754" s="15" t="s">
        <v>2442</v>
      </c>
      <c r="S754" s="25">
        <v>46211</v>
      </c>
      <c r="T754" s="25">
        <v>46007</v>
      </c>
      <c r="U754" s="25">
        <v>46031</v>
      </c>
      <c r="V754" s="15" t="s">
        <v>1775</v>
      </c>
      <c r="W754" s="15"/>
      <c r="X754" s="27">
        <v>34.71</v>
      </c>
      <c r="Y754" s="27">
        <f>Table2[[#This Row],[PREÇO UNITARIO]]*Table2[[#This Row],[QUANTIDADE]]</f>
        <v>34.71</v>
      </c>
      <c r="Z754" s="15"/>
      <c r="AA754" s="28">
        <f>MONTH(Table2[[#This Row],[DATA PEDIDO HP]])</f>
        <v>10</v>
      </c>
      <c r="AB754" s="32" t="s">
        <v>60</v>
      </c>
      <c r="AC754" s="5">
        <f t="shared" ca="1" si="11"/>
        <v>46232</v>
      </c>
      <c r="AD754" s="331">
        <f ca="1">_xlfn.DAYS(Table2[[#This Row],[HOJE]],Table2[[#This Row],[DATA PEDIDO HP]])</f>
        <v>295</v>
      </c>
      <c r="AE754" s="5" t="s">
        <v>43</v>
      </c>
    </row>
    <row r="755" spans="1:31" ht="14.45" hidden="1">
      <c r="A755" s="299" t="s">
        <v>2443</v>
      </c>
      <c r="B755" s="26">
        <v>45938</v>
      </c>
      <c r="C755" s="26">
        <v>45938</v>
      </c>
      <c r="D755" s="14" t="s">
        <v>2444</v>
      </c>
      <c r="E755" s="14" t="s">
        <v>916</v>
      </c>
      <c r="F755" s="14" t="s">
        <v>456</v>
      </c>
      <c r="G755" s="14" t="s">
        <v>917</v>
      </c>
      <c r="H755" s="14" t="s">
        <v>542</v>
      </c>
      <c r="I755" s="14" t="s">
        <v>2445</v>
      </c>
      <c r="J755" s="14">
        <v>1</v>
      </c>
      <c r="K755" s="14" t="s">
        <v>67</v>
      </c>
      <c r="L755" s="14" t="s">
        <v>38</v>
      </c>
      <c r="M755" s="14" t="s">
        <v>58</v>
      </c>
      <c r="N755" s="15" t="s">
        <v>58</v>
      </c>
      <c r="O755" s="15">
        <v>0</v>
      </c>
      <c r="P755" s="15">
        <v>1</v>
      </c>
      <c r="Q755" s="15">
        <v>143461</v>
      </c>
      <c r="R755" s="15"/>
      <c r="S755" s="25">
        <v>45937</v>
      </c>
      <c r="T755" s="25">
        <v>45979</v>
      </c>
      <c r="U755" s="25">
        <v>45993</v>
      </c>
      <c r="V755" s="15" t="s">
        <v>1290</v>
      </c>
      <c r="W755" s="15"/>
      <c r="X755" s="27">
        <v>1240.6400000000001</v>
      </c>
      <c r="Y755" s="27">
        <f>Table2[[#This Row],[PREÇO UNITARIO]]*Table2[[#This Row],[QUANTIDADE]]</f>
        <v>1240.6400000000001</v>
      </c>
      <c r="Z755" s="15" t="s">
        <v>2446</v>
      </c>
      <c r="AA755" s="28">
        <f>MONTH(Table2[[#This Row],[DATA PEDIDO HP]])</f>
        <v>10</v>
      </c>
      <c r="AB755" s="32" t="s">
        <v>60</v>
      </c>
      <c r="AC755" s="5">
        <f t="shared" ca="1" si="11"/>
        <v>46232</v>
      </c>
      <c r="AD755" s="331">
        <f ca="1">_xlfn.DAYS(Table2[[#This Row],[HOJE]],Table2[[#This Row],[DATA PEDIDO HP]])</f>
        <v>294</v>
      </c>
      <c r="AE755" s="336" t="s">
        <v>43</v>
      </c>
    </row>
    <row r="756" spans="1:31" ht="14.45" hidden="1">
      <c r="A756" s="299" t="s">
        <v>2447</v>
      </c>
      <c r="B756" s="26">
        <v>45938</v>
      </c>
      <c r="C756" s="26">
        <v>45938</v>
      </c>
      <c r="D756" s="14" t="s">
        <v>2448</v>
      </c>
      <c r="E756" s="14" t="s">
        <v>103</v>
      </c>
      <c r="F756" s="14" t="s">
        <v>104</v>
      </c>
      <c r="G756" s="14">
        <v>51000323</v>
      </c>
      <c r="H756" s="14" t="s">
        <v>750</v>
      </c>
      <c r="I756" s="14" t="s">
        <v>2449</v>
      </c>
      <c r="J756" s="14">
        <v>1</v>
      </c>
      <c r="K756" s="14" t="s">
        <v>37</v>
      </c>
      <c r="L756" s="14" t="s">
        <v>48</v>
      </c>
      <c r="M756" s="14" t="s">
        <v>39</v>
      </c>
      <c r="N756" s="14" t="s">
        <v>39</v>
      </c>
      <c r="O756" s="15">
        <v>1</v>
      </c>
      <c r="P756" s="15">
        <v>1</v>
      </c>
      <c r="Q756" s="15">
        <v>143522</v>
      </c>
      <c r="R756" s="15"/>
      <c r="S756" s="25">
        <v>46000</v>
      </c>
      <c r="T756" s="25">
        <v>45979</v>
      </c>
      <c r="U756" s="25">
        <v>45993</v>
      </c>
      <c r="V756" s="15" t="s">
        <v>1290</v>
      </c>
      <c r="W756" s="15"/>
      <c r="X756" s="27">
        <v>1057.75</v>
      </c>
      <c r="Y756" s="27">
        <f>Table2[[#This Row],[PREÇO UNITARIO]]*Table2[[#This Row],[QUANTIDADE]]</f>
        <v>1057.75</v>
      </c>
      <c r="Z756" s="15"/>
      <c r="AA756" s="28">
        <f>MONTH(Table2[[#This Row],[DATA PEDIDO HP]])</f>
        <v>10</v>
      </c>
      <c r="AB756" s="32" t="s">
        <v>42</v>
      </c>
      <c r="AC756" s="5">
        <f t="shared" ca="1" si="11"/>
        <v>46232</v>
      </c>
      <c r="AD756" s="331">
        <f ca="1">_xlfn.DAYS(Table2[[#This Row],[HOJE]],Table2[[#This Row],[DATA PEDIDO HP]])</f>
        <v>294</v>
      </c>
      <c r="AE756" s="336" t="s">
        <v>43</v>
      </c>
    </row>
    <row r="757" spans="1:31" ht="14.45" hidden="1">
      <c r="A757" s="269" t="s">
        <v>2450</v>
      </c>
      <c r="B757" s="26">
        <v>45938</v>
      </c>
      <c r="C757" s="26">
        <v>45938</v>
      </c>
      <c r="D757" s="14" t="s">
        <v>2451</v>
      </c>
      <c r="E757" s="14" t="s">
        <v>2132</v>
      </c>
      <c r="F757" s="14" t="s">
        <v>203</v>
      </c>
      <c r="G757" s="14">
        <v>60001111</v>
      </c>
      <c r="H757" s="14" t="s">
        <v>330</v>
      </c>
      <c r="I757" s="14" t="s">
        <v>2452</v>
      </c>
      <c r="J757" s="14">
        <v>2</v>
      </c>
      <c r="K757" s="14" t="s">
        <v>37</v>
      </c>
      <c r="L757" s="14" t="s">
        <v>217</v>
      </c>
      <c r="M757" s="14" t="s">
        <v>39</v>
      </c>
      <c r="N757" s="14" t="s">
        <v>39</v>
      </c>
      <c r="O757" s="15">
        <v>1</v>
      </c>
      <c r="P757" s="15">
        <v>1</v>
      </c>
      <c r="Q757" s="15">
        <v>143518</v>
      </c>
      <c r="R757" s="15"/>
      <c r="S757" s="25">
        <v>46000</v>
      </c>
      <c r="T757" s="25">
        <v>45979</v>
      </c>
      <c r="U757" s="25">
        <v>45993</v>
      </c>
      <c r="V757" s="15" t="s">
        <v>1290</v>
      </c>
      <c r="W757" s="15"/>
      <c r="X757" s="159">
        <v>35.19</v>
      </c>
      <c r="Y757" s="159">
        <f>Table2[[#This Row],[PREÇO UNITARIO]]*Table2[[#This Row],[QUANTIDADE]]</f>
        <v>70.38</v>
      </c>
      <c r="Z757" s="15" t="s">
        <v>2453</v>
      </c>
      <c r="AA757" s="28">
        <f>MONTH(Table2[[#This Row],[DATA PEDIDO HP]])</f>
        <v>10</v>
      </c>
      <c r="AB757" s="32" t="s">
        <v>42</v>
      </c>
      <c r="AC757" s="5">
        <f t="shared" ca="1" si="11"/>
        <v>46232</v>
      </c>
      <c r="AD757" s="331">
        <f ca="1">_xlfn.DAYS(Table2[[#This Row],[HOJE]],Table2[[#This Row],[DATA PEDIDO HP]])</f>
        <v>294</v>
      </c>
      <c r="AE757" s="5" t="s">
        <v>43</v>
      </c>
    </row>
    <row r="758" spans="1:31" ht="14.45" hidden="1">
      <c r="A758" s="269" t="s">
        <v>2454</v>
      </c>
      <c r="B758" s="26">
        <v>45938</v>
      </c>
      <c r="C758" s="26">
        <v>45938</v>
      </c>
      <c r="D758" s="14" t="s">
        <v>2455</v>
      </c>
      <c r="E758" s="14" t="s">
        <v>181</v>
      </c>
      <c r="F758" s="14" t="s">
        <v>34</v>
      </c>
      <c r="G758" s="14">
        <v>50110057</v>
      </c>
      <c r="H758" s="14" t="s">
        <v>165</v>
      </c>
      <c r="I758" s="14" t="s">
        <v>166</v>
      </c>
      <c r="J758" s="14">
        <v>1</v>
      </c>
      <c r="K758" s="14" t="s">
        <v>37</v>
      </c>
      <c r="L758" s="14" t="s">
        <v>48</v>
      </c>
      <c r="M758" s="14" t="s">
        <v>58</v>
      </c>
      <c r="N758" s="14" t="s">
        <v>58</v>
      </c>
      <c r="O758" s="15">
        <v>1</v>
      </c>
      <c r="P758" s="15">
        <v>1</v>
      </c>
      <c r="Q758" s="15">
        <v>143446</v>
      </c>
      <c r="R758" s="15"/>
      <c r="S758" s="25"/>
      <c r="T758" s="25">
        <v>45979</v>
      </c>
      <c r="U758" s="25">
        <v>45993</v>
      </c>
      <c r="V758" s="15" t="s">
        <v>1290</v>
      </c>
      <c r="W758" s="15"/>
      <c r="X758" s="27">
        <v>354.38</v>
      </c>
      <c r="Y758" s="27">
        <f>Table2[[#This Row],[PREÇO UNITARIO]]*Table2[[#This Row],[QUANTIDADE]]</f>
        <v>354.38</v>
      </c>
      <c r="Z758" s="15"/>
      <c r="AA758" s="28">
        <f>MONTH(Table2[[#This Row],[DATA PEDIDO HP]])</f>
        <v>10</v>
      </c>
      <c r="AB758" s="32" t="s">
        <v>42</v>
      </c>
      <c r="AC758" s="5">
        <f t="shared" ca="1" si="11"/>
        <v>46232</v>
      </c>
      <c r="AD758" s="331">
        <f ca="1">_xlfn.DAYS(Table2[[#This Row],[HOJE]],Table2[[#This Row],[DATA PEDIDO HP]])</f>
        <v>294</v>
      </c>
      <c r="AE758" s="5" t="s">
        <v>43</v>
      </c>
    </row>
    <row r="759" spans="1:31" ht="14.45" hidden="1">
      <c r="A759" s="269" t="s">
        <v>2456</v>
      </c>
      <c r="B759" s="26">
        <v>45938</v>
      </c>
      <c r="C759" s="26">
        <v>45938</v>
      </c>
      <c r="D759" s="14" t="s">
        <v>2457</v>
      </c>
      <c r="E759" s="14" t="s">
        <v>73</v>
      </c>
      <c r="F759" s="14" t="s">
        <v>34</v>
      </c>
      <c r="G759" s="14">
        <v>50110372</v>
      </c>
      <c r="H759" s="14" t="s">
        <v>1148</v>
      </c>
      <c r="I759" s="14" t="s">
        <v>2458</v>
      </c>
      <c r="J759" s="14">
        <v>1</v>
      </c>
      <c r="K759" s="14" t="s">
        <v>37</v>
      </c>
      <c r="L759" s="14" t="s">
        <v>217</v>
      </c>
      <c r="M759" s="14" t="s">
        <v>58</v>
      </c>
      <c r="N759" s="14" t="s">
        <v>58</v>
      </c>
      <c r="O759" s="15">
        <v>1</v>
      </c>
      <c r="P759" s="15">
        <v>1</v>
      </c>
      <c r="Q759" s="15">
        <v>143508</v>
      </c>
      <c r="R759" s="15" t="s">
        <v>1150</v>
      </c>
      <c r="S759" s="25"/>
      <c r="T759" s="25">
        <v>45979</v>
      </c>
      <c r="U759" s="25">
        <v>45993</v>
      </c>
      <c r="V759" s="15" t="s">
        <v>1290</v>
      </c>
      <c r="W759" s="15"/>
      <c r="X759" s="27">
        <v>639.37</v>
      </c>
      <c r="Y759" s="27">
        <f>Table2[[#This Row],[PREÇO UNITARIO]]*Table2[[#This Row],[QUANTIDADE]]</f>
        <v>639.37</v>
      </c>
      <c r="Z759" s="15"/>
      <c r="AA759" s="28">
        <f>MONTH(Table2[[#This Row],[DATA PEDIDO HP]])</f>
        <v>10</v>
      </c>
      <c r="AB759" s="32" t="s">
        <v>42</v>
      </c>
      <c r="AC759" s="5">
        <f t="shared" ca="1" si="11"/>
        <v>46232</v>
      </c>
      <c r="AD759" s="331">
        <f ca="1">_xlfn.DAYS(Table2[[#This Row],[HOJE]],Table2[[#This Row],[DATA PEDIDO HP]])</f>
        <v>294</v>
      </c>
      <c r="AE759" s="5" t="s">
        <v>43</v>
      </c>
    </row>
    <row r="760" spans="1:31" ht="14.45" hidden="1">
      <c r="A760" s="299" t="s">
        <v>2459</v>
      </c>
      <c r="B760" s="26">
        <v>45938</v>
      </c>
      <c r="C760" s="26">
        <v>45938</v>
      </c>
      <c r="D760" s="14" t="s">
        <v>2460</v>
      </c>
      <c r="E760" s="14" t="s">
        <v>202</v>
      </c>
      <c r="F760" s="14" t="s">
        <v>203</v>
      </c>
      <c r="G760" s="14">
        <v>60002072</v>
      </c>
      <c r="H760" s="14" t="s">
        <v>1767</v>
      </c>
      <c r="I760" s="14" t="s">
        <v>2461</v>
      </c>
      <c r="J760" s="14">
        <v>4</v>
      </c>
      <c r="K760" s="14" t="s">
        <v>37</v>
      </c>
      <c r="L760" s="14" t="s">
        <v>48</v>
      </c>
      <c r="M760" s="14" t="s">
        <v>88</v>
      </c>
      <c r="N760" s="15" t="s">
        <v>89</v>
      </c>
      <c r="O760" s="15">
        <v>1</v>
      </c>
      <c r="P760" s="15">
        <v>1</v>
      </c>
      <c r="Q760" s="15">
        <v>143455</v>
      </c>
      <c r="R760" s="15" t="s">
        <v>1769</v>
      </c>
      <c r="S760" s="25">
        <v>46001</v>
      </c>
      <c r="T760" s="25">
        <v>45979</v>
      </c>
      <c r="U760" s="25">
        <v>45993</v>
      </c>
      <c r="V760" s="15" t="s">
        <v>1290</v>
      </c>
      <c r="W760" s="15"/>
      <c r="X760" s="27">
        <v>49.44</v>
      </c>
      <c r="Y760" s="27">
        <f>Table2[[#This Row],[PREÇO UNITARIO]]*Table2[[#This Row],[QUANTIDADE]]</f>
        <v>197.76</v>
      </c>
      <c r="Z760" s="15"/>
      <c r="AA760" s="28">
        <f>MONTH(Table2[[#This Row],[DATA PEDIDO HP]])</f>
        <v>10</v>
      </c>
      <c r="AB760" s="32" t="s">
        <v>60</v>
      </c>
      <c r="AC760" s="5">
        <f t="shared" ca="1" si="11"/>
        <v>46232</v>
      </c>
      <c r="AD760" s="331">
        <f ca="1">_xlfn.DAYS(Table2[[#This Row],[HOJE]],Table2[[#This Row],[DATA PEDIDO HP]])</f>
        <v>294</v>
      </c>
      <c r="AE760" s="336" t="s">
        <v>43</v>
      </c>
    </row>
    <row r="761" spans="1:31" ht="14.45" hidden="1">
      <c r="A761" s="299" t="s">
        <v>2462</v>
      </c>
      <c r="B761" s="26">
        <v>45939</v>
      </c>
      <c r="C761" s="26">
        <v>45939</v>
      </c>
      <c r="D761" s="14" t="s">
        <v>2463</v>
      </c>
      <c r="E761" s="14" t="s">
        <v>916</v>
      </c>
      <c r="F761" s="14" t="s">
        <v>456</v>
      </c>
      <c r="G761" s="14" t="s">
        <v>917</v>
      </c>
      <c r="H761" s="14" t="s">
        <v>2464</v>
      </c>
      <c r="I761" s="14" t="s">
        <v>2465</v>
      </c>
      <c r="J761" s="14">
        <v>1</v>
      </c>
      <c r="K761" s="14" t="s">
        <v>67</v>
      </c>
      <c r="L761" s="14" t="s">
        <v>38</v>
      </c>
      <c r="M761" s="14" t="s">
        <v>88</v>
      </c>
      <c r="N761" s="15" t="s">
        <v>89</v>
      </c>
      <c r="O761" s="15">
        <v>0</v>
      </c>
      <c r="P761" s="15">
        <v>1</v>
      </c>
      <c r="Q761" s="15">
        <v>143533</v>
      </c>
      <c r="R761" s="15"/>
      <c r="S761" s="25">
        <v>46000</v>
      </c>
      <c r="T761" s="25">
        <v>45979</v>
      </c>
      <c r="U761" s="25">
        <v>45993</v>
      </c>
      <c r="V761" s="15" t="s">
        <v>1290</v>
      </c>
      <c r="W761" s="15"/>
      <c r="X761" s="27">
        <v>589.54999999999995</v>
      </c>
      <c r="Y761" s="27">
        <f>Table2[[#This Row],[PREÇO UNITARIO]]*Table2[[#This Row],[QUANTIDADE]]</f>
        <v>589.54999999999995</v>
      </c>
      <c r="Z761" s="15"/>
      <c r="AA761" s="28">
        <f>MONTH(Table2[[#This Row],[DATA PEDIDO HP]])</f>
        <v>10</v>
      </c>
      <c r="AB761" s="32" t="s">
        <v>60</v>
      </c>
      <c r="AC761" s="5">
        <f t="shared" ca="1" si="11"/>
        <v>46232</v>
      </c>
      <c r="AD761" s="331">
        <f ca="1">_xlfn.DAYS(Table2[[#This Row],[HOJE]],Table2[[#This Row],[DATA PEDIDO HP]])</f>
        <v>293</v>
      </c>
      <c r="AE761" s="336" t="s">
        <v>43</v>
      </c>
    </row>
    <row r="762" spans="1:31" ht="14.45" hidden="1">
      <c r="A762" s="269" t="s">
        <v>2466</v>
      </c>
      <c r="B762" s="26">
        <v>45939</v>
      </c>
      <c r="C762" s="26">
        <v>45939</v>
      </c>
      <c r="D762" s="14" t="s">
        <v>2467</v>
      </c>
      <c r="E762" s="14" t="s">
        <v>85</v>
      </c>
      <c r="F762" s="14" t="s">
        <v>74</v>
      </c>
      <c r="G762" s="14">
        <v>50000260</v>
      </c>
      <c r="H762" s="14" t="s">
        <v>2468</v>
      </c>
      <c r="I762" s="14" t="s">
        <v>2469</v>
      </c>
      <c r="J762" s="14">
        <v>1</v>
      </c>
      <c r="K762" s="14" t="s">
        <v>37</v>
      </c>
      <c r="L762" s="14" t="s">
        <v>48</v>
      </c>
      <c r="M762" s="14" t="s">
        <v>58</v>
      </c>
      <c r="N762" s="14" t="s">
        <v>58</v>
      </c>
      <c r="O762" s="15">
        <v>1</v>
      </c>
      <c r="P762" s="15">
        <v>1</v>
      </c>
      <c r="Q762" s="15">
        <v>143513</v>
      </c>
      <c r="R762" s="15" t="s">
        <v>803</v>
      </c>
      <c r="S762" s="25"/>
      <c r="T762" s="25">
        <v>45979</v>
      </c>
      <c r="U762" s="25">
        <v>45993</v>
      </c>
      <c r="V762" s="15" t="s">
        <v>1290</v>
      </c>
      <c r="W762" s="15"/>
      <c r="X762" s="27">
        <v>26.96</v>
      </c>
      <c r="Y762" s="27">
        <f>Table2[[#This Row],[PREÇO UNITARIO]]*Table2[[#This Row],[QUANTIDADE]]</f>
        <v>26.96</v>
      </c>
      <c r="Z762" s="15"/>
      <c r="AA762" s="28">
        <f>MONTH(Table2[[#This Row],[DATA PEDIDO HP]])</f>
        <v>10</v>
      </c>
      <c r="AB762" s="32" t="s">
        <v>42</v>
      </c>
      <c r="AC762" s="5">
        <f t="shared" ca="1" si="11"/>
        <v>46232</v>
      </c>
      <c r="AD762" s="331">
        <f ca="1">_xlfn.DAYS(Table2[[#This Row],[HOJE]],Table2[[#This Row],[DATA PEDIDO HP]])</f>
        <v>293</v>
      </c>
      <c r="AE762" s="5" t="s">
        <v>43</v>
      </c>
    </row>
    <row r="763" spans="1:31" ht="14.45" hidden="1">
      <c r="A763" s="299" t="s">
        <v>2470</v>
      </c>
      <c r="B763" s="26">
        <v>45940</v>
      </c>
      <c r="C763" s="26">
        <v>45939</v>
      </c>
      <c r="D763" s="14" t="s">
        <v>2471</v>
      </c>
      <c r="E763" s="14" t="s">
        <v>2472</v>
      </c>
      <c r="F763" s="14" t="s">
        <v>640</v>
      </c>
      <c r="G763" s="14">
        <v>48500811</v>
      </c>
      <c r="H763" s="14" t="s">
        <v>2473</v>
      </c>
      <c r="I763" s="14" t="s">
        <v>2474</v>
      </c>
      <c r="J763" s="14">
        <v>1</v>
      </c>
      <c r="K763" s="14" t="s">
        <v>37</v>
      </c>
      <c r="L763" s="14" t="s">
        <v>96</v>
      </c>
      <c r="M763" s="14" t="s">
        <v>58</v>
      </c>
      <c r="N763" s="15" t="s">
        <v>58</v>
      </c>
      <c r="O763" s="15">
        <v>0</v>
      </c>
      <c r="P763" s="15">
        <v>1</v>
      </c>
      <c r="Q763" s="15">
        <v>143435</v>
      </c>
      <c r="R763" s="15"/>
      <c r="S763" s="25"/>
      <c r="T763" s="25">
        <v>45979</v>
      </c>
      <c r="U763" s="25">
        <v>45993</v>
      </c>
      <c r="V763" s="15" t="s">
        <v>1290</v>
      </c>
      <c r="W763" s="15"/>
      <c r="X763" s="27">
        <v>70.22</v>
      </c>
      <c r="Y763" s="27">
        <f>Table2[[#This Row],[PREÇO UNITARIO]]*Table2[[#This Row],[QUANTIDADE]]</f>
        <v>70.22</v>
      </c>
      <c r="Z763" s="15"/>
      <c r="AA763" s="28">
        <f>MONTH(Table2[[#This Row],[DATA PEDIDO HP]])</f>
        <v>10</v>
      </c>
      <c r="AB763" s="32" t="s">
        <v>60</v>
      </c>
      <c r="AC763" s="5">
        <f t="shared" ca="1" si="11"/>
        <v>46232</v>
      </c>
      <c r="AD763" s="331">
        <f ca="1">_xlfn.DAYS(Table2[[#This Row],[HOJE]],Table2[[#This Row],[DATA PEDIDO HP]])</f>
        <v>292</v>
      </c>
      <c r="AE763" s="5" t="s">
        <v>43</v>
      </c>
    </row>
    <row r="764" spans="1:31" ht="14.45" hidden="1">
      <c r="A764" s="299" t="s">
        <v>2470</v>
      </c>
      <c r="B764" s="26">
        <v>45940</v>
      </c>
      <c r="C764" s="26">
        <v>45939</v>
      </c>
      <c r="D764" s="14" t="s">
        <v>2471</v>
      </c>
      <c r="E764" s="14" t="s">
        <v>2472</v>
      </c>
      <c r="F764" s="14" t="s">
        <v>640</v>
      </c>
      <c r="G764" s="14">
        <v>48500811</v>
      </c>
      <c r="H764" s="14" t="s">
        <v>789</v>
      </c>
      <c r="I764" s="14" t="s">
        <v>2114</v>
      </c>
      <c r="J764" s="14">
        <v>1</v>
      </c>
      <c r="K764" s="14" t="s">
        <v>37</v>
      </c>
      <c r="L764" s="14" t="s">
        <v>96</v>
      </c>
      <c r="M764" s="14" t="s">
        <v>88</v>
      </c>
      <c r="N764" s="15" t="s">
        <v>89</v>
      </c>
      <c r="O764" s="15">
        <v>0</v>
      </c>
      <c r="P764" s="15"/>
      <c r="Q764" s="15">
        <v>143435</v>
      </c>
      <c r="R764" s="15"/>
      <c r="S764" s="25">
        <v>46000</v>
      </c>
      <c r="T764" s="25">
        <v>45979</v>
      </c>
      <c r="U764" s="25">
        <v>45993</v>
      </c>
      <c r="V764" s="15" t="s">
        <v>1290</v>
      </c>
      <c r="W764" s="15"/>
      <c r="X764" s="27">
        <v>297.22000000000003</v>
      </c>
      <c r="Y764" s="27">
        <f>Table2[[#This Row],[PREÇO UNITARIO]]*Table2[[#This Row],[QUANTIDADE]]</f>
        <v>297.22000000000003</v>
      </c>
      <c r="Z764" s="15"/>
      <c r="AA764" s="28">
        <f>MONTH(Table2[[#This Row],[DATA PEDIDO HP]])</f>
        <v>10</v>
      </c>
      <c r="AB764" s="32" t="s">
        <v>60</v>
      </c>
      <c r="AC764" s="5">
        <f t="shared" ca="1" si="11"/>
        <v>46232</v>
      </c>
      <c r="AD764" s="331">
        <f ca="1">_xlfn.DAYS(Table2[[#This Row],[HOJE]],Table2[[#This Row],[DATA PEDIDO HP]])</f>
        <v>292</v>
      </c>
      <c r="AE764" s="336" t="s">
        <v>43</v>
      </c>
    </row>
    <row r="765" spans="1:31" ht="14.45" hidden="1">
      <c r="A765" s="299" t="s">
        <v>2470</v>
      </c>
      <c r="B765" s="26">
        <v>45940</v>
      </c>
      <c r="C765" s="26">
        <v>45939</v>
      </c>
      <c r="D765" s="14" t="s">
        <v>2471</v>
      </c>
      <c r="E765" s="14" t="s">
        <v>2472</v>
      </c>
      <c r="F765" s="14" t="s">
        <v>640</v>
      </c>
      <c r="G765" s="14">
        <v>48500811</v>
      </c>
      <c r="H765" s="14" t="s">
        <v>2475</v>
      </c>
      <c r="I765" s="14" t="s">
        <v>2476</v>
      </c>
      <c r="J765" s="14">
        <v>1</v>
      </c>
      <c r="K765" s="14" t="s">
        <v>37</v>
      </c>
      <c r="L765" s="14" t="s">
        <v>96</v>
      </c>
      <c r="M765" s="14" t="s">
        <v>88</v>
      </c>
      <c r="N765" s="15" t="s">
        <v>89</v>
      </c>
      <c r="O765" s="15">
        <v>0</v>
      </c>
      <c r="P765" s="15"/>
      <c r="Q765" s="15">
        <v>143435</v>
      </c>
      <c r="R765" s="15"/>
      <c r="S765" s="25">
        <v>46000</v>
      </c>
      <c r="T765" s="25">
        <v>45979</v>
      </c>
      <c r="U765" s="25">
        <v>45993</v>
      </c>
      <c r="V765" s="15" t="s">
        <v>1290</v>
      </c>
      <c r="W765" s="15"/>
      <c r="X765" s="27">
        <v>294.68</v>
      </c>
      <c r="Y765" s="27">
        <f>Table2[[#This Row],[PREÇO UNITARIO]]*Table2[[#This Row],[QUANTIDADE]]</f>
        <v>294.68</v>
      </c>
      <c r="Z765" s="15"/>
      <c r="AA765" s="28">
        <f>MONTH(Table2[[#This Row],[DATA PEDIDO HP]])</f>
        <v>10</v>
      </c>
      <c r="AB765" s="32" t="s">
        <v>60</v>
      </c>
      <c r="AC765" s="5">
        <f t="shared" ca="1" si="11"/>
        <v>46232</v>
      </c>
      <c r="AD765" s="331">
        <f ca="1">_xlfn.DAYS(Table2[[#This Row],[HOJE]],Table2[[#This Row],[DATA PEDIDO HP]])</f>
        <v>292</v>
      </c>
      <c r="AE765" s="336" t="s">
        <v>43</v>
      </c>
    </row>
    <row r="766" spans="1:31" ht="14.45" hidden="1">
      <c r="A766" s="269" t="s">
        <v>2477</v>
      </c>
      <c r="B766" s="26">
        <v>45943</v>
      </c>
      <c r="C766" s="26">
        <v>45943</v>
      </c>
      <c r="D766" s="14" t="s">
        <v>2478</v>
      </c>
      <c r="E766" s="14" t="s">
        <v>33</v>
      </c>
      <c r="F766" s="14" t="s">
        <v>34</v>
      </c>
      <c r="G766" s="14">
        <v>50110193</v>
      </c>
      <c r="H766" s="14" t="s">
        <v>134</v>
      </c>
      <c r="I766" s="14" t="s">
        <v>2479</v>
      </c>
      <c r="J766" s="14">
        <v>1</v>
      </c>
      <c r="K766" s="14" t="s">
        <v>37</v>
      </c>
      <c r="L766" s="14" t="s">
        <v>48</v>
      </c>
      <c r="M766" s="14" t="s">
        <v>39</v>
      </c>
      <c r="N766" s="14" t="s">
        <v>39</v>
      </c>
      <c r="O766" s="15">
        <v>1</v>
      </c>
      <c r="P766" s="15">
        <v>1</v>
      </c>
      <c r="Q766" s="15">
        <v>143604</v>
      </c>
      <c r="R766" s="15"/>
      <c r="S766" s="25">
        <v>46048</v>
      </c>
      <c r="T766" s="25">
        <v>46042</v>
      </c>
      <c r="U766" s="25">
        <v>46055</v>
      </c>
      <c r="V766" s="15" t="s">
        <v>347</v>
      </c>
      <c r="W766" s="15"/>
      <c r="X766" s="159">
        <v>42.46</v>
      </c>
      <c r="Y766" s="159">
        <f>Table2[[#This Row],[PREÇO UNITARIO]]*Table2[[#This Row],[QUANTIDADE]]</f>
        <v>42.46</v>
      </c>
      <c r="Z766" s="15"/>
      <c r="AA766" s="28">
        <f>MONTH(Table2[[#This Row],[DATA PEDIDO HP]])</f>
        <v>10</v>
      </c>
      <c r="AB766" s="32" t="s">
        <v>42</v>
      </c>
      <c r="AC766" s="5">
        <f t="shared" ca="1" si="11"/>
        <v>46232</v>
      </c>
      <c r="AD766" s="331">
        <v>117</v>
      </c>
      <c r="AE766" s="331" t="s">
        <v>43</v>
      </c>
    </row>
    <row r="767" spans="1:31" ht="14.45" hidden="1">
      <c r="A767" s="269" t="s">
        <v>2477</v>
      </c>
      <c r="B767" s="26">
        <v>45943</v>
      </c>
      <c r="C767" s="26">
        <v>45943</v>
      </c>
      <c r="D767" s="14" t="s">
        <v>2478</v>
      </c>
      <c r="E767" s="14" t="s">
        <v>33</v>
      </c>
      <c r="F767" s="14" t="s">
        <v>34</v>
      </c>
      <c r="G767" s="14">
        <v>50110193</v>
      </c>
      <c r="H767" s="14" t="s">
        <v>136</v>
      </c>
      <c r="I767" s="14" t="s">
        <v>137</v>
      </c>
      <c r="J767" s="14">
        <v>1</v>
      </c>
      <c r="K767" s="14" t="s">
        <v>37</v>
      </c>
      <c r="L767" s="14" t="s">
        <v>48</v>
      </c>
      <c r="M767" s="14" t="s">
        <v>39</v>
      </c>
      <c r="N767" s="14" t="s">
        <v>39</v>
      </c>
      <c r="O767" s="15">
        <v>1</v>
      </c>
      <c r="P767" s="15">
        <v>1</v>
      </c>
      <c r="Q767" s="15">
        <v>143604</v>
      </c>
      <c r="R767" s="15"/>
      <c r="S767" s="25">
        <v>46060</v>
      </c>
      <c r="T767" s="25">
        <v>46042</v>
      </c>
      <c r="U767" s="25">
        <v>46055</v>
      </c>
      <c r="V767" s="15" t="s">
        <v>347</v>
      </c>
      <c r="W767" s="15"/>
      <c r="X767" s="159">
        <v>19.600000000000001</v>
      </c>
      <c r="Y767" s="159">
        <f>Table2[[#This Row],[PREÇO UNITARIO]]*Table2[[#This Row],[QUANTIDADE]]</f>
        <v>19.600000000000001</v>
      </c>
      <c r="Z767" s="15"/>
      <c r="AA767" s="28">
        <f>MONTH(Table2[[#This Row],[DATA PEDIDO HP]])</f>
        <v>10</v>
      </c>
      <c r="AB767" s="32" t="s">
        <v>42</v>
      </c>
      <c r="AC767" s="5">
        <f t="shared" ca="1" si="11"/>
        <v>46232</v>
      </c>
      <c r="AD767" s="331">
        <v>117</v>
      </c>
      <c r="AE767" s="331" t="s">
        <v>43</v>
      </c>
    </row>
    <row r="768" spans="1:31" ht="14.45" hidden="1">
      <c r="A768" s="269" t="s">
        <v>2480</v>
      </c>
      <c r="B768" s="26">
        <v>45943</v>
      </c>
      <c r="C768" s="26">
        <v>45943</v>
      </c>
      <c r="D768" s="14" t="s">
        <v>2481</v>
      </c>
      <c r="E768" s="14" t="s">
        <v>720</v>
      </c>
      <c r="F768" s="14" t="s">
        <v>64</v>
      </c>
      <c r="G768" s="14">
        <v>48000002</v>
      </c>
      <c r="H768" s="14" t="s">
        <v>335</v>
      </c>
      <c r="I768" s="14" t="s">
        <v>2482</v>
      </c>
      <c r="J768" s="14">
        <v>1</v>
      </c>
      <c r="K768" s="14" t="s">
        <v>37</v>
      </c>
      <c r="L768" s="14" t="s">
        <v>48</v>
      </c>
      <c r="M768" s="14" t="s">
        <v>58</v>
      </c>
      <c r="N768" s="14" t="s">
        <v>58</v>
      </c>
      <c r="O768" s="15">
        <v>1</v>
      </c>
      <c r="P768" s="15">
        <v>1</v>
      </c>
      <c r="Q768" s="15">
        <v>143521</v>
      </c>
      <c r="R768" s="15"/>
      <c r="S768" s="25"/>
      <c r="T768" s="25">
        <v>46042</v>
      </c>
      <c r="U768" s="25">
        <v>46055</v>
      </c>
      <c r="V768" s="15" t="s">
        <v>347</v>
      </c>
      <c r="W768" s="15"/>
      <c r="X768" s="159">
        <v>79.989999999999995</v>
      </c>
      <c r="Y768" s="159">
        <f>Table2[[#This Row],[PREÇO UNITARIO]]*Table2[[#This Row],[QUANTIDADE]]</f>
        <v>79.989999999999995</v>
      </c>
      <c r="Z768" s="15"/>
      <c r="AA768" s="28">
        <f>MONTH(Table2[[#This Row],[DATA PEDIDO HP]])</f>
        <v>10</v>
      </c>
      <c r="AB768" s="32" t="s">
        <v>60</v>
      </c>
      <c r="AC768" s="5">
        <f t="shared" ca="1" si="11"/>
        <v>46232</v>
      </c>
      <c r="AD768" s="331">
        <f ca="1">_xlfn.DAYS(Table2[[#This Row],[HOJE]],Table2[[#This Row],[DATA PEDIDO HP]])</f>
        <v>289</v>
      </c>
      <c r="AE768" s="331" t="str">
        <f ca="1">IF(Table2[[#This Row],[HOLD]]&gt;30,"ATRASADO","NO PRAZO")</f>
        <v>ATRASADO</v>
      </c>
    </row>
    <row r="769" spans="1:31" ht="14.45" hidden="1">
      <c r="A769" s="269" t="s">
        <v>2483</v>
      </c>
      <c r="B769" s="26">
        <v>45943</v>
      </c>
      <c r="C769" s="26">
        <v>45943</v>
      </c>
      <c r="D769" s="14" t="s">
        <v>2484</v>
      </c>
      <c r="E769" s="14" t="s">
        <v>109</v>
      </c>
      <c r="F769" s="14" t="s">
        <v>34</v>
      </c>
      <c r="G769" s="14">
        <v>50110229</v>
      </c>
      <c r="H769" s="14" t="s">
        <v>136</v>
      </c>
      <c r="I769" s="14" t="s">
        <v>137</v>
      </c>
      <c r="J769" s="14">
        <v>1</v>
      </c>
      <c r="K769" s="14" t="s">
        <v>37</v>
      </c>
      <c r="L769" s="14" t="s">
        <v>96</v>
      </c>
      <c r="M769" s="14" t="s">
        <v>39</v>
      </c>
      <c r="N769" s="14" t="s">
        <v>39</v>
      </c>
      <c r="O769" s="15">
        <v>1</v>
      </c>
      <c r="P769" s="15">
        <v>1</v>
      </c>
      <c r="Q769" s="15">
        <v>143603</v>
      </c>
      <c r="R769" s="15"/>
      <c r="S769" s="25">
        <v>46062</v>
      </c>
      <c r="T769" s="25">
        <v>46042</v>
      </c>
      <c r="U769" s="25">
        <v>46055</v>
      </c>
      <c r="V769" s="15" t="s">
        <v>347</v>
      </c>
      <c r="W769" s="15"/>
      <c r="X769" s="159">
        <v>19.600000000000001</v>
      </c>
      <c r="Y769" s="159">
        <f>Table2[[#This Row],[PREÇO UNITARIO]]*Table2[[#This Row],[QUANTIDADE]]</f>
        <v>19.600000000000001</v>
      </c>
      <c r="Z769" s="15"/>
      <c r="AA769" s="28">
        <f>MONTH(Table2[[#This Row],[DATA PEDIDO HP]])</f>
        <v>10</v>
      </c>
      <c r="AB769" s="32" t="s">
        <v>42</v>
      </c>
      <c r="AC769" s="5">
        <f t="shared" ca="1" si="11"/>
        <v>46232</v>
      </c>
      <c r="AD769" s="331">
        <f ca="1">_xlfn.DAYS(Table2[[#This Row],[HOJE]],Table2[[#This Row],[DATA PEDIDO HP]])</f>
        <v>289</v>
      </c>
      <c r="AE769" s="331" t="s">
        <v>43</v>
      </c>
    </row>
    <row r="770" spans="1:31" ht="14.45" hidden="1">
      <c r="A770" s="286" t="s">
        <v>2485</v>
      </c>
      <c r="B770" s="26">
        <v>45964</v>
      </c>
      <c r="C770" s="26">
        <v>45943</v>
      </c>
      <c r="D770" s="14" t="s">
        <v>2486</v>
      </c>
      <c r="E770" s="14" t="s">
        <v>720</v>
      </c>
      <c r="F770" s="14" t="s">
        <v>64</v>
      </c>
      <c r="G770" s="14">
        <v>48000002</v>
      </c>
      <c r="H770" s="14" t="s">
        <v>2487</v>
      </c>
      <c r="I770" s="14" t="s">
        <v>2488</v>
      </c>
      <c r="J770" s="14">
        <v>1</v>
      </c>
      <c r="K770" s="14" t="s">
        <v>37</v>
      </c>
      <c r="L770" s="14" t="s">
        <v>48</v>
      </c>
      <c r="M770" s="14" t="s">
        <v>58</v>
      </c>
      <c r="N770" s="14" t="s">
        <v>58</v>
      </c>
      <c r="O770" s="14">
        <v>1</v>
      </c>
      <c r="P770" s="14">
        <v>0</v>
      </c>
      <c r="Q770" s="14">
        <v>142637</v>
      </c>
      <c r="R770" s="14"/>
      <c r="S770" s="26"/>
      <c r="T770" s="25">
        <v>46042</v>
      </c>
      <c r="U770" s="25">
        <v>46055</v>
      </c>
      <c r="V770" s="14" t="s">
        <v>347</v>
      </c>
      <c r="W770" s="14"/>
      <c r="X770" s="356">
        <v>1330.84</v>
      </c>
      <c r="Y770" s="355">
        <f>Table2[[#This Row],[PREÇO UNITARIO]]*Table2[[#This Row],[QUANTIDADE]]</f>
        <v>1330.84</v>
      </c>
      <c r="Z770" s="289"/>
      <c r="AA770" s="290">
        <f>MONTH(Table2[[#This Row],[DATA PEDIDO HP]])</f>
        <v>11</v>
      </c>
      <c r="AB770" s="290" t="s">
        <v>60</v>
      </c>
      <c r="AC770" s="5">
        <f t="shared" ref="AC770:AC833" ca="1" si="12">TODAY()</f>
        <v>46232</v>
      </c>
      <c r="AD770" s="331">
        <f ca="1">_xlfn.DAYS(Table2[[#This Row],[HOJE]],Table2[[#This Row],[DATA PEDIDO HP]])</f>
        <v>268</v>
      </c>
      <c r="AE770" s="331" t="str">
        <f ca="1">IF(Table2[[#This Row],[HOLD]]&gt;30,"ATRASADO","NO PRAZO")</f>
        <v>ATRASADO</v>
      </c>
    </row>
    <row r="771" spans="1:31" ht="14.45" hidden="1">
      <c r="A771" s="286" t="s">
        <v>2489</v>
      </c>
      <c r="B771" s="26">
        <v>45964</v>
      </c>
      <c r="C771" s="26">
        <v>45943</v>
      </c>
      <c r="D771" s="14" t="s">
        <v>2490</v>
      </c>
      <c r="E771" s="14" t="s">
        <v>33</v>
      </c>
      <c r="F771" s="14" t="s">
        <v>2491</v>
      </c>
      <c r="G771" s="14">
        <v>50110193</v>
      </c>
      <c r="H771" s="14" t="s">
        <v>80</v>
      </c>
      <c r="I771" s="14" t="s">
        <v>81</v>
      </c>
      <c r="J771" s="14">
        <v>1</v>
      </c>
      <c r="K771" s="14" t="s">
        <v>67</v>
      </c>
      <c r="L771" s="14" t="s">
        <v>96</v>
      </c>
      <c r="M771" s="14" t="s">
        <v>39</v>
      </c>
      <c r="N771" s="14" t="s">
        <v>39</v>
      </c>
      <c r="O771" s="14">
        <v>1</v>
      </c>
      <c r="P771" s="14">
        <v>1</v>
      </c>
      <c r="Q771" s="14"/>
      <c r="R771" s="14"/>
      <c r="S771" s="25">
        <v>46060</v>
      </c>
      <c r="T771" s="25">
        <v>46042</v>
      </c>
      <c r="U771" s="25">
        <v>46055</v>
      </c>
      <c r="V771" s="14" t="s">
        <v>347</v>
      </c>
      <c r="W771" s="14"/>
      <c r="X771" s="356">
        <v>49.81</v>
      </c>
      <c r="Y771" s="355">
        <f>Table2[[#This Row],[PREÇO UNITARIO]]*Table2[[#This Row],[QUANTIDADE]]</f>
        <v>49.81</v>
      </c>
      <c r="Z771" s="289"/>
      <c r="AA771" s="290">
        <f>MONTH(Table2[[#This Row],[DATA PEDIDO HP]])</f>
        <v>11</v>
      </c>
      <c r="AB771" s="290" t="s">
        <v>42</v>
      </c>
      <c r="AC771" s="5">
        <f t="shared" ca="1" si="12"/>
        <v>46232</v>
      </c>
      <c r="AD771" s="331">
        <v>96</v>
      </c>
      <c r="AE771" s="331" t="s">
        <v>43</v>
      </c>
    </row>
    <row r="772" spans="1:31" ht="14.45" hidden="1">
      <c r="A772" s="286" t="s">
        <v>2492</v>
      </c>
      <c r="B772" s="26">
        <v>45964</v>
      </c>
      <c r="C772" s="26">
        <v>45944</v>
      </c>
      <c r="D772" s="14" t="s">
        <v>2493</v>
      </c>
      <c r="E772" s="14" t="s">
        <v>33</v>
      </c>
      <c r="F772" s="14" t="s">
        <v>2491</v>
      </c>
      <c r="G772" s="14">
        <v>50110193</v>
      </c>
      <c r="H772" s="14" t="s">
        <v>545</v>
      </c>
      <c r="I772" s="14" t="s">
        <v>2140</v>
      </c>
      <c r="J772" s="14">
        <v>1</v>
      </c>
      <c r="K772" s="14" t="s">
        <v>37</v>
      </c>
      <c r="L772" s="14" t="s">
        <v>48</v>
      </c>
      <c r="M772" s="14" t="s">
        <v>39</v>
      </c>
      <c r="N772" s="14" t="s">
        <v>39</v>
      </c>
      <c r="O772" s="14">
        <v>1</v>
      </c>
      <c r="P772" s="14">
        <v>1</v>
      </c>
      <c r="Q772" s="14">
        <v>143617</v>
      </c>
      <c r="R772" s="14"/>
      <c r="S772" s="25">
        <v>46060</v>
      </c>
      <c r="T772" s="25">
        <v>46042</v>
      </c>
      <c r="U772" s="25">
        <v>46055</v>
      </c>
      <c r="V772" s="14" t="s">
        <v>347</v>
      </c>
      <c r="W772" s="14"/>
      <c r="X772" s="356">
        <v>898.2</v>
      </c>
      <c r="Y772" s="355">
        <f>Table2[[#This Row],[PREÇO UNITARIO]]*Table2[[#This Row],[QUANTIDADE]]</f>
        <v>898.2</v>
      </c>
      <c r="Z772" s="289"/>
      <c r="AA772" s="290">
        <f>MONTH(Table2[[#This Row],[DATA PEDIDO HP]])</f>
        <v>11</v>
      </c>
      <c r="AB772" s="290" t="s">
        <v>42</v>
      </c>
      <c r="AC772" s="5">
        <f t="shared" ca="1" si="12"/>
        <v>46232</v>
      </c>
      <c r="AD772" s="331">
        <v>96</v>
      </c>
      <c r="AE772" s="331" t="s">
        <v>43</v>
      </c>
    </row>
    <row r="773" spans="1:31" ht="14.45" hidden="1">
      <c r="A773" s="286" t="s">
        <v>2494</v>
      </c>
      <c r="B773" s="26">
        <v>45964</v>
      </c>
      <c r="C773" s="26">
        <v>45945</v>
      </c>
      <c r="D773" s="14" t="s">
        <v>2495</v>
      </c>
      <c r="E773" s="14" t="s">
        <v>381</v>
      </c>
      <c r="F773" s="14" t="s">
        <v>2496</v>
      </c>
      <c r="G773" s="14">
        <v>50000351</v>
      </c>
      <c r="H773" s="14" t="s">
        <v>879</v>
      </c>
      <c r="I773" s="14" t="s">
        <v>1126</v>
      </c>
      <c r="J773" s="14">
        <v>1</v>
      </c>
      <c r="K773" s="14" t="s">
        <v>37</v>
      </c>
      <c r="L773" s="14" t="s">
        <v>68</v>
      </c>
      <c r="M773" s="14" t="s">
        <v>58</v>
      </c>
      <c r="N773" s="14" t="s">
        <v>58</v>
      </c>
      <c r="O773" s="14">
        <v>1</v>
      </c>
      <c r="P773" s="14">
        <v>1</v>
      </c>
      <c r="Q773" s="14"/>
      <c r="R773" s="14"/>
      <c r="S773" s="26"/>
      <c r="T773" s="25">
        <v>46042</v>
      </c>
      <c r="U773" s="25">
        <v>46055</v>
      </c>
      <c r="V773" s="14" t="s">
        <v>347</v>
      </c>
      <c r="W773" s="14"/>
      <c r="X773" s="356">
        <v>317.92</v>
      </c>
      <c r="Y773" s="355">
        <f>Table2[[#This Row],[PREÇO UNITARIO]]*Table2[[#This Row],[QUANTIDADE]]</f>
        <v>317.92</v>
      </c>
      <c r="Z773" s="289"/>
      <c r="AA773" s="290">
        <f>MONTH(Table2[[#This Row],[DATA PEDIDO HP]])</f>
        <v>11</v>
      </c>
      <c r="AB773" s="290" t="s">
        <v>60</v>
      </c>
      <c r="AC773" s="5">
        <f t="shared" ca="1" si="12"/>
        <v>46232</v>
      </c>
      <c r="AD773" s="331">
        <f ca="1">_xlfn.DAYS(Table2[[#This Row],[HOJE]],Table2[[#This Row],[DATA PEDIDO HP]])</f>
        <v>268</v>
      </c>
      <c r="AE773" s="331" t="str">
        <f ca="1">IF(Table2[[#This Row],[HOLD]]&gt;30,"ATRASADO","NO PRAZO")</f>
        <v>ATRASADO</v>
      </c>
    </row>
    <row r="774" spans="1:31" ht="14.45" hidden="1">
      <c r="A774" s="286" t="s">
        <v>2497</v>
      </c>
      <c r="B774" s="26">
        <v>45964</v>
      </c>
      <c r="C774" s="26">
        <v>45943</v>
      </c>
      <c r="D774" s="14" t="s">
        <v>2498</v>
      </c>
      <c r="E774" s="14" t="s">
        <v>93</v>
      </c>
      <c r="F774" s="14" t="s">
        <v>74</v>
      </c>
      <c r="G774" s="14">
        <v>50000202</v>
      </c>
      <c r="H774" s="14" t="s">
        <v>2499</v>
      </c>
      <c r="I774" s="14" t="s">
        <v>2500</v>
      </c>
      <c r="J774" s="14">
        <v>1</v>
      </c>
      <c r="K774" s="14" t="s">
        <v>37</v>
      </c>
      <c r="L774" s="14" t="s">
        <v>459</v>
      </c>
      <c r="M774" s="14" t="s">
        <v>58</v>
      </c>
      <c r="N774" s="14" t="s">
        <v>58</v>
      </c>
      <c r="O774" s="14">
        <v>0</v>
      </c>
      <c r="P774" s="14"/>
      <c r="Q774" s="14">
        <v>143432</v>
      </c>
      <c r="R774" s="14" t="s">
        <v>2501</v>
      </c>
      <c r="S774" s="26">
        <v>45973</v>
      </c>
      <c r="T774" s="25">
        <v>46042</v>
      </c>
      <c r="U774" s="25">
        <v>46055</v>
      </c>
      <c r="V774" s="14" t="s">
        <v>347</v>
      </c>
      <c r="W774" s="14"/>
      <c r="X774" s="356">
        <v>582.69000000000005</v>
      </c>
      <c r="Y774" s="355">
        <f>Table2[[#This Row],[PREÇO UNITARIO]]*Table2[[#This Row],[QUANTIDADE]]</f>
        <v>582.69000000000005</v>
      </c>
      <c r="Z774" s="289"/>
      <c r="AA774" s="290">
        <f>MONTH(Table2[[#This Row],[DATA PEDIDO HP]])</f>
        <v>11</v>
      </c>
      <c r="AB774" s="290" t="s">
        <v>60</v>
      </c>
      <c r="AC774" s="5">
        <f t="shared" ca="1" si="12"/>
        <v>46232</v>
      </c>
      <c r="AD774" s="331">
        <f ca="1">_xlfn.DAYS(Table2[[#This Row],[HOJE]],Table2[[#This Row],[DATA PEDIDO HP]])</f>
        <v>268</v>
      </c>
      <c r="AE774" s="331" t="s">
        <v>43</v>
      </c>
    </row>
    <row r="775" spans="1:31" ht="14.45" hidden="1">
      <c r="A775" s="269" t="s">
        <v>2502</v>
      </c>
      <c r="B775" s="26">
        <v>45945</v>
      </c>
      <c r="C775" s="26">
        <v>45945</v>
      </c>
      <c r="D775" s="14" t="s">
        <v>2503</v>
      </c>
      <c r="E775" s="14" t="s">
        <v>73</v>
      </c>
      <c r="F775" s="14" t="s">
        <v>203</v>
      </c>
      <c r="G775" s="14">
        <v>60002095</v>
      </c>
      <c r="H775" s="14" t="s">
        <v>691</v>
      </c>
      <c r="I775" s="14" t="s">
        <v>2504</v>
      </c>
      <c r="J775" s="14">
        <v>1</v>
      </c>
      <c r="K775" s="14" t="s">
        <v>67</v>
      </c>
      <c r="L775" s="14" t="s">
        <v>68</v>
      </c>
      <c r="M775" s="14" t="s">
        <v>88</v>
      </c>
      <c r="N775" s="15" t="s">
        <v>89</v>
      </c>
      <c r="O775" s="15">
        <v>1</v>
      </c>
      <c r="P775" s="15">
        <v>1</v>
      </c>
      <c r="Q775" s="15"/>
      <c r="R775" s="15"/>
      <c r="S775" s="25"/>
      <c r="T775" s="25">
        <v>46007</v>
      </c>
      <c r="U775" s="25">
        <v>46031</v>
      </c>
      <c r="V775" s="15" t="s">
        <v>1775</v>
      </c>
      <c r="W775" s="15"/>
      <c r="X775" s="27">
        <v>2040.97</v>
      </c>
      <c r="Y775" s="27">
        <f>Table2[[#This Row],[PREÇO UNITARIO]]*Table2[[#This Row],[QUANTIDADE]]</f>
        <v>2040.97</v>
      </c>
      <c r="Z775" s="15"/>
      <c r="AA775" s="28">
        <f>MONTH(Table2[[#This Row],[DATA PEDIDO HP]])</f>
        <v>10</v>
      </c>
      <c r="AB775" s="32" t="s">
        <v>42</v>
      </c>
      <c r="AC775" s="5">
        <f t="shared" ca="1" si="12"/>
        <v>46232</v>
      </c>
      <c r="AD775" s="331">
        <f ca="1">_xlfn.DAYS(Table2[[#This Row],[HOJE]],Table2[[#This Row],[DATA PEDIDO HP]])</f>
        <v>287</v>
      </c>
      <c r="AE775" s="5" t="s">
        <v>43</v>
      </c>
    </row>
    <row r="776" spans="1:31" ht="14.45" hidden="1">
      <c r="A776" s="269" t="s">
        <v>2505</v>
      </c>
      <c r="B776" s="26">
        <v>45946</v>
      </c>
      <c r="C776" s="26">
        <v>45946</v>
      </c>
      <c r="D776" s="14" t="s">
        <v>2506</v>
      </c>
      <c r="E776" s="14" t="s">
        <v>73</v>
      </c>
      <c r="F776" s="14" t="s">
        <v>34</v>
      </c>
      <c r="G776" s="14">
        <v>50110372</v>
      </c>
      <c r="H776" s="14" t="s">
        <v>2507</v>
      </c>
      <c r="I776" s="14" t="s">
        <v>2508</v>
      </c>
      <c r="J776" s="14">
        <v>1</v>
      </c>
      <c r="K776" s="14" t="s">
        <v>67</v>
      </c>
      <c r="L776" s="14" t="s">
        <v>68</v>
      </c>
      <c r="M776" s="14" t="s">
        <v>88</v>
      </c>
      <c r="N776" s="15" t="s">
        <v>89</v>
      </c>
      <c r="O776" s="15">
        <v>1</v>
      </c>
      <c r="P776" s="15">
        <v>1</v>
      </c>
      <c r="Q776" s="15">
        <v>143551</v>
      </c>
      <c r="R776" s="15"/>
      <c r="S776" s="25">
        <v>46035</v>
      </c>
      <c r="T776" s="25">
        <v>46007</v>
      </c>
      <c r="U776" s="25">
        <v>46031</v>
      </c>
      <c r="V776" s="15" t="s">
        <v>1775</v>
      </c>
      <c r="W776" s="15"/>
      <c r="X776" s="27">
        <v>1330.88</v>
      </c>
      <c r="Y776" s="27">
        <f>Table2[[#This Row],[PREÇO UNITARIO]]*Table2[[#This Row],[QUANTIDADE]]</f>
        <v>1330.88</v>
      </c>
      <c r="Z776" s="15"/>
      <c r="AA776" s="28">
        <f>MONTH(Table2[[#This Row],[DATA PEDIDO HP]])</f>
        <v>10</v>
      </c>
      <c r="AB776" s="32" t="s">
        <v>42</v>
      </c>
      <c r="AC776" s="5">
        <f t="shared" ca="1" si="12"/>
        <v>46232</v>
      </c>
      <c r="AD776" s="331">
        <f ca="1">_xlfn.DAYS(Table2[[#This Row],[HOJE]],Table2[[#This Row],[DATA PEDIDO HP]])</f>
        <v>286</v>
      </c>
      <c r="AE776" s="336" t="s">
        <v>43</v>
      </c>
    </row>
    <row r="777" spans="1:31" ht="14.45" hidden="1">
      <c r="A777" s="286" t="s">
        <v>2509</v>
      </c>
      <c r="B777" s="26">
        <v>45964</v>
      </c>
      <c r="C777" s="26">
        <v>45946</v>
      </c>
      <c r="D777" s="14" t="s">
        <v>2510</v>
      </c>
      <c r="E777" s="14" t="s">
        <v>2132</v>
      </c>
      <c r="F777" s="14" t="s">
        <v>203</v>
      </c>
      <c r="G777" s="14">
        <v>60001111</v>
      </c>
      <c r="H777" s="14" t="s">
        <v>545</v>
      </c>
      <c r="I777" s="14" t="s">
        <v>2140</v>
      </c>
      <c r="J777" s="14">
        <v>1</v>
      </c>
      <c r="K777" s="14" t="s">
        <v>37</v>
      </c>
      <c r="L777" s="14" t="s">
        <v>48</v>
      </c>
      <c r="M777" s="14" t="s">
        <v>58</v>
      </c>
      <c r="N777" s="14" t="s">
        <v>58</v>
      </c>
      <c r="O777" s="14">
        <v>1</v>
      </c>
      <c r="P777" s="14">
        <v>1</v>
      </c>
      <c r="Q777" s="14">
        <v>133430</v>
      </c>
      <c r="R777" s="14"/>
      <c r="S777" s="26"/>
      <c r="T777" s="25">
        <v>46042</v>
      </c>
      <c r="U777" s="25">
        <v>46055</v>
      </c>
      <c r="V777" s="14" t="s">
        <v>347</v>
      </c>
      <c r="W777" s="14"/>
      <c r="X777" s="356">
        <v>898.2</v>
      </c>
      <c r="Y777" s="355">
        <f>Table2[[#This Row],[PREÇO UNITARIO]]*Table2[[#This Row],[QUANTIDADE]]</f>
        <v>898.2</v>
      </c>
      <c r="Z777" s="289"/>
      <c r="AA777" s="290">
        <f>MONTH(Table2[[#This Row],[DATA PEDIDO HP]])</f>
        <v>11</v>
      </c>
      <c r="AB777" s="290" t="s">
        <v>42</v>
      </c>
      <c r="AC777" s="5">
        <f t="shared" ca="1" si="12"/>
        <v>46232</v>
      </c>
      <c r="AD777" s="331">
        <f ca="1">_xlfn.DAYS(Table2[[#This Row],[HOJE]],Table2[[#This Row],[DATA PEDIDO HP]])</f>
        <v>268</v>
      </c>
      <c r="AE777" s="5" t="s">
        <v>43</v>
      </c>
    </row>
    <row r="778" spans="1:31" ht="14.45" hidden="1">
      <c r="A778" s="269" t="s">
        <v>2511</v>
      </c>
      <c r="B778" s="26">
        <v>45947</v>
      </c>
      <c r="C778" s="26">
        <v>45946</v>
      </c>
      <c r="D778" s="14" t="s">
        <v>2512</v>
      </c>
      <c r="E778" s="14" t="s">
        <v>118</v>
      </c>
      <c r="F778" s="14" t="s">
        <v>64</v>
      </c>
      <c r="G778" s="14">
        <v>48000044</v>
      </c>
      <c r="H778" s="14" t="s">
        <v>736</v>
      </c>
      <c r="I778" s="14" t="s">
        <v>1145</v>
      </c>
      <c r="J778" s="14">
        <v>1</v>
      </c>
      <c r="K778" s="14" t="s">
        <v>37</v>
      </c>
      <c r="L778" s="14" t="s">
        <v>48</v>
      </c>
      <c r="M778" s="14" t="s">
        <v>58</v>
      </c>
      <c r="N778" s="14" t="s">
        <v>58</v>
      </c>
      <c r="O778" s="15">
        <v>1</v>
      </c>
      <c r="P778" s="15">
        <v>1</v>
      </c>
      <c r="Q778" s="15">
        <v>143645</v>
      </c>
      <c r="R778" s="15"/>
      <c r="S778" s="25"/>
      <c r="T778" s="25">
        <v>45956</v>
      </c>
      <c r="U778" s="25">
        <v>45960</v>
      </c>
      <c r="V778" s="15" t="s">
        <v>69</v>
      </c>
      <c r="W778" s="15"/>
      <c r="X778" s="27">
        <v>180.46</v>
      </c>
      <c r="Y778" s="27">
        <f>Table2[[#This Row],[PREÇO UNITARIO]]*Table2[[#This Row],[QUANTIDADE]]</f>
        <v>180.46</v>
      </c>
      <c r="Z778" s="15"/>
      <c r="AA778" s="28">
        <f>MONTH(Table2[[#This Row],[DATA PEDIDO HP]])</f>
        <v>10</v>
      </c>
      <c r="AB778" s="32" t="s">
        <v>60</v>
      </c>
      <c r="AC778" s="5">
        <f t="shared" ca="1" si="12"/>
        <v>46232</v>
      </c>
      <c r="AD778" s="331">
        <f ca="1">_xlfn.DAYS(Table2[[#This Row],[HOJE]],Table2[[#This Row],[DATA PEDIDO HP]])</f>
        <v>285</v>
      </c>
      <c r="AE778" s="5" t="s">
        <v>43</v>
      </c>
    </row>
    <row r="779" spans="1:31" ht="14.45" hidden="1">
      <c r="A779" s="269" t="s">
        <v>2513</v>
      </c>
      <c r="B779" s="26">
        <v>45947</v>
      </c>
      <c r="C779" s="26">
        <v>45947</v>
      </c>
      <c r="D779" s="14" t="s">
        <v>2514</v>
      </c>
      <c r="E779" s="14" t="s">
        <v>402</v>
      </c>
      <c r="F779" s="14" t="s">
        <v>403</v>
      </c>
      <c r="G779" s="14">
        <v>50300141</v>
      </c>
      <c r="H779" s="14" t="s">
        <v>545</v>
      </c>
      <c r="I779" s="14" t="s">
        <v>2140</v>
      </c>
      <c r="J779" s="14">
        <v>1</v>
      </c>
      <c r="K779" s="14" t="s">
        <v>37</v>
      </c>
      <c r="L779" s="14" t="s">
        <v>96</v>
      </c>
      <c r="M779" s="14" t="s">
        <v>58</v>
      </c>
      <c r="N779" s="14" t="s">
        <v>58</v>
      </c>
      <c r="O779" s="15">
        <v>1</v>
      </c>
      <c r="P779" s="15">
        <v>1</v>
      </c>
      <c r="Q779" s="15">
        <v>143652</v>
      </c>
      <c r="R779" s="15"/>
      <c r="S779" s="25"/>
      <c r="T779" s="25">
        <v>46007</v>
      </c>
      <c r="U779" s="25">
        <v>46031</v>
      </c>
      <c r="V779" s="15" t="s">
        <v>1775</v>
      </c>
      <c r="W779" s="15"/>
      <c r="X779" s="27">
        <v>898.2</v>
      </c>
      <c r="Y779" s="27">
        <f>Table2[[#This Row],[PREÇO UNITARIO]]*Table2[[#This Row],[QUANTIDADE]]</f>
        <v>898.2</v>
      </c>
      <c r="Z779" s="15"/>
      <c r="AA779" s="28">
        <f>MONTH(Table2[[#This Row],[DATA PEDIDO HP]])</f>
        <v>10</v>
      </c>
      <c r="AB779" s="32" t="s">
        <v>60</v>
      </c>
      <c r="AC779" s="5">
        <f t="shared" ca="1" si="12"/>
        <v>46232</v>
      </c>
      <c r="AD779" s="331">
        <f ca="1">_xlfn.DAYS(Table2[[#This Row],[HOJE]],Table2[[#This Row],[DATA PEDIDO HP]])</f>
        <v>285</v>
      </c>
      <c r="AE779" s="5" t="s">
        <v>43</v>
      </c>
    </row>
    <row r="780" spans="1:31" ht="14.45" hidden="1">
      <c r="A780" s="286" t="s">
        <v>2515</v>
      </c>
      <c r="B780" s="26">
        <v>45967</v>
      </c>
      <c r="C780" s="26">
        <v>45947</v>
      </c>
      <c r="D780" s="14" t="s">
        <v>2516</v>
      </c>
      <c r="E780" s="14" t="s">
        <v>2472</v>
      </c>
      <c r="F780" s="14" t="s">
        <v>640</v>
      </c>
      <c r="G780" s="14">
        <v>48500811</v>
      </c>
      <c r="H780" s="14" t="s">
        <v>2517</v>
      </c>
      <c r="I780" s="14" t="s">
        <v>2518</v>
      </c>
      <c r="J780" s="14">
        <v>1</v>
      </c>
      <c r="K780" s="14" t="s">
        <v>37</v>
      </c>
      <c r="L780" s="14" t="s">
        <v>96</v>
      </c>
      <c r="M780" s="14" t="s">
        <v>88</v>
      </c>
      <c r="N780" s="14" t="s">
        <v>89</v>
      </c>
      <c r="O780" s="14">
        <v>0</v>
      </c>
      <c r="P780" s="14">
        <v>1</v>
      </c>
      <c r="Q780" s="14">
        <v>143435</v>
      </c>
      <c r="R780" s="14"/>
      <c r="S780" s="26">
        <v>46091</v>
      </c>
      <c r="T780" s="26">
        <v>46070</v>
      </c>
      <c r="U780" s="26"/>
      <c r="V780" s="14" t="s">
        <v>2519</v>
      </c>
      <c r="W780" s="14"/>
      <c r="X780" s="287">
        <v>3727.5</v>
      </c>
      <c r="Y780" s="288">
        <f>Table2[[#This Row],[PREÇO UNITARIO]]*Table2[[#This Row],[QUANTIDADE]]</f>
        <v>3727.5</v>
      </c>
      <c r="Z780" s="289"/>
      <c r="AA780" s="290">
        <f>MONTH(Table2[[#This Row],[DATA PEDIDO HP]])</f>
        <v>11</v>
      </c>
      <c r="AB780" s="290" t="s">
        <v>60</v>
      </c>
      <c r="AC780" s="5">
        <f t="shared" ca="1" si="12"/>
        <v>46232</v>
      </c>
      <c r="AD780" s="331">
        <f ca="1">_xlfn.DAYS(Table2[[#This Row],[HOJE]],Table2[[#This Row],[DATA PEDIDO HP]])</f>
        <v>265</v>
      </c>
      <c r="AE780" s="336" t="s">
        <v>43</v>
      </c>
    </row>
    <row r="781" spans="1:31" ht="14.45" hidden="1">
      <c r="A781" s="286" t="s">
        <v>2520</v>
      </c>
      <c r="B781" s="26">
        <v>45964</v>
      </c>
      <c r="C781" s="26">
        <v>45947</v>
      </c>
      <c r="D781" s="14" t="s">
        <v>2521</v>
      </c>
      <c r="E781" s="14" t="s">
        <v>181</v>
      </c>
      <c r="F781" s="14" t="s">
        <v>2491</v>
      </c>
      <c r="G781" s="14">
        <v>50110057</v>
      </c>
      <c r="H781" s="14" t="s">
        <v>1230</v>
      </c>
      <c r="I781" s="14" t="s">
        <v>2522</v>
      </c>
      <c r="J781" s="14">
        <v>1</v>
      </c>
      <c r="K781" s="14" t="s">
        <v>37</v>
      </c>
      <c r="L781" s="14" t="s">
        <v>48</v>
      </c>
      <c r="M781" s="14" t="s">
        <v>58</v>
      </c>
      <c r="N781" s="14" t="s">
        <v>58</v>
      </c>
      <c r="O781" s="14">
        <v>1</v>
      </c>
      <c r="P781" s="14">
        <v>1</v>
      </c>
      <c r="Q781" s="14">
        <v>143661</v>
      </c>
      <c r="R781" s="14"/>
      <c r="S781" s="26"/>
      <c r="T781" s="25">
        <v>46042</v>
      </c>
      <c r="U781" s="25">
        <v>46055</v>
      </c>
      <c r="V781" s="14" t="s">
        <v>347</v>
      </c>
      <c r="W781" s="14"/>
      <c r="X781" s="356">
        <v>219.2</v>
      </c>
      <c r="Y781" s="355">
        <f>Table2[[#This Row],[PREÇO UNITARIO]]*Table2[[#This Row],[QUANTIDADE]]</f>
        <v>219.2</v>
      </c>
      <c r="Z781" s="289"/>
      <c r="AA781" s="290">
        <f>MONTH(Table2[[#This Row],[DATA PEDIDO HP]])</f>
        <v>11</v>
      </c>
      <c r="AB781" s="290" t="s">
        <v>42</v>
      </c>
      <c r="AC781" s="5">
        <f t="shared" ca="1" si="12"/>
        <v>46232</v>
      </c>
      <c r="AD781" s="331">
        <f ca="1">_xlfn.DAYS(Table2[[#This Row],[HOJE]],Table2[[#This Row],[DATA PEDIDO HP]])</f>
        <v>268</v>
      </c>
      <c r="AE781" s="331" t="str">
        <f ca="1">IF(Table2[[#This Row],[HOLD]]&gt;30,"ATRASADO","NO PRAZO")</f>
        <v>ATRASADO</v>
      </c>
    </row>
    <row r="782" spans="1:31" ht="14.45" hidden="1">
      <c r="A782" s="286" t="s">
        <v>2523</v>
      </c>
      <c r="B782" s="26">
        <v>45964</v>
      </c>
      <c r="C782" s="26">
        <v>45947</v>
      </c>
      <c r="D782" s="14" t="s">
        <v>2524</v>
      </c>
      <c r="E782" s="14" t="s">
        <v>445</v>
      </c>
      <c r="F782" s="14" t="s">
        <v>403</v>
      </c>
      <c r="G782" s="14">
        <v>50300097</v>
      </c>
      <c r="H782" s="14" t="s">
        <v>1872</v>
      </c>
      <c r="I782" s="14" t="s">
        <v>1873</v>
      </c>
      <c r="J782" s="14">
        <v>1</v>
      </c>
      <c r="K782" s="14" t="s">
        <v>67</v>
      </c>
      <c r="L782" s="14" t="s">
        <v>48</v>
      </c>
      <c r="M782" s="14" t="s">
        <v>88</v>
      </c>
      <c r="N782" s="14" t="s">
        <v>89</v>
      </c>
      <c r="O782" s="14">
        <v>0</v>
      </c>
      <c r="P782" s="14">
        <v>1</v>
      </c>
      <c r="Q782" s="14">
        <v>143659</v>
      </c>
      <c r="R782" s="14"/>
      <c r="S782" s="25">
        <v>46066</v>
      </c>
      <c r="T782" s="25">
        <v>46042</v>
      </c>
      <c r="U782" s="25">
        <v>46055</v>
      </c>
      <c r="V782" s="14" t="s">
        <v>347</v>
      </c>
      <c r="W782" s="14"/>
      <c r="X782" s="356">
        <v>29.89</v>
      </c>
      <c r="Y782" s="355">
        <f>Table2[[#This Row],[PREÇO UNITARIO]]*Table2[[#This Row],[QUANTIDADE]]</f>
        <v>29.89</v>
      </c>
      <c r="Z782" s="289"/>
      <c r="AA782" s="290">
        <f>MONTH(Table2[[#This Row],[DATA PEDIDO HP]])</f>
        <v>11</v>
      </c>
      <c r="AB782" s="290" t="s">
        <v>60</v>
      </c>
      <c r="AC782" s="5">
        <f t="shared" ca="1" si="12"/>
        <v>46232</v>
      </c>
      <c r="AD782" s="331">
        <f ca="1">_xlfn.DAYS(Table2[[#This Row],[HOJE]],Table2[[#This Row],[DATA PEDIDO HP]])</f>
        <v>268</v>
      </c>
      <c r="AE782" s="331" t="str">
        <f ca="1">IF(Table2[[#This Row],[HOLD]]&gt;30,"ATRASADO","NO PRAZO")</f>
        <v>ATRASADO</v>
      </c>
    </row>
    <row r="783" spans="1:31" ht="14.45" hidden="1">
      <c r="A783" s="286" t="s">
        <v>2525</v>
      </c>
      <c r="B783" s="26">
        <v>45964</v>
      </c>
      <c r="C783" s="26">
        <v>45947</v>
      </c>
      <c r="D783" s="14" t="s">
        <v>2526</v>
      </c>
      <c r="E783" s="14" t="s">
        <v>103</v>
      </c>
      <c r="F783" s="14" t="s">
        <v>2527</v>
      </c>
      <c r="G783" s="14">
        <v>51000323</v>
      </c>
      <c r="H783" s="14" t="s">
        <v>446</v>
      </c>
      <c r="I783" s="14" t="s">
        <v>1392</v>
      </c>
      <c r="J783" s="14">
        <v>1</v>
      </c>
      <c r="K783" s="14" t="s">
        <v>37</v>
      </c>
      <c r="L783" s="14" t="s">
        <v>48</v>
      </c>
      <c r="M783" s="14" t="s">
        <v>58</v>
      </c>
      <c r="N783" s="14" t="s">
        <v>58</v>
      </c>
      <c r="O783" s="14">
        <v>1</v>
      </c>
      <c r="P783" s="14">
        <v>1</v>
      </c>
      <c r="Q783" s="14">
        <v>143664</v>
      </c>
      <c r="R783" s="14"/>
      <c r="S783" s="26"/>
      <c r="T783" s="25">
        <v>46042</v>
      </c>
      <c r="U783" s="25">
        <v>46055</v>
      </c>
      <c r="V783" s="14" t="s">
        <v>347</v>
      </c>
      <c r="W783" s="14"/>
      <c r="X783" s="356">
        <v>83.29</v>
      </c>
      <c r="Y783" s="355">
        <f>Table2[[#This Row],[PREÇO UNITARIO]]*Table2[[#This Row],[QUANTIDADE]]</f>
        <v>83.29</v>
      </c>
      <c r="Z783" s="289"/>
      <c r="AA783" s="290">
        <f>MONTH(Table2[[#This Row],[DATA PEDIDO HP]])</f>
        <v>11</v>
      </c>
      <c r="AB783" s="290" t="s">
        <v>42</v>
      </c>
      <c r="AC783" s="5">
        <f t="shared" ca="1" si="12"/>
        <v>46232</v>
      </c>
      <c r="AD783" s="331">
        <f ca="1">_xlfn.DAYS(Table2[[#This Row],[HOJE]],Table2[[#This Row],[DATA PEDIDO HP]])</f>
        <v>268</v>
      </c>
      <c r="AE783" s="331" t="str">
        <f ca="1">IF(Table2[[#This Row],[HOLD]]&gt;30,"ATRASADO","NO PRAZO")</f>
        <v>ATRASADO</v>
      </c>
    </row>
    <row r="784" spans="1:31" ht="14.45" hidden="1">
      <c r="A784" s="286" t="s">
        <v>2528</v>
      </c>
      <c r="B784" s="26">
        <v>45964</v>
      </c>
      <c r="C784" s="26">
        <v>45950</v>
      </c>
      <c r="D784" s="14" t="s">
        <v>2529</v>
      </c>
      <c r="E784" s="14" t="s">
        <v>1837</v>
      </c>
      <c r="F784" s="14" t="s">
        <v>2491</v>
      </c>
      <c r="G784" s="14">
        <v>50200095</v>
      </c>
      <c r="H784" s="14" t="s">
        <v>80</v>
      </c>
      <c r="I784" s="14" t="s">
        <v>81</v>
      </c>
      <c r="J784" s="14">
        <v>1</v>
      </c>
      <c r="K784" s="14" t="s">
        <v>37</v>
      </c>
      <c r="L784" s="14" t="s">
        <v>96</v>
      </c>
      <c r="M784" s="14" t="s">
        <v>58</v>
      </c>
      <c r="N784" s="14" t="s">
        <v>58</v>
      </c>
      <c r="O784" s="14">
        <v>0</v>
      </c>
      <c r="P784" s="14">
        <v>1</v>
      </c>
      <c r="Q784" s="14"/>
      <c r="R784" s="14"/>
      <c r="S784" s="26"/>
      <c r="T784" s="25">
        <v>46042</v>
      </c>
      <c r="U784" s="25">
        <v>46055</v>
      </c>
      <c r="V784" s="14" t="s">
        <v>347</v>
      </c>
      <c r="W784" s="14"/>
      <c r="X784" s="356">
        <v>49.81</v>
      </c>
      <c r="Y784" s="355">
        <f>Table2[[#This Row],[PREÇO UNITARIO]]*Table2[[#This Row],[QUANTIDADE]]</f>
        <v>49.81</v>
      </c>
      <c r="Z784" s="289"/>
      <c r="AA784" s="290">
        <f>MONTH(Table2[[#This Row],[DATA PEDIDO HP]])</f>
        <v>11</v>
      </c>
      <c r="AB784" s="290" t="s">
        <v>60</v>
      </c>
      <c r="AC784" s="5">
        <f t="shared" ca="1" si="12"/>
        <v>46232</v>
      </c>
      <c r="AD784" s="331">
        <f ca="1">_xlfn.DAYS(Table2[[#This Row],[HOJE]],Table2[[#This Row],[DATA PEDIDO HP]])</f>
        <v>268</v>
      </c>
      <c r="AE784" s="331" t="s">
        <v>43</v>
      </c>
    </row>
    <row r="785" spans="1:31" ht="14.45">
      <c r="A785" s="269" t="s">
        <v>2530</v>
      </c>
      <c r="B785" s="26">
        <v>45951</v>
      </c>
      <c r="C785" s="26">
        <v>45951</v>
      </c>
      <c r="D785" s="14" t="s">
        <v>2531</v>
      </c>
      <c r="E785" s="14" t="s">
        <v>103</v>
      </c>
      <c r="F785" s="14" t="s">
        <v>104</v>
      </c>
      <c r="G785" s="14">
        <v>51000136</v>
      </c>
      <c r="H785" s="14" t="s">
        <v>2532</v>
      </c>
      <c r="I785" s="14" t="s">
        <v>2533</v>
      </c>
      <c r="J785" s="14">
        <v>1</v>
      </c>
      <c r="K785" s="14" t="s">
        <v>2386</v>
      </c>
      <c r="L785" s="14" t="s">
        <v>363</v>
      </c>
      <c r="M785" s="14" t="s">
        <v>58</v>
      </c>
      <c r="N785" s="14" t="s">
        <v>58</v>
      </c>
      <c r="O785" s="15">
        <v>1</v>
      </c>
      <c r="P785" s="15">
        <v>1</v>
      </c>
      <c r="Q785" s="15"/>
      <c r="R785" s="15"/>
      <c r="S785" s="25"/>
      <c r="T785" s="25">
        <v>45984</v>
      </c>
      <c r="U785" s="25">
        <v>46007</v>
      </c>
      <c r="V785" s="15" t="s">
        <v>2530</v>
      </c>
      <c r="W785" s="15"/>
      <c r="X785" s="27">
        <v>45651.81</v>
      </c>
      <c r="Y785" s="27">
        <f>Table2[[#This Row],[PREÇO UNITARIO]]*Table2[[#This Row],[QUANTIDADE]]</f>
        <v>45651.81</v>
      </c>
      <c r="Z785" s="15"/>
      <c r="AA785" s="28">
        <f>MONTH(Table2[[#This Row],[DATA PEDIDO HP]])</f>
        <v>10</v>
      </c>
      <c r="AB785" s="32" t="s">
        <v>42</v>
      </c>
      <c r="AC785" s="5">
        <f t="shared" ca="1" si="12"/>
        <v>46232</v>
      </c>
      <c r="AD785" s="331">
        <f ca="1">_xlfn.DAYS(Table2[[#This Row],[HOJE]],Table2[[#This Row],[DATA PEDIDO HP]])</f>
        <v>281</v>
      </c>
      <c r="AE785" s="5" t="s">
        <v>43</v>
      </c>
    </row>
    <row r="786" spans="1:31" ht="14.45" hidden="1">
      <c r="A786" s="286" t="s">
        <v>2534</v>
      </c>
      <c r="B786" s="26">
        <v>45964</v>
      </c>
      <c r="C786" s="26">
        <v>45951</v>
      </c>
      <c r="D786" s="14" t="s">
        <v>2535</v>
      </c>
      <c r="E786" s="14" t="s">
        <v>73</v>
      </c>
      <c r="F786" s="14" t="s">
        <v>203</v>
      </c>
      <c r="G786" s="14">
        <v>60002095</v>
      </c>
      <c r="H786" s="14" t="s">
        <v>545</v>
      </c>
      <c r="I786" s="14" t="s">
        <v>2140</v>
      </c>
      <c r="J786" s="14">
        <v>1</v>
      </c>
      <c r="K786" s="14" t="s">
        <v>37</v>
      </c>
      <c r="L786" s="14" t="s">
        <v>96</v>
      </c>
      <c r="M786" s="14" t="s">
        <v>88</v>
      </c>
      <c r="N786" s="14" t="s">
        <v>89</v>
      </c>
      <c r="O786" s="14">
        <v>0</v>
      </c>
      <c r="P786" s="14">
        <v>1</v>
      </c>
      <c r="Q786" s="14">
        <v>143669</v>
      </c>
      <c r="R786" s="14"/>
      <c r="S786" s="25">
        <v>45693</v>
      </c>
      <c r="T786" s="25">
        <v>46042</v>
      </c>
      <c r="U786" s="25">
        <v>46055</v>
      </c>
      <c r="V786" s="14" t="s">
        <v>347</v>
      </c>
      <c r="W786" s="15" t="s">
        <v>41</v>
      </c>
      <c r="X786" s="356">
        <v>898.2</v>
      </c>
      <c r="Y786" s="355">
        <f>Table2[[#This Row],[PREÇO UNITARIO]]*Table2[[#This Row],[QUANTIDADE]]</f>
        <v>898.2</v>
      </c>
      <c r="Z786" s="289"/>
      <c r="AA786" s="290">
        <f>MONTH(Table2[[#This Row],[DATA PEDIDO HP]])</f>
        <v>11</v>
      </c>
      <c r="AB786" s="290" t="s">
        <v>42</v>
      </c>
      <c r="AC786" s="5">
        <f t="shared" ca="1" si="12"/>
        <v>46232</v>
      </c>
      <c r="AD786" s="331">
        <f ca="1">_xlfn.DAYS(Table2[[#This Row],[HOJE]],Table2[[#This Row],[DATA PEDIDO HP]])</f>
        <v>268</v>
      </c>
      <c r="AE786" s="331" t="s">
        <v>43</v>
      </c>
    </row>
    <row r="787" spans="1:31" ht="14.45" hidden="1">
      <c r="A787" s="286" t="s">
        <v>2536</v>
      </c>
      <c r="B787" s="26">
        <v>45964</v>
      </c>
      <c r="C787" s="26">
        <v>45951</v>
      </c>
      <c r="D787" s="14" t="s">
        <v>2537</v>
      </c>
      <c r="E787" s="14" t="s">
        <v>1837</v>
      </c>
      <c r="F787" s="14" t="s">
        <v>2491</v>
      </c>
      <c r="G787" s="14">
        <v>50200095</v>
      </c>
      <c r="H787" s="14" t="s">
        <v>75</v>
      </c>
      <c r="I787" s="14" t="s">
        <v>2538</v>
      </c>
      <c r="J787" s="14">
        <v>1</v>
      </c>
      <c r="K787" s="14" t="s">
        <v>37</v>
      </c>
      <c r="L787" s="14" t="s">
        <v>96</v>
      </c>
      <c r="M787" s="14" t="s">
        <v>39</v>
      </c>
      <c r="N787" s="14" t="s">
        <v>39</v>
      </c>
      <c r="O787" s="14">
        <v>1</v>
      </c>
      <c r="P787" s="14">
        <v>1</v>
      </c>
      <c r="Q787" s="14">
        <v>143672</v>
      </c>
      <c r="R787" s="14"/>
      <c r="S787" s="26"/>
      <c r="T787" s="26">
        <v>46042</v>
      </c>
      <c r="U787" s="25">
        <v>46055</v>
      </c>
      <c r="V787" s="14" t="s">
        <v>347</v>
      </c>
      <c r="W787" s="14"/>
      <c r="X787" s="356">
        <v>1187.4100000000001</v>
      </c>
      <c r="Y787" s="355">
        <f>Table2[[#This Row],[PREÇO UNITARIO]]*Table2[[#This Row],[QUANTIDADE]]</f>
        <v>1187.4100000000001</v>
      </c>
      <c r="Z787" s="289" t="s">
        <v>2539</v>
      </c>
      <c r="AA787" s="290">
        <f>MONTH(Table2[[#This Row],[DATA PEDIDO HP]])</f>
        <v>11</v>
      </c>
      <c r="AB787" s="290" t="s">
        <v>60</v>
      </c>
      <c r="AC787" s="5">
        <f t="shared" ca="1" si="12"/>
        <v>46232</v>
      </c>
      <c r="AD787" s="331">
        <f ca="1">_xlfn.DAYS(Table2[[#This Row],[HOJE]],Table2[[#This Row],[DATA PEDIDO HP]])</f>
        <v>268</v>
      </c>
      <c r="AE787" s="331" t="s">
        <v>43</v>
      </c>
    </row>
    <row r="788" spans="1:31" ht="14.45" hidden="1">
      <c r="A788" s="286" t="s">
        <v>2540</v>
      </c>
      <c r="B788" s="26">
        <v>45964</v>
      </c>
      <c r="C788" s="26">
        <v>45951</v>
      </c>
      <c r="D788" s="14" t="s">
        <v>2541</v>
      </c>
      <c r="E788" s="14" t="s">
        <v>898</v>
      </c>
      <c r="F788" s="14" t="s">
        <v>899</v>
      </c>
      <c r="G788" s="14">
        <v>48500271</v>
      </c>
      <c r="H788" s="14" t="s">
        <v>280</v>
      </c>
      <c r="I788" s="14" t="s">
        <v>281</v>
      </c>
      <c r="J788" s="14">
        <v>1</v>
      </c>
      <c r="K788" s="14" t="s">
        <v>37</v>
      </c>
      <c r="L788" s="14" t="s">
        <v>217</v>
      </c>
      <c r="M788" s="14" t="s">
        <v>58</v>
      </c>
      <c r="N788" s="14" t="s">
        <v>58</v>
      </c>
      <c r="O788" s="14">
        <v>1</v>
      </c>
      <c r="P788" s="14">
        <v>1</v>
      </c>
      <c r="Q788" s="14">
        <v>143691</v>
      </c>
      <c r="R788" s="14"/>
      <c r="S788" s="26"/>
      <c r="T788" s="26">
        <v>46042</v>
      </c>
      <c r="U788" s="25">
        <v>46055</v>
      </c>
      <c r="V788" s="14" t="s">
        <v>347</v>
      </c>
      <c r="W788" s="14"/>
      <c r="X788" s="356">
        <v>431.82</v>
      </c>
      <c r="Y788" s="355">
        <f>Table2[[#This Row],[PREÇO UNITARIO]]*Table2[[#This Row],[QUANTIDADE]]</f>
        <v>431.82</v>
      </c>
      <c r="Z788" s="289"/>
      <c r="AA788" s="290">
        <f>MONTH(Table2[[#This Row],[DATA PEDIDO HP]])</f>
        <v>11</v>
      </c>
      <c r="AB788" s="290" t="s">
        <v>60</v>
      </c>
      <c r="AC788" s="5">
        <f t="shared" ca="1" si="12"/>
        <v>46232</v>
      </c>
      <c r="AD788" s="331">
        <f ca="1">_xlfn.DAYS(Table2[[#This Row],[HOJE]],Table2[[#This Row],[DATA PEDIDO HP]])</f>
        <v>268</v>
      </c>
      <c r="AE788" s="331" t="str">
        <f ca="1">IF(Table2[[#This Row],[HOLD]]&gt;30,"ATRASADO","NO PRAZO")</f>
        <v>ATRASADO</v>
      </c>
    </row>
    <row r="789" spans="1:31" ht="14.45" hidden="1">
      <c r="A789" s="286" t="s">
        <v>2542</v>
      </c>
      <c r="B789" s="26">
        <v>45964</v>
      </c>
      <c r="C789" s="26">
        <v>45952</v>
      </c>
      <c r="D789" s="14" t="s">
        <v>2543</v>
      </c>
      <c r="E789" s="14" t="s">
        <v>33</v>
      </c>
      <c r="F789" s="14" t="s">
        <v>2491</v>
      </c>
      <c r="G789" s="14">
        <v>50110193</v>
      </c>
      <c r="H789" s="14" t="s">
        <v>94</v>
      </c>
      <c r="I789" s="14" t="s">
        <v>2544</v>
      </c>
      <c r="J789" s="14">
        <v>1</v>
      </c>
      <c r="K789" s="14" t="s">
        <v>37</v>
      </c>
      <c r="L789" s="14" t="s">
        <v>96</v>
      </c>
      <c r="M789" s="14" t="s">
        <v>39</v>
      </c>
      <c r="N789" s="14" t="s">
        <v>39</v>
      </c>
      <c r="O789" s="14">
        <v>1</v>
      </c>
      <c r="P789" s="14">
        <v>1</v>
      </c>
      <c r="Q789" s="14">
        <v>143694</v>
      </c>
      <c r="R789" s="14"/>
      <c r="S789" s="25">
        <v>46060</v>
      </c>
      <c r="T789" s="26">
        <v>46042</v>
      </c>
      <c r="U789" s="25">
        <v>46055</v>
      </c>
      <c r="V789" s="14" t="s">
        <v>347</v>
      </c>
      <c r="W789" s="14"/>
      <c r="X789" s="356">
        <v>207.82</v>
      </c>
      <c r="Y789" s="355">
        <f>Table2[[#This Row],[PREÇO UNITARIO]]*Table2[[#This Row],[QUANTIDADE]]</f>
        <v>207.82</v>
      </c>
      <c r="Z789" s="289"/>
      <c r="AA789" s="290">
        <f>MONTH(Table2[[#This Row],[DATA PEDIDO HP]])</f>
        <v>11</v>
      </c>
      <c r="AB789" s="290" t="s">
        <v>42</v>
      </c>
      <c r="AC789" s="5">
        <f t="shared" ca="1" si="12"/>
        <v>46232</v>
      </c>
      <c r="AD789" s="331">
        <v>96</v>
      </c>
      <c r="AE789" s="331" t="s">
        <v>43</v>
      </c>
    </row>
    <row r="790" spans="1:31" ht="14.45" hidden="1">
      <c r="A790" s="297" t="s">
        <v>2545</v>
      </c>
      <c r="B790" s="26">
        <v>45952</v>
      </c>
      <c r="C790" s="26">
        <v>45952</v>
      </c>
      <c r="D790" s="14" t="s">
        <v>2546</v>
      </c>
      <c r="E790" s="14" t="s">
        <v>33</v>
      </c>
      <c r="F790" s="14" t="s">
        <v>34</v>
      </c>
      <c r="G790" s="14">
        <v>50110193</v>
      </c>
      <c r="H790" s="14" t="s">
        <v>1646</v>
      </c>
      <c r="I790" s="14" t="s">
        <v>1647</v>
      </c>
      <c r="J790" s="14">
        <v>1</v>
      </c>
      <c r="K790" s="14" t="s">
        <v>37</v>
      </c>
      <c r="L790" s="14" t="s">
        <v>96</v>
      </c>
      <c r="M790" s="14" t="s">
        <v>88</v>
      </c>
      <c r="N790" s="15" t="s">
        <v>89</v>
      </c>
      <c r="O790" s="15">
        <v>0</v>
      </c>
      <c r="P790" s="15">
        <v>0</v>
      </c>
      <c r="Q790" s="15">
        <v>143695</v>
      </c>
      <c r="R790" s="15"/>
      <c r="S790" s="25">
        <v>45996</v>
      </c>
      <c r="T790" s="25">
        <v>45979</v>
      </c>
      <c r="U790" s="25">
        <v>45993</v>
      </c>
      <c r="V790" s="15" t="s">
        <v>1290</v>
      </c>
      <c r="W790" s="15"/>
      <c r="X790" s="27">
        <v>1370.16</v>
      </c>
      <c r="Y790" s="27">
        <f>Table2[[#This Row],[PREÇO UNITARIO]]*Table2[[#This Row],[QUANTIDADE]]</f>
        <v>1370.16</v>
      </c>
      <c r="Z790" s="15"/>
      <c r="AA790" s="28">
        <f>MONTH(Table2[[#This Row],[DATA PEDIDO HP]])</f>
        <v>10</v>
      </c>
      <c r="AB790" s="32" t="s">
        <v>42</v>
      </c>
      <c r="AC790" s="5">
        <f t="shared" ca="1" si="12"/>
        <v>46232</v>
      </c>
      <c r="AD790" s="331">
        <f ca="1">_xlfn.DAYS(Table2[[#This Row],[HOJE]],Table2[[#This Row],[DATA PEDIDO HP]])</f>
        <v>280</v>
      </c>
      <c r="AE790" s="336" t="s">
        <v>43</v>
      </c>
    </row>
    <row r="791" spans="1:31" ht="14.45" hidden="1">
      <c r="A791" s="286" t="s">
        <v>2547</v>
      </c>
      <c r="B791" s="26">
        <v>45964</v>
      </c>
      <c r="C791" s="26">
        <v>45952</v>
      </c>
      <c r="D791" s="14" t="s">
        <v>2548</v>
      </c>
      <c r="E791" s="14" t="s">
        <v>109</v>
      </c>
      <c r="F791" s="14" t="s">
        <v>2491</v>
      </c>
      <c r="G791" s="14">
        <v>50110229</v>
      </c>
      <c r="H791" s="14" t="s">
        <v>1302</v>
      </c>
      <c r="I791" s="14" t="s">
        <v>1303</v>
      </c>
      <c r="J791" s="14">
        <v>1</v>
      </c>
      <c r="K791" s="14" t="s">
        <v>37</v>
      </c>
      <c r="L791" s="14" t="s">
        <v>96</v>
      </c>
      <c r="M791" s="14" t="s">
        <v>58</v>
      </c>
      <c r="N791" s="14" t="s">
        <v>58</v>
      </c>
      <c r="O791" s="14">
        <v>1</v>
      </c>
      <c r="P791" s="14">
        <v>1</v>
      </c>
      <c r="Q791" s="14">
        <v>143705</v>
      </c>
      <c r="R791" s="14"/>
      <c r="S791" s="26"/>
      <c r="T791" s="26">
        <v>46042</v>
      </c>
      <c r="U791" s="25">
        <v>46055</v>
      </c>
      <c r="V791" s="14" t="s">
        <v>347</v>
      </c>
      <c r="W791" s="14"/>
      <c r="X791" s="356">
        <v>109.04</v>
      </c>
      <c r="Y791" s="355">
        <f>Table2[[#This Row],[PREÇO UNITARIO]]*Table2[[#This Row],[QUANTIDADE]]</f>
        <v>109.04</v>
      </c>
      <c r="Z791" s="289"/>
      <c r="AA791" s="290">
        <f>MONTH(Table2[[#This Row],[DATA PEDIDO HP]])</f>
        <v>11</v>
      </c>
      <c r="AB791" s="290" t="s">
        <v>42</v>
      </c>
      <c r="AC791" s="5">
        <f t="shared" ca="1" si="12"/>
        <v>46232</v>
      </c>
      <c r="AD791" s="331">
        <f ca="1">_xlfn.DAYS(Table2[[#This Row],[HOJE]],Table2[[#This Row],[DATA PEDIDO HP]])</f>
        <v>268</v>
      </c>
      <c r="AE791" s="331" t="str">
        <f ca="1">IF(Table2[[#This Row],[HOLD]]&gt;30,"ATRASADO","NO PRAZO")</f>
        <v>ATRASADO</v>
      </c>
    </row>
    <row r="792" spans="1:31" ht="14.45" hidden="1">
      <c r="A792" s="286" t="s">
        <v>2549</v>
      </c>
      <c r="B792" s="26">
        <v>45964</v>
      </c>
      <c r="C792" s="26">
        <v>45952</v>
      </c>
      <c r="D792" s="14" t="s">
        <v>2550</v>
      </c>
      <c r="E792" s="14" t="s">
        <v>73</v>
      </c>
      <c r="F792" s="14" t="s">
        <v>34</v>
      </c>
      <c r="G792" s="14">
        <v>50110372</v>
      </c>
      <c r="H792" s="14" t="s">
        <v>2149</v>
      </c>
      <c r="I792" s="14" t="s">
        <v>2551</v>
      </c>
      <c r="J792" s="14">
        <v>1</v>
      </c>
      <c r="K792" s="14" t="s">
        <v>37</v>
      </c>
      <c r="L792" s="14" t="s">
        <v>96</v>
      </c>
      <c r="M792" s="14" t="s">
        <v>88</v>
      </c>
      <c r="N792" s="14" t="s">
        <v>89</v>
      </c>
      <c r="O792" s="14">
        <v>0</v>
      </c>
      <c r="P792" s="14"/>
      <c r="Q792" s="14">
        <v>143696</v>
      </c>
      <c r="R792" s="14"/>
      <c r="S792" s="26">
        <v>46035</v>
      </c>
      <c r="T792" s="25">
        <v>46042</v>
      </c>
      <c r="U792" s="25">
        <v>46055</v>
      </c>
      <c r="V792" s="14" t="s">
        <v>347</v>
      </c>
      <c r="W792" s="15" t="s">
        <v>41</v>
      </c>
      <c r="X792" s="356">
        <v>867.21</v>
      </c>
      <c r="Y792" s="355">
        <f>Table2[[#This Row],[PREÇO UNITARIO]]*Table2[[#This Row],[QUANTIDADE]]</f>
        <v>867.21</v>
      </c>
      <c r="Z792" s="289"/>
      <c r="AA792" s="290">
        <f>MONTH(Table2[[#This Row],[DATA PEDIDO HP]])</f>
        <v>11</v>
      </c>
      <c r="AB792" s="290" t="s">
        <v>42</v>
      </c>
      <c r="AC792" s="5">
        <f t="shared" ca="1" si="12"/>
        <v>46232</v>
      </c>
      <c r="AD792" s="331">
        <f ca="1">_xlfn.DAYS(Table2[[#This Row],[HOJE]],Table2[[#This Row],[DATA PEDIDO HP]])</f>
        <v>268</v>
      </c>
      <c r="AE792" s="331" t="s">
        <v>43</v>
      </c>
    </row>
    <row r="793" spans="1:31" ht="14.45" hidden="1">
      <c r="A793" s="286" t="s">
        <v>2552</v>
      </c>
      <c r="B793" s="26">
        <v>45964</v>
      </c>
      <c r="C793" s="26">
        <v>45952</v>
      </c>
      <c r="D793" s="14" t="s">
        <v>2553</v>
      </c>
      <c r="E793" s="14" t="s">
        <v>103</v>
      </c>
      <c r="F793" s="14" t="s">
        <v>2527</v>
      </c>
      <c r="G793" s="14">
        <v>51000136</v>
      </c>
      <c r="H793" s="14" t="s">
        <v>2554</v>
      </c>
      <c r="I793" s="14" t="s">
        <v>2555</v>
      </c>
      <c r="J793" s="14">
        <v>1</v>
      </c>
      <c r="K793" s="14" t="s">
        <v>37</v>
      </c>
      <c r="L793" s="14" t="s">
        <v>2556</v>
      </c>
      <c r="M793" s="14" t="s">
        <v>58</v>
      </c>
      <c r="N793" s="14" t="s">
        <v>58</v>
      </c>
      <c r="O793" s="14">
        <v>1</v>
      </c>
      <c r="P793" s="14">
        <v>1</v>
      </c>
      <c r="Q793" s="14">
        <v>143668</v>
      </c>
      <c r="R793" s="14"/>
      <c r="S793" s="26"/>
      <c r="T793" s="26">
        <v>46042</v>
      </c>
      <c r="U793" s="25">
        <v>46055</v>
      </c>
      <c r="V793" s="14" t="s">
        <v>347</v>
      </c>
      <c r="W793" s="14"/>
      <c r="X793" s="356">
        <v>1924.44</v>
      </c>
      <c r="Y793" s="355">
        <f>Table2[[#This Row],[PREÇO UNITARIO]]*Table2[[#This Row],[QUANTIDADE]]</f>
        <v>1924.44</v>
      </c>
      <c r="Z793" s="289"/>
      <c r="AA793" s="290">
        <f>MONTH(Table2[[#This Row],[DATA PEDIDO HP]])</f>
        <v>11</v>
      </c>
      <c r="AB793" s="290" t="s">
        <v>42</v>
      </c>
      <c r="AC793" s="5">
        <f t="shared" ca="1" si="12"/>
        <v>46232</v>
      </c>
      <c r="AD793" s="331">
        <f ca="1">_xlfn.DAYS(Table2[[#This Row],[HOJE]],Table2[[#This Row],[DATA PEDIDO HP]])</f>
        <v>268</v>
      </c>
      <c r="AE793" s="331" t="str">
        <f ca="1">IF(Table2[[#This Row],[HOLD]]&gt;30,"ATRASADO","NO PRAZO")</f>
        <v>ATRASADO</v>
      </c>
    </row>
    <row r="794" spans="1:31" ht="14.45" hidden="1">
      <c r="A794" s="286" t="s">
        <v>2557</v>
      </c>
      <c r="B794" s="26">
        <v>45964</v>
      </c>
      <c r="C794" s="26">
        <v>45953</v>
      </c>
      <c r="D794" s="14" t="s">
        <v>2558</v>
      </c>
      <c r="E794" s="14" t="s">
        <v>1196</v>
      </c>
      <c r="F794" s="14" t="s">
        <v>1107</v>
      </c>
      <c r="G794" s="14">
        <v>51100064</v>
      </c>
      <c r="H794" s="14" t="s">
        <v>743</v>
      </c>
      <c r="I794" s="14" t="s">
        <v>2559</v>
      </c>
      <c r="J794" s="14">
        <v>1</v>
      </c>
      <c r="K794" s="14" t="s">
        <v>37</v>
      </c>
      <c r="L794" s="14" t="s">
        <v>96</v>
      </c>
      <c r="M794" s="14" t="s">
        <v>58</v>
      </c>
      <c r="N794" s="14" t="s">
        <v>58</v>
      </c>
      <c r="O794" s="14">
        <v>0</v>
      </c>
      <c r="P794" s="14"/>
      <c r="Q794" s="14">
        <v>143717</v>
      </c>
      <c r="R794" s="14"/>
      <c r="S794" s="26">
        <v>45953</v>
      </c>
      <c r="T794" s="26">
        <v>46042</v>
      </c>
      <c r="U794" s="25">
        <v>46055</v>
      </c>
      <c r="V794" s="14" t="s">
        <v>347</v>
      </c>
      <c r="W794" s="14"/>
      <c r="X794" s="356">
        <v>874.36</v>
      </c>
      <c r="Y794" s="355">
        <f>Table2[[#This Row],[PREÇO UNITARIO]]*Table2[[#This Row],[QUANTIDADE]]</f>
        <v>874.36</v>
      </c>
      <c r="Z794" s="289"/>
      <c r="AA794" s="290">
        <f>MONTH(Table2[[#This Row],[DATA PEDIDO HP]])</f>
        <v>11</v>
      </c>
      <c r="AB794" s="290" t="s">
        <v>60</v>
      </c>
      <c r="AC794" s="5">
        <f t="shared" ca="1" si="12"/>
        <v>46232</v>
      </c>
      <c r="AD794" s="331">
        <f ca="1">_xlfn.DAYS(Table2[[#This Row],[HOJE]],Table2[[#This Row],[DATA PEDIDO HP]])</f>
        <v>268</v>
      </c>
      <c r="AE794" s="331" t="s">
        <v>43</v>
      </c>
    </row>
    <row r="795" spans="1:31" ht="14.45" hidden="1">
      <c r="A795" s="286" t="s">
        <v>2560</v>
      </c>
      <c r="B795" s="26">
        <v>45964</v>
      </c>
      <c r="C795" s="26">
        <v>45953</v>
      </c>
      <c r="D795" s="14" t="s">
        <v>2561</v>
      </c>
      <c r="E795" s="14" t="s">
        <v>33</v>
      </c>
      <c r="F795" s="14" t="s">
        <v>2491</v>
      </c>
      <c r="G795" s="14">
        <v>50110193</v>
      </c>
      <c r="H795" s="14" t="s">
        <v>883</v>
      </c>
      <c r="I795" s="14" t="s">
        <v>2562</v>
      </c>
      <c r="J795" s="14">
        <v>1</v>
      </c>
      <c r="K795" s="14" t="s">
        <v>37</v>
      </c>
      <c r="L795" s="14" t="s">
        <v>96</v>
      </c>
      <c r="M795" s="14" t="s">
        <v>39</v>
      </c>
      <c r="N795" s="15"/>
      <c r="O795" s="15"/>
      <c r="P795" s="15"/>
      <c r="Q795" s="15">
        <v>143716</v>
      </c>
      <c r="R795" s="15"/>
      <c r="S795" s="25">
        <v>46060</v>
      </c>
      <c r="T795" s="26">
        <v>46042</v>
      </c>
      <c r="U795" s="25">
        <v>46055</v>
      </c>
      <c r="V795" s="15" t="s">
        <v>347</v>
      </c>
      <c r="W795" s="15"/>
      <c r="X795" s="357">
        <v>140.62</v>
      </c>
      <c r="Y795" s="159">
        <f>Table2[[#This Row],[PREÇO UNITARIO]]*Table2[[#This Row],[QUANTIDADE]]</f>
        <v>140.62</v>
      </c>
      <c r="Z795" s="199"/>
      <c r="AA795" s="28">
        <f>MONTH(Table2[[#This Row],[DATA PEDIDO HP]])</f>
        <v>11</v>
      </c>
      <c r="AB795" s="290" t="s">
        <v>42</v>
      </c>
      <c r="AC795" s="5">
        <f t="shared" ca="1" si="12"/>
        <v>46232</v>
      </c>
      <c r="AD795" s="331">
        <v>96</v>
      </c>
      <c r="AE795" s="331" t="s">
        <v>43</v>
      </c>
    </row>
    <row r="796" spans="1:31" ht="14.45" hidden="1">
      <c r="A796" s="299" t="s">
        <v>2563</v>
      </c>
      <c r="B796" s="338">
        <v>45953</v>
      </c>
      <c r="C796" s="338">
        <v>45953</v>
      </c>
      <c r="D796" s="339" t="s">
        <v>2564</v>
      </c>
      <c r="E796" s="339" t="s">
        <v>2472</v>
      </c>
      <c r="F796" s="339" t="s">
        <v>640</v>
      </c>
      <c r="G796" s="339">
        <v>48500811</v>
      </c>
      <c r="H796" s="339" t="s">
        <v>2565</v>
      </c>
      <c r="I796" s="339" t="s">
        <v>2566</v>
      </c>
      <c r="J796" s="339">
        <v>1</v>
      </c>
      <c r="K796" s="339" t="s">
        <v>37</v>
      </c>
      <c r="L796" s="339" t="s">
        <v>96</v>
      </c>
      <c r="M796" s="339" t="s">
        <v>88</v>
      </c>
      <c r="N796" s="340" t="s">
        <v>89</v>
      </c>
      <c r="O796" s="340">
        <v>0</v>
      </c>
      <c r="P796" s="340">
        <v>0</v>
      </c>
      <c r="Q796" s="340">
        <v>143435</v>
      </c>
      <c r="R796" s="340"/>
      <c r="S796" s="337">
        <v>46064</v>
      </c>
      <c r="T796" s="337"/>
      <c r="U796" s="337">
        <v>46055</v>
      </c>
      <c r="V796" s="340"/>
      <c r="W796" s="340"/>
      <c r="X796" s="341">
        <v>491.98</v>
      </c>
      <c r="Y796" s="341">
        <f>Table2[[#This Row],[PREÇO UNITARIO]]*Table2[[#This Row],[QUANTIDADE]]</f>
        <v>491.98</v>
      </c>
      <c r="Z796" s="340"/>
      <c r="AA796" s="346">
        <f>MONTH(Table2[[#This Row],[DATA PEDIDO HP]])</f>
        <v>10</v>
      </c>
      <c r="AB796" s="343" t="s">
        <v>60</v>
      </c>
      <c r="AC796" s="344">
        <f t="shared" ca="1" si="12"/>
        <v>46232</v>
      </c>
      <c r="AD796" s="345">
        <f ca="1">_xlfn.DAYS(Table2[[#This Row],[HOJE]],Table2[[#This Row],[DATA PEDIDO HP]])</f>
        <v>279</v>
      </c>
      <c r="AE796" s="344" t="s">
        <v>43</v>
      </c>
    </row>
    <row r="797" spans="1:31" ht="14.45" hidden="1">
      <c r="A797" s="286" t="s">
        <v>2567</v>
      </c>
      <c r="B797" s="26">
        <v>45966</v>
      </c>
      <c r="C797" s="26">
        <v>45953</v>
      </c>
      <c r="D797" s="14" t="s">
        <v>2568</v>
      </c>
      <c r="E797" s="14" t="s">
        <v>916</v>
      </c>
      <c r="F797" s="14" t="s">
        <v>456</v>
      </c>
      <c r="G797" s="14" t="s">
        <v>917</v>
      </c>
      <c r="H797" s="14" t="s">
        <v>335</v>
      </c>
      <c r="I797" s="14" t="s">
        <v>2569</v>
      </c>
      <c r="J797" s="14">
        <v>1</v>
      </c>
      <c r="K797" s="14" t="s">
        <v>37</v>
      </c>
      <c r="L797" s="14" t="s">
        <v>38</v>
      </c>
      <c r="M797" s="14" t="s">
        <v>58</v>
      </c>
      <c r="N797" s="14" t="s">
        <v>58</v>
      </c>
      <c r="O797" s="14">
        <v>0</v>
      </c>
      <c r="P797" s="14">
        <v>1</v>
      </c>
      <c r="Q797" s="14">
        <v>143699</v>
      </c>
      <c r="R797" s="14"/>
      <c r="S797" s="26"/>
      <c r="T797" s="26">
        <v>46042</v>
      </c>
      <c r="U797" s="25">
        <v>46055</v>
      </c>
      <c r="V797" s="14" t="s">
        <v>347</v>
      </c>
      <c r="W797" s="14"/>
      <c r="X797" s="355">
        <v>79.989999999999995</v>
      </c>
      <c r="Y797" s="355">
        <f>Table2[[#This Row],[PREÇO UNITARIO]]*Table2[[#This Row],[QUANTIDADE]]</f>
        <v>79.989999999999995</v>
      </c>
      <c r="Z797" s="14"/>
      <c r="AA797" s="291">
        <f>MONTH(Table2[[#This Row],[DATA PEDIDO HP]])</f>
        <v>11</v>
      </c>
      <c r="AB797" s="290" t="s">
        <v>60</v>
      </c>
      <c r="AC797" s="5">
        <f t="shared" ca="1" si="12"/>
        <v>46232</v>
      </c>
      <c r="AD797" s="331">
        <f ca="1">_xlfn.DAYS(Table2[[#This Row],[HOJE]],Table2[[#This Row],[DATA PEDIDO HP]])</f>
        <v>266</v>
      </c>
      <c r="AE797" s="331" t="s">
        <v>43</v>
      </c>
    </row>
    <row r="798" spans="1:31" ht="14.45" hidden="1">
      <c r="A798" s="286" t="s">
        <v>2567</v>
      </c>
      <c r="B798" s="26">
        <v>45966</v>
      </c>
      <c r="C798" s="26">
        <v>45953</v>
      </c>
      <c r="D798" s="14" t="s">
        <v>2568</v>
      </c>
      <c r="E798" s="14" t="s">
        <v>916</v>
      </c>
      <c r="F798" s="14" t="s">
        <v>456</v>
      </c>
      <c r="G798" s="14" t="s">
        <v>917</v>
      </c>
      <c r="H798" s="14" t="s">
        <v>2570</v>
      </c>
      <c r="I798" s="14" t="s">
        <v>2571</v>
      </c>
      <c r="J798" s="14">
        <v>1</v>
      </c>
      <c r="K798" s="14" t="s">
        <v>37</v>
      </c>
      <c r="L798" s="14" t="s">
        <v>38</v>
      </c>
      <c r="M798" s="14" t="s">
        <v>58</v>
      </c>
      <c r="N798" s="14" t="s">
        <v>58</v>
      </c>
      <c r="O798" s="14">
        <v>0</v>
      </c>
      <c r="P798" s="14">
        <v>1</v>
      </c>
      <c r="Q798" s="14">
        <v>143699</v>
      </c>
      <c r="R798" s="14"/>
      <c r="S798" s="26"/>
      <c r="T798" s="26">
        <v>46042</v>
      </c>
      <c r="U798" s="25">
        <v>46055</v>
      </c>
      <c r="V798" s="14" t="s">
        <v>347</v>
      </c>
      <c r="W798" s="14"/>
      <c r="X798" s="355">
        <v>16.329999999999998</v>
      </c>
      <c r="Y798" s="355">
        <f>Table2[[#This Row],[PREÇO UNITARIO]]*Table2[[#This Row],[QUANTIDADE]]</f>
        <v>16.329999999999998</v>
      </c>
      <c r="Z798" s="14"/>
      <c r="AA798" s="291">
        <f>MONTH(Table2[[#This Row],[DATA PEDIDO HP]])</f>
        <v>11</v>
      </c>
      <c r="AB798" s="290" t="s">
        <v>60</v>
      </c>
      <c r="AC798" s="5">
        <f t="shared" ca="1" si="12"/>
        <v>46232</v>
      </c>
      <c r="AD798" s="331">
        <f ca="1">_xlfn.DAYS(Table2[[#This Row],[HOJE]],Table2[[#This Row],[DATA PEDIDO HP]])</f>
        <v>266</v>
      </c>
      <c r="AE798" s="331" t="s">
        <v>43</v>
      </c>
    </row>
    <row r="799" spans="1:31" ht="14.45" hidden="1">
      <c r="A799" s="286" t="s">
        <v>2567</v>
      </c>
      <c r="B799" s="26">
        <v>45966</v>
      </c>
      <c r="C799" s="26">
        <v>45953</v>
      </c>
      <c r="D799" s="14" t="s">
        <v>2568</v>
      </c>
      <c r="E799" s="14" t="s">
        <v>916</v>
      </c>
      <c r="F799" s="14" t="s">
        <v>456</v>
      </c>
      <c r="G799" s="14" t="s">
        <v>917</v>
      </c>
      <c r="H799" s="14" t="s">
        <v>238</v>
      </c>
      <c r="I799" s="14" t="s">
        <v>239</v>
      </c>
      <c r="J799" s="14">
        <v>1</v>
      </c>
      <c r="K799" s="14" t="s">
        <v>37</v>
      </c>
      <c r="L799" s="14" t="s">
        <v>38</v>
      </c>
      <c r="M799" s="14" t="s">
        <v>58</v>
      </c>
      <c r="N799" s="14" t="s">
        <v>58</v>
      </c>
      <c r="O799" s="14">
        <v>0</v>
      </c>
      <c r="P799" s="14">
        <v>1</v>
      </c>
      <c r="Q799" s="14">
        <v>143699</v>
      </c>
      <c r="R799" s="14"/>
      <c r="S799" s="26"/>
      <c r="T799" s="26">
        <v>46042</v>
      </c>
      <c r="U799" s="25">
        <v>46055</v>
      </c>
      <c r="V799" s="14" t="s">
        <v>347</v>
      </c>
      <c r="W799" s="14"/>
      <c r="X799" s="355">
        <v>271.08999999999997</v>
      </c>
      <c r="Y799" s="355">
        <f>Table2[[#This Row],[PREÇO UNITARIO]]*Table2[[#This Row],[QUANTIDADE]]</f>
        <v>271.08999999999997</v>
      </c>
      <c r="Z799" s="14"/>
      <c r="AA799" s="291">
        <f>MONTH(Table2[[#This Row],[DATA PEDIDO HP]])</f>
        <v>11</v>
      </c>
      <c r="AB799" s="290" t="s">
        <v>60</v>
      </c>
      <c r="AC799" s="5">
        <f t="shared" ca="1" si="12"/>
        <v>46232</v>
      </c>
      <c r="AD799" s="331">
        <f ca="1">_xlfn.DAYS(Table2[[#This Row],[HOJE]],Table2[[#This Row],[DATA PEDIDO HP]])</f>
        <v>266</v>
      </c>
      <c r="AE799" s="331" t="s">
        <v>43</v>
      </c>
    </row>
    <row r="800" spans="1:31" ht="14.45" hidden="1">
      <c r="A800" s="286" t="s">
        <v>2567</v>
      </c>
      <c r="B800" s="26">
        <v>45966</v>
      </c>
      <c r="C800" s="26">
        <v>45953</v>
      </c>
      <c r="D800" s="14" t="s">
        <v>2568</v>
      </c>
      <c r="E800" s="14" t="s">
        <v>916</v>
      </c>
      <c r="F800" s="14" t="s">
        <v>456</v>
      </c>
      <c r="G800" s="14" t="s">
        <v>917</v>
      </c>
      <c r="H800" s="14" t="s">
        <v>2572</v>
      </c>
      <c r="I800" s="14" t="s">
        <v>2573</v>
      </c>
      <c r="J800" s="14">
        <v>1</v>
      </c>
      <c r="K800" s="14" t="s">
        <v>37</v>
      </c>
      <c r="L800" s="14" t="s">
        <v>38</v>
      </c>
      <c r="M800" s="14" t="s">
        <v>58</v>
      </c>
      <c r="N800" s="14" t="s">
        <v>58</v>
      </c>
      <c r="O800" s="14">
        <v>0</v>
      </c>
      <c r="P800" s="14">
        <v>1</v>
      </c>
      <c r="Q800" s="14">
        <v>143699</v>
      </c>
      <c r="R800" s="14"/>
      <c r="S800" s="26"/>
      <c r="T800" s="26">
        <v>46042</v>
      </c>
      <c r="U800" s="25">
        <v>46055</v>
      </c>
      <c r="V800" s="14" t="s">
        <v>347</v>
      </c>
      <c r="W800" s="14"/>
      <c r="X800" s="355">
        <v>15.99</v>
      </c>
      <c r="Y800" s="355">
        <f>Table2[[#This Row],[PREÇO UNITARIO]]*Table2[[#This Row],[QUANTIDADE]]</f>
        <v>15.99</v>
      </c>
      <c r="Z800" s="14"/>
      <c r="AA800" s="291">
        <f>MONTH(Table2[[#This Row],[DATA PEDIDO HP]])</f>
        <v>11</v>
      </c>
      <c r="AB800" s="290" t="s">
        <v>60</v>
      </c>
      <c r="AC800" s="5">
        <f t="shared" ca="1" si="12"/>
        <v>46232</v>
      </c>
      <c r="AD800" s="331">
        <f ca="1">_xlfn.DAYS(Table2[[#This Row],[HOJE]],Table2[[#This Row],[DATA PEDIDO HP]])</f>
        <v>266</v>
      </c>
      <c r="AE800" s="331" t="s">
        <v>43</v>
      </c>
    </row>
    <row r="801" spans="1:31" ht="14.45" hidden="1">
      <c r="A801" s="286" t="s">
        <v>2567</v>
      </c>
      <c r="B801" s="26">
        <v>45966</v>
      </c>
      <c r="C801" s="26">
        <v>45953</v>
      </c>
      <c r="D801" s="14" t="s">
        <v>2568</v>
      </c>
      <c r="E801" s="14" t="s">
        <v>916</v>
      </c>
      <c r="F801" s="14" t="s">
        <v>456</v>
      </c>
      <c r="G801" s="14" t="s">
        <v>917</v>
      </c>
      <c r="H801" s="14" t="s">
        <v>1629</v>
      </c>
      <c r="I801" s="14" t="s">
        <v>2574</v>
      </c>
      <c r="J801" s="14">
        <v>1</v>
      </c>
      <c r="K801" s="14" t="s">
        <v>67</v>
      </c>
      <c r="L801" s="14" t="s">
        <v>38</v>
      </c>
      <c r="M801" s="14" t="s">
        <v>58</v>
      </c>
      <c r="N801" s="14" t="s">
        <v>58</v>
      </c>
      <c r="O801" s="14">
        <v>0</v>
      </c>
      <c r="P801" s="14">
        <v>0</v>
      </c>
      <c r="Q801" s="14">
        <v>143699</v>
      </c>
      <c r="R801" s="14"/>
      <c r="S801" s="26"/>
      <c r="T801" s="26">
        <v>46042</v>
      </c>
      <c r="U801" s="25">
        <v>46055</v>
      </c>
      <c r="V801" s="14" t="s">
        <v>347</v>
      </c>
      <c r="W801" s="14"/>
      <c r="X801" s="355">
        <v>167.85</v>
      </c>
      <c r="Y801" s="355">
        <f>Table2[[#This Row],[PREÇO UNITARIO]]*Table2[[#This Row],[QUANTIDADE]]</f>
        <v>167.85</v>
      </c>
      <c r="Z801" s="14"/>
      <c r="AA801" s="291">
        <f>MONTH(Table2[[#This Row],[DATA PEDIDO HP]])</f>
        <v>11</v>
      </c>
      <c r="AB801" s="290" t="s">
        <v>60</v>
      </c>
      <c r="AC801" s="5">
        <f t="shared" ca="1" si="12"/>
        <v>46232</v>
      </c>
      <c r="AD801" s="331">
        <f ca="1">_xlfn.DAYS(Table2[[#This Row],[HOJE]],Table2[[#This Row],[DATA PEDIDO HP]])</f>
        <v>266</v>
      </c>
      <c r="AE801" s="331" t="s">
        <v>43</v>
      </c>
    </row>
    <row r="802" spans="1:31" ht="14.45" hidden="1">
      <c r="A802" s="286" t="s">
        <v>2575</v>
      </c>
      <c r="B802" s="26">
        <v>45966</v>
      </c>
      <c r="C802" s="26">
        <v>45954</v>
      </c>
      <c r="D802" s="14" t="s">
        <v>2576</v>
      </c>
      <c r="E802" s="14" t="s">
        <v>54</v>
      </c>
      <c r="F802" s="14" t="s">
        <v>173</v>
      </c>
      <c r="G802" s="14">
        <v>48300315</v>
      </c>
      <c r="H802" s="14" t="s">
        <v>2577</v>
      </c>
      <c r="I802" s="14" t="s">
        <v>2578</v>
      </c>
      <c r="J802" s="14">
        <v>1</v>
      </c>
      <c r="K802" s="14" t="s">
        <v>37</v>
      </c>
      <c r="L802" s="14" t="s">
        <v>96</v>
      </c>
      <c r="M802" s="14" t="s">
        <v>58</v>
      </c>
      <c r="N802" s="14" t="s">
        <v>58</v>
      </c>
      <c r="O802" s="14">
        <v>1</v>
      </c>
      <c r="P802" s="14">
        <v>1</v>
      </c>
      <c r="Q802" s="14">
        <v>143733</v>
      </c>
      <c r="R802" s="14"/>
      <c r="S802" s="26"/>
      <c r="T802" s="26">
        <v>46042</v>
      </c>
      <c r="U802" s="25">
        <v>46055</v>
      </c>
      <c r="V802" s="14" t="s">
        <v>347</v>
      </c>
      <c r="W802" s="14"/>
      <c r="X802" s="355">
        <v>1705.47</v>
      </c>
      <c r="Y802" s="355">
        <f>Table2[[#This Row],[PREÇO UNITARIO]]*Table2[[#This Row],[QUANTIDADE]]</f>
        <v>1705.47</v>
      </c>
      <c r="Z802" s="14"/>
      <c r="AA802" s="291">
        <f>MONTH(Table2[[#This Row],[DATA PEDIDO HP]])</f>
        <v>11</v>
      </c>
      <c r="AB802" s="290" t="s">
        <v>60</v>
      </c>
      <c r="AC802" s="5">
        <f t="shared" ca="1" si="12"/>
        <v>46232</v>
      </c>
      <c r="AD802" s="331">
        <f ca="1">_xlfn.DAYS(Table2[[#This Row],[HOJE]],Table2[[#This Row],[DATA PEDIDO HP]])</f>
        <v>266</v>
      </c>
      <c r="AE802" s="331" t="str">
        <f ca="1">IF(Table2[[#This Row],[HOLD]]&gt;30,"ATRASADO","NO PRAZO")</f>
        <v>ATRASADO</v>
      </c>
    </row>
    <row r="803" spans="1:31" ht="14.45" hidden="1">
      <c r="A803" s="286" t="s">
        <v>2579</v>
      </c>
      <c r="B803" s="26">
        <v>45966</v>
      </c>
      <c r="C803" s="26">
        <v>45954</v>
      </c>
      <c r="D803" s="14" t="s">
        <v>2580</v>
      </c>
      <c r="E803" s="14" t="s">
        <v>1196</v>
      </c>
      <c r="F803" s="14" t="s">
        <v>1107</v>
      </c>
      <c r="G803" s="14">
        <v>51100064</v>
      </c>
      <c r="H803" s="14" t="s">
        <v>545</v>
      </c>
      <c r="I803" s="14" t="s">
        <v>2140</v>
      </c>
      <c r="J803" s="14">
        <v>1</v>
      </c>
      <c r="K803" s="14" t="s">
        <v>37</v>
      </c>
      <c r="L803" s="14" t="s">
        <v>96</v>
      </c>
      <c r="M803" s="14" t="s">
        <v>88</v>
      </c>
      <c r="N803" s="14" t="s">
        <v>89</v>
      </c>
      <c r="O803" s="14">
        <v>1</v>
      </c>
      <c r="P803" s="14">
        <v>1</v>
      </c>
      <c r="Q803" s="14">
        <v>143734</v>
      </c>
      <c r="R803" s="14"/>
      <c r="S803" s="26">
        <v>45995</v>
      </c>
      <c r="T803" s="26">
        <v>46042</v>
      </c>
      <c r="U803" s="25">
        <v>46055</v>
      </c>
      <c r="V803" s="14" t="s">
        <v>347</v>
      </c>
      <c r="W803" s="14"/>
      <c r="X803" s="355">
        <v>898.2</v>
      </c>
      <c r="Y803" s="355">
        <f>Table2[[#This Row],[PREÇO UNITARIO]]*Table2[[#This Row],[QUANTIDADE]]</f>
        <v>898.2</v>
      </c>
      <c r="Z803" s="14"/>
      <c r="AA803" s="291">
        <f>MONTH(Table2[[#This Row],[DATA PEDIDO HP]])</f>
        <v>11</v>
      </c>
      <c r="AB803" s="290" t="s">
        <v>60</v>
      </c>
      <c r="AC803" s="5">
        <f t="shared" ca="1" si="12"/>
        <v>46232</v>
      </c>
      <c r="AD803" s="331">
        <f ca="1">_xlfn.DAYS(Table2[[#This Row],[HOJE]],Table2[[#This Row],[DATA PEDIDO HP]])</f>
        <v>266</v>
      </c>
      <c r="AE803" s="5" t="s">
        <v>43</v>
      </c>
    </row>
    <row r="804" spans="1:31" ht="14.45" hidden="1">
      <c r="A804" s="286" t="s">
        <v>2581</v>
      </c>
      <c r="B804" s="26">
        <v>45967</v>
      </c>
      <c r="C804" s="26">
        <v>45954</v>
      </c>
      <c r="D804" s="14" t="s">
        <v>2582</v>
      </c>
      <c r="E804" s="14" t="s">
        <v>2101</v>
      </c>
      <c r="F804" s="14" t="s">
        <v>899</v>
      </c>
      <c r="G804" s="14">
        <v>48500709</v>
      </c>
      <c r="H804" s="14" t="s">
        <v>856</v>
      </c>
      <c r="I804" s="14" t="s">
        <v>1877</v>
      </c>
      <c r="J804" s="14">
        <v>2</v>
      </c>
      <c r="K804" s="14" t="s">
        <v>37</v>
      </c>
      <c r="L804" s="14" t="s">
        <v>217</v>
      </c>
      <c r="M804" s="14" t="s">
        <v>39</v>
      </c>
      <c r="N804" s="14" t="s">
        <v>39</v>
      </c>
      <c r="O804" s="14">
        <v>2</v>
      </c>
      <c r="P804" s="14">
        <v>2</v>
      </c>
      <c r="Q804" s="14">
        <v>143730</v>
      </c>
      <c r="R804" s="14"/>
      <c r="S804" s="26">
        <v>46065</v>
      </c>
      <c r="T804" s="26">
        <v>46042</v>
      </c>
      <c r="U804" s="25">
        <v>46055</v>
      </c>
      <c r="V804" s="14" t="s">
        <v>347</v>
      </c>
      <c r="W804" s="14" t="s">
        <v>2583</v>
      </c>
      <c r="X804" s="355">
        <v>274.36</v>
      </c>
      <c r="Y804" s="355">
        <f>Table2[[#This Row],[PREÇO UNITARIO]]*Table2[[#This Row],[QUANTIDADE]]</f>
        <v>548.72</v>
      </c>
      <c r="Z804" s="14"/>
      <c r="AA804" s="291">
        <f>MONTH(Table2[[#This Row],[DATA PEDIDO HP]])</f>
        <v>11</v>
      </c>
      <c r="AB804" s="290" t="s">
        <v>60</v>
      </c>
      <c r="AC804" s="5">
        <f t="shared" ca="1" si="12"/>
        <v>46232</v>
      </c>
      <c r="AD804" s="331">
        <f ca="1">_xlfn.DAYS(Table2[[#This Row],[HOJE]],Table2[[#This Row],[DATA PEDIDO HP]])</f>
        <v>265</v>
      </c>
      <c r="AE804" s="331" t="s">
        <v>43</v>
      </c>
    </row>
    <row r="805" spans="1:31" s="316" customFormat="1" ht="14.45" hidden="1">
      <c r="A805" s="358" t="s">
        <v>2584</v>
      </c>
      <c r="B805" s="273">
        <v>45967</v>
      </c>
      <c r="C805" s="273">
        <v>45954</v>
      </c>
      <c r="D805" s="229" t="s">
        <v>2585</v>
      </c>
      <c r="E805" s="229" t="s">
        <v>85</v>
      </c>
      <c r="F805" s="229" t="s">
        <v>2496</v>
      </c>
      <c r="G805" s="229">
        <v>50000260</v>
      </c>
      <c r="H805" s="229" t="s">
        <v>1148</v>
      </c>
      <c r="I805" s="229" t="s">
        <v>1149</v>
      </c>
      <c r="J805" s="229">
        <v>1</v>
      </c>
      <c r="K805" s="229" t="s">
        <v>37</v>
      </c>
      <c r="L805" s="229" t="s">
        <v>217</v>
      </c>
      <c r="M805" s="229" t="s">
        <v>88</v>
      </c>
      <c r="N805" s="229" t="s">
        <v>89</v>
      </c>
      <c r="O805" s="229">
        <v>0</v>
      </c>
      <c r="P805" s="229">
        <v>1</v>
      </c>
      <c r="Q805" s="229">
        <v>143746</v>
      </c>
      <c r="R805" s="229" t="s">
        <v>1150</v>
      </c>
      <c r="S805" s="273"/>
      <c r="T805" s="273">
        <v>46056</v>
      </c>
      <c r="U805" s="273">
        <v>46065</v>
      </c>
      <c r="V805" s="229" t="s">
        <v>2586</v>
      </c>
      <c r="W805" s="229" t="s">
        <v>2587</v>
      </c>
      <c r="X805" s="315">
        <v>639.37</v>
      </c>
      <c r="Y805" s="315">
        <f>Table2[[#This Row],[PREÇO UNITARIO]]*Table2[[#This Row],[QUANTIDADE]]</f>
        <v>639.37</v>
      </c>
      <c r="Z805" s="229"/>
      <c r="AA805" s="359">
        <f>MONTH(Table2[[#This Row],[DATA PEDIDO HP]])</f>
        <v>11</v>
      </c>
      <c r="AB805" s="360" t="s">
        <v>42</v>
      </c>
      <c r="AC805" s="325">
        <f t="shared" ca="1" si="12"/>
        <v>46232</v>
      </c>
      <c r="AD805" s="331">
        <f ca="1">_xlfn.DAYS(Table2[[#This Row],[HOJE]],Table2[[#This Row],[DATA PEDIDO HP]])</f>
        <v>265</v>
      </c>
      <c r="AE805" s="332" t="str">
        <f ca="1">IF(Table2[[#This Row],[HOLD]]&gt;30,"ATRASADO","NO PRAZO")</f>
        <v>ATRASADO</v>
      </c>
    </row>
    <row r="806" spans="1:31" ht="14.45" hidden="1">
      <c r="A806" s="286" t="s">
        <v>2584</v>
      </c>
      <c r="B806" s="26">
        <v>45967</v>
      </c>
      <c r="C806" s="26">
        <v>45954</v>
      </c>
      <c r="D806" s="14" t="s">
        <v>2585</v>
      </c>
      <c r="E806" s="14" t="s">
        <v>85</v>
      </c>
      <c r="F806" s="14" t="s">
        <v>2496</v>
      </c>
      <c r="G806" s="14">
        <v>50000260</v>
      </c>
      <c r="H806" s="14" t="s">
        <v>883</v>
      </c>
      <c r="I806" s="14" t="s">
        <v>2588</v>
      </c>
      <c r="J806" s="14">
        <v>1</v>
      </c>
      <c r="K806" s="14" t="s">
        <v>37</v>
      </c>
      <c r="L806" s="14" t="s">
        <v>217</v>
      </c>
      <c r="M806" s="14" t="s">
        <v>88</v>
      </c>
      <c r="N806" s="14" t="s">
        <v>89</v>
      </c>
      <c r="O806" s="14">
        <v>0</v>
      </c>
      <c r="P806" s="14">
        <v>1</v>
      </c>
      <c r="Q806" s="14">
        <v>143746</v>
      </c>
      <c r="R806" s="14"/>
      <c r="S806" s="26">
        <v>46059</v>
      </c>
      <c r="T806" s="26">
        <v>46042</v>
      </c>
      <c r="U806" s="25">
        <v>46055</v>
      </c>
      <c r="V806" s="14" t="s">
        <v>347</v>
      </c>
      <c r="W806" s="14" t="s">
        <v>2587</v>
      </c>
      <c r="X806" s="355">
        <v>140.62</v>
      </c>
      <c r="Y806" s="355">
        <f>Table2[[#This Row],[PREÇO UNITARIO]]*Table2[[#This Row],[QUANTIDADE]]</f>
        <v>140.62</v>
      </c>
      <c r="Z806" s="14"/>
      <c r="AA806" s="291">
        <f>MONTH(Table2[[#This Row],[DATA PEDIDO HP]])</f>
        <v>11</v>
      </c>
      <c r="AB806" s="290" t="s">
        <v>42</v>
      </c>
      <c r="AC806" s="5">
        <f t="shared" ca="1" si="12"/>
        <v>46232</v>
      </c>
      <c r="AD806" s="331">
        <f ca="1">_xlfn.DAYS(Table2[[#This Row],[HOJE]],Table2[[#This Row],[DATA PEDIDO HP]])</f>
        <v>265</v>
      </c>
      <c r="AE806" s="331" t="s">
        <v>43</v>
      </c>
    </row>
    <row r="807" spans="1:31" ht="14.45" hidden="1">
      <c r="A807" s="286" t="s">
        <v>2589</v>
      </c>
      <c r="B807" s="26">
        <v>45965</v>
      </c>
      <c r="C807" s="26">
        <v>45954</v>
      </c>
      <c r="D807" s="14" t="s">
        <v>2590</v>
      </c>
      <c r="E807" s="14" t="s">
        <v>73</v>
      </c>
      <c r="F807" s="14" t="s">
        <v>34</v>
      </c>
      <c r="G807" s="14">
        <v>50110372</v>
      </c>
      <c r="H807" s="14" t="s">
        <v>500</v>
      </c>
      <c r="I807" s="14" t="s">
        <v>2591</v>
      </c>
      <c r="J807" s="14">
        <v>1</v>
      </c>
      <c r="K807" s="14" t="s">
        <v>37</v>
      </c>
      <c r="L807" s="14" t="s">
        <v>217</v>
      </c>
      <c r="M807" s="14" t="s">
        <v>39</v>
      </c>
      <c r="N807" s="14" t="s">
        <v>39</v>
      </c>
      <c r="O807" s="14">
        <v>1</v>
      </c>
      <c r="P807" s="14">
        <v>1</v>
      </c>
      <c r="Q807" s="14">
        <v>143747</v>
      </c>
      <c r="R807" s="14"/>
      <c r="S807" s="25">
        <v>45693</v>
      </c>
      <c r="T807" s="25">
        <v>46042</v>
      </c>
      <c r="U807" s="25">
        <v>46055</v>
      </c>
      <c r="V807" s="14" t="s">
        <v>347</v>
      </c>
      <c r="W807" s="15" t="s">
        <v>41</v>
      </c>
      <c r="X807" s="355">
        <v>10.19</v>
      </c>
      <c r="Y807" s="355">
        <f>Table2[[#This Row],[PREÇO UNITARIO]]*Table2[[#This Row],[QUANTIDADE]]</f>
        <v>10.19</v>
      </c>
      <c r="Z807" s="14"/>
      <c r="AA807" s="291">
        <f>MONTH(Table2[[#This Row],[DATA PEDIDO HP]])</f>
        <v>11</v>
      </c>
      <c r="AB807" s="290" t="s">
        <v>42</v>
      </c>
      <c r="AC807" s="5">
        <f t="shared" ca="1" si="12"/>
        <v>46232</v>
      </c>
      <c r="AD807" s="331">
        <f ca="1">_xlfn.DAYS(Table2[[#This Row],[HOJE]],Table2[[#This Row],[DATA PEDIDO HP]])</f>
        <v>267</v>
      </c>
      <c r="AE807" s="331" t="s">
        <v>43</v>
      </c>
    </row>
    <row r="808" spans="1:31" ht="14.45" hidden="1">
      <c r="A808" s="286" t="s">
        <v>2592</v>
      </c>
      <c r="B808" s="26">
        <v>45966</v>
      </c>
      <c r="C808" s="26">
        <v>45954</v>
      </c>
      <c r="D808" s="14" t="s">
        <v>2593</v>
      </c>
      <c r="E808" s="14" t="s">
        <v>73</v>
      </c>
      <c r="F808" s="14" t="s">
        <v>203</v>
      </c>
      <c r="G808" s="14">
        <v>60002095</v>
      </c>
      <c r="H808" s="14" t="s">
        <v>2594</v>
      </c>
      <c r="I808" s="14" t="s">
        <v>2595</v>
      </c>
      <c r="J808" s="14">
        <v>1</v>
      </c>
      <c r="K808" s="14" t="s">
        <v>37</v>
      </c>
      <c r="L808" s="14" t="s">
        <v>412</v>
      </c>
      <c r="M808" s="14" t="s">
        <v>58</v>
      </c>
      <c r="N808" s="14" t="s">
        <v>58</v>
      </c>
      <c r="O808" s="14">
        <v>1</v>
      </c>
      <c r="P808" s="14">
        <v>1</v>
      </c>
      <c r="Q808" s="14">
        <v>143737</v>
      </c>
      <c r="R808" s="14"/>
      <c r="S808" s="26"/>
      <c r="T808" s="26">
        <v>46042</v>
      </c>
      <c r="U808" s="25">
        <v>46055</v>
      </c>
      <c r="V808" s="14" t="s">
        <v>347</v>
      </c>
      <c r="W808" s="14"/>
      <c r="X808" s="355">
        <v>1383.95</v>
      </c>
      <c r="Y808" s="355">
        <f>Table2[[#This Row],[PREÇO UNITARIO]]*Table2[[#This Row],[QUANTIDADE]]</f>
        <v>1383.95</v>
      </c>
      <c r="Z808" s="14"/>
      <c r="AA808" s="291">
        <f>MONTH(Table2[[#This Row],[DATA PEDIDO HP]])</f>
        <v>11</v>
      </c>
      <c r="AB808" s="290" t="s">
        <v>42</v>
      </c>
      <c r="AC808" s="5">
        <f t="shared" ca="1" si="12"/>
        <v>46232</v>
      </c>
      <c r="AD808" s="331">
        <f ca="1">_xlfn.DAYS(Table2[[#This Row],[HOJE]],Table2[[#This Row],[DATA PEDIDO HP]])</f>
        <v>266</v>
      </c>
      <c r="AE808" s="331" t="str">
        <f ca="1">IF(Table2[[#This Row],[HOLD]]&gt;30,"ATRASADO","NO PRAZO")</f>
        <v>ATRASADO</v>
      </c>
    </row>
    <row r="809" spans="1:31" ht="14.45" hidden="1">
      <c r="A809" s="286" t="s">
        <v>2596</v>
      </c>
      <c r="B809" s="26">
        <v>45967</v>
      </c>
      <c r="C809" s="26">
        <v>45954</v>
      </c>
      <c r="D809" s="14" t="s">
        <v>2597</v>
      </c>
      <c r="E809" s="14" t="s">
        <v>1339</v>
      </c>
      <c r="F809" s="14" t="s">
        <v>899</v>
      </c>
      <c r="G809" s="14">
        <v>48500556</v>
      </c>
      <c r="H809" s="14" t="s">
        <v>2598</v>
      </c>
      <c r="I809" s="14" t="s">
        <v>2599</v>
      </c>
      <c r="J809" s="14">
        <v>1</v>
      </c>
      <c r="K809" s="14" t="s">
        <v>37</v>
      </c>
      <c r="L809" s="14" t="s">
        <v>363</v>
      </c>
      <c r="M809" s="14" t="s">
        <v>58</v>
      </c>
      <c r="N809" s="14" t="s">
        <v>89</v>
      </c>
      <c r="O809" s="14">
        <v>1</v>
      </c>
      <c r="P809" s="14">
        <v>1</v>
      </c>
      <c r="Q809" s="14"/>
      <c r="R809" s="14"/>
      <c r="S809" s="26"/>
      <c r="T809" s="26">
        <v>46042</v>
      </c>
      <c r="U809" s="25">
        <v>46055</v>
      </c>
      <c r="V809" s="14" t="s">
        <v>347</v>
      </c>
      <c r="W809" s="14"/>
      <c r="X809" s="355">
        <v>261.29000000000002</v>
      </c>
      <c r="Y809" s="355">
        <f>Table2[[#This Row],[PREÇO UNITARIO]]*Table2[[#This Row],[QUANTIDADE]]</f>
        <v>261.29000000000002</v>
      </c>
      <c r="Z809" s="14"/>
      <c r="AA809" s="291">
        <f>MONTH(Table2[[#This Row],[DATA PEDIDO HP]])</f>
        <v>11</v>
      </c>
      <c r="AB809" s="290" t="s">
        <v>60</v>
      </c>
      <c r="AC809" s="5">
        <f t="shared" ca="1" si="12"/>
        <v>46232</v>
      </c>
      <c r="AD809" s="331">
        <f ca="1">_xlfn.DAYS(Table2[[#This Row],[HOJE]],Table2[[#This Row],[DATA PEDIDO HP]])</f>
        <v>265</v>
      </c>
      <c r="AE809" s="331" t="str">
        <f ca="1">IF(Table2[[#This Row],[HOLD]]&gt;30,"ATRASADO","NO PRAZO")</f>
        <v>ATRASADO</v>
      </c>
    </row>
    <row r="810" spans="1:31" ht="14.45" hidden="1">
      <c r="A810" s="286" t="s">
        <v>2600</v>
      </c>
      <c r="B810" s="26">
        <v>45965</v>
      </c>
      <c r="C810" s="26">
        <v>45957</v>
      </c>
      <c r="D810" s="14" t="s">
        <v>2601</v>
      </c>
      <c r="E810" s="14" t="s">
        <v>103</v>
      </c>
      <c r="F810" s="14" t="s">
        <v>2527</v>
      </c>
      <c r="G810" s="14">
        <v>51000136</v>
      </c>
      <c r="H810" s="14" t="s">
        <v>2602</v>
      </c>
      <c r="I810" s="14" t="s">
        <v>2603</v>
      </c>
      <c r="J810" s="14">
        <v>1</v>
      </c>
      <c r="K810" s="14" t="s">
        <v>37</v>
      </c>
      <c r="L810" s="14" t="s">
        <v>217</v>
      </c>
      <c r="M810" s="14" t="s">
        <v>88</v>
      </c>
      <c r="N810" s="14" t="s">
        <v>89</v>
      </c>
      <c r="O810" s="14">
        <v>1</v>
      </c>
      <c r="P810" s="14">
        <v>1</v>
      </c>
      <c r="Q810" s="14">
        <v>143756</v>
      </c>
      <c r="R810" s="14"/>
      <c r="S810" s="26">
        <v>46091</v>
      </c>
      <c r="T810" s="25">
        <v>46069</v>
      </c>
      <c r="U810" s="25">
        <v>46078</v>
      </c>
      <c r="V810" s="14" t="s">
        <v>2189</v>
      </c>
      <c r="W810" s="14"/>
      <c r="X810" s="288">
        <v>464.35</v>
      </c>
      <c r="Y810" s="288">
        <f>Table2[[#This Row],[PREÇO UNITARIO]]*Table2[[#This Row],[QUANTIDADE]]</f>
        <v>464.35</v>
      </c>
      <c r="Z810" s="14"/>
      <c r="AA810" s="291">
        <f>MONTH(Table2[[#This Row],[DATA PEDIDO HP]])</f>
        <v>11</v>
      </c>
      <c r="AB810" s="290" t="s">
        <v>42</v>
      </c>
      <c r="AC810" s="5">
        <f t="shared" ca="1" si="12"/>
        <v>46232</v>
      </c>
      <c r="AD810" s="331">
        <f ca="1">_xlfn.DAYS(Table2[[#This Row],[HOJE]],Table2[[#This Row],[DATA PEDIDO HP]])</f>
        <v>267</v>
      </c>
      <c r="AE810" s="5" t="s">
        <v>43</v>
      </c>
    </row>
    <row r="811" spans="1:31" s="348" customFormat="1" ht="14.45" hidden="1">
      <c r="A811" s="286" t="s">
        <v>2604</v>
      </c>
      <c r="B811" s="26">
        <v>45966</v>
      </c>
      <c r="C811" s="26">
        <v>45957</v>
      </c>
      <c r="D811" s="14" t="s">
        <v>2605</v>
      </c>
      <c r="E811" s="14" t="s">
        <v>54</v>
      </c>
      <c r="F811" s="14" t="s">
        <v>173</v>
      </c>
      <c r="G811" s="14">
        <v>48300315</v>
      </c>
      <c r="H811" s="14" t="s">
        <v>369</v>
      </c>
      <c r="I811" s="14" t="s">
        <v>370</v>
      </c>
      <c r="J811" s="14">
        <v>1</v>
      </c>
      <c r="K811" s="14" t="s">
        <v>37</v>
      </c>
      <c r="L811" s="14" t="s">
        <v>96</v>
      </c>
      <c r="M811" s="14" t="s">
        <v>39</v>
      </c>
      <c r="N811" s="14" t="s">
        <v>39</v>
      </c>
      <c r="O811" s="14">
        <v>1</v>
      </c>
      <c r="P811" s="14">
        <v>1</v>
      </c>
      <c r="Q811" s="14">
        <v>143761</v>
      </c>
      <c r="R811" s="14"/>
      <c r="S811" s="26">
        <v>45995</v>
      </c>
      <c r="T811" s="26">
        <v>46042</v>
      </c>
      <c r="U811" s="25">
        <v>46055</v>
      </c>
      <c r="V811" s="14" t="s">
        <v>347</v>
      </c>
      <c r="W811" s="14"/>
      <c r="X811" s="355">
        <v>98.36</v>
      </c>
      <c r="Y811" s="355">
        <f>Table2[[#This Row],[PREÇO UNITARIO]]*Table2[[#This Row],[QUANTIDADE]]</f>
        <v>98.36</v>
      </c>
      <c r="Z811" s="14"/>
      <c r="AA811" s="291">
        <f>MONTH(Table2[[#This Row],[DATA PEDIDO HP]])</f>
        <v>11</v>
      </c>
      <c r="AB811" s="290" t="s">
        <v>60</v>
      </c>
      <c r="AC811" s="5">
        <f t="shared" ca="1" si="12"/>
        <v>46232</v>
      </c>
      <c r="AD811" s="331">
        <f ca="1">_xlfn.DAYS(Table2[[#This Row],[HOJE]],Table2[[#This Row],[DATA PEDIDO HP]])</f>
        <v>266</v>
      </c>
      <c r="AE811" s="5" t="s">
        <v>43</v>
      </c>
    </row>
    <row r="812" spans="1:31" ht="14.45" hidden="1">
      <c r="A812" s="286" t="s">
        <v>2606</v>
      </c>
      <c r="B812" s="26">
        <v>45966</v>
      </c>
      <c r="C812" s="26">
        <v>45957</v>
      </c>
      <c r="D812" s="14" t="s">
        <v>2607</v>
      </c>
      <c r="E812" s="14" t="s">
        <v>515</v>
      </c>
      <c r="F812" s="14" t="s">
        <v>516</v>
      </c>
      <c r="G812" s="14">
        <v>61000037</v>
      </c>
      <c r="H812" s="14" t="s">
        <v>2608</v>
      </c>
      <c r="I812" s="14" t="s">
        <v>2609</v>
      </c>
      <c r="J812" s="14">
        <v>1</v>
      </c>
      <c r="K812" s="14" t="s">
        <v>37</v>
      </c>
      <c r="L812" s="14" t="s">
        <v>217</v>
      </c>
      <c r="M812" s="14" t="s">
        <v>58</v>
      </c>
      <c r="N812" s="14" t="s">
        <v>58</v>
      </c>
      <c r="O812" s="14">
        <v>1</v>
      </c>
      <c r="P812" s="14">
        <v>1</v>
      </c>
      <c r="Q812" s="14">
        <v>143742</v>
      </c>
      <c r="R812" s="14"/>
      <c r="S812" s="26"/>
      <c r="T812" s="26">
        <v>46042</v>
      </c>
      <c r="U812" s="25">
        <v>46055</v>
      </c>
      <c r="V812" s="14" t="s">
        <v>347</v>
      </c>
      <c r="W812" s="14"/>
      <c r="X812" s="355">
        <v>62.06</v>
      </c>
      <c r="Y812" s="355">
        <f>Table2[[#This Row],[PREÇO UNITARIO]]*Table2[[#This Row],[QUANTIDADE]]</f>
        <v>62.06</v>
      </c>
      <c r="Z812" s="14"/>
      <c r="AA812" s="291">
        <f>MONTH(Table2[[#This Row],[DATA PEDIDO HP]])</f>
        <v>11</v>
      </c>
      <c r="AB812" s="290" t="s">
        <v>60</v>
      </c>
      <c r="AC812" s="5">
        <f t="shared" ca="1" si="12"/>
        <v>46232</v>
      </c>
      <c r="AD812" s="331">
        <f ca="1">_xlfn.DAYS(Table2[[#This Row],[HOJE]],Table2[[#This Row],[DATA PEDIDO HP]])</f>
        <v>266</v>
      </c>
      <c r="AE812" s="331" t="str">
        <f ca="1">IF(Table2[[#This Row],[HOLD]]&gt;30,"ATRASADO","NO PRAZO")</f>
        <v>ATRASADO</v>
      </c>
    </row>
    <row r="813" spans="1:31" ht="14.45" hidden="1">
      <c r="A813" s="286" t="s">
        <v>2606</v>
      </c>
      <c r="B813" s="26">
        <v>45966</v>
      </c>
      <c r="C813" s="26">
        <v>45957</v>
      </c>
      <c r="D813" s="14" t="s">
        <v>2607</v>
      </c>
      <c r="E813" s="14" t="s">
        <v>515</v>
      </c>
      <c r="F813" s="14" t="s">
        <v>516</v>
      </c>
      <c r="G813" s="14">
        <v>61000037</v>
      </c>
      <c r="H813" s="14" t="s">
        <v>1058</v>
      </c>
      <c r="I813" s="14" t="s">
        <v>2121</v>
      </c>
      <c r="J813" s="14">
        <v>1</v>
      </c>
      <c r="K813" s="14" t="s">
        <v>37</v>
      </c>
      <c r="L813" s="14" t="s">
        <v>217</v>
      </c>
      <c r="M813" s="14" t="s">
        <v>58</v>
      </c>
      <c r="N813" s="14" t="s">
        <v>58</v>
      </c>
      <c r="O813" s="14">
        <v>1</v>
      </c>
      <c r="P813" s="14">
        <v>1</v>
      </c>
      <c r="Q813" s="14">
        <v>143742</v>
      </c>
      <c r="R813" s="14"/>
      <c r="S813" s="26"/>
      <c r="T813" s="26">
        <v>46042</v>
      </c>
      <c r="U813" s="25">
        <v>46055</v>
      </c>
      <c r="V813" s="14" t="s">
        <v>347</v>
      </c>
      <c r="W813" s="14"/>
      <c r="X813" s="355">
        <v>131.79</v>
      </c>
      <c r="Y813" s="355">
        <f>Table2[[#This Row],[PREÇO UNITARIO]]*Table2[[#This Row],[QUANTIDADE]]</f>
        <v>131.79</v>
      </c>
      <c r="Z813" s="14"/>
      <c r="AA813" s="291">
        <f>MONTH(Table2[[#This Row],[DATA PEDIDO HP]])</f>
        <v>11</v>
      </c>
      <c r="AB813" s="290" t="s">
        <v>60</v>
      </c>
      <c r="AC813" s="5">
        <f t="shared" ca="1" si="12"/>
        <v>46232</v>
      </c>
      <c r="AD813" s="331">
        <f ca="1">_xlfn.DAYS(Table2[[#This Row],[HOJE]],Table2[[#This Row],[DATA PEDIDO HP]])</f>
        <v>266</v>
      </c>
      <c r="AE813" s="331" t="str">
        <f ca="1">IF(Table2[[#This Row],[HOLD]]&gt;30,"ATRASADO","NO PRAZO")</f>
        <v>ATRASADO</v>
      </c>
    </row>
    <row r="814" spans="1:31" ht="14.45" hidden="1">
      <c r="A814" s="286" t="s">
        <v>2606</v>
      </c>
      <c r="B814" s="26">
        <v>45966</v>
      </c>
      <c r="C814" s="26">
        <v>45957</v>
      </c>
      <c r="D814" s="14" t="s">
        <v>2607</v>
      </c>
      <c r="E814" s="14" t="s">
        <v>515</v>
      </c>
      <c r="F814" s="14" t="s">
        <v>516</v>
      </c>
      <c r="G814" s="14">
        <v>61000037</v>
      </c>
      <c r="H814" s="14" t="s">
        <v>2610</v>
      </c>
      <c r="I814" s="14" t="s">
        <v>1160</v>
      </c>
      <c r="J814" s="14">
        <v>1</v>
      </c>
      <c r="K814" s="14" t="s">
        <v>37</v>
      </c>
      <c r="L814" s="14" t="s">
        <v>217</v>
      </c>
      <c r="M814" s="14" t="s">
        <v>58</v>
      </c>
      <c r="N814" s="14" t="s">
        <v>58</v>
      </c>
      <c r="O814" s="14">
        <v>1</v>
      </c>
      <c r="P814" s="14">
        <v>1</v>
      </c>
      <c r="Q814" s="14">
        <v>143742</v>
      </c>
      <c r="R814" s="14"/>
      <c r="S814" s="26"/>
      <c r="T814" s="26">
        <v>46042</v>
      </c>
      <c r="U814" s="25">
        <v>46055</v>
      </c>
      <c r="V814" s="14" t="s">
        <v>347</v>
      </c>
      <c r="W814" s="14"/>
      <c r="X814" s="355">
        <v>1026.07</v>
      </c>
      <c r="Y814" s="355">
        <f>Table2[[#This Row],[PREÇO UNITARIO]]*Table2[[#This Row],[QUANTIDADE]]</f>
        <v>1026.07</v>
      </c>
      <c r="Z814" s="14"/>
      <c r="AA814" s="291">
        <f>MONTH(Table2[[#This Row],[DATA PEDIDO HP]])</f>
        <v>11</v>
      </c>
      <c r="AB814" s="290" t="s">
        <v>60</v>
      </c>
      <c r="AC814" s="5">
        <f t="shared" ca="1" si="12"/>
        <v>46232</v>
      </c>
      <c r="AD814" s="331">
        <f ca="1">_xlfn.DAYS(Table2[[#This Row],[HOJE]],Table2[[#This Row],[DATA PEDIDO HP]])</f>
        <v>266</v>
      </c>
      <c r="AE814" s="331" t="str">
        <f ca="1">IF(Table2[[#This Row],[HOLD]]&gt;30,"ATRASADO","NO PRAZO")</f>
        <v>ATRASADO</v>
      </c>
    </row>
    <row r="815" spans="1:31" ht="14.45" hidden="1">
      <c r="A815" s="286" t="s">
        <v>2611</v>
      </c>
      <c r="B815" s="26">
        <v>45965</v>
      </c>
      <c r="C815" s="26">
        <v>45957</v>
      </c>
      <c r="D815" s="14" t="s">
        <v>2612</v>
      </c>
      <c r="E815" s="14" t="s">
        <v>445</v>
      </c>
      <c r="F815" s="14" t="s">
        <v>403</v>
      </c>
      <c r="G815" s="14">
        <v>50300097</v>
      </c>
      <c r="H815" s="14" t="s">
        <v>136</v>
      </c>
      <c r="I815" s="14" t="s">
        <v>137</v>
      </c>
      <c r="J815" s="14">
        <v>1</v>
      </c>
      <c r="K815" s="14" t="s">
        <v>37</v>
      </c>
      <c r="L815" s="14" t="s">
        <v>96</v>
      </c>
      <c r="M815" s="14" t="s">
        <v>88</v>
      </c>
      <c r="N815" s="14" t="s">
        <v>89</v>
      </c>
      <c r="O815" s="14">
        <v>1</v>
      </c>
      <c r="P815" s="14">
        <v>1</v>
      </c>
      <c r="Q815" s="14">
        <v>143768</v>
      </c>
      <c r="R815" s="14"/>
      <c r="S815" s="25">
        <v>46066</v>
      </c>
      <c r="T815" s="26">
        <v>46042</v>
      </c>
      <c r="U815" s="25">
        <v>46055</v>
      </c>
      <c r="V815" s="14" t="s">
        <v>347</v>
      </c>
      <c r="W815" s="14"/>
      <c r="X815" s="355">
        <v>19.600000000000001</v>
      </c>
      <c r="Y815" s="355">
        <f>Table2[[#This Row],[PREÇO UNITARIO]]*Table2[[#This Row],[QUANTIDADE]]</f>
        <v>19.600000000000001</v>
      </c>
      <c r="Z815" s="14"/>
      <c r="AA815" s="291">
        <f>MONTH(Table2[[#This Row],[DATA PEDIDO HP]])</f>
        <v>11</v>
      </c>
      <c r="AB815" s="290" t="s">
        <v>60</v>
      </c>
      <c r="AC815" s="5">
        <f t="shared" ca="1" si="12"/>
        <v>46232</v>
      </c>
      <c r="AD815" s="331">
        <f ca="1">_xlfn.DAYS(Table2[[#This Row],[HOJE]],Table2[[#This Row],[DATA PEDIDO HP]])</f>
        <v>267</v>
      </c>
      <c r="AE815" s="331" t="str">
        <f ca="1">IF(Table2[[#This Row],[HOLD]]&gt;30,"ATRASADO","NO PRAZO")</f>
        <v>ATRASADO</v>
      </c>
    </row>
    <row r="816" spans="1:31" ht="14.45" hidden="1">
      <c r="A816" s="286" t="s">
        <v>2611</v>
      </c>
      <c r="B816" s="26">
        <v>45965</v>
      </c>
      <c r="C816" s="26">
        <v>45957</v>
      </c>
      <c r="D816" s="14" t="s">
        <v>2612</v>
      </c>
      <c r="E816" s="14" t="s">
        <v>445</v>
      </c>
      <c r="F816" s="14" t="s">
        <v>403</v>
      </c>
      <c r="G816" s="14">
        <v>50300097</v>
      </c>
      <c r="H816" s="14" t="s">
        <v>134</v>
      </c>
      <c r="I816" s="14" t="s">
        <v>740</v>
      </c>
      <c r="J816" s="14">
        <v>1</v>
      </c>
      <c r="K816" s="14" t="s">
        <v>37</v>
      </c>
      <c r="L816" s="14" t="s">
        <v>96</v>
      </c>
      <c r="M816" s="14" t="s">
        <v>88</v>
      </c>
      <c r="N816" s="14" t="s">
        <v>89</v>
      </c>
      <c r="O816" s="14">
        <v>1</v>
      </c>
      <c r="P816" s="14">
        <v>1</v>
      </c>
      <c r="Q816" s="14">
        <v>143768</v>
      </c>
      <c r="R816" s="14"/>
      <c r="S816" s="25">
        <v>46066</v>
      </c>
      <c r="T816" s="26">
        <v>46042</v>
      </c>
      <c r="U816" s="25">
        <v>46055</v>
      </c>
      <c r="V816" s="14" t="s">
        <v>347</v>
      </c>
      <c r="W816" s="14"/>
      <c r="X816" s="355">
        <v>42.46</v>
      </c>
      <c r="Y816" s="355">
        <f>Table2[[#This Row],[PREÇO UNITARIO]]*Table2[[#This Row],[QUANTIDADE]]</f>
        <v>42.46</v>
      </c>
      <c r="Z816" s="14"/>
      <c r="AA816" s="291">
        <f>MONTH(Table2[[#This Row],[DATA PEDIDO HP]])</f>
        <v>11</v>
      </c>
      <c r="AB816" s="290" t="s">
        <v>60</v>
      </c>
      <c r="AC816" s="5">
        <f t="shared" ca="1" si="12"/>
        <v>46232</v>
      </c>
      <c r="AD816" s="331">
        <f ca="1">_xlfn.DAYS(Table2[[#This Row],[HOJE]],Table2[[#This Row],[DATA PEDIDO HP]])</f>
        <v>267</v>
      </c>
      <c r="AE816" s="331" t="str">
        <f ca="1">IF(Table2[[#This Row],[HOLD]]&gt;30,"ATRASADO","NO PRAZO")</f>
        <v>ATRASADO</v>
      </c>
    </row>
    <row r="817" spans="1:31" ht="14.45" hidden="1">
      <c r="A817" s="286" t="s">
        <v>2613</v>
      </c>
      <c r="B817" s="26">
        <v>45966</v>
      </c>
      <c r="C817" s="26">
        <v>45958</v>
      </c>
      <c r="D817" s="14" t="s">
        <v>2614</v>
      </c>
      <c r="E817" s="14" t="s">
        <v>1196</v>
      </c>
      <c r="F817" s="14" t="s">
        <v>1107</v>
      </c>
      <c r="G817" s="14">
        <v>51100064</v>
      </c>
      <c r="H817" s="14" t="s">
        <v>545</v>
      </c>
      <c r="I817" s="14" t="s">
        <v>2140</v>
      </c>
      <c r="J817" s="14">
        <v>1</v>
      </c>
      <c r="K817" s="14" t="s">
        <v>37</v>
      </c>
      <c r="L817" s="14" t="s">
        <v>96</v>
      </c>
      <c r="M817" s="14" t="s">
        <v>88</v>
      </c>
      <c r="N817" s="14" t="s">
        <v>89</v>
      </c>
      <c r="O817" s="14">
        <v>1</v>
      </c>
      <c r="P817" s="14">
        <v>1</v>
      </c>
      <c r="Q817" s="14">
        <v>143760</v>
      </c>
      <c r="R817" s="14"/>
      <c r="S817" s="26">
        <v>45995</v>
      </c>
      <c r="T817" s="26">
        <v>46042</v>
      </c>
      <c r="U817" s="25">
        <v>46055</v>
      </c>
      <c r="V817" s="14" t="s">
        <v>347</v>
      </c>
      <c r="W817" s="14"/>
      <c r="X817" s="355">
        <v>898.2</v>
      </c>
      <c r="Y817" s="355">
        <f>Table2[[#This Row],[PREÇO UNITARIO]]*Table2[[#This Row],[QUANTIDADE]]</f>
        <v>898.2</v>
      </c>
      <c r="Z817" s="14"/>
      <c r="AA817" s="291">
        <f>MONTH(Table2[[#This Row],[DATA PEDIDO HP]])</f>
        <v>11</v>
      </c>
      <c r="AB817" s="290" t="s">
        <v>60</v>
      </c>
      <c r="AC817" s="5">
        <f t="shared" ca="1" si="12"/>
        <v>46232</v>
      </c>
      <c r="AD817" s="331">
        <f ca="1">_xlfn.DAYS(Table2[[#This Row],[HOJE]],Table2[[#This Row],[DATA PEDIDO HP]])</f>
        <v>266</v>
      </c>
      <c r="AE817" s="5" t="s">
        <v>43</v>
      </c>
    </row>
    <row r="818" spans="1:31" ht="14.45" hidden="1">
      <c r="A818" s="286" t="s">
        <v>2615</v>
      </c>
      <c r="B818" s="26">
        <v>45966</v>
      </c>
      <c r="C818" s="26">
        <v>45958</v>
      </c>
      <c r="D818" s="14" t="s">
        <v>2616</v>
      </c>
      <c r="E818" s="14" t="s">
        <v>85</v>
      </c>
      <c r="F818" s="14" t="s">
        <v>2496</v>
      </c>
      <c r="G818" s="14">
        <v>50000260</v>
      </c>
      <c r="H818" s="14" t="s">
        <v>94</v>
      </c>
      <c r="I818" s="14" t="s">
        <v>2617</v>
      </c>
      <c r="J818" s="14">
        <v>3</v>
      </c>
      <c r="K818" s="14" t="s">
        <v>67</v>
      </c>
      <c r="L818" s="14" t="s">
        <v>660</v>
      </c>
      <c r="M818" s="14" t="s">
        <v>58</v>
      </c>
      <c r="N818" s="14" t="s">
        <v>58</v>
      </c>
      <c r="O818" s="14">
        <v>3</v>
      </c>
      <c r="P818" s="14">
        <v>3</v>
      </c>
      <c r="Q818" s="14">
        <v>143700</v>
      </c>
      <c r="R818" s="14"/>
      <c r="S818" s="26"/>
      <c r="T818" s="26">
        <v>46042</v>
      </c>
      <c r="U818" s="25">
        <v>46055</v>
      </c>
      <c r="V818" s="14" t="s">
        <v>347</v>
      </c>
      <c r="W818" s="14"/>
      <c r="X818" s="355">
        <v>207.82</v>
      </c>
      <c r="Y818" s="355">
        <f>Table2[[#This Row],[PREÇO UNITARIO]]*Table2[[#This Row],[QUANTIDADE]]</f>
        <v>623.46</v>
      </c>
      <c r="Z818" s="14"/>
      <c r="AA818" s="291">
        <f>MONTH(Table2[[#This Row],[DATA PEDIDO HP]])</f>
        <v>11</v>
      </c>
      <c r="AB818" s="290" t="s">
        <v>42</v>
      </c>
      <c r="AC818" s="5">
        <f t="shared" ca="1" si="12"/>
        <v>46232</v>
      </c>
      <c r="AD818" s="331">
        <f ca="1">_xlfn.DAYS(Table2[[#This Row],[HOJE]],Table2[[#This Row],[DATA PEDIDO HP]])</f>
        <v>266</v>
      </c>
      <c r="AE818" s="331" t="str">
        <f ca="1">IF(Table2[[#This Row],[HOLD]]&gt;30,"ATRASADO","NO PRAZO")</f>
        <v>ATRASADO</v>
      </c>
    </row>
    <row r="819" spans="1:31" ht="14.45" hidden="1">
      <c r="A819" s="286" t="s">
        <v>2615</v>
      </c>
      <c r="B819" s="26">
        <v>45966</v>
      </c>
      <c r="C819" s="26">
        <v>45958</v>
      </c>
      <c r="D819" s="14" t="s">
        <v>2616</v>
      </c>
      <c r="E819" s="14" t="s">
        <v>85</v>
      </c>
      <c r="F819" s="14" t="s">
        <v>2496</v>
      </c>
      <c r="G819" s="14">
        <v>50000260</v>
      </c>
      <c r="H819" s="14" t="s">
        <v>100</v>
      </c>
      <c r="I819" s="14" t="s">
        <v>465</v>
      </c>
      <c r="J819" s="14">
        <v>2</v>
      </c>
      <c r="K819" s="14" t="s">
        <v>67</v>
      </c>
      <c r="L819" s="14" t="s">
        <v>660</v>
      </c>
      <c r="M819" s="14" t="s">
        <v>88</v>
      </c>
      <c r="N819" s="14" t="s">
        <v>88</v>
      </c>
      <c r="O819" s="14">
        <v>0</v>
      </c>
      <c r="P819" s="14">
        <v>1</v>
      </c>
      <c r="Q819" s="14">
        <v>143700</v>
      </c>
      <c r="R819" s="14" t="s">
        <v>98</v>
      </c>
      <c r="S819" s="25">
        <v>46062</v>
      </c>
      <c r="T819" s="26">
        <v>46042</v>
      </c>
      <c r="U819" s="25">
        <v>46055</v>
      </c>
      <c r="V819" s="14" t="s">
        <v>347</v>
      </c>
      <c r="W819" s="14"/>
      <c r="X819" s="355">
        <v>255.99</v>
      </c>
      <c r="Y819" s="355">
        <f>Table2[[#This Row],[PREÇO UNITARIO]]*Table2[[#This Row],[QUANTIDADE]]</f>
        <v>511.98</v>
      </c>
      <c r="Z819" s="14"/>
      <c r="AA819" s="291">
        <f>MONTH(Table2[[#This Row],[DATA PEDIDO HP]])</f>
        <v>11</v>
      </c>
      <c r="AB819" s="290" t="s">
        <v>42</v>
      </c>
      <c r="AC819" s="5">
        <f t="shared" ca="1" si="12"/>
        <v>46232</v>
      </c>
      <c r="AD819" s="331">
        <f ca="1">_xlfn.DAYS(Table2[[#This Row],[HOJE]],Table2[[#This Row],[DATA PEDIDO HP]])</f>
        <v>266</v>
      </c>
      <c r="AE819" s="331" t="s">
        <v>43</v>
      </c>
    </row>
    <row r="820" spans="1:31" ht="14.45" hidden="1">
      <c r="A820" s="286" t="s">
        <v>2615</v>
      </c>
      <c r="B820" s="26">
        <v>45966</v>
      </c>
      <c r="C820" s="26">
        <v>45958</v>
      </c>
      <c r="D820" s="14" t="s">
        <v>2616</v>
      </c>
      <c r="E820" s="14" t="s">
        <v>85</v>
      </c>
      <c r="F820" s="14" t="s">
        <v>2496</v>
      </c>
      <c r="G820" s="14">
        <v>50000260</v>
      </c>
      <c r="H820" s="14" t="s">
        <v>875</v>
      </c>
      <c r="I820" s="14" t="s">
        <v>2618</v>
      </c>
      <c r="J820" s="14">
        <v>1</v>
      </c>
      <c r="K820" s="14" t="s">
        <v>67</v>
      </c>
      <c r="L820" s="14" t="s">
        <v>660</v>
      </c>
      <c r="M820" s="14" t="s">
        <v>88</v>
      </c>
      <c r="N820" s="14" t="s">
        <v>88</v>
      </c>
      <c r="O820" s="14">
        <v>1</v>
      </c>
      <c r="P820" s="14">
        <v>1</v>
      </c>
      <c r="Q820" s="14">
        <v>143700</v>
      </c>
      <c r="R820" s="14" t="s">
        <v>877</v>
      </c>
      <c r="S820" s="25">
        <v>46062</v>
      </c>
      <c r="T820" s="26">
        <v>46042</v>
      </c>
      <c r="U820" s="25">
        <v>46055</v>
      </c>
      <c r="V820" s="14" t="s">
        <v>347</v>
      </c>
      <c r="W820" s="14"/>
      <c r="X820" s="355">
        <v>262.11</v>
      </c>
      <c r="Y820" s="355">
        <f>Table2[[#This Row],[PREÇO UNITARIO]]*Table2[[#This Row],[QUANTIDADE]]</f>
        <v>262.11</v>
      </c>
      <c r="Z820" s="14"/>
      <c r="AA820" s="291">
        <f>MONTH(Table2[[#This Row],[DATA PEDIDO HP]])</f>
        <v>11</v>
      </c>
      <c r="AB820" s="290" t="s">
        <v>42</v>
      </c>
      <c r="AC820" s="5">
        <f t="shared" ca="1" si="12"/>
        <v>46232</v>
      </c>
      <c r="AD820" s="331">
        <f ca="1">_xlfn.DAYS(Table2[[#This Row],[HOJE]],Table2[[#This Row],[DATA PEDIDO HP]])</f>
        <v>266</v>
      </c>
      <c r="AE820" s="331" t="s">
        <v>43</v>
      </c>
    </row>
    <row r="821" spans="1:31" ht="14.45" hidden="1">
      <c r="A821" s="286" t="s">
        <v>2615</v>
      </c>
      <c r="B821" s="26">
        <v>45966</v>
      </c>
      <c r="C821" s="26">
        <v>45958</v>
      </c>
      <c r="D821" s="14" t="s">
        <v>2616</v>
      </c>
      <c r="E821" s="14" t="s">
        <v>85</v>
      </c>
      <c r="F821" s="14" t="s">
        <v>2496</v>
      </c>
      <c r="G821" s="14">
        <v>50000260</v>
      </c>
      <c r="H821" s="14" t="s">
        <v>1510</v>
      </c>
      <c r="I821" s="14" t="s">
        <v>611</v>
      </c>
      <c r="J821" s="14">
        <v>1</v>
      </c>
      <c r="K821" s="14" t="s">
        <v>67</v>
      </c>
      <c r="L821" s="14" t="s">
        <v>660</v>
      </c>
      <c r="M821" s="14" t="s">
        <v>58</v>
      </c>
      <c r="N821" s="14" t="s">
        <v>58</v>
      </c>
      <c r="O821" s="14">
        <v>1</v>
      </c>
      <c r="P821" s="14">
        <v>1</v>
      </c>
      <c r="Q821" s="14">
        <v>143700</v>
      </c>
      <c r="R821" s="14"/>
      <c r="S821" s="26"/>
      <c r="T821" s="26">
        <v>46042</v>
      </c>
      <c r="U821" s="25">
        <v>46055</v>
      </c>
      <c r="V821" s="14" t="s">
        <v>347</v>
      </c>
      <c r="W821" s="14"/>
      <c r="X821" s="355">
        <v>140.44999999999999</v>
      </c>
      <c r="Y821" s="355">
        <f>Table2[[#This Row],[PREÇO UNITARIO]]*Table2[[#This Row],[QUANTIDADE]]</f>
        <v>140.44999999999999</v>
      </c>
      <c r="Z821" s="14"/>
      <c r="AA821" s="291">
        <f>MONTH(Table2[[#This Row],[DATA PEDIDO HP]])</f>
        <v>11</v>
      </c>
      <c r="AB821" s="290" t="s">
        <v>42</v>
      </c>
      <c r="AC821" s="5">
        <f t="shared" ca="1" si="12"/>
        <v>46232</v>
      </c>
      <c r="AD821" s="331">
        <f ca="1">_xlfn.DAYS(Table2[[#This Row],[HOJE]],Table2[[#This Row],[DATA PEDIDO HP]])</f>
        <v>266</v>
      </c>
      <c r="AE821" s="331" t="str">
        <f ca="1">IF(Table2[[#This Row],[HOLD]]&gt;30,"ATRASADO","NO PRAZO")</f>
        <v>ATRASADO</v>
      </c>
    </row>
    <row r="822" spans="1:31" ht="14.45" hidden="1">
      <c r="A822" s="286" t="s">
        <v>2615</v>
      </c>
      <c r="B822" s="26">
        <v>45966</v>
      </c>
      <c r="C822" s="26">
        <v>45958</v>
      </c>
      <c r="D822" s="14" t="s">
        <v>2616</v>
      </c>
      <c r="E822" s="14" t="s">
        <v>85</v>
      </c>
      <c r="F822" s="14" t="s">
        <v>2496</v>
      </c>
      <c r="G822" s="14">
        <v>50000260</v>
      </c>
      <c r="H822" s="14" t="s">
        <v>2619</v>
      </c>
      <c r="I822" s="14" t="s">
        <v>2620</v>
      </c>
      <c r="J822" s="14">
        <v>1</v>
      </c>
      <c r="K822" s="14" t="s">
        <v>67</v>
      </c>
      <c r="L822" s="14" t="s">
        <v>660</v>
      </c>
      <c r="M822" s="14" t="s">
        <v>58</v>
      </c>
      <c r="N822" s="14" t="s">
        <v>58</v>
      </c>
      <c r="O822" s="14">
        <v>1</v>
      </c>
      <c r="P822" s="14">
        <v>1</v>
      </c>
      <c r="Q822" s="14">
        <v>143700</v>
      </c>
      <c r="R822" s="14"/>
      <c r="S822" s="26"/>
      <c r="T822" s="26">
        <v>46042</v>
      </c>
      <c r="U822" s="25">
        <v>46055</v>
      </c>
      <c r="V822" s="14" t="s">
        <v>347</v>
      </c>
      <c r="W822" s="14"/>
      <c r="X822" s="355">
        <v>181.27</v>
      </c>
      <c r="Y822" s="355">
        <f>Table2[[#This Row],[PREÇO UNITARIO]]*Table2[[#This Row],[QUANTIDADE]]</f>
        <v>181.27</v>
      </c>
      <c r="Z822" s="14"/>
      <c r="AA822" s="291">
        <f>MONTH(Table2[[#This Row],[DATA PEDIDO HP]])</f>
        <v>11</v>
      </c>
      <c r="AB822" s="290" t="s">
        <v>42</v>
      </c>
      <c r="AC822" s="5">
        <f t="shared" ca="1" si="12"/>
        <v>46232</v>
      </c>
      <c r="AD822" s="331">
        <f ca="1">_xlfn.DAYS(Table2[[#This Row],[HOJE]],Table2[[#This Row],[DATA PEDIDO HP]])</f>
        <v>266</v>
      </c>
      <c r="AE822" s="331" t="str">
        <f ca="1">IF(Table2[[#This Row],[HOLD]]&gt;30,"ATRASADO","NO PRAZO")</f>
        <v>ATRASADO</v>
      </c>
    </row>
    <row r="823" spans="1:31" ht="14.45" hidden="1">
      <c r="A823" s="286" t="s">
        <v>2615</v>
      </c>
      <c r="B823" s="26">
        <v>45966</v>
      </c>
      <c r="C823" s="26">
        <v>45958</v>
      </c>
      <c r="D823" s="14" t="s">
        <v>2616</v>
      </c>
      <c r="E823" s="14" t="s">
        <v>85</v>
      </c>
      <c r="F823" s="14" t="s">
        <v>2496</v>
      </c>
      <c r="G823" s="14">
        <v>50000260</v>
      </c>
      <c r="H823" s="14" t="s">
        <v>2621</v>
      </c>
      <c r="I823" s="14" t="s">
        <v>2622</v>
      </c>
      <c r="J823" s="14">
        <v>1</v>
      </c>
      <c r="K823" s="14" t="s">
        <v>67</v>
      </c>
      <c r="L823" s="14" t="s">
        <v>660</v>
      </c>
      <c r="M823" s="14" t="s">
        <v>88</v>
      </c>
      <c r="N823" s="14" t="s">
        <v>88</v>
      </c>
      <c r="O823" s="14">
        <v>1</v>
      </c>
      <c r="P823" s="14">
        <v>1</v>
      </c>
      <c r="Q823" s="14">
        <v>143700</v>
      </c>
      <c r="R823" s="14" t="s">
        <v>2623</v>
      </c>
      <c r="S823" s="25">
        <v>46062</v>
      </c>
      <c r="T823" s="26">
        <v>46042</v>
      </c>
      <c r="U823" s="25">
        <v>46055</v>
      </c>
      <c r="V823" s="14" t="s">
        <v>347</v>
      </c>
      <c r="W823" s="14"/>
      <c r="X823" s="355">
        <v>207.4</v>
      </c>
      <c r="Y823" s="355">
        <f>Table2[[#This Row],[PREÇO UNITARIO]]*Table2[[#This Row],[QUANTIDADE]]</f>
        <v>207.4</v>
      </c>
      <c r="Z823" s="14"/>
      <c r="AA823" s="291">
        <f>MONTH(Table2[[#This Row],[DATA PEDIDO HP]])</f>
        <v>11</v>
      </c>
      <c r="AB823" s="290" t="s">
        <v>42</v>
      </c>
      <c r="AC823" s="5">
        <f t="shared" ca="1" si="12"/>
        <v>46232</v>
      </c>
      <c r="AD823" s="331">
        <f ca="1">_xlfn.DAYS(Table2[[#This Row],[HOJE]],Table2[[#This Row],[DATA PEDIDO HP]])</f>
        <v>266</v>
      </c>
      <c r="AE823" s="331" t="s">
        <v>43</v>
      </c>
    </row>
    <row r="824" spans="1:31" ht="14.45" hidden="1">
      <c r="A824" s="286" t="s">
        <v>2624</v>
      </c>
      <c r="B824" s="26">
        <v>45965</v>
      </c>
      <c r="C824" s="26">
        <v>45959</v>
      </c>
      <c r="D824" s="14" t="s">
        <v>2625</v>
      </c>
      <c r="E824" s="14" t="s">
        <v>181</v>
      </c>
      <c r="F824" s="14" t="s">
        <v>2491</v>
      </c>
      <c r="G824" s="14" t="s">
        <v>182</v>
      </c>
      <c r="H824" s="14" t="s">
        <v>2626</v>
      </c>
      <c r="I824" s="14" t="s">
        <v>2627</v>
      </c>
      <c r="J824" s="14">
        <v>1</v>
      </c>
      <c r="K824" s="14" t="s">
        <v>37</v>
      </c>
      <c r="L824" s="14" t="s">
        <v>48</v>
      </c>
      <c r="M824" s="14" t="s">
        <v>58</v>
      </c>
      <c r="N824" s="14" t="s">
        <v>58</v>
      </c>
      <c r="O824" s="14">
        <v>1</v>
      </c>
      <c r="P824" s="14">
        <v>1</v>
      </c>
      <c r="Q824" s="14">
        <v>143802</v>
      </c>
      <c r="R824" s="14"/>
      <c r="S824" s="26"/>
      <c r="T824" s="26">
        <v>46042</v>
      </c>
      <c r="U824" s="25">
        <v>46055</v>
      </c>
      <c r="V824" s="14" t="s">
        <v>347</v>
      </c>
      <c r="W824" s="14"/>
      <c r="X824" s="355">
        <v>54.06</v>
      </c>
      <c r="Y824" s="355">
        <f>Table2[[#This Row],[PREÇO UNITARIO]]*Table2[[#This Row],[QUANTIDADE]]</f>
        <v>54.06</v>
      </c>
      <c r="Z824" s="14"/>
      <c r="AA824" s="291">
        <f>MONTH(Table2[[#This Row],[DATA PEDIDO HP]])</f>
        <v>11</v>
      </c>
      <c r="AB824" s="290" t="s">
        <v>42</v>
      </c>
      <c r="AC824" s="5">
        <f t="shared" ca="1" si="12"/>
        <v>46232</v>
      </c>
      <c r="AD824" s="331">
        <f ca="1">_xlfn.DAYS(Table2[[#This Row],[HOJE]],Table2[[#This Row],[DATA PEDIDO HP]])</f>
        <v>267</v>
      </c>
      <c r="AE824" s="331" t="str">
        <f ca="1">IF(Table2[[#This Row],[HOLD]]&gt;30,"ATRASADO","NO PRAZO")</f>
        <v>ATRASADO</v>
      </c>
    </row>
    <row r="825" spans="1:31" ht="14.45" hidden="1">
      <c r="A825" s="286" t="s">
        <v>2628</v>
      </c>
      <c r="B825" s="26">
        <v>45965</v>
      </c>
      <c r="C825" s="26">
        <v>45959</v>
      </c>
      <c r="D825" s="14" t="s">
        <v>2629</v>
      </c>
      <c r="E825" s="14" t="s">
        <v>2132</v>
      </c>
      <c r="F825" s="14" t="s">
        <v>203</v>
      </c>
      <c r="G825" s="14">
        <v>60001111</v>
      </c>
      <c r="H825" s="14" t="s">
        <v>2423</v>
      </c>
      <c r="I825" s="14" t="s">
        <v>2424</v>
      </c>
      <c r="J825" s="14">
        <v>1</v>
      </c>
      <c r="K825" s="14" t="s">
        <v>37</v>
      </c>
      <c r="L825" s="14" t="s">
        <v>96</v>
      </c>
      <c r="M825" s="14" t="s">
        <v>39</v>
      </c>
      <c r="N825" s="14" t="s">
        <v>39</v>
      </c>
      <c r="O825" s="14">
        <v>1</v>
      </c>
      <c r="P825" s="14">
        <v>1</v>
      </c>
      <c r="Q825" s="14">
        <v>143803</v>
      </c>
      <c r="R825" s="14"/>
      <c r="S825" s="26">
        <v>46058</v>
      </c>
      <c r="T825" s="26">
        <v>46042</v>
      </c>
      <c r="U825" s="25">
        <v>46055</v>
      </c>
      <c r="V825" s="14" t="s">
        <v>347</v>
      </c>
      <c r="W825" s="14"/>
      <c r="X825" s="355">
        <v>19.27</v>
      </c>
      <c r="Y825" s="355">
        <f>Table2[[#This Row],[PREÇO UNITARIO]]*Table2[[#This Row],[QUANTIDADE]]</f>
        <v>19.27</v>
      </c>
      <c r="Z825" s="14"/>
      <c r="AA825" s="291">
        <f>MONTH(Table2[[#This Row],[DATA PEDIDO HP]])</f>
        <v>11</v>
      </c>
      <c r="AB825" s="290" t="s">
        <v>42</v>
      </c>
      <c r="AC825" s="5">
        <f t="shared" ca="1" si="12"/>
        <v>46232</v>
      </c>
      <c r="AD825" s="331">
        <f ca="1">_xlfn.DAYS(Table2[[#This Row],[HOJE]],Table2[[#This Row],[DATA PEDIDO HP]])</f>
        <v>267</v>
      </c>
      <c r="AE825" s="5" t="s">
        <v>43</v>
      </c>
    </row>
    <row r="826" spans="1:31" ht="14.45" hidden="1">
      <c r="A826" s="286" t="s">
        <v>2630</v>
      </c>
      <c r="B826" s="26">
        <v>45967</v>
      </c>
      <c r="C826" s="26">
        <v>45959</v>
      </c>
      <c r="D826" s="14" t="s">
        <v>2631</v>
      </c>
      <c r="E826" s="14" t="s">
        <v>225</v>
      </c>
      <c r="F826" s="14" t="s">
        <v>2491</v>
      </c>
      <c r="G826" s="14">
        <v>50110261</v>
      </c>
      <c r="H826" s="14" t="s">
        <v>2632</v>
      </c>
      <c r="I826" s="14" t="s">
        <v>2633</v>
      </c>
      <c r="J826" s="14">
        <v>1</v>
      </c>
      <c r="K826" s="14" t="s">
        <v>37</v>
      </c>
      <c r="L826" s="14" t="s">
        <v>96</v>
      </c>
      <c r="M826" s="14" t="s">
        <v>39</v>
      </c>
      <c r="N826" s="14" t="s">
        <v>39</v>
      </c>
      <c r="O826" s="14">
        <v>1</v>
      </c>
      <c r="P826" s="14">
        <v>1</v>
      </c>
      <c r="Q826" s="14">
        <v>143809</v>
      </c>
      <c r="R826" s="14" t="s">
        <v>2634</v>
      </c>
      <c r="S826" s="26">
        <v>46065</v>
      </c>
      <c r="T826" s="26">
        <v>46042</v>
      </c>
      <c r="U826" s="25">
        <v>46055</v>
      </c>
      <c r="V826" s="14" t="s">
        <v>347</v>
      </c>
      <c r="W826" s="14"/>
      <c r="X826" s="355">
        <v>132.54</v>
      </c>
      <c r="Y826" s="355">
        <f>Table2[[#This Row],[PREÇO UNITARIO]]*Table2[[#This Row],[QUANTIDADE]]</f>
        <v>132.54</v>
      </c>
      <c r="Z826" s="14"/>
      <c r="AA826" s="291">
        <f>MONTH(Table2[[#This Row],[DATA PEDIDO HP]])</f>
        <v>11</v>
      </c>
      <c r="AB826" s="290" t="s">
        <v>60</v>
      </c>
      <c r="AC826" s="5">
        <f t="shared" ca="1" si="12"/>
        <v>46232</v>
      </c>
      <c r="AD826" s="331">
        <f ca="1">_xlfn.DAYS(Table2[[#This Row],[HOJE]],Table2[[#This Row],[DATA PEDIDO HP]])</f>
        <v>265</v>
      </c>
      <c r="AE826" s="331" t="s">
        <v>43</v>
      </c>
    </row>
    <row r="827" spans="1:31" ht="14.45" hidden="1">
      <c r="A827" s="286" t="s">
        <v>2635</v>
      </c>
      <c r="B827" s="26">
        <v>45967</v>
      </c>
      <c r="C827" s="26">
        <v>45959</v>
      </c>
      <c r="D827" s="14" t="s">
        <v>2636</v>
      </c>
      <c r="E827" s="14" t="s">
        <v>2132</v>
      </c>
      <c r="F827" s="14" t="s">
        <v>203</v>
      </c>
      <c r="G827" s="14">
        <v>60001111</v>
      </c>
      <c r="H827" s="14" t="s">
        <v>2637</v>
      </c>
      <c r="I827" s="14" t="s">
        <v>2638</v>
      </c>
      <c r="J827" s="14">
        <v>1</v>
      </c>
      <c r="K827" s="14" t="s">
        <v>37</v>
      </c>
      <c r="L827" s="14" t="s">
        <v>68</v>
      </c>
      <c r="M827" s="14" t="s">
        <v>39</v>
      </c>
      <c r="N827" s="14" t="s">
        <v>39</v>
      </c>
      <c r="O827" s="14">
        <v>1</v>
      </c>
      <c r="P827" s="14">
        <v>1</v>
      </c>
      <c r="Q827" s="14">
        <v>143681</v>
      </c>
      <c r="R827" s="14"/>
      <c r="S827" s="26">
        <v>46058</v>
      </c>
      <c r="T827" s="26">
        <v>46042</v>
      </c>
      <c r="U827" s="25">
        <v>46055</v>
      </c>
      <c r="V827" s="14" t="s">
        <v>347</v>
      </c>
      <c r="W827" s="14"/>
      <c r="X827" s="355">
        <v>475.51</v>
      </c>
      <c r="Y827" s="355">
        <f>Table2[[#This Row],[PREÇO UNITARIO]]*Table2[[#This Row],[QUANTIDADE]]</f>
        <v>475.51</v>
      </c>
      <c r="Z827" s="14"/>
      <c r="AA827" s="291">
        <f>MONTH(Table2[[#This Row],[DATA PEDIDO HP]])</f>
        <v>11</v>
      </c>
      <c r="AB827" s="290" t="s">
        <v>42</v>
      </c>
      <c r="AC827" s="5">
        <f t="shared" ca="1" si="12"/>
        <v>46232</v>
      </c>
      <c r="AD827" s="331">
        <f ca="1">_xlfn.DAYS(Table2[[#This Row],[HOJE]],Table2[[#This Row],[DATA PEDIDO HP]])</f>
        <v>265</v>
      </c>
      <c r="AE827" s="5" t="s">
        <v>43</v>
      </c>
    </row>
    <row r="828" spans="1:31" ht="14.45" hidden="1">
      <c r="A828" s="286" t="s">
        <v>2635</v>
      </c>
      <c r="B828" s="26">
        <v>45967</v>
      </c>
      <c r="C828" s="26">
        <v>45959</v>
      </c>
      <c r="D828" s="14" t="s">
        <v>2636</v>
      </c>
      <c r="E828" s="14" t="s">
        <v>2132</v>
      </c>
      <c r="F828" s="14" t="s">
        <v>203</v>
      </c>
      <c r="G828" s="14">
        <v>60001111</v>
      </c>
      <c r="H828" s="14" t="s">
        <v>2084</v>
      </c>
      <c r="I828" s="14" t="s">
        <v>2639</v>
      </c>
      <c r="J828" s="14">
        <v>1</v>
      </c>
      <c r="K828" s="14" t="s">
        <v>37</v>
      </c>
      <c r="L828" s="14" t="s">
        <v>68</v>
      </c>
      <c r="M828" s="14" t="s">
        <v>58</v>
      </c>
      <c r="N828" s="14" t="s">
        <v>58</v>
      </c>
      <c r="O828" s="14">
        <v>1</v>
      </c>
      <c r="P828" s="14">
        <v>1</v>
      </c>
      <c r="Q828" s="14">
        <v>143681</v>
      </c>
      <c r="R828" s="14"/>
      <c r="S828" s="26"/>
      <c r="T828" s="26">
        <v>46042</v>
      </c>
      <c r="U828" s="25">
        <v>46055</v>
      </c>
      <c r="V828" s="14" t="s">
        <v>347</v>
      </c>
      <c r="W828" s="14"/>
      <c r="X828" s="355">
        <v>104.32</v>
      </c>
      <c r="Y828" s="355">
        <f>Table2[[#This Row],[PREÇO UNITARIO]]*Table2[[#This Row],[QUANTIDADE]]</f>
        <v>104.32</v>
      </c>
      <c r="Z828" s="14"/>
      <c r="AA828" s="291">
        <f>MONTH(Table2[[#This Row],[DATA PEDIDO HP]])</f>
        <v>11</v>
      </c>
      <c r="AB828" s="290" t="s">
        <v>42</v>
      </c>
      <c r="AC828" s="5">
        <f t="shared" ca="1" si="12"/>
        <v>46232</v>
      </c>
      <c r="AD828" s="331">
        <f ca="1">_xlfn.DAYS(Table2[[#This Row],[HOJE]],Table2[[#This Row],[DATA PEDIDO HP]])</f>
        <v>265</v>
      </c>
      <c r="AE828" s="5" t="s">
        <v>43</v>
      </c>
    </row>
    <row r="829" spans="1:31" ht="14.45" hidden="1">
      <c r="A829" s="286" t="s">
        <v>2640</v>
      </c>
      <c r="B829" s="26">
        <v>45967</v>
      </c>
      <c r="C829" s="26">
        <v>45959</v>
      </c>
      <c r="D829" s="14" t="s">
        <v>2641</v>
      </c>
      <c r="E829" s="14" t="s">
        <v>73</v>
      </c>
      <c r="F829" s="14" t="s">
        <v>203</v>
      </c>
      <c r="G829" s="14">
        <v>60002095</v>
      </c>
      <c r="H829" s="14" t="s">
        <v>2642</v>
      </c>
      <c r="I829" s="14" t="s">
        <v>2643</v>
      </c>
      <c r="J829" s="14">
        <v>1</v>
      </c>
      <c r="K829" s="14" t="s">
        <v>37</v>
      </c>
      <c r="L829" s="14" t="s">
        <v>68</v>
      </c>
      <c r="M829" s="14" t="s">
        <v>58</v>
      </c>
      <c r="N829" s="14" t="s">
        <v>58</v>
      </c>
      <c r="O829" s="14">
        <v>1</v>
      </c>
      <c r="P829" s="14">
        <v>1</v>
      </c>
      <c r="Q829" s="14">
        <v>143201</v>
      </c>
      <c r="R829" s="14"/>
      <c r="S829" s="26">
        <v>46084</v>
      </c>
      <c r="T829" s="26">
        <v>46042</v>
      </c>
      <c r="U829" s="25">
        <v>46055</v>
      </c>
      <c r="V829" s="14" t="s">
        <v>347</v>
      </c>
      <c r="W829" s="14"/>
      <c r="X829" s="355">
        <v>1533.55</v>
      </c>
      <c r="Y829" s="355">
        <f>Table2[[#This Row],[PREÇO UNITARIO]]*Table2[[#This Row],[QUANTIDADE]]</f>
        <v>1533.55</v>
      </c>
      <c r="Z829" s="14"/>
      <c r="AA829" s="291">
        <f>MONTH(Table2[[#This Row],[DATA PEDIDO HP]])</f>
        <v>11</v>
      </c>
      <c r="AB829" s="290" t="s">
        <v>42</v>
      </c>
      <c r="AC829" s="5">
        <f t="shared" ca="1" si="12"/>
        <v>46232</v>
      </c>
      <c r="AD829" s="331">
        <f ca="1">_xlfn.DAYS(Table2[[#This Row],[HOJE]],Table2[[#This Row],[DATA PEDIDO HP]])</f>
        <v>265</v>
      </c>
      <c r="AE829" s="331" t="str">
        <f ca="1">IF(Table2[[#This Row],[HOLD]]&gt;30,"ATRASADO","NO PRAZO")</f>
        <v>ATRASADO</v>
      </c>
    </row>
    <row r="830" spans="1:31" s="348" customFormat="1" ht="14.45" hidden="1">
      <c r="A830" s="286" t="s">
        <v>2644</v>
      </c>
      <c r="B830" s="26">
        <v>45967</v>
      </c>
      <c r="C830" s="26">
        <v>45959</v>
      </c>
      <c r="D830" s="14" t="s">
        <v>2645</v>
      </c>
      <c r="E830" s="14" t="s">
        <v>73</v>
      </c>
      <c r="F830" s="14" t="s">
        <v>203</v>
      </c>
      <c r="G830" s="14">
        <v>60002095</v>
      </c>
      <c r="H830" s="14" t="s">
        <v>2646</v>
      </c>
      <c r="I830" s="14" t="s">
        <v>2647</v>
      </c>
      <c r="J830" s="14">
        <v>1</v>
      </c>
      <c r="K830" s="14" t="s">
        <v>67</v>
      </c>
      <c r="L830" s="14" t="s">
        <v>346</v>
      </c>
      <c r="M830" s="14" t="s">
        <v>39</v>
      </c>
      <c r="N830" s="14" t="s">
        <v>39</v>
      </c>
      <c r="O830" s="14">
        <v>1</v>
      </c>
      <c r="P830" s="14">
        <v>1</v>
      </c>
      <c r="Q830" s="14">
        <v>14377</v>
      </c>
      <c r="R830" s="14" t="s">
        <v>2648</v>
      </c>
      <c r="S830" s="25">
        <v>45693</v>
      </c>
      <c r="T830" s="25">
        <v>46042</v>
      </c>
      <c r="U830" s="25">
        <v>46055</v>
      </c>
      <c r="V830" s="14" t="s">
        <v>347</v>
      </c>
      <c r="W830" s="15" t="s">
        <v>41</v>
      </c>
      <c r="X830" s="355">
        <v>147.47</v>
      </c>
      <c r="Y830" s="355">
        <f>Table2[[#This Row],[PREÇO UNITARIO]]*Table2[[#This Row],[QUANTIDADE]]</f>
        <v>147.47</v>
      </c>
      <c r="Z830" s="14" t="s">
        <v>2649</v>
      </c>
      <c r="AA830" s="291">
        <f>MONTH(Table2[[#This Row],[DATA PEDIDO HP]])</f>
        <v>11</v>
      </c>
      <c r="AB830" s="290" t="s">
        <v>42</v>
      </c>
      <c r="AC830" s="5">
        <f t="shared" ca="1" si="12"/>
        <v>46232</v>
      </c>
      <c r="AD830" s="331">
        <f ca="1">_xlfn.DAYS(Table2[[#This Row],[HOJE]],Table2[[#This Row],[DATA PEDIDO HP]])</f>
        <v>265</v>
      </c>
      <c r="AE830" s="331" t="s">
        <v>43</v>
      </c>
    </row>
    <row r="831" spans="1:31" ht="14.45" hidden="1">
      <c r="A831" s="286" t="s">
        <v>2650</v>
      </c>
      <c r="B831" s="26">
        <v>45968</v>
      </c>
      <c r="C831" s="26">
        <v>45960</v>
      </c>
      <c r="D831" s="14" t="s">
        <v>2651</v>
      </c>
      <c r="E831" s="14" t="s">
        <v>2132</v>
      </c>
      <c r="F831" s="14" t="s">
        <v>203</v>
      </c>
      <c r="G831" s="14">
        <v>60001111</v>
      </c>
      <c r="H831" s="14" t="s">
        <v>2652</v>
      </c>
      <c r="I831" s="14" t="s">
        <v>2653</v>
      </c>
      <c r="J831" s="14">
        <v>1</v>
      </c>
      <c r="K831" s="14" t="s">
        <v>37</v>
      </c>
      <c r="L831" s="14" t="s">
        <v>96</v>
      </c>
      <c r="M831" s="14" t="s">
        <v>58</v>
      </c>
      <c r="N831" s="14" t="s">
        <v>58</v>
      </c>
      <c r="O831" s="14">
        <v>1</v>
      </c>
      <c r="P831" s="14">
        <v>1</v>
      </c>
      <c r="Q831" s="14">
        <v>143830</v>
      </c>
      <c r="R831" s="14"/>
      <c r="S831" s="26"/>
      <c r="T831" s="26">
        <v>46042</v>
      </c>
      <c r="U831" s="25">
        <v>46055</v>
      </c>
      <c r="V831" s="14" t="s">
        <v>347</v>
      </c>
      <c r="W831" s="14"/>
      <c r="X831" s="355">
        <v>530.16</v>
      </c>
      <c r="Y831" s="355">
        <f>Table2[[#This Row],[PREÇO UNITARIO]]*Table2[[#This Row],[QUANTIDADE]]</f>
        <v>530.16</v>
      </c>
      <c r="Z831" s="14"/>
      <c r="AA831" s="291">
        <f>MONTH(Table2[[#This Row],[DATA PEDIDO HP]])</f>
        <v>11</v>
      </c>
      <c r="AB831" s="290" t="s">
        <v>42</v>
      </c>
      <c r="AC831" s="5">
        <f t="shared" ca="1" si="12"/>
        <v>46232</v>
      </c>
      <c r="AD831" s="331">
        <f ca="1">_xlfn.DAYS(Table2[[#This Row],[HOJE]],Table2[[#This Row],[DATA PEDIDO HP]])</f>
        <v>264</v>
      </c>
      <c r="AE831" s="5" t="s">
        <v>43</v>
      </c>
    </row>
    <row r="832" spans="1:31" ht="14.45" hidden="1">
      <c r="A832" s="286" t="s">
        <v>2654</v>
      </c>
      <c r="B832" s="26">
        <v>45968</v>
      </c>
      <c r="C832" s="26">
        <v>45961</v>
      </c>
      <c r="D832" s="14" t="s">
        <v>2655</v>
      </c>
      <c r="E832" s="14" t="s">
        <v>181</v>
      </c>
      <c r="F832" s="14" t="s">
        <v>34</v>
      </c>
      <c r="G832" s="14">
        <v>50110057</v>
      </c>
      <c r="H832" s="14" t="s">
        <v>727</v>
      </c>
      <c r="I832" s="14" t="s">
        <v>2656</v>
      </c>
      <c r="J832" s="14">
        <v>1</v>
      </c>
      <c r="K832" s="14" t="s">
        <v>37</v>
      </c>
      <c r="L832" s="14" t="s">
        <v>96</v>
      </c>
      <c r="M832" s="14" t="s">
        <v>39</v>
      </c>
      <c r="N832" s="14" t="s">
        <v>39</v>
      </c>
      <c r="O832" s="14">
        <v>1</v>
      </c>
      <c r="P832" s="14">
        <v>1</v>
      </c>
      <c r="Q832" s="14">
        <v>143844</v>
      </c>
      <c r="R832" s="14"/>
      <c r="S832" s="26">
        <v>46066</v>
      </c>
      <c r="T832" s="26">
        <v>46042</v>
      </c>
      <c r="U832" s="25">
        <v>46055</v>
      </c>
      <c r="V832" s="14" t="s">
        <v>347</v>
      </c>
      <c r="W832" s="14"/>
      <c r="X832" s="355">
        <v>175.25</v>
      </c>
      <c r="Y832" s="355">
        <f>Table2[[#This Row],[PREÇO UNITARIO]]*Table2[[#This Row],[QUANTIDADE]]</f>
        <v>175.25</v>
      </c>
      <c r="Z832" s="14"/>
      <c r="AA832" s="291">
        <f>MONTH(Table2[[#This Row],[DATA PEDIDO HP]])</f>
        <v>11</v>
      </c>
      <c r="AB832" s="290" t="s">
        <v>42</v>
      </c>
      <c r="AC832" s="5">
        <f t="shared" ca="1" si="12"/>
        <v>46232</v>
      </c>
      <c r="AD832" s="331">
        <f ca="1">_xlfn.DAYS(Table2[[#This Row],[HOJE]],Table2[[#This Row],[DATA PEDIDO HP]])</f>
        <v>264</v>
      </c>
      <c r="AE832" s="331" t="s">
        <v>43</v>
      </c>
    </row>
    <row r="833" spans="1:31" ht="14.45" hidden="1">
      <c r="A833" s="286" t="s">
        <v>2657</v>
      </c>
      <c r="B833" s="26">
        <v>45966</v>
      </c>
      <c r="C833" s="26">
        <v>45964</v>
      </c>
      <c r="D833" s="14" t="s">
        <v>2658</v>
      </c>
      <c r="E833" s="14" t="s">
        <v>103</v>
      </c>
      <c r="F833" s="14" t="s">
        <v>2527</v>
      </c>
      <c r="G833" s="14">
        <v>51000136</v>
      </c>
      <c r="H833" s="229" t="s">
        <v>130</v>
      </c>
      <c r="I833" s="229" t="s">
        <v>633</v>
      </c>
      <c r="J833" s="14">
        <v>1</v>
      </c>
      <c r="K833" s="14" t="s">
        <v>37</v>
      </c>
      <c r="L833" s="14" t="s">
        <v>96</v>
      </c>
      <c r="M833" s="14" t="s">
        <v>39</v>
      </c>
      <c r="N833" s="14" t="s">
        <v>39</v>
      </c>
      <c r="O833" s="14">
        <v>1</v>
      </c>
      <c r="P833" s="14">
        <v>1</v>
      </c>
      <c r="Q833" s="14">
        <v>143862</v>
      </c>
      <c r="R833" s="14"/>
      <c r="S833" s="26">
        <v>46059</v>
      </c>
      <c r="T833" s="26">
        <v>46042</v>
      </c>
      <c r="U833" s="25">
        <v>46055</v>
      </c>
      <c r="V833" s="14" t="s">
        <v>347</v>
      </c>
      <c r="W833" s="14"/>
      <c r="X833" s="355">
        <v>17.28</v>
      </c>
      <c r="Y833" s="355">
        <f>Table2[[#This Row],[PREÇO UNITARIO]]*Table2[[#This Row],[QUANTIDADE]]</f>
        <v>17.28</v>
      </c>
      <c r="Z833" s="14"/>
      <c r="AA833" s="291">
        <f>MONTH(Table2[[#This Row],[DATA PEDIDO HP]])</f>
        <v>11</v>
      </c>
      <c r="AB833" s="290" t="s">
        <v>42</v>
      </c>
      <c r="AC833" s="5">
        <f t="shared" ca="1" si="12"/>
        <v>46232</v>
      </c>
      <c r="AD833" s="331">
        <v>94</v>
      </c>
      <c r="AE833" s="331" t="s">
        <v>43</v>
      </c>
    </row>
    <row r="834" spans="1:31" ht="14.45" hidden="1">
      <c r="A834" s="286" t="s">
        <v>2659</v>
      </c>
      <c r="B834" s="26">
        <v>45964</v>
      </c>
      <c r="C834" s="26">
        <v>45952</v>
      </c>
      <c r="D834" s="14" t="s">
        <v>2660</v>
      </c>
      <c r="E834" s="14" t="s">
        <v>73</v>
      </c>
      <c r="F834" s="14" t="s">
        <v>34</v>
      </c>
      <c r="G834" s="14">
        <v>50110372</v>
      </c>
      <c r="H834" s="14" t="s">
        <v>1813</v>
      </c>
      <c r="I834" s="14" t="s">
        <v>2661</v>
      </c>
      <c r="J834" s="14">
        <v>1</v>
      </c>
      <c r="K834" s="14" t="s">
        <v>37</v>
      </c>
      <c r="L834" s="14" t="s">
        <v>96</v>
      </c>
      <c r="M834" s="14" t="s">
        <v>39</v>
      </c>
      <c r="N834" s="14" t="s">
        <v>39</v>
      </c>
      <c r="O834" s="14">
        <v>1</v>
      </c>
      <c r="P834" s="14">
        <v>1</v>
      </c>
      <c r="Q834" s="14">
        <v>143696</v>
      </c>
      <c r="R834" s="14" t="s">
        <v>165</v>
      </c>
      <c r="S834" s="25">
        <v>45693</v>
      </c>
      <c r="T834" s="25">
        <v>46042</v>
      </c>
      <c r="U834" s="25">
        <v>46055</v>
      </c>
      <c r="V834" s="14" t="s">
        <v>347</v>
      </c>
      <c r="W834" s="15" t="s">
        <v>41</v>
      </c>
      <c r="X834" s="355">
        <v>354.38</v>
      </c>
      <c r="Y834" s="355">
        <f>Table2[[#This Row],[PREÇO UNITARIO]]*Table2[[#This Row],[QUANTIDADE]]</f>
        <v>354.38</v>
      </c>
      <c r="Z834" s="14"/>
      <c r="AA834" s="291">
        <f>MONTH(Table2[[#This Row],[DATA PEDIDO HP]])</f>
        <v>11</v>
      </c>
      <c r="AB834" s="290" t="s">
        <v>42</v>
      </c>
      <c r="AC834" s="5">
        <f t="shared" ref="AC834:AC897" ca="1" si="13">TODAY()</f>
        <v>46232</v>
      </c>
      <c r="AD834" s="331">
        <f ca="1">_xlfn.DAYS(Table2[[#This Row],[HOJE]],Table2[[#This Row],[DATA PEDIDO HP]])</f>
        <v>268</v>
      </c>
      <c r="AE834" s="331" t="s">
        <v>43</v>
      </c>
    </row>
    <row r="835" spans="1:31" ht="14.45" hidden="1">
      <c r="A835" s="286" t="s">
        <v>2662</v>
      </c>
      <c r="B835" s="26">
        <v>45966</v>
      </c>
      <c r="C835" s="26">
        <v>45965</v>
      </c>
      <c r="D835" s="14" t="s">
        <v>2663</v>
      </c>
      <c r="E835" s="14" t="s">
        <v>982</v>
      </c>
      <c r="F835" s="14" t="s">
        <v>2664</v>
      </c>
      <c r="G835" s="14">
        <v>46000053</v>
      </c>
      <c r="H835" s="14" t="s">
        <v>2665</v>
      </c>
      <c r="I835" s="14" t="s">
        <v>2666</v>
      </c>
      <c r="J835" s="14">
        <v>1</v>
      </c>
      <c r="K835" s="14" t="s">
        <v>37</v>
      </c>
      <c r="L835" s="14" t="s">
        <v>38</v>
      </c>
      <c r="M835" s="14" t="s">
        <v>58</v>
      </c>
      <c r="N835" s="14" t="s">
        <v>58</v>
      </c>
      <c r="O835" s="14">
        <v>1</v>
      </c>
      <c r="P835" s="14">
        <v>1</v>
      </c>
      <c r="Q835" s="14">
        <v>143765</v>
      </c>
      <c r="R835" s="14"/>
      <c r="S835" s="26"/>
      <c r="T835" s="26">
        <v>46042</v>
      </c>
      <c r="U835" s="25">
        <v>46055</v>
      </c>
      <c r="V835" s="14" t="s">
        <v>347</v>
      </c>
      <c r="W835" s="14"/>
      <c r="X835" s="355">
        <v>79.209999999999994</v>
      </c>
      <c r="Y835" s="355">
        <f>Table2[[#This Row],[PREÇO UNITARIO]]*Table2[[#This Row],[QUANTIDADE]]</f>
        <v>79.209999999999994</v>
      </c>
      <c r="Z835" s="14"/>
      <c r="AA835" s="291">
        <f>MONTH(Table2[[#This Row],[DATA PEDIDO HP]])</f>
        <v>11</v>
      </c>
      <c r="AB835" s="290" t="s">
        <v>60</v>
      </c>
      <c r="AC835" s="5">
        <f t="shared" ca="1" si="13"/>
        <v>46232</v>
      </c>
      <c r="AD835" s="331">
        <f ca="1">_xlfn.DAYS(Table2[[#This Row],[HOJE]],Table2[[#This Row],[DATA PEDIDO HP]])</f>
        <v>266</v>
      </c>
      <c r="AE835" s="331" t="str">
        <f ca="1">IF(Table2[[#This Row],[HOLD]]&gt;30,"ATRASADO","NO PRAZO")</f>
        <v>ATRASADO</v>
      </c>
    </row>
    <row r="836" spans="1:31" ht="14.45" hidden="1">
      <c r="A836" s="286" t="s">
        <v>2662</v>
      </c>
      <c r="B836" s="26">
        <v>45966</v>
      </c>
      <c r="C836" s="26">
        <v>45965</v>
      </c>
      <c r="D836" s="14" t="s">
        <v>2663</v>
      </c>
      <c r="E836" s="14" t="s">
        <v>982</v>
      </c>
      <c r="F836" s="14" t="s">
        <v>2664</v>
      </c>
      <c r="G836" s="14">
        <v>46000053</v>
      </c>
      <c r="H836" s="14" t="s">
        <v>2667</v>
      </c>
      <c r="I836" s="14" t="s">
        <v>2668</v>
      </c>
      <c r="J836" s="14">
        <v>1</v>
      </c>
      <c r="K836" s="14" t="s">
        <v>37</v>
      </c>
      <c r="L836" s="14" t="s">
        <v>38</v>
      </c>
      <c r="M836" s="14" t="s">
        <v>58</v>
      </c>
      <c r="N836" s="14" t="s">
        <v>58</v>
      </c>
      <c r="O836" s="14">
        <v>1</v>
      </c>
      <c r="P836" s="14">
        <v>1</v>
      </c>
      <c r="Q836" s="14">
        <v>143765</v>
      </c>
      <c r="R836" s="14"/>
      <c r="S836" s="26"/>
      <c r="T836" s="26">
        <v>46042</v>
      </c>
      <c r="U836" s="25">
        <v>46055</v>
      </c>
      <c r="V836" s="14" t="s">
        <v>347</v>
      </c>
      <c r="W836" s="14"/>
      <c r="X836" s="355">
        <v>738.16</v>
      </c>
      <c r="Y836" s="355">
        <f>Table2[[#This Row],[PREÇO UNITARIO]]*Table2[[#This Row],[QUANTIDADE]]</f>
        <v>738.16</v>
      </c>
      <c r="Z836" s="14"/>
      <c r="AA836" s="291">
        <f>MONTH(Table2[[#This Row],[DATA PEDIDO HP]])</f>
        <v>11</v>
      </c>
      <c r="AB836" s="290" t="s">
        <v>60</v>
      </c>
      <c r="AC836" s="5">
        <f t="shared" ca="1" si="13"/>
        <v>46232</v>
      </c>
      <c r="AD836" s="331">
        <f ca="1">_xlfn.DAYS(Table2[[#This Row],[HOJE]],Table2[[#This Row],[DATA PEDIDO HP]])</f>
        <v>266</v>
      </c>
      <c r="AE836" s="331" t="str">
        <f ca="1">IF(Table2[[#This Row],[HOLD]]&gt;30,"ATRASADO","NO PRAZO")</f>
        <v>ATRASADO</v>
      </c>
    </row>
    <row r="837" spans="1:31" ht="14.45" hidden="1">
      <c r="A837" s="286" t="s">
        <v>2662</v>
      </c>
      <c r="B837" s="26">
        <v>45966</v>
      </c>
      <c r="C837" s="26">
        <v>45965</v>
      </c>
      <c r="D837" s="14" t="s">
        <v>2663</v>
      </c>
      <c r="E837" s="14" t="s">
        <v>982</v>
      </c>
      <c r="F837" s="14" t="s">
        <v>2664</v>
      </c>
      <c r="G837" s="14">
        <v>46000053</v>
      </c>
      <c r="H837" s="14" t="s">
        <v>2669</v>
      </c>
      <c r="I837" s="14" t="s">
        <v>2670</v>
      </c>
      <c r="J837" s="14">
        <v>1</v>
      </c>
      <c r="K837" s="14" t="s">
        <v>37</v>
      </c>
      <c r="L837" s="14" t="s">
        <v>38</v>
      </c>
      <c r="M837" s="14" t="s">
        <v>58</v>
      </c>
      <c r="N837" s="14" t="s">
        <v>58</v>
      </c>
      <c r="O837" s="14">
        <v>1</v>
      </c>
      <c r="P837" s="14">
        <v>1</v>
      </c>
      <c r="Q837" s="14">
        <v>143765</v>
      </c>
      <c r="R837" s="14"/>
      <c r="S837" s="26"/>
      <c r="T837" s="26">
        <v>46042</v>
      </c>
      <c r="U837" s="25">
        <v>46055</v>
      </c>
      <c r="V837" s="14" t="s">
        <v>347</v>
      </c>
      <c r="W837" s="14"/>
      <c r="X837" s="355">
        <v>313.55</v>
      </c>
      <c r="Y837" s="355">
        <f>Table2[[#This Row],[PREÇO UNITARIO]]*Table2[[#This Row],[QUANTIDADE]]</f>
        <v>313.55</v>
      </c>
      <c r="Z837" s="14"/>
      <c r="AA837" s="291">
        <f>MONTH(Table2[[#This Row],[DATA PEDIDO HP]])</f>
        <v>11</v>
      </c>
      <c r="AB837" s="290" t="s">
        <v>60</v>
      </c>
      <c r="AC837" s="5">
        <f t="shared" ca="1" si="13"/>
        <v>46232</v>
      </c>
      <c r="AD837" s="331">
        <f ca="1">_xlfn.DAYS(Table2[[#This Row],[HOJE]],Table2[[#This Row],[DATA PEDIDO HP]])</f>
        <v>266</v>
      </c>
      <c r="AE837" s="331" t="str">
        <f ca="1">IF(Table2[[#This Row],[HOLD]]&gt;30,"ATRASADO","NO PRAZO")</f>
        <v>ATRASADO</v>
      </c>
    </row>
    <row r="838" spans="1:31" ht="14.45" hidden="1">
      <c r="A838" s="286" t="s">
        <v>2662</v>
      </c>
      <c r="B838" s="26">
        <v>45966</v>
      </c>
      <c r="C838" s="26">
        <v>45965</v>
      </c>
      <c r="D838" s="14" t="s">
        <v>2663</v>
      </c>
      <c r="E838" s="14" t="s">
        <v>982</v>
      </c>
      <c r="F838" s="14" t="s">
        <v>2664</v>
      </c>
      <c r="G838" s="14">
        <v>46000053</v>
      </c>
      <c r="H838" s="14" t="s">
        <v>1764</v>
      </c>
      <c r="I838" s="14" t="s">
        <v>2671</v>
      </c>
      <c r="J838" s="14">
        <v>1</v>
      </c>
      <c r="K838" s="14" t="s">
        <v>67</v>
      </c>
      <c r="L838" s="14" t="s">
        <v>38</v>
      </c>
      <c r="M838" s="14" t="s">
        <v>58</v>
      </c>
      <c r="N838" s="14" t="s">
        <v>58</v>
      </c>
      <c r="O838" s="14">
        <v>0</v>
      </c>
      <c r="P838" s="14">
        <v>0</v>
      </c>
      <c r="Q838" s="14">
        <v>143765</v>
      </c>
      <c r="R838" s="14" t="s">
        <v>2672</v>
      </c>
      <c r="S838" s="26">
        <v>45972</v>
      </c>
      <c r="T838" s="26">
        <v>46042</v>
      </c>
      <c r="U838" s="25">
        <v>46055</v>
      </c>
      <c r="V838" s="14" t="s">
        <v>347</v>
      </c>
      <c r="W838" s="14"/>
      <c r="X838" s="355">
        <v>362.55</v>
      </c>
      <c r="Y838" s="355">
        <f>Table2[[#This Row],[PREÇO UNITARIO]]*Table2[[#This Row],[QUANTIDADE]]</f>
        <v>362.55</v>
      </c>
      <c r="Z838" s="14"/>
      <c r="AA838" s="291">
        <f>MONTH(Table2[[#This Row],[DATA PEDIDO HP]])</f>
        <v>11</v>
      </c>
      <c r="AB838" s="290" t="s">
        <v>60</v>
      </c>
      <c r="AC838" s="5">
        <f t="shared" ca="1" si="13"/>
        <v>46232</v>
      </c>
      <c r="AD838" s="331">
        <v>94</v>
      </c>
      <c r="AE838" s="331" t="s">
        <v>43</v>
      </c>
    </row>
    <row r="839" spans="1:31" ht="14.45" hidden="1">
      <c r="A839" s="286" t="s">
        <v>2673</v>
      </c>
      <c r="B839" s="26">
        <v>45966</v>
      </c>
      <c r="C839" s="26">
        <v>45959</v>
      </c>
      <c r="D839" s="14" t="s">
        <v>2674</v>
      </c>
      <c r="E839" s="14" t="s">
        <v>2132</v>
      </c>
      <c r="F839" s="14" t="s">
        <v>203</v>
      </c>
      <c r="G839" s="14">
        <v>60001111</v>
      </c>
      <c r="H839" s="14" t="s">
        <v>1991</v>
      </c>
      <c r="I839" s="14" t="s">
        <v>2675</v>
      </c>
      <c r="J839" s="14">
        <v>1</v>
      </c>
      <c r="K839" s="14" t="s">
        <v>37</v>
      </c>
      <c r="L839" s="14" t="s">
        <v>68</v>
      </c>
      <c r="M839" s="14" t="s">
        <v>39</v>
      </c>
      <c r="N839" s="14" t="s">
        <v>39</v>
      </c>
      <c r="O839" s="14">
        <v>1</v>
      </c>
      <c r="P839" s="14">
        <v>1</v>
      </c>
      <c r="Q839" s="14">
        <v>143738</v>
      </c>
      <c r="R839" s="14"/>
      <c r="S839" s="26"/>
      <c r="T839" s="273">
        <v>46056</v>
      </c>
      <c r="U839" s="273">
        <v>46065</v>
      </c>
      <c r="V839" s="14" t="s">
        <v>2586</v>
      </c>
      <c r="W839" s="14"/>
      <c r="X839" s="355">
        <v>12.41</v>
      </c>
      <c r="Y839" s="355">
        <f>Table2[[#This Row],[PREÇO UNITARIO]]*Table2[[#This Row],[QUANTIDADE]]</f>
        <v>12.41</v>
      </c>
      <c r="Z839" s="14"/>
      <c r="AA839" s="291">
        <f>MONTH(Table2[[#This Row],[DATA PEDIDO HP]])</f>
        <v>11</v>
      </c>
      <c r="AB839" s="290" t="s">
        <v>42</v>
      </c>
      <c r="AC839" s="5">
        <f t="shared" ca="1" si="13"/>
        <v>46232</v>
      </c>
      <c r="AD839" s="331">
        <f ca="1">_xlfn.DAYS(Table2[[#This Row],[HOJE]],Table2[[#This Row],[DATA PEDIDO HP]])</f>
        <v>266</v>
      </c>
      <c r="AE839" s="5" t="s">
        <v>43</v>
      </c>
    </row>
    <row r="840" spans="1:31" ht="14.45" hidden="1">
      <c r="A840" s="286" t="s">
        <v>2673</v>
      </c>
      <c r="B840" s="26">
        <v>45966</v>
      </c>
      <c r="C840" s="26">
        <v>45959</v>
      </c>
      <c r="D840" s="14" t="s">
        <v>2674</v>
      </c>
      <c r="E840" s="14" t="s">
        <v>2132</v>
      </c>
      <c r="F840" s="14" t="s">
        <v>203</v>
      </c>
      <c r="G840" s="14">
        <v>60001111</v>
      </c>
      <c r="H840" s="14" t="s">
        <v>2676</v>
      </c>
      <c r="I840" s="14" t="s">
        <v>2677</v>
      </c>
      <c r="J840" s="14">
        <v>1</v>
      </c>
      <c r="K840" s="14" t="s">
        <v>37</v>
      </c>
      <c r="L840" s="14" t="s">
        <v>68</v>
      </c>
      <c r="M840" s="14" t="s">
        <v>39</v>
      </c>
      <c r="N840" s="14" t="s">
        <v>39</v>
      </c>
      <c r="O840" s="14">
        <v>1</v>
      </c>
      <c r="P840" s="14">
        <v>1</v>
      </c>
      <c r="Q840" s="14">
        <v>143738</v>
      </c>
      <c r="R840" s="14"/>
      <c r="S840" s="26">
        <v>46058</v>
      </c>
      <c r="T840" s="26">
        <v>46042</v>
      </c>
      <c r="U840" s="25">
        <v>46055</v>
      </c>
      <c r="V840" s="14" t="s">
        <v>347</v>
      </c>
      <c r="W840" s="14"/>
      <c r="X840" s="355">
        <v>17.96</v>
      </c>
      <c r="Y840" s="355">
        <f>Table2[[#This Row],[PREÇO UNITARIO]]*Table2[[#This Row],[QUANTIDADE]]</f>
        <v>17.96</v>
      </c>
      <c r="Z840" s="14"/>
      <c r="AA840" s="291">
        <f>MONTH(Table2[[#This Row],[DATA PEDIDO HP]])</f>
        <v>11</v>
      </c>
      <c r="AB840" s="290" t="s">
        <v>42</v>
      </c>
      <c r="AC840" s="5">
        <f t="shared" ca="1" si="13"/>
        <v>46232</v>
      </c>
      <c r="AD840" s="331">
        <f ca="1">_xlfn.DAYS(Table2[[#This Row],[HOJE]],Table2[[#This Row],[DATA PEDIDO HP]])</f>
        <v>266</v>
      </c>
      <c r="AE840" s="5" t="s">
        <v>43</v>
      </c>
    </row>
    <row r="841" spans="1:31" ht="14.45" hidden="1">
      <c r="A841" s="286" t="s">
        <v>2678</v>
      </c>
      <c r="B841" s="26">
        <v>45966</v>
      </c>
      <c r="C841" s="26">
        <v>45959</v>
      </c>
      <c r="D841" s="14" t="s">
        <v>2679</v>
      </c>
      <c r="E841" s="14" t="s">
        <v>2132</v>
      </c>
      <c r="F841" s="14" t="s">
        <v>203</v>
      </c>
      <c r="G841" s="14">
        <v>60001111</v>
      </c>
      <c r="H841" s="14" t="s">
        <v>716</v>
      </c>
      <c r="I841" s="14" t="s">
        <v>717</v>
      </c>
      <c r="J841" s="14">
        <v>1</v>
      </c>
      <c r="K841" s="14" t="s">
        <v>37</v>
      </c>
      <c r="L841" s="14" t="s">
        <v>68</v>
      </c>
      <c r="M841" s="14" t="s">
        <v>58</v>
      </c>
      <c r="N841" s="14" t="s">
        <v>58</v>
      </c>
      <c r="O841" s="14">
        <v>1</v>
      </c>
      <c r="P841" s="14">
        <v>1</v>
      </c>
      <c r="Q841" s="14">
        <v>143800</v>
      </c>
      <c r="R841" s="14"/>
      <c r="S841" s="26"/>
      <c r="T841" s="26">
        <v>46042</v>
      </c>
      <c r="U841" s="25">
        <v>46055</v>
      </c>
      <c r="V841" s="14" t="s">
        <v>347</v>
      </c>
      <c r="W841" s="14"/>
      <c r="X841" s="355">
        <v>723.56</v>
      </c>
      <c r="Y841" s="355">
        <f>Table2[[#This Row],[PREÇO UNITARIO]]*Table2[[#This Row],[QUANTIDADE]]</f>
        <v>723.56</v>
      </c>
      <c r="Z841" s="14"/>
      <c r="AA841" s="291">
        <f>MONTH(Table2[[#This Row],[DATA PEDIDO HP]])</f>
        <v>11</v>
      </c>
      <c r="AB841" s="290" t="s">
        <v>42</v>
      </c>
      <c r="AC841" s="5">
        <f t="shared" ca="1" si="13"/>
        <v>46232</v>
      </c>
      <c r="AD841" s="331">
        <f ca="1">_xlfn.DAYS(Table2[[#This Row],[HOJE]],Table2[[#This Row],[DATA PEDIDO HP]])</f>
        <v>266</v>
      </c>
      <c r="AE841" s="5" t="s">
        <v>43</v>
      </c>
    </row>
    <row r="842" spans="1:31" ht="14.45" hidden="1">
      <c r="A842" s="286" t="s">
        <v>2680</v>
      </c>
      <c r="B842" s="26">
        <v>45966</v>
      </c>
      <c r="C842" s="26">
        <v>45959</v>
      </c>
      <c r="D842" s="14" t="s">
        <v>2681</v>
      </c>
      <c r="E842" s="14" t="s">
        <v>2132</v>
      </c>
      <c r="F842" s="14" t="s">
        <v>203</v>
      </c>
      <c r="G842" s="14">
        <v>60001111</v>
      </c>
      <c r="H842" s="14" t="s">
        <v>2682</v>
      </c>
      <c r="I842" s="14" t="s">
        <v>2683</v>
      </c>
      <c r="J842" s="14">
        <v>1</v>
      </c>
      <c r="K842" s="14" t="s">
        <v>37</v>
      </c>
      <c r="L842" s="14" t="s">
        <v>68</v>
      </c>
      <c r="M842" s="14" t="s">
        <v>58</v>
      </c>
      <c r="N842" s="15"/>
      <c r="O842" s="15"/>
      <c r="P842" s="15"/>
      <c r="Q842" s="15">
        <v>143759</v>
      </c>
      <c r="R842" s="15" t="s">
        <v>2684</v>
      </c>
      <c r="S842" s="25"/>
      <c r="T842" s="25">
        <v>46042</v>
      </c>
      <c r="U842" s="25">
        <v>46055</v>
      </c>
      <c r="V842" s="14" t="s">
        <v>347</v>
      </c>
      <c r="W842" s="15"/>
      <c r="X842" s="357">
        <v>861.77</v>
      </c>
      <c r="Y842" s="159">
        <f>Table2[[#This Row],[PREÇO UNITARIO]]*Table2[[#This Row],[QUANTIDADE]]</f>
        <v>861.77</v>
      </c>
      <c r="Z842" s="199"/>
      <c r="AA842" s="28">
        <f>MONTH(Table2[[#This Row],[DATA PEDIDO HP]])</f>
        <v>11</v>
      </c>
      <c r="AB842" s="32"/>
      <c r="AC842" s="5">
        <f t="shared" ca="1" si="13"/>
        <v>46232</v>
      </c>
      <c r="AD842" s="331">
        <f ca="1">_xlfn.DAYS(Table2[[#This Row],[HOJE]],Table2[[#This Row],[DATA PEDIDO HP]])</f>
        <v>266</v>
      </c>
      <c r="AE842" s="5" t="s">
        <v>43</v>
      </c>
    </row>
    <row r="843" spans="1:31" ht="14.45" hidden="1">
      <c r="A843" s="286" t="s">
        <v>2685</v>
      </c>
      <c r="B843" s="26">
        <v>45966</v>
      </c>
      <c r="C843" s="26">
        <v>45959</v>
      </c>
      <c r="D843" s="14" t="s">
        <v>2686</v>
      </c>
      <c r="E843" s="14" t="s">
        <v>2132</v>
      </c>
      <c r="F843" s="14" t="s">
        <v>203</v>
      </c>
      <c r="G843" s="14">
        <v>60001111</v>
      </c>
      <c r="H843" s="14" t="s">
        <v>245</v>
      </c>
      <c r="I843" s="14" t="s">
        <v>2341</v>
      </c>
      <c r="J843" s="14">
        <v>4</v>
      </c>
      <c r="K843" s="14" t="s">
        <v>37</v>
      </c>
      <c r="L843" s="14" t="s">
        <v>68</v>
      </c>
      <c r="M843" s="14" t="s">
        <v>39</v>
      </c>
      <c r="N843" s="14" t="s">
        <v>39</v>
      </c>
      <c r="O843" s="14">
        <v>4</v>
      </c>
      <c r="P843" s="14">
        <v>4</v>
      </c>
      <c r="Q843" s="14">
        <v>143759</v>
      </c>
      <c r="R843" s="14" t="s">
        <v>247</v>
      </c>
      <c r="S843" s="26">
        <v>46041</v>
      </c>
      <c r="T843" s="26">
        <v>46042</v>
      </c>
      <c r="U843" s="25">
        <v>46055</v>
      </c>
      <c r="V843" s="14" t="s">
        <v>347</v>
      </c>
      <c r="W843" s="14"/>
      <c r="X843" s="355">
        <v>80.180000000000007</v>
      </c>
      <c r="Y843" s="355">
        <f>Table2[[#This Row],[PREÇO UNITARIO]]*Table2[[#This Row],[QUANTIDADE]]</f>
        <v>320.72000000000003</v>
      </c>
      <c r="Z843" s="14"/>
      <c r="AA843" s="291">
        <f>MONTH(Table2[[#This Row],[DATA PEDIDO HP]])</f>
        <v>11</v>
      </c>
      <c r="AB843" s="290" t="s">
        <v>42</v>
      </c>
      <c r="AC843" s="5">
        <f t="shared" ca="1" si="13"/>
        <v>46232</v>
      </c>
      <c r="AD843" s="331">
        <f ca="1">_xlfn.DAYS(Table2[[#This Row],[HOJE]],Table2[[#This Row],[DATA PEDIDO HP]])</f>
        <v>266</v>
      </c>
      <c r="AE843" s="331" t="s">
        <v>43</v>
      </c>
    </row>
    <row r="844" spans="1:31" ht="14.45" hidden="1">
      <c r="A844" s="286" t="s">
        <v>2687</v>
      </c>
      <c r="B844" s="26">
        <v>45966</v>
      </c>
      <c r="C844" s="26">
        <v>45959</v>
      </c>
      <c r="D844" s="14" t="s">
        <v>2688</v>
      </c>
      <c r="E844" s="14" t="s">
        <v>2132</v>
      </c>
      <c r="F844" s="14" t="s">
        <v>203</v>
      </c>
      <c r="G844" s="14">
        <v>60001111</v>
      </c>
      <c r="H844" s="14" t="s">
        <v>1016</v>
      </c>
      <c r="I844" s="14" t="s">
        <v>2689</v>
      </c>
      <c r="J844" s="14">
        <v>1</v>
      </c>
      <c r="K844" s="14" t="s">
        <v>37</v>
      </c>
      <c r="L844" s="14" t="s">
        <v>68</v>
      </c>
      <c r="M844" s="14" t="s">
        <v>88</v>
      </c>
      <c r="N844" s="15"/>
      <c r="O844" s="15"/>
      <c r="P844" s="15"/>
      <c r="Q844" s="15">
        <v>143759</v>
      </c>
      <c r="R844" s="15"/>
      <c r="S844" s="26">
        <v>46058</v>
      </c>
      <c r="T844" s="26">
        <v>46042</v>
      </c>
      <c r="U844" s="25">
        <v>46055</v>
      </c>
      <c r="V844" s="15" t="s">
        <v>347</v>
      </c>
      <c r="W844" s="15"/>
      <c r="X844" s="357">
        <v>194.66</v>
      </c>
      <c r="Y844" s="159">
        <f>Table2[[#This Row],[PREÇO UNITARIO]]*Table2[[#This Row],[QUANTIDADE]]</f>
        <v>194.66</v>
      </c>
      <c r="Z844" s="199"/>
      <c r="AA844" s="28">
        <f>MONTH(Table2[[#This Row],[DATA PEDIDO HP]])</f>
        <v>11</v>
      </c>
      <c r="AB844" s="32"/>
      <c r="AC844" s="5">
        <f t="shared" ca="1" si="13"/>
        <v>46232</v>
      </c>
      <c r="AD844" s="331">
        <f ca="1">_xlfn.DAYS(Table2[[#This Row],[HOJE]],Table2[[#This Row],[DATA PEDIDO HP]])</f>
        <v>266</v>
      </c>
      <c r="AE844" s="331" t="s">
        <v>43</v>
      </c>
    </row>
    <row r="845" spans="1:31" ht="14.45" hidden="1">
      <c r="A845" s="286" t="s">
        <v>2690</v>
      </c>
      <c r="B845" s="26">
        <v>45968</v>
      </c>
      <c r="C845" s="26">
        <v>45966</v>
      </c>
      <c r="D845" s="14" t="s">
        <v>2691</v>
      </c>
      <c r="E845" s="14" t="s">
        <v>455</v>
      </c>
      <c r="F845" s="14" t="s">
        <v>456</v>
      </c>
      <c r="G845" s="14">
        <v>47200115</v>
      </c>
      <c r="H845" s="14" t="s">
        <v>1764</v>
      </c>
      <c r="I845" s="14" t="s">
        <v>1763</v>
      </c>
      <c r="J845" s="14">
        <v>1</v>
      </c>
      <c r="K845" s="14" t="s">
        <v>43</v>
      </c>
      <c r="L845" s="14" t="s">
        <v>38</v>
      </c>
      <c r="M845" s="14" t="s">
        <v>58</v>
      </c>
      <c r="N845" s="14" t="s">
        <v>58</v>
      </c>
      <c r="O845" s="14">
        <v>1</v>
      </c>
      <c r="P845" s="14">
        <v>1</v>
      </c>
      <c r="Q845" s="14">
        <v>143873</v>
      </c>
      <c r="R845" s="14" t="s">
        <v>2672</v>
      </c>
      <c r="S845" s="26"/>
      <c r="T845" s="26">
        <v>46042</v>
      </c>
      <c r="U845" s="25">
        <v>46055</v>
      </c>
      <c r="V845" s="14" t="s">
        <v>347</v>
      </c>
      <c r="W845" s="14"/>
      <c r="X845" s="355">
        <v>362.55</v>
      </c>
      <c r="Y845" s="355">
        <f>Table2[[#This Row],[PREÇO UNITARIO]]*Table2[[#This Row],[QUANTIDADE]]</f>
        <v>362.55</v>
      </c>
      <c r="Z845" s="14"/>
      <c r="AA845" s="291">
        <f>MONTH(Table2[[#This Row],[DATA PEDIDO HP]])</f>
        <v>11</v>
      </c>
      <c r="AB845" s="290" t="s">
        <v>60</v>
      </c>
      <c r="AC845" s="5">
        <f t="shared" ca="1" si="13"/>
        <v>46232</v>
      </c>
      <c r="AD845" s="331">
        <f ca="1">_xlfn.DAYS(Table2[[#This Row],[HOJE]],Table2[[#This Row],[DATA PEDIDO HP]])</f>
        <v>264</v>
      </c>
      <c r="AE845" s="331" t="str">
        <f ca="1">IF(Table2[[#This Row],[HOLD]]&gt;30,"ATRASADO","NO PRAZO")</f>
        <v>ATRASADO</v>
      </c>
    </row>
    <row r="846" spans="1:31" ht="14.45" hidden="1">
      <c r="A846" s="286" t="s">
        <v>2690</v>
      </c>
      <c r="B846" s="26">
        <v>45968</v>
      </c>
      <c r="C846" s="26">
        <v>45966</v>
      </c>
      <c r="D846" s="14" t="s">
        <v>2691</v>
      </c>
      <c r="E846" s="14" t="s">
        <v>455</v>
      </c>
      <c r="F846" s="14" t="s">
        <v>456</v>
      </c>
      <c r="G846" s="14">
        <v>47200115</v>
      </c>
      <c r="H846" s="14" t="s">
        <v>227</v>
      </c>
      <c r="I846" s="14" t="s">
        <v>2692</v>
      </c>
      <c r="J846" s="14">
        <v>1</v>
      </c>
      <c r="K846" s="14" t="s">
        <v>43</v>
      </c>
      <c r="L846" s="14" t="s">
        <v>38</v>
      </c>
      <c r="M846" s="14" t="s">
        <v>58</v>
      </c>
      <c r="N846" s="14" t="s">
        <v>58</v>
      </c>
      <c r="O846" s="14">
        <v>1</v>
      </c>
      <c r="P846" s="14">
        <v>1</v>
      </c>
      <c r="Q846" s="14">
        <v>143873</v>
      </c>
      <c r="R846" s="14"/>
      <c r="S846" s="26"/>
      <c r="T846" s="26">
        <v>46042</v>
      </c>
      <c r="U846" s="25">
        <v>46055</v>
      </c>
      <c r="V846" s="14" t="s">
        <v>347</v>
      </c>
      <c r="W846" s="14"/>
      <c r="X846" s="355">
        <v>32.04</v>
      </c>
      <c r="Y846" s="355">
        <v>32.04</v>
      </c>
      <c r="Z846" s="14"/>
      <c r="AA846" s="291">
        <f>MONTH(Table2[[#This Row],[DATA PEDIDO HP]])</f>
        <v>11</v>
      </c>
      <c r="AB846" s="290" t="s">
        <v>60</v>
      </c>
      <c r="AC846" s="5">
        <f t="shared" ca="1" si="13"/>
        <v>46232</v>
      </c>
      <c r="AD846" s="331">
        <f ca="1">_xlfn.DAYS(Table2[[#This Row],[HOJE]],Table2[[#This Row],[DATA PEDIDO HP]])</f>
        <v>264</v>
      </c>
      <c r="AE846" s="331" t="str">
        <f ca="1">IF(Table2[[#This Row],[HOLD]]&gt;30,"ATRASADO","NO PRAZO")</f>
        <v>ATRASADO</v>
      </c>
    </row>
    <row r="847" spans="1:31" ht="14.45" hidden="1">
      <c r="A847" s="286" t="s">
        <v>2690</v>
      </c>
      <c r="B847" s="26">
        <v>45968</v>
      </c>
      <c r="C847" s="26">
        <v>45966</v>
      </c>
      <c r="D847" s="14" t="s">
        <v>2691</v>
      </c>
      <c r="E847" s="14" t="s">
        <v>455</v>
      </c>
      <c r="F847" s="14" t="s">
        <v>456</v>
      </c>
      <c r="G847" s="14">
        <v>47200115</v>
      </c>
      <c r="H847" s="14" t="s">
        <v>302</v>
      </c>
      <c r="I847" s="14" t="s">
        <v>2693</v>
      </c>
      <c r="J847" s="14">
        <v>1</v>
      </c>
      <c r="K847" s="14" t="s">
        <v>67</v>
      </c>
      <c r="L847" s="14" t="s">
        <v>38</v>
      </c>
      <c r="M847" s="14" t="s">
        <v>88</v>
      </c>
      <c r="N847" s="14" t="s">
        <v>89</v>
      </c>
      <c r="O847" s="14">
        <v>0</v>
      </c>
      <c r="P847" s="14">
        <v>0</v>
      </c>
      <c r="Q847" s="14">
        <v>143873</v>
      </c>
      <c r="R847" s="14" t="s">
        <v>304</v>
      </c>
      <c r="S847" s="26">
        <v>46057</v>
      </c>
      <c r="T847" s="26">
        <v>46042</v>
      </c>
      <c r="U847" s="25">
        <v>46055</v>
      </c>
      <c r="V847" s="14" t="s">
        <v>347</v>
      </c>
      <c r="W847" s="14"/>
      <c r="X847" s="355">
        <v>697.33</v>
      </c>
      <c r="Y847" s="355">
        <f>Table2[[#This Row],[PREÇO UNITARIO]]*Table2[[#This Row],[QUANTIDADE]]</f>
        <v>697.33</v>
      </c>
      <c r="Z847" s="14"/>
      <c r="AA847" s="291">
        <f>MONTH(Table2[[#This Row],[DATA PEDIDO HP]])</f>
        <v>11</v>
      </c>
      <c r="AB847" s="290" t="s">
        <v>60</v>
      </c>
      <c r="AC847" s="5">
        <f t="shared" ca="1" si="13"/>
        <v>46232</v>
      </c>
      <c r="AD847" s="331">
        <f ca="1">_xlfn.DAYS(Table2[[#This Row],[HOJE]],Table2[[#This Row],[DATA PEDIDO HP]])</f>
        <v>264</v>
      </c>
      <c r="AE847" s="331" t="s">
        <v>43</v>
      </c>
    </row>
    <row r="848" spans="1:31" ht="14.45" hidden="1">
      <c r="A848" s="286" t="s">
        <v>2694</v>
      </c>
      <c r="B848" s="26">
        <v>45968</v>
      </c>
      <c r="C848" s="26">
        <v>45965</v>
      </c>
      <c r="D848" s="14" t="s">
        <v>2695</v>
      </c>
      <c r="E848" s="14" t="s">
        <v>93</v>
      </c>
      <c r="F848" s="14" t="s">
        <v>2496</v>
      </c>
      <c r="G848" s="14">
        <v>50000202</v>
      </c>
      <c r="H848" s="14" t="s">
        <v>2696</v>
      </c>
      <c r="I848" s="14" t="s">
        <v>2697</v>
      </c>
      <c r="J848" s="14">
        <v>1</v>
      </c>
      <c r="K848" s="14" t="s">
        <v>37</v>
      </c>
      <c r="L848" s="14" t="s">
        <v>459</v>
      </c>
      <c r="M848" s="14" t="s">
        <v>88</v>
      </c>
      <c r="N848" s="14" t="s">
        <v>89</v>
      </c>
      <c r="O848" s="14">
        <v>0</v>
      </c>
      <c r="P848" s="14"/>
      <c r="Q848" s="14">
        <v>143868</v>
      </c>
      <c r="R848" s="14"/>
      <c r="S848" s="26"/>
      <c r="T848" s="26">
        <v>45988</v>
      </c>
      <c r="U848" s="26">
        <v>45993</v>
      </c>
      <c r="V848" s="14" t="s">
        <v>69</v>
      </c>
      <c r="W848" s="14"/>
      <c r="X848" s="288">
        <v>925.96</v>
      </c>
      <c r="Y848" s="288">
        <f>Table2[[#This Row],[PREÇO UNITARIO]]*Table2[[#This Row],[QUANTIDADE]]</f>
        <v>925.96</v>
      </c>
      <c r="Z848" s="14"/>
      <c r="AA848" s="291">
        <f>MONTH(Table2[[#This Row],[DATA PEDIDO HP]])</f>
        <v>11</v>
      </c>
      <c r="AB848" s="290" t="s">
        <v>60</v>
      </c>
      <c r="AC848" s="5">
        <f t="shared" ca="1" si="13"/>
        <v>46232</v>
      </c>
      <c r="AD848" s="331">
        <f ca="1">_xlfn.DAYS(Table2[[#This Row],[HOJE]],Table2[[#This Row],[DATA PEDIDO HP]])</f>
        <v>264</v>
      </c>
      <c r="AE848" s="5" t="s">
        <v>43</v>
      </c>
    </row>
    <row r="849" spans="1:31" ht="14.45" hidden="1">
      <c r="A849" s="286" t="s">
        <v>2694</v>
      </c>
      <c r="B849" s="26">
        <v>45968</v>
      </c>
      <c r="C849" s="26">
        <v>45965</v>
      </c>
      <c r="D849" s="14" t="s">
        <v>2695</v>
      </c>
      <c r="E849" s="14" t="s">
        <v>93</v>
      </c>
      <c r="F849" s="14" t="s">
        <v>2496</v>
      </c>
      <c r="G849" s="14">
        <v>50000202</v>
      </c>
      <c r="H849" s="14" t="s">
        <v>2698</v>
      </c>
      <c r="I849" s="14" t="s">
        <v>2699</v>
      </c>
      <c r="J849" s="14">
        <v>1</v>
      </c>
      <c r="K849" s="14" t="s">
        <v>67</v>
      </c>
      <c r="L849" s="14" t="s">
        <v>459</v>
      </c>
      <c r="M849" s="14" t="s">
        <v>88</v>
      </c>
      <c r="N849" s="14" t="s">
        <v>89</v>
      </c>
      <c r="O849" s="14">
        <v>0</v>
      </c>
      <c r="P849" s="14">
        <v>0</v>
      </c>
      <c r="Q849" s="14">
        <v>143868</v>
      </c>
      <c r="R849" s="14"/>
      <c r="S849" s="26">
        <v>45994</v>
      </c>
      <c r="T849" s="26">
        <v>45988</v>
      </c>
      <c r="U849" s="26">
        <v>45993</v>
      </c>
      <c r="V849" s="14" t="s">
        <v>69</v>
      </c>
      <c r="W849" s="14"/>
      <c r="X849" s="288">
        <v>81.650000000000006</v>
      </c>
      <c r="Y849" s="288">
        <f>Table2[[#This Row],[PREÇO UNITARIO]]*Table2[[#This Row],[QUANTIDADE]]</f>
        <v>81.650000000000006</v>
      </c>
      <c r="Z849" s="14"/>
      <c r="AA849" s="291">
        <f>MONTH(Table2[[#This Row],[DATA PEDIDO HP]])</f>
        <v>11</v>
      </c>
      <c r="AB849" s="290" t="s">
        <v>60</v>
      </c>
      <c r="AC849" s="5">
        <f t="shared" ca="1" si="13"/>
        <v>46232</v>
      </c>
      <c r="AD849" s="331">
        <f ca="1">_xlfn.DAYS(Table2[[#This Row],[HOJE]],Table2[[#This Row],[DATA PEDIDO HP]])</f>
        <v>264</v>
      </c>
      <c r="AE849" s="336" t="s">
        <v>43</v>
      </c>
    </row>
    <row r="850" spans="1:31" ht="14.45" hidden="1">
      <c r="A850" s="272" t="s">
        <v>2700</v>
      </c>
      <c r="B850" s="228">
        <v>45989</v>
      </c>
      <c r="C850" s="317">
        <v>45988</v>
      </c>
      <c r="D850" s="313" t="s">
        <v>2701</v>
      </c>
      <c r="E850" s="313" t="s">
        <v>202</v>
      </c>
      <c r="F850" s="313" t="s">
        <v>203</v>
      </c>
      <c r="G850" s="313">
        <v>60002072</v>
      </c>
      <c r="H850" s="313" t="s">
        <v>2702</v>
      </c>
      <c r="I850" s="313" t="s">
        <v>2703</v>
      </c>
      <c r="J850" s="313">
        <v>1</v>
      </c>
      <c r="K850" s="313" t="s">
        <v>37</v>
      </c>
      <c r="L850" s="313" t="s">
        <v>48</v>
      </c>
      <c r="M850" s="313" t="s">
        <v>88</v>
      </c>
      <c r="N850" s="229" t="s">
        <v>89</v>
      </c>
      <c r="O850" s="230">
        <v>0</v>
      </c>
      <c r="P850" s="230">
        <v>0</v>
      </c>
      <c r="Q850" s="313">
        <v>143885</v>
      </c>
      <c r="R850" s="230" t="s">
        <v>2704</v>
      </c>
      <c r="S850" s="228">
        <v>46091</v>
      </c>
      <c r="T850" s="273">
        <v>46056</v>
      </c>
      <c r="U850" s="273">
        <v>46065</v>
      </c>
      <c r="V850" s="230" t="s">
        <v>2586</v>
      </c>
      <c r="W850" s="230"/>
      <c r="X850" s="231">
        <v>4762.46</v>
      </c>
      <c r="Y850" s="231">
        <f>Table2[[#This Row],[PREÇO UNITARIO]]*Table2[[#This Row],[QUANTIDADE]]</f>
        <v>4762.46</v>
      </c>
      <c r="Z850" s="230"/>
      <c r="AA850" s="232">
        <f>MONTH(Table2[[#This Row],[DATA PEDIDO HP]])</f>
        <v>11</v>
      </c>
      <c r="AB850" s="290" t="s">
        <v>60</v>
      </c>
      <c r="AC850" s="5">
        <f t="shared" ca="1" si="13"/>
        <v>46232</v>
      </c>
      <c r="AD850" s="331">
        <f ca="1">_xlfn.DAYS(Table2[[#This Row],[HOJE]],Table2[[#This Row],[DATA PEDIDO HP]])</f>
        <v>243</v>
      </c>
      <c r="AE850" s="331" t="s">
        <v>43</v>
      </c>
    </row>
    <row r="851" spans="1:31" ht="14.45" hidden="1">
      <c r="A851" s="286" t="s">
        <v>2705</v>
      </c>
      <c r="B851" s="26">
        <v>45968</v>
      </c>
      <c r="C851" s="26">
        <v>45967</v>
      </c>
      <c r="D851" s="14" t="s">
        <v>2706</v>
      </c>
      <c r="E851" s="14" t="s">
        <v>109</v>
      </c>
      <c r="F851" s="14" t="s">
        <v>2491</v>
      </c>
      <c r="G851" s="14">
        <v>50110229</v>
      </c>
      <c r="H851" s="14" t="s">
        <v>2707</v>
      </c>
      <c r="I851" s="14" t="s">
        <v>2708</v>
      </c>
      <c r="J851" s="14">
        <v>1</v>
      </c>
      <c r="K851" s="14" t="s">
        <v>37</v>
      </c>
      <c r="L851" s="14" t="s">
        <v>48</v>
      </c>
      <c r="M851" s="14" t="s">
        <v>88</v>
      </c>
      <c r="N851" s="14" t="s">
        <v>89</v>
      </c>
      <c r="O851" s="14">
        <v>0</v>
      </c>
      <c r="P851" s="14">
        <v>1</v>
      </c>
      <c r="Q851" s="14">
        <v>143867</v>
      </c>
      <c r="R851" s="14"/>
      <c r="S851" s="26"/>
      <c r="T851" s="26">
        <v>46070</v>
      </c>
      <c r="U851" s="26"/>
      <c r="V851" s="14" t="s">
        <v>2519</v>
      </c>
      <c r="W851" s="14"/>
      <c r="X851" s="288">
        <v>394.88</v>
      </c>
      <c r="Y851" s="288">
        <f>Table2[[#This Row],[PREÇO UNITARIO]]*Table2[[#This Row],[QUANTIDADE]]</f>
        <v>394.88</v>
      </c>
      <c r="Z851" s="14"/>
      <c r="AA851" s="291">
        <f>MONTH(Table2[[#This Row],[DATA PEDIDO HP]])</f>
        <v>11</v>
      </c>
      <c r="AB851" s="290" t="s">
        <v>42</v>
      </c>
      <c r="AC851" s="5">
        <f t="shared" ca="1" si="13"/>
        <v>46232</v>
      </c>
      <c r="AD851" s="331">
        <f ca="1">_xlfn.DAYS(Table2[[#This Row],[HOJE]],Table2[[#This Row],[DATA PEDIDO HP]])</f>
        <v>264</v>
      </c>
      <c r="AE851" s="5" t="s">
        <v>549</v>
      </c>
    </row>
    <row r="852" spans="1:31" ht="14.45" hidden="1">
      <c r="A852" s="286" t="s">
        <v>2709</v>
      </c>
      <c r="B852" s="26">
        <v>45968</v>
      </c>
      <c r="C852" s="26">
        <v>45967</v>
      </c>
      <c r="D852" s="14" t="s">
        <v>2710</v>
      </c>
      <c r="E852" s="14" t="s">
        <v>103</v>
      </c>
      <c r="F852" s="14" t="s">
        <v>2527</v>
      </c>
      <c r="G852" s="14">
        <v>51000323</v>
      </c>
      <c r="H852" s="229" t="s">
        <v>2711</v>
      </c>
      <c r="I852" s="229" t="s">
        <v>2712</v>
      </c>
      <c r="J852" s="14">
        <v>1</v>
      </c>
      <c r="K852" s="14" t="s">
        <v>37</v>
      </c>
      <c r="L852" s="14" t="s">
        <v>96</v>
      </c>
      <c r="M852" s="14" t="s">
        <v>88</v>
      </c>
      <c r="N852" s="14" t="s">
        <v>89</v>
      </c>
      <c r="O852" s="14">
        <v>0</v>
      </c>
      <c r="P852" s="14">
        <v>0</v>
      </c>
      <c r="Q852" s="14">
        <v>143928</v>
      </c>
      <c r="R852" s="14"/>
      <c r="S852" s="26">
        <v>46059</v>
      </c>
      <c r="T852" s="26">
        <v>46042</v>
      </c>
      <c r="U852" s="25">
        <v>46055</v>
      </c>
      <c r="V852" s="14" t="s">
        <v>347</v>
      </c>
      <c r="W852" s="14"/>
      <c r="X852" s="355">
        <v>91.45</v>
      </c>
      <c r="Y852" s="355">
        <f>Table2[[#This Row],[PREÇO UNITARIO]]*Table2[[#This Row],[QUANTIDADE]]</f>
        <v>91.45</v>
      </c>
      <c r="Z852" s="14"/>
      <c r="AA852" s="291">
        <f>MONTH(Table2[[#This Row],[DATA PEDIDO HP]])</f>
        <v>11</v>
      </c>
      <c r="AB852" s="290" t="s">
        <v>42</v>
      </c>
      <c r="AC852" s="5">
        <f t="shared" ca="1" si="13"/>
        <v>46232</v>
      </c>
      <c r="AD852" s="331">
        <v>94</v>
      </c>
      <c r="AE852" s="331" t="s">
        <v>43</v>
      </c>
    </row>
    <row r="853" spans="1:31" ht="14.45" hidden="1">
      <c r="A853" s="286" t="s">
        <v>2713</v>
      </c>
      <c r="B853" s="26">
        <v>45968</v>
      </c>
      <c r="C853" s="26">
        <v>45967</v>
      </c>
      <c r="D853" s="14" t="s">
        <v>2714</v>
      </c>
      <c r="E853" s="14" t="s">
        <v>73</v>
      </c>
      <c r="F853" s="14" t="s">
        <v>203</v>
      </c>
      <c r="G853" s="14">
        <v>60002095</v>
      </c>
      <c r="H853" s="14" t="s">
        <v>484</v>
      </c>
      <c r="I853" s="14" t="s">
        <v>485</v>
      </c>
      <c r="J853" s="14">
        <v>1</v>
      </c>
      <c r="K853" s="14" t="s">
        <v>37</v>
      </c>
      <c r="L853" s="14" t="s">
        <v>96</v>
      </c>
      <c r="M853" s="14" t="s">
        <v>39</v>
      </c>
      <c r="N853" s="14" t="s">
        <v>39</v>
      </c>
      <c r="O853" s="14">
        <v>1</v>
      </c>
      <c r="P853" s="14">
        <v>1</v>
      </c>
      <c r="Q853" s="14">
        <v>143936</v>
      </c>
      <c r="R853" s="14"/>
      <c r="S853" s="25">
        <v>45693</v>
      </c>
      <c r="T853" s="25">
        <v>46042</v>
      </c>
      <c r="U853" s="25">
        <v>46055</v>
      </c>
      <c r="V853" s="14" t="s">
        <v>347</v>
      </c>
      <c r="W853" s="15" t="s">
        <v>41</v>
      </c>
      <c r="X853" s="355">
        <v>125.99</v>
      </c>
      <c r="Y853" s="355">
        <f>Table2[[#This Row],[PREÇO UNITARIO]]*Table2[[#This Row],[QUANTIDADE]]</f>
        <v>125.99</v>
      </c>
      <c r="Z853" s="14"/>
      <c r="AA853" s="291">
        <f>MONTH(Table2[[#This Row],[DATA PEDIDO HP]])</f>
        <v>11</v>
      </c>
      <c r="AB853" s="290" t="s">
        <v>42</v>
      </c>
      <c r="AC853" s="5">
        <f t="shared" ca="1" si="13"/>
        <v>46232</v>
      </c>
      <c r="AD853" s="331">
        <f ca="1">_xlfn.DAYS(Table2[[#This Row],[HOJE]],Table2[[#This Row],[DATA PEDIDO HP]])</f>
        <v>264</v>
      </c>
      <c r="AE853" s="331" t="s">
        <v>43</v>
      </c>
    </row>
    <row r="854" spans="1:31" ht="14.45" hidden="1">
      <c r="A854" s="286" t="s">
        <v>2715</v>
      </c>
      <c r="B854" s="26">
        <v>45968</v>
      </c>
      <c r="C854" s="26">
        <v>45968</v>
      </c>
      <c r="D854" s="14" t="s">
        <v>2716</v>
      </c>
      <c r="E854" s="14" t="s">
        <v>73</v>
      </c>
      <c r="F854" s="14" t="s">
        <v>34</v>
      </c>
      <c r="G854" s="14">
        <v>50110372</v>
      </c>
      <c r="H854" s="14" t="s">
        <v>1872</v>
      </c>
      <c r="I854" s="14" t="s">
        <v>1873</v>
      </c>
      <c r="J854" s="14">
        <v>1</v>
      </c>
      <c r="K854" s="14" t="s">
        <v>37</v>
      </c>
      <c r="L854" s="14" t="s">
        <v>96</v>
      </c>
      <c r="M854" s="14" t="s">
        <v>88</v>
      </c>
      <c r="N854" s="14" t="s">
        <v>89</v>
      </c>
      <c r="O854" s="14">
        <v>0</v>
      </c>
      <c r="P854" s="14">
        <v>1</v>
      </c>
      <c r="Q854" s="14">
        <v>143947</v>
      </c>
      <c r="R854" s="14"/>
      <c r="S854" s="25">
        <v>45693</v>
      </c>
      <c r="T854" s="25">
        <v>46042</v>
      </c>
      <c r="U854" s="25">
        <v>46055</v>
      </c>
      <c r="V854" s="14" t="s">
        <v>347</v>
      </c>
      <c r="W854" s="15" t="s">
        <v>41</v>
      </c>
      <c r="X854" s="355">
        <v>29.8</v>
      </c>
      <c r="Y854" s="355">
        <f>Table2[[#This Row],[PREÇO UNITARIO]]*Table2[[#This Row],[QUANTIDADE]]</f>
        <v>29.8</v>
      </c>
      <c r="Z854" s="14"/>
      <c r="AA854" s="291">
        <f>MONTH(Table2[[#This Row],[DATA PEDIDO HP]])</f>
        <v>11</v>
      </c>
      <c r="AB854" s="290" t="s">
        <v>42</v>
      </c>
      <c r="AC854" s="5">
        <f t="shared" ca="1" si="13"/>
        <v>46232</v>
      </c>
      <c r="AD854" s="331">
        <f ca="1">_xlfn.DAYS(Table2[[#This Row],[HOJE]],Table2[[#This Row],[DATA PEDIDO HP]])</f>
        <v>264</v>
      </c>
      <c r="AE854" s="331" t="s">
        <v>43</v>
      </c>
    </row>
    <row r="855" spans="1:31" ht="14.45" hidden="1">
      <c r="A855" s="286" t="s">
        <v>2717</v>
      </c>
      <c r="B855" s="26">
        <v>45968</v>
      </c>
      <c r="C855" s="26">
        <v>45967</v>
      </c>
      <c r="D855" s="14" t="s">
        <v>2718</v>
      </c>
      <c r="E855" s="14" t="s">
        <v>1106</v>
      </c>
      <c r="F855" s="14" t="s">
        <v>1107</v>
      </c>
      <c r="G855" s="14">
        <v>51100110</v>
      </c>
      <c r="H855" s="14" t="s">
        <v>545</v>
      </c>
      <c r="I855" s="14" t="s">
        <v>2140</v>
      </c>
      <c r="J855" s="14">
        <v>1</v>
      </c>
      <c r="K855" s="14" t="s">
        <v>67</v>
      </c>
      <c r="L855" s="14" t="s">
        <v>48</v>
      </c>
      <c r="M855" s="14" t="s">
        <v>88</v>
      </c>
      <c r="N855" s="14" t="s">
        <v>89</v>
      </c>
      <c r="O855" s="14">
        <v>0</v>
      </c>
      <c r="P855" s="14">
        <v>1</v>
      </c>
      <c r="Q855" s="14">
        <v>143933</v>
      </c>
      <c r="R855" s="14"/>
      <c r="S855" s="26"/>
      <c r="T855" s="25">
        <v>46007</v>
      </c>
      <c r="U855" s="25">
        <v>46031</v>
      </c>
      <c r="V855" s="14" t="s">
        <v>1775</v>
      </c>
      <c r="W855" s="14"/>
      <c r="X855" s="288">
        <v>898.2</v>
      </c>
      <c r="Y855" s="288">
        <f>Table2[[#This Row],[PREÇO UNITARIO]]*Table2[[#This Row],[QUANTIDADE]]</f>
        <v>898.2</v>
      </c>
      <c r="Z855" s="14"/>
      <c r="AA855" s="291">
        <f>MONTH(Table2[[#This Row],[DATA PEDIDO HP]])</f>
        <v>11</v>
      </c>
      <c r="AB855" s="290" t="s">
        <v>60</v>
      </c>
      <c r="AC855" s="5">
        <f t="shared" ca="1" si="13"/>
        <v>46232</v>
      </c>
      <c r="AD855" s="331">
        <f ca="1">_xlfn.DAYS(Table2[[#This Row],[HOJE]],Table2[[#This Row],[DATA PEDIDO HP]])</f>
        <v>264</v>
      </c>
      <c r="AE855" s="5" t="s">
        <v>43</v>
      </c>
    </row>
    <row r="856" spans="1:31" ht="14.45" hidden="1">
      <c r="A856" s="286" t="s">
        <v>2719</v>
      </c>
      <c r="B856" s="26">
        <v>45968</v>
      </c>
      <c r="C856" s="26">
        <v>45967</v>
      </c>
      <c r="D856" s="14" t="s">
        <v>2720</v>
      </c>
      <c r="E856" s="14" t="s">
        <v>2132</v>
      </c>
      <c r="F856" s="14" t="s">
        <v>203</v>
      </c>
      <c r="G856" s="14">
        <v>60001111</v>
      </c>
      <c r="H856" s="14" t="s">
        <v>2721</v>
      </c>
      <c r="I856" s="14" t="s">
        <v>2722</v>
      </c>
      <c r="J856" s="14">
        <v>3</v>
      </c>
      <c r="K856" s="14" t="s">
        <v>67</v>
      </c>
      <c r="L856" s="14" t="s">
        <v>68</v>
      </c>
      <c r="M856" s="14" t="s">
        <v>88</v>
      </c>
      <c r="N856" s="14" t="s">
        <v>89</v>
      </c>
      <c r="O856" s="14">
        <v>0</v>
      </c>
      <c r="P856" s="14">
        <v>3</v>
      </c>
      <c r="Q856" s="14">
        <v>143907</v>
      </c>
      <c r="R856" s="14" t="s">
        <v>2723</v>
      </c>
      <c r="S856" s="26">
        <v>46041</v>
      </c>
      <c r="T856" s="25">
        <v>46007</v>
      </c>
      <c r="U856" s="25">
        <v>46031</v>
      </c>
      <c r="V856" s="14" t="s">
        <v>1775</v>
      </c>
      <c r="W856" s="14"/>
      <c r="X856" s="355">
        <v>911.27</v>
      </c>
      <c r="Y856" s="355">
        <f>Table2[[#This Row],[PREÇO UNITARIO]]*Table2[[#This Row],[QUANTIDADE]]</f>
        <v>2733.81</v>
      </c>
      <c r="Z856" s="14"/>
      <c r="AA856" s="291">
        <f>MONTH(Table2[[#This Row],[DATA PEDIDO HP]])</f>
        <v>11</v>
      </c>
      <c r="AB856" s="290" t="s">
        <v>42</v>
      </c>
      <c r="AC856" s="5">
        <f t="shared" ca="1" si="13"/>
        <v>46232</v>
      </c>
      <c r="AD856" s="331">
        <f ca="1">_xlfn.DAYS(Table2[[#This Row],[HOJE]],Table2[[#This Row],[DATA PEDIDO HP]])</f>
        <v>264</v>
      </c>
      <c r="AE856" s="5" t="s">
        <v>43</v>
      </c>
    </row>
    <row r="857" spans="1:31" ht="14.45" hidden="1">
      <c r="A857" s="286" t="s">
        <v>2724</v>
      </c>
      <c r="B857" s="26">
        <v>45968</v>
      </c>
      <c r="C857" s="26">
        <v>45967</v>
      </c>
      <c r="D857" s="14" t="s">
        <v>2725</v>
      </c>
      <c r="E857" s="14" t="s">
        <v>109</v>
      </c>
      <c r="F857" s="14" t="s">
        <v>34</v>
      </c>
      <c r="G857" s="14">
        <v>50110229</v>
      </c>
      <c r="H857" s="14" t="s">
        <v>2726</v>
      </c>
      <c r="I857" s="14" t="s">
        <v>1392</v>
      </c>
      <c r="J857" s="14">
        <v>1</v>
      </c>
      <c r="K857" s="14" t="s">
        <v>37</v>
      </c>
      <c r="L857" s="14" t="s">
        <v>48</v>
      </c>
      <c r="M857" s="14" t="s">
        <v>39</v>
      </c>
      <c r="N857" s="14" t="s">
        <v>39</v>
      </c>
      <c r="O857" s="14">
        <v>1</v>
      </c>
      <c r="P857" s="14">
        <v>1</v>
      </c>
      <c r="Q857" s="14">
        <v>143865</v>
      </c>
      <c r="R857" s="14"/>
      <c r="S857" s="25">
        <v>46062</v>
      </c>
      <c r="T857" s="26">
        <v>46042</v>
      </c>
      <c r="U857" s="25">
        <v>46055</v>
      </c>
      <c r="V857" s="14" t="s">
        <v>347</v>
      </c>
      <c r="W857" s="14"/>
      <c r="X857" s="355">
        <v>83.29</v>
      </c>
      <c r="Y857" s="355">
        <f>Table2[[#This Row],[PREÇO UNITARIO]]*Table2[[#This Row],[QUANTIDADE]]</f>
        <v>83.29</v>
      </c>
      <c r="Z857" s="14"/>
      <c r="AA857" s="291">
        <f>MONTH(Table2[[#This Row],[DATA PEDIDO HP]])</f>
        <v>11</v>
      </c>
      <c r="AB857" s="290" t="s">
        <v>42</v>
      </c>
      <c r="AC857" s="5">
        <f t="shared" ca="1" si="13"/>
        <v>46232</v>
      </c>
      <c r="AD857" s="331">
        <f ca="1">_xlfn.DAYS(Table2[[#This Row],[HOJE]],Table2[[#This Row],[DATA PEDIDO HP]])</f>
        <v>264</v>
      </c>
      <c r="AE857" s="331" t="s">
        <v>43</v>
      </c>
    </row>
    <row r="858" spans="1:31" ht="14.45" hidden="1">
      <c r="A858" s="286" t="s">
        <v>2727</v>
      </c>
      <c r="B858" s="26">
        <v>45971</v>
      </c>
      <c r="C858" s="26">
        <v>45971</v>
      </c>
      <c r="D858" s="14" t="s">
        <v>2728</v>
      </c>
      <c r="E858" s="14" t="s">
        <v>2132</v>
      </c>
      <c r="F858" s="14" t="s">
        <v>203</v>
      </c>
      <c r="G858" s="14">
        <v>60001111</v>
      </c>
      <c r="H858" s="14" t="s">
        <v>580</v>
      </c>
      <c r="I858" s="14" t="s">
        <v>2729</v>
      </c>
      <c r="J858" s="14">
        <v>1</v>
      </c>
      <c r="K858" s="14" t="s">
        <v>37</v>
      </c>
      <c r="L858" s="14" t="s">
        <v>68</v>
      </c>
      <c r="M858" s="14" t="s">
        <v>58</v>
      </c>
      <c r="N858" s="14" t="s">
        <v>58</v>
      </c>
      <c r="O858" s="14">
        <v>1</v>
      </c>
      <c r="P858" s="14">
        <v>1</v>
      </c>
      <c r="Q858" s="14">
        <v>143907</v>
      </c>
      <c r="R858" s="14"/>
      <c r="S858" s="26"/>
      <c r="T858" s="26">
        <v>46042</v>
      </c>
      <c r="U858" s="25">
        <v>46055</v>
      </c>
      <c r="V858" s="14" t="s">
        <v>347</v>
      </c>
      <c r="W858" s="14"/>
      <c r="X858" s="355">
        <v>4432.21</v>
      </c>
      <c r="Y858" s="355">
        <f>Table2[[#This Row],[PREÇO UNITARIO]]*Table2[[#This Row],[QUANTIDADE]]</f>
        <v>4432.21</v>
      </c>
      <c r="Z858" s="14"/>
      <c r="AA858" s="291">
        <f>MONTH(Table2[[#This Row],[DATA PEDIDO HP]])</f>
        <v>11</v>
      </c>
      <c r="AB858" s="290" t="s">
        <v>42</v>
      </c>
      <c r="AC858" s="5">
        <f t="shared" ca="1" si="13"/>
        <v>46232</v>
      </c>
      <c r="AD858" s="331">
        <f ca="1">_xlfn.DAYS(Table2[[#This Row],[HOJE]],Table2[[#This Row],[DATA PEDIDO HP]])</f>
        <v>261</v>
      </c>
      <c r="AE858" s="5" t="s">
        <v>43</v>
      </c>
    </row>
    <row r="859" spans="1:31" ht="14.45" hidden="1">
      <c r="A859" s="286" t="s">
        <v>2727</v>
      </c>
      <c r="B859" s="26">
        <v>45971</v>
      </c>
      <c r="C859" s="26">
        <v>45971</v>
      </c>
      <c r="D859" s="14" t="s">
        <v>2728</v>
      </c>
      <c r="E859" s="14" t="s">
        <v>2132</v>
      </c>
      <c r="F859" s="14" t="s">
        <v>203</v>
      </c>
      <c r="G859" s="14">
        <v>60001111</v>
      </c>
      <c r="H859" s="14" t="s">
        <v>1331</v>
      </c>
      <c r="I859" s="14" t="s">
        <v>1332</v>
      </c>
      <c r="J859" s="14">
        <v>1</v>
      </c>
      <c r="K859" s="14" t="s">
        <v>37</v>
      </c>
      <c r="L859" s="14" t="s">
        <v>68</v>
      </c>
      <c r="M859" s="14" t="s">
        <v>58</v>
      </c>
      <c r="N859" s="14" t="s">
        <v>58</v>
      </c>
      <c r="O859" s="14">
        <v>1</v>
      </c>
      <c r="P859" s="14">
        <v>1</v>
      </c>
      <c r="Q859" s="14">
        <v>143907</v>
      </c>
      <c r="R859" s="14"/>
      <c r="S859" s="26"/>
      <c r="T859" s="26">
        <v>46042</v>
      </c>
      <c r="U859" s="25">
        <v>46055</v>
      </c>
      <c r="V859" s="14" t="s">
        <v>347</v>
      </c>
      <c r="W859" s="14"/>
      <c r="X859" s="355">
        <v>886.36</v>
      </c>
      <c r="Y859" s="355">
        <f>Table2[[#This Row],[PREÇO UNITARIO]]*Table2[[#This Row],[QUANTIDADE]]</f>
        <v>886.36</v>
      </c>
      <c r="Z859" s="14"/>
      <c r="AA859" s="291">
        <f>MONTH(Table2[[#This Row],[DATA PEDIDO HP]])</f>
        <v>11</v>
      </c>
      <c r="AB859" s="290" t="s">
        <v>42</v>
      </c>
      <c r="AC859" s="5">
        <f t="shared" ca="1" si="13"/>
        <v>46232</v>
      </c>
      <c r="AD859" s="331">
        <f ca="1">_xlfn.DAYS(Table2[[#This Row],[HOJE]],Table2[[#This Row],[DATA PEDIDO HP]])</f>
        <v>261</v>
      </c>
      <c r="AE859" s="5" t="s">
        <v>43</v>
      </c>
    </row>
    <row r="860" spans="1:31" ht="14.45" hidden="1">
      <c r="A860" s="286" t="s">
        <v>2727</v>
      </c>
      <c r="B860" s="26">
        <v>45971</v>
      </c>
      <c r="C860" s="26">
        <v>45971</v>
      </c>
      <c r="D860" s="14" t="s">
        <v>2728</v>
      </c>
      <c r="E860" s="14" t="s">
        <v>2132</v>
      </c>
      <c r="F860" s="14" t="s">
        <v>203</v>
      </c>
      <c r="G860" s="14">
        <v>60001111</v>
      </c>
      <c r="H860" s="14" t="s">
        <v>2730</v>
      </c>
      <c r="I860" s="14" t="s">
        <v>2731</v>
      </c>
      <c r="J860" s="14">
        <v>2</v>
      </c>
      <c r="K860" s="14" t="s">
        <v>37</v>
      </c>
      <c r="L860" s="14" t="s">
        <v>68</v>
      </c>
      <c r="M860" s="14" t="s">
        <v>58</v>
      </c>
      <c r="N860" s="14" t="s">
        <v>58</v>
      </c>
      <c r="O860" s="14">
        <v>2</v>
      </c>
      <c r="P860" s="14">
        <v>2</v>
      </c>
      <c r="Q860" s="14">
        <v>143907</v>
      </c>
      <c r="R860" s="14"/>
      <c r="S860" s="26"/>
      <c r="T860" s="26">
        <v>46042</v>
      </c>
      <c r="U860" s="25">
        <v>46055</v>
      </c>
      <c r="V860" s="14" t="s">
        <v>347</v>
      </c>
      <c r="W860" s="14"/>
      <c r="X860" s="355">
        <v>89.82</v>
      </c>
      <c r="Y860" s="355">
        <f>Table2[[#This Row],[PREÇO UNITARIO]]*Table2[[#This Row],[QUANTIDADE]]</f>
        <v>179.64</v>
      </c>
      <c r="Z860" s="14"/>
      <c r="AA860" s="291">
        <f>MONTH(Table2[[#This Row],[DATA PEDIDO HP]])</f>
        <v>11</v>
      </c>
      <c r="AB860" s="290" t="s">
        <v>42</v>
      </c>
      <c r="AC860" s="5">
        <f t="shared" ca="1" si="13"/>
        <v>46232</v>
      </c>
      <c r="AD860" s="331">
        <f ca="1">_xlfn.DAYS(Table2[[#This Row],[HOJE]],Table2[[#This Row],[DATA PEDIDO HP]])</f>
        <v>261</v>
      </c>
      <c r="AE860" s="5" t="s">
        <v>43</v>
      </c>
    </row>
    <row r="861" spans="1:31" ht="14.45" hidden="1">
      <c r="A861" s="286" t="s">
        <v>2732</v>
      </c>
      <c r="B861" s="26">
        <v>45971</v>
      </c>
      <c r="C861" s="26">
        <v>45971</v>
      </c>
      <c r="D861" s="14" t="s">
        <v>2733</v>
      </c>
      <c r="E861" s="14" t="s">
        <v>2132</v>
      </c>
      <c r="F861" s="14" t="s">
        <v>203</v>
      </c>
      <c r="G861" s="14">
        <v>60001111</v>
      </c>
      <c r="H861" s="14" t="s">
        <v>1016</v>
      </c>
      <c r="I861" s="14" t="s">
        <v>2734</v>
      </c>
      <c r="J861" s="14">
        <v>1</v>
      </c>
      <c r="K861" s="14" t="s">
        <v>37</v>
      </c>
      <c r="L861" s="14" t="s">
        <v>68</v>
      </c>
      <c r="M861" s="14" t="s">
        <v>58</v>
      </c>
      <c r="N861" s="14" t="s">
        <v>58</v>
      </c>
      <c r="O861" s="14">
        <v>1</v>
      </c>
      <c r="P861" s="14">
        <v>1</v>
      </c>
      <c r="Q861" s="14">
        <v>143907</v>
      </c>
      <c r="R861" s="14"/>
      <c r="S861" s="26"/>
      <c r="T861" s="26">
        <v>46042</v>
      </c>
      <c r="U861" s="25">
        <v>46055</v>
      </c>
      <c r="V861" s="14" t="s">
        <v>347</v>
      </c>
      <c r="W861" s="14"/>
      <c r="X861" s="355">
        <v>194.66</v>
      </c>
      <c r="Y861" s="355">
        <f>Table2[[#This Row],[PREÇO UNITARIO]]*Table2[[#This Row],[QUANTIDADE]]</f>
        <v>194.66</v>
      </c>
      <c r="Z861" s="14"/>
      <c r="AA861" s="291">
        <f>MONTH(Table2[[#This Row],[DATA PEDIDO HP]])</f>
        <v>11</v>
      </c>
      <c r="AB861" s="290" t="s">
        <v>42</v>
      </c>
      <c r="AC861" s="5">
        <f t="shared" ca="1" si="13"/>
        <v>46232</v>
      </c>
      <c r="AD861" s="331">
        <f ca="1">_xlfn.DAYS(Table2[[#This Row],[HOJE]],Table2[[#This Row],[DATA PEDIDO HP]])</f>
        <v>261</v>
      </c>
      <c r="AE861" s="5" t="s">
        <v>43</v>
      </c>
    </row>
    <row r="862" spans="1:31" ht="14.45" hidden="1">
      <c r="A862" s="286" t="s">
        <v>2735</v>
      </c>
      <c r="B862" s="26">
        <v>45974</v>
      </c>
      <c r="C862" s="26">
        <v>45973</v>
      </c>
      <c r="D862" s="14" t="s">
        <v>2736</v>
      </c>
      <c r="E862" s="14" t="s">
        <v>202</v>
      </c>
      <c r="F862" s="14" t="s">
        <v>203</v>
      </c>
      <c r="G862" s="14">
        <v>60002072</v>
      </c>
      <c r="H862" s="14" t="s">
        <v>2737</v>
      </c>
      <c r="I862" s="14" t="s">
        <v>2738</v>
      </c>
      <c r="J862" s="14">
        <v>1</v>
      </c>
      <c r="K862" s="14" t="s">
        <v>67</v>
      </c>
      <c r="L862" s="14" t="s">
        <v>346</v>
      </c>
      <c r="M862" s="14" t="s">
        <v>88</v>
      </c>
      <c r="N862" s="14" t="s">
        <v>89</v>
      </c>
      <c r="O862" s="14">
        <v>0</v>
      </c>
      <c r="P862" s="14">
        <v>0</v>
      </c>
      <c r="Q862" s="14">
        <v>143666</v>
      </c>
      <c r="R862" s="14"/>
      <c r="S862" s="26">
        <v>46043</v>
      </c>
      <c r="T862" s="25">
        <v>46007</v>
      </c>
      <c r="U862" s="25">
        <v>46031</v>
      </c>
      <c r="V862" s="14" t="s">
        <v>1775</v>
      </c>
      <c r="W862" s="14"/>
      <c r="X862" s="288">
        <v>4742.5</v>
      </c>
      <c r="Y862" s="288">
        <f>Table2[[#This Row],[PREÇO UNITARIO]]*Table2[[#This Row],[QUANTIDADE]]</f>
        <v>4742.5</v>
      </c>
      <c r="Z862" s="14"/>
      <c r="AA862" s="291">
        <f>MONTH(Table2[[#This Row],[DATA PEDIDO HP]])</f>
        <v>11</v>
      </c>
      <c r="AB862" s="290" t="s">
        <v>60</v>
      </c>
      <c r="AC862" s="5">
        <f t="shared" ca="1" si="13"/>
        <v>46232</v>
      </c>
      <c r="AD862" s="331">
        <f ca="1">_xlfn.DAYS(Table2[[#This Row],[HOJE]],Table2[[#This Row],[DATA PEDIDO HP]])</f>
        <v>258</v>
      </c>
      <c r="AE862" s="336" t="s">
        <v>43</v>
      </c>
    </row>
    <row r="863" spans="1:31" ht="14.45" hidden="1">
      <c r="A863" s="286" t="s">
        <v>2739</v>
      </c>
      <c r="B863" s="26">
        <v>45975</v>
      </c>
      <c r="C863" s="26">
        <v>45975</v>
      </c>
      <c r="D863" s="14" t="s">
        <v>2740</v>
      </c>
      <c r="E863" s="14" t="s">
        <v>1196</v>
      </c>
      <c r="F863" s="14" t="s">
        <v>1107</v>
      </c>
      <c r="G863" s="14">
        <v>51100064</v>
      </c>
      <c r="H863" s="14" t="s">
        <v>2741</v>
      </c>
      <c r="I863" s="14" t="s">
        <v>2742</v>
      </c>
      <c r="J863" s="14">
        <v>1</v>
      </c>
      <c r="K863" s="14" t="s">
        <v>37</v>
      </c>
      <c r="L863" s="14" t="s">
        <v>96</v>
      </c>
      <c r="M863" s="14" t="s">
        <v>39</v>
      </c>
      <c r="N863" s="14" t="s">
        <v>39</v>
      </c>
      <c r="O863" s="14">
        <v>1</v>
      </c>
      <c r="P863" s="14">
        <v>1</v>
      </c>
      <c r="Q863" s="14">
        <v>144980</v>
      </c>
      <c r="R863" s="14"/>
      <c r="S863" s="26">
        <v>46066</v>
      </c>
      <c r="T863" s="26">
        <v>46042</v>
      </c>
      <c r="U863" s="25">
        <v>46055</v>
      </c>
      <c r="V863" s="14" t="s">
        <v>347</v>
      </c>
      <c r="W863" s="14"/>
      <c r="X863" s="355">
        <v>426.62</v>
      </c>
      <c r="Y863" s="355">
        <f>Table2[[#This Row],[PREÇO UNITARIO]]*Table2[[#This Row],[QUANTIDADE]]</f>
        <v>426.62</v>
      </c>
      <c r="Z863" s="14"/>
      <c r="AA863" s="291">
        <f>MONTH(Table2[[#This Row],[DATA PEDIDO HP]])</f>
        <v>11</v>
      </c>
      <c r="AB863" s="290" t="s">
        <v>60</v>
      </c>
      <c r="AC863" s="5">
        <f t="shared" ca="1" si="13"/>
        <v>46232</v>
      </c>
      <c r="AD863" s="331">
        <f ca="1">_xlfn.DAYS(Table2[[#This Row],[HOJE]],Table2[[#This Row],[DATA PEDIDO HP]])</f>
        <v>257</v>
      </c>
      <c r="AE863" s="5" t="s">
        <v>43</v>
      </c>
    </row>
    <row r="864" spans="1:31" ht="14.45" hidden="1">
      <c r="A864" s="286" t="s">
        <v>2743</v>
      </c>
      <c r="B864" s="26">
        <v>45975</v>
      </c>
      <c r="C864" s="26">
        <v>45975</v>
      </c>
      <c r="D864" s="14" t="s">
        <v>2744</v>
      </c>
      <c r="E864" s="14" t="s">
        <v>152</v>
      </c>
      <c r="F864" s="14" t="s">
        <v>899</v>
      </c>
      <c r="G864" s="14" t="s">
        <v>2745</v>
      </c>
      <c r="H864" s="14" t="s">
        <v>1890</v>
      </c>
      <c r="I864" s="14" t="s">
        <v>2746</v>
      </c>
      <c r="J864" s="14">
        <v>1</v>
      </c>
      <c r="K864" s="14" t="s">
        <v>67</v>
      </c>
      <c r="L864" s="14" t="s">
        <v>68</v>
      </c>
      <c r="M864" s="14" t="s">
        <v>58</v>
      </c>
      <c r="N864" s="14" t="s">
        <v>58</v>
      </c>
      <c r="O864" s="14">
        <v>1</v>
      </c>
      <c r="P864" s="14">
        <v>1</v>
      </c>
      <c r="Q864" s="14">
        <v>144520</v>
      </c>
      <c r="R864" s="14"/>
      <c r="S864" s="26"/>
      <c r="T864" s="26">
        <v>46070</v>
      </c>
      <c r="U864" s="25"/>
      <c r="V864" s="17" t="s">
        <v>2519</v>
      </c>
      <c r="W864" s="14"/>
      <c r="X864" s="288">
        <v>1272.6400000000001</v>
      </c>
      <c r="Y864" s="288">
        <f>Table2[[#This Row],[PREÇO UNITARIO]]*Table2[[#This Row],[QUANTIDADE]]</f>
        <v>1272.6400000000001</v>
      </c>
      <c r="Z864" s="14"/>
      <c r="AA864" s="291">
        <f>MONTH(Table2[[#This Row],[DATA PEDIDO HP]])</f>
        <v>11</v>
      </c>
      <c r="AB864" s="290" t="s">
        <v>60</v>
      </c>
      <c r="AC864" s="5">
        <f t="shared" ca="1" si="13"/>
        <v>46232</v>
      </c>
      <c r="AD864" s="331">
        <f ca="1">_xlfn.DAYS(Table2[[#This Row],[HOJE]],Table2[[#This Row],[DATA PEDIDO HP]])</f>
        <v>257</v>
      </c>
      <c r="AE864" s="331" t="str">
        <f ca="1">IF(Table2[[#This Row],[HOLD]]&gt;30,"ATRASADO","NO PRAZO")</f>
        <v>ATRASADO</v>
      </c>
    </row>
    <row r="865" spans="1:31" ht="14.45" hidden="1">
      <c r="A865" s="286" t="s">
        <v>2747</v>
      </c>
      <c r="B865" s="26">
        <v>45978</v>
      </c>
      <c r="C865" s="26">
        <v>45978</v>
      </c>
      <c r="D865" s="14" t="s">
        <v>2748</v>
      </c>
      <c r="E865" s="14" t="s">
        <v>2472</v>
      </c>
      <c r="F865" s="14" t="s">
        <v>640</v>
      </c>
      <c r="G865" s="14">
        <v>48500811</v>
      </c>
      <c r="H865" s="14" t="s">
        <v>1009</v>
      </c>
      <c r="I865" s="14" t="s">
        <v>855</v>
      </c>
      <c r="J865" s="14">
        <v>2</v>
      </c>
      <c r="K865" s="14" t="s">
        <v>67</v>
      </c>
      <c r="L865" s="14" t="s">
        <v>412</v>
      </c>
      <c r="M865" s="14" t="s">
        <v>88</v>
      </c>
      <c r="N865" s="14" t="s">
        <v>89</v>
      </c>
      <c r="O865" s="14">
        <v>0</v>
      </c>
      <c r="P865" s="14">
        <v>0</v>
      </c>
      <c r="Q865" s="14">
        <v>145378</v>
      </c>
      <c r="R865" s="14"/>
      <c r="S865" s="26"/>
      <c r="T865" s="26">
        <v>45980</v>
      </c>
      <c r="U865" s="26">
        <v>45986</v>
      </c>
      <c r="V865" s="309" t="s">
        <v>2747</v>
      </c>
      <c r="W865" s="14"/>
      <c r="X865" s="288">
        <v>1208.49</v>
      </c>
      <c r="Y865" s="288">
        <f>Table2[[#This Row],[PREÇO UNITARIO]]*Table2[[#This Row],[QUANTIDADE]]</f>
        <v>2416.98</v>
      </c>
      <c r="Z865" s="14"/>
      <c r="AA865" s="291">
        <f>MONTH(Table2[[#This Row],[DATA PEDIDO HP]])</f>
        <v>11</v>
      </c>
      <c r="AB865" s="290" t="s">
        <v>60</v>
      </c>
      <c r="AC865" s="5">
        <f t="shared" ca="1" si="13"/>
        <v>46232</v>
      </c>
      <c r="AD865" s="331">
        <f ca="1">_xlfn.DAYS(Table2[[#This Row],[HOJE]],Table2[[#This Row],[DATA PEDIDO HP]])</f>
        <v>254</v>
      </c>
      <c r="AE865" s="5" t="s">
        <v>43</v>
      </c>
    </row>
    <row r="866" spans="1:31" ht="14.45" hidden="1">
      <c r="A866" s="286" t="s">
        <v>2749</v>
      </c>
      <c r="B866" s="26">
        <v>45978</v>
      </c>
      <c r="C866" s="26">
        <v>45978</v>
      </c>
      <c r="D866" s="14" t="s">
        <v>2750</v>
      </c>
      <c r="E866" s="14" t="s">
        <v>1196</v>
      </c>
      <c r="F866" s="14" t="s">
        <v>1107</v>
      </c>
      <c r="G866" s="14">
        <v>51100064</v>
      </c>
      <c r="H866" s="14" t="s">
        <v>1813</v>
      </c>
      <c r="I866" s="14" t="s">
        <v>2129</v>
      </c>
      <c r="J866" s="14">
        <v>1</v>
      </c>
      <c r="K866" s="14" t="s">
        <v>37</v>
      </c>
      <c r="L866" s="14" t="s">
        <v>96</v>
      </c>
      <c r="M866" s="14" t="s">
        <v>39</v>
      </c>
      <c r="N866" s="14" t="s">
        <v>39</v>
      </c>
      <c r="O866" s="14">
        <v>1</v>
      </c>
      <c r="P866" s="14">
        <v>1</v>
      </c>
      <c r="Q866" s="14">
        <v>145508</v>
      </c>
      <c r="R866" s="14" t="s">
        <v>165</v>
      </c>
      <c r="S866" s="26">
        <v>46066</v>
      </c>
      <c r="T866" s="26">
        <v>46042</v>
      </c>
      <c r="U866" s="25">
        <v>46055</v>
      </c>
      <c r="V866" s="14" t="s">
        <v>347</v>
      </c>
      <c r="W866" s="14"/>
      <c r="X866" s="355">
        <v>354.38</v>
      </c>
      <c r="Y866" s="355">
        <f>Table2[[#This Row],[PREÇO UNITARIO]]*Table2[[#This Row],[QUANTIDADE]]</f>
        <v>354.38</v>
      </c>
      <c r="Z866" s="14"/>
      <c r="AA866" s="291">
        <f>MONTH(Table2[[#This Row],[DATA PEDIDO HP]])</f>
        <v>11</v>
      </c>
      <c r="AB866" s="290" t="s">
        <v>60</v>
      </c>
      <c r="AC866" s="5">
        <f t="shared" ca="1" si="13"/>
        <v>46232</v>
      </c>
      <c r="AD866" s="331">
        <f ca="1">_xlfn.DAYS(Table2[[#This Row],[HOJE]],Table2[[#This Row],[DATA PEDIDO HP]])</f>
        <v>254</v>
      </c>
      <c r="AE866" s="5" t="s">
        <v>43</v>
      </c>
    </row>
    <row r="867" spans="1:31" ht="14.45" hidden="1">
      <c r="A867" s="286" t="s">
        <v>2751</v>
      </c>
      <c r="B867" s="26">
        <v>45979</v>
      </c>
      <c r="C867" s="26">
        <v>45979</v>
      </c>
      <c r="D867" s="14" t="s">
        <v>2752</v>
      </c>
      <c r="E867" s="14" t="s">
        <v>73</v>
      </c>
      <c r="F867" s="14" t="s">
        <v>34</v>
      </c>
      <c r="G867" s="14">
        <v>50110372</v>
      </c>
      <c r="H867" s="14" t="s">
        <v>1936</v>
      </c>
      <c r="I867" s="14" t="s">
        <v>1869</v>
      </c>
      <c r="J867" s="14">
        <v>1</v>
      </c>
      <c r="K867" s="14" t="s">
        <v>37</v>
      </c>
      <c r="L867" s="14" t="s">
        <v>96</v>
      </c>
      <c r="M867" s="14" t="s">
        <v>39</v>
      </c>
      <c r="N867" s="14" t="s">
        <v>39</v>
      </c>
      <c r="O867" s="14">
        <v>1</v>
      </c>
      <c r="P867" s="14">
        <v>1</v>
      </c>
      <c r="Q867" s="14">
        <v>145640</v>
      </c>
      <c r="R867" s="14" t="s">
        <v>1306</v>
      </c>
      <c r="S867" s="25">
        <v>45693</v>
      </c>
      <c r="T867" s="25">
        <v>46042</v>
      </c>
      <c r="U867" s="25">
        <v>46055</v>
      </c>
      <c r="V867" s="14" t="s">
        <v>347</v>
      </c>
      <c r="W867" s="15" t="s">
        <v>41</v>
      </c>
      <c r="X867" s="355">
        <v>73.489999999999995</v>
      </c>
      <c r="Y867" s="355">
        <f>Table2[[#This Row],[PREÇO UNITARIO]]*Table2[[#This Row],[QUANTIDADE]]</f>
        <v>73.489999999999995</v>
      </c>
      <c r="Z867" s="14"/>
      <c r="AA867" s="291">
        <f>MONTH(Table2[[#This Row],[DATA PEDIDO HP]])</f>
        <v>11</v>
      </c>
      <c r="AB867" s="290" t="s">
        <v>42</v>
      </c>
      <c r="AC867" s="5">
        <f t="shared" ca="1" si="13"/>
        <v>46232</v>
      </c>
      <c r="AD867" s="331">
        <f ca="1">_xlfn.DAYS(Table2[[#This Row],[HOJE]],Table2[[#This Row],[DATA PEDIDO HP]])</f>
        <v>253</v>
      </c>
      <c r="AE867" s="331" t="s">
        <v>43</v>
      </c>
    </row>
    <row r="868" spans="1:31" ht="14.45" hidden="1">
      <c r="A868" s="286" t="s">
        <v>2753</v>
      </c>
      <c r="B868" s="26">
        <v>45979</v>
      </c>
      <c r="C868" s="26">
        <v>45979</v>
      </c>
      <c r="D868" s="14" t="s">
        <v>2754</v>
      </c>
      <c r="E868" s="14" t="s">
        <v>63</v>
      </c>
      <c r="F868" s="14" t="s">
        <v>64</v>
      </c>
      <c r="G868" s="14">
        <v>48000432</v>
      </c>
      <c r="H868" s="14" t="s">
        <v>992</v>
      </c>
      <c r="I868" s="14" t="s">
        <v>2755</v>
      </c>
      <c r="J868" s="14">
        <v>1</v>
      </c>
      <c r="K868" s="14" t="s">
        <v>37</v>
      </c>
      <c r="L868" s="14" t="s">
        <v>96</v>
      </c>
      <c r="M868" s="14" t="s">
        <v>58</v>
      </c>
      <c r="N868" s="14" t="s">
        <v>89</v>
      </c>
      <c r="O868" s="14">
        <v>0</v>
      </c>
      <c r="P868" s="14">
        <v>0</v>
      </c>
      <c r="Q868" s="14">
        <v>145673</v>
      </c>
      <c r="R868" s="14"/>
      <c r="S868" s="26">
        <v>45979</v>
      </c>
      <c r="T868" s="26">
        <v>46042</v>
      </c>
      <c r="U868" s="25">
        <v>46055</v>
      </c>
      <c r="V868" s="14" t="s">
        <v>347</v>
      </c>
      <c r="W868" s="14"/>
      <c r="X868" s="355">
        <v>8.9</v>
      </c>
      <c r="Y868" s="355">
        <f>Table2[[#This Row],[PREÇO UNITARIO]]*Table2[[#This Row],[QUANTIDADE]]</f>
        <v>8.9</v>
      </c>
      <c r="Z868" s="14"/>
      <c r="AA868" s="291">
        <f>MONTH(Table2[[#This Row],[DATA PEDIDO HP]])</f>
        <v>11</v>
      </c>
      <c r="AB868" s="290" t="s">
        <v>60</v>
      </c>
      <c r="AC868" s="5">
        <f t="shared" ca="1" si="13"/>
        <v>46232</v>
      </c>
      <c r="AD868" s="331">
        <f ca="1">_xlfn.DAYS(Table2[[#This Row],[HOJE]],Table2[[#This Row],[DATA PEDIDO HP]])</f>
        <v>253</v>
      </c>
      <c r="AE868" s="331" t="s">
        <v>43</v>
      </c>
    </row>
    <row r="869" spans="1:31" ht="14.45" hidden="1">
      <c r="A869" s="286" t="s">
        <v>2756</v>
      </c>
      <c r="B869" s="26">
        <v>45979</v>
      </c>
      <c r="C869" s="26">
        <v>45979</v>
      </c>
      <c r="D869" s="14" t="s">
        <v>2757</v>
      </c>
      <c r="E869" s="14" t="s">
        <v>63</v>
      </c>
      <c r="F869" s="14" t="s">
        <v>173</v>
      </c>
      <c r="G869" s="14">
        <v>48300301</v>
      </c>
      <c r="H869" s="14" t="s">
        <v>2758</v>
      </c>
      <c r="I869" s="14" t="s">
        <v>2759</v>
      </c>
      <c r="J869" s="14">
        <v>1</v>
      </c>
      <c r="K869" s="14" t="s">
        <v>37</v>
      </c>
      <c r="L869" s="14" t="s">
        <v>96</v>
      </c>
      <c r="M869" s="14" t="s">
        <v>58</v>
      </c>
      <c r="N869" s="14" t="s">
        <v>58</v>
      </c>
      <c r="O869" s="14">
        <v>0</v>
      </c>
      <c r="P869" s="14">
        <v>1</v>
      </c>
      <c r="Q869" s="14">
        <v>145674</v>
      </c>
      <c r="R869" s="14"/>
      <c r="S869" s="26"/>
      <c r="T869" s="26">
        <v>46042</v>
      </c>
      <c r="U869" s="25">
        <v>46055</v>
      </c>
      <c r="V869" s="14" t="s">
        <v>347</v>
      </c>
      <c r="W869" s="14"/>
      <c r="X869" s="355">
        <v>77.010000000000005</v>
      </c>
      <c r="Y869" s="355">
        <f>Table2[[#This Row],[PREÇO UNITARIO]]*Table2[[#This Row],[QUANTIDADE]]</f>
        <v>77.010000000000005</v>
      </c>
      <c r="Z869" s="14"/>
      <c r="AA869" s="291">
        <f>MONTH(Table2[[#This Row],[DATA PEDIDO HP]])</f>
        <v>11</v>
      </c>
      <c r="AB869" s="290" t="s">
        <v>60</v>
      </c>
      <c r="AC869" s="5">
        <f t="shared" ca="1" si="13"/>
        <v>46232</v>
      </c>
      <c r="AD869" s="331">
        <f ca="1">_xlfn.DAYS(Table2[[#This Row],[HOJE]],Table2[[#This Row],[DATA PEDIDO HP]])</f>
        <v>253</v>
      </c>
      <c r="AE869" s="331" t="str">
        <f ca="1">IF(Table2[[#This Row],[HOLD]]&gt;30,"ATRASADO","NO PRAZO")</f>
        <v>ATRASADO</v>
      </c>
    </row>
    <row r="870" spans="1:31" ht="14.45" hidden="1">
      <c r="A870" s="286" t="s">
        <v>2760</v>
      </c>
      <c r="B870" s="26">
        <v>45979</v>
      </c>
      <c r="C870" s="26">
        <v>45979</v>
      </c>
      <c r="D870" s="14" t="s">
        <v>2761</v>
      </c>
      <c r="E870" s="14" t="s">
        <v>202</v>
      </c>
      <c r="F870" s="14" t="s">
        <v>203</v>
      </c>
      <c r="G870" s="14">
        <v>60002072</v>
      </c>
      <c r="H870" s="14" t="s">
        <v>1058</v>
      </c>
      <c r="I870" s="14" t="s">
        <v>1059</v>
      </c>
      <c r="J870" s="14">
        <v>1</v>
      </c>
      <c r="K870" s="14" t="s">
        <v>37</v>
      </c>
      <c r="L870" s="14" t="s">
        <v>96</v>
      </c>
      <c r="M870" s="14" t="s">
        <v>39</v>
      </c>
      <c r="N870" s="14" t="s">
        <v>39</v>
      </c>
      <c r="O870" s="14">
        <v>1</v>
      </c>
      <c r="P870" s="14">
        <v>1</v>
      </c>
      <c r="Q870" s="14">
        <v>145706</v>
      </c>
      <c r="R870" s="14"/>
      <c r="S870" s="25">
        <v>46062</v>
      </c>
      <c r="T870" s="26">
        <v>46042</v>
      </c>
      <c r="U870" s="25">
        <v>46055</v>
      </c>
      <c r="V870" s="14" t="s">
        <v>347</v>
      </c>
      <c r="W870" s="14"/>
      <c r="X870" s="355">
        <v>131.79</v>
      </c>
      <c r="Y870" s="355">
        <f>Table2[[#This Row],[PREÇO UNITARIO]]*Table2[[#This Row],[QUANTIDADE]]</f>
        <v>131.79</v>
      </c>
      <c r="Z870" s="14"/>
      <c r="AA870" s="291">
        <f>MONTH(Table2[[#This Row],[DATA PEDIDO HP]])</f>
        <v>11</v>
      </c>
      <c r="AB870" s="290" t="s">
        <v>60</v>
      </c>
      <c r="AC870" s="5">
        <f t="shared" ca="1" si="13"/>
        <v>46232</v>
      </c>
      <c r="AD870" s="331">
        <f ca="1">_xlfn.DAYS(Table2[[#This Row],[HOJE]],Table2[[#This Row],[DATA PEDIDO HP]])</f>
        <v>253</v>
      </c>
      <c r="AE870" s="331" t="s">
        <v>43</v>
      </c>
    </row>
    <row r="871" spans="1:31" ht="14.45" hidden="1">
      <c r="A871" s="286" t="s">
        <v>2762</v>
      </c>
      <c r="B871" s="26">
        <v>45980</v>
      </c>
      <c r="C871" s="26">
        <v>45980</v>
      </c>
      <c r="D871" s="14" t="s">
        <v>2763</v>
      </c>
      <c r="E871" s="14" t="s">
        <v>63</v>
      </c>
      <c r="F871" s="14" t="s">
        <v>173</v>
      </c>
      <c r="G871" s="14">
        <v>48300301</v>
      </c>
      <c r="H871" s="14" t="s">
        <v>2758</v>
      </c>
      <c r="I871" s="14" t="s">
        <v>2759</v>
      </c>
      <c r="J871" s="14">
        <v>1</v>
      </c>
      <c r="K871" s="14" t="s">
        <v>37</v>
      </c>
      <c r="L871" s="14" t="s">
        <v>96</v>
      </c>
      <c r="M871" s="14" t="s">
        <v>58</v>
      </c>
      <c r="N871" s="14" t="s">
        <v>58</v>
      </c>
      <c r="O871" s="14">
        <v>0</v>
      </c>
      <c r="P871" s="14">
        <v>1</v>
      </c>
      <c r="Q871" s="14">
        <v>145674</v>
      </c>
      <c r="R871" s="14"/>
      <c r="S871" s="26"/>
      <c r="T871" s="26">
        <v>46042</v>
      </c>
      <c r="U871" s="25">
        <v>46055</v>
      </c>
      <c r="V871" s="14" t="s">
        <v>347</v>
      </c>
      <c r="W871" s="14"/>
      <c r="X871" s="355">
        <v>77.010000000000005</v>
      </c>
      <c r="Y871" s="355">
        <f>Table2[[#This Row],[PREÇO UNITARIO]]*Table2[[#This Row],[QUANTIDADE]]</f>
        <v>77.010000000000005</v>
      </c>
      <c r="Z871" s="14"/>
      <c r="AA871" s="291">
        <f>MONTH(Table2[[#This Row],[DATA PEDIDO HP]])</f>
        <v>11</v>
      </c>
      <c r="AB871" s="290" t="s">
        <v>60</v>
      </c>
      <c r="AC871" s="5">
        <f t="shared" ca="1" si="13"/>
        <v>46232</v>
      </c>
      <c r="AD871" s="331">
        <f ca="1">_xlfn.DAYS(Table2[[#This Row],[HOJE]],Table2[[#This Row],[DATA PEDIDO HP]])</f>
        <v>252</v>
      </c>
      <c r="AE871" s="331" t="str">
        <f ca="1">IF(Table2[[#This Row],[HOLD]]&gt;30,"ATRASADO","NO PRAZO")</f>
        <v>ATRASADO</v>
      </c>
    </row>
    <row r="872" spans="1:31" ht="14.45" hidden="1">
      <c r="A872" s="286" t="s">
        <v>2764</v>
      </c>
      <c r="B872" s="26">
        <v>45985</v>
      </c>
      <c r="C872" s="26">
        <v>45982</v>
      </c>
      <c r="D872" s="14" t="s">
        <v>2765</v>
      </c>
      <c r="E872" s="14" t="s">
        <v>93</v>
      </c>
      <c r="F872" s="14" t="s">
        <v>2496</v>
      </c>
      <c r="G872" s="14">
        <v>50000202</v>
      </c>
      <c r="H872" s="14" t="s">
        <v>2766</v>
      </c>
      <c r="I872" s="14" t="s">
        <v>2767</v>
      </c>
      <c r="J872" s="14">
        <v>1</v>
      </c>
      <c r="K872" s="14" t="s">
        <v>37</v>
      </c>
      <c r="L872" s="14" t="s">
        <v>48</v>
      </c>
      <c r="M872" s="14" t="s">
        <v>58</v>
      </c>
      <c r="N872" s="14" t="s">
        <v>58</v>
      </c>
      <c r="O872" s="14">
        <v>1</v>
      </c>
      <c r="P872" s="14">
        <v>1</v>
      </c>
      <c r="Q872" s="14">
        <v>145937</v>
      </c>
      <c r="R872" s="14"/>
      <c r="S872" s="26"/>
      <c r="T872" s="273">
        <v>46056</v>
      </c>
      <c r="U872" s="273">
        <v>46065</v>
      </c>
      <c r="V872" s="14" t="s">
        <v>2586</v>
      </c>
      <c r="W872" s="14"/>
      <c r="X872" s="355">
        <v>2041.37</v>
      </c>
      <c r="Y872" s="355">
        <f>Table2[[#This Row],[PREÇO UNITARIO]]*Table2[[#This Row],[QUANTIDADE]]</f>
        <v>2041.37</v>
      </c>
      <c r="Z872" s="14"/>
      <c r="AA872" s="291">
        <f>MONTH(Table2[[#This Row],[DATA PEDIDO HP]])</f>
        <v>11</v>
      </c>
      <c r="AB872" s="290" t="s">
        <v>60</v>
      </c>
      <c r="AC872" s="5">
        <f t="shared" ca="1" si="13"/>
        <v>46232</v>
      </c>
      <c r="AD872" s="331">
        <f ca="1">_xlfn.DAYS(Table2[[#This Row],[HOJE]],Table2[[#This Row],[DATA PEDIDO HP]])</f>
        <v>247</v>
      </c>
      <c r="AE872" s="331" t="str">
        <f ca="1">IF(Table2[[#This Row],[HOLD]]&gt;30,"ATRASADO","NO PRAZO")</f>
        <v>ATRASADO</v>
      </c>
    </row>
    <row r="873" spans="1:31" ht="14.45" hidden="1">
      <c r="A873" s="286" t="s">
        <v>2768</v>
      </c>
      <c r="B873" s="26">
        <v>45979</v>
      </c>
      <c r="C873" s="26">
        <v>45931</v>
      </c>
      <c r="D873" s="14" t="s">
        <v>2769</v>
      </c>
      <c r="E873" s="14" t="s">
        <v>2132</v>
      </c>
      <c r="F873" s="14" t="s">
        <v>203</v>
      </c>
      <c r="G873" s="14">
        <v>60001111</v>
      </c>
      <c r="H873" s="14" t="s">
        <v>2390</v>
      </c>
      <c r="I873" s="14" t="s">
        <v>2391</v>
      </c>
      <c r="J873" s="14">
        <v>2</v>
      </c>
      <c r="K873" s="14" t="s">
        <v>67</v>
      </c>
      <c r="L873" s="14" t="s">
        <v>217</v>
      </c>
      <c r="M873" s="14" t="s">
        <v>88</v>
      </c>
      <c r="N873" s="14" t="s">
        <v>384</v>
      </c>
      <c r="O873" s="14"/>
      <c r="P873" s="14">
        <v>2</v>
      </c>
      <c r="Q873" s="14"/>
      <c r="R873" s="14"/>
      <c r="S873" s="26">
        <v>46058</v>
      </c>
      <c r="T873" s="26">
        <v>46042</v>
      </c>
      <c r="U873" s="25">
        <v>46055</v>
      </c>
      <c r="V873" s="14" t="s">
        <v>347</v>
      </c>
      <c r="W873" s="14"/>
      <c r="X873" s="355">
        <v>91.65</v>
      </c>
      <c r="Y873" s="355">
        <f>Table2[[#This Row],[PREÇO UNITARIO]]*Table2[[#This Row],[QUANTIDADE]]</f>
        <v>183.3</v>
      </c>
      <c r="Z873" s="14"/>
      <c r="AA873" s="291">
        <f>MONTH(Table2[[#This Row],[DATA PEDIDO HP]])</f>
        <v>11</v>
      </c>
      <c r="AB873" s="290" t="s">
        <v>42</v>
      </c>
      <c r="AC873" s="5">
        <f t="shared" ca="1" si="13"/>
        <v>46232</v>
      </c>
      <c r="AD873" s="331">
        <f ca="1">_xlfn.DAYS(Table2[[#This Row],[HOJE]],Table2[[#This Row],[DATA PEDIDO HP]])</f>
        <v>253</v>
      </c>
      <c r="AE873" s="5" t="s">
        <v>43</v>
      </c>
    </row>
    <row r="874" spans="1:31" ht="14.45" hidden="1">
      <c r="A874" s="286" t="s">
        <v>2770</v>
      </c>
      <c r="B874" s="26">
        <v>45985</v>
      </c>
      <c r="C874" s="26">
        <v>45982</v>
      </c>
      <c r="D874" s="14" t="s">
        <v>2771</v>
      </c>
      <c r="E874" s="14" t="s">
        <v>2132</v>
      </c>
      <c r="F874" s="14" t="s">
        <v>203</v>
      </c>
      <c r="G874" s="14">
        <v>60001111</v>
      </c>
      <c r="H874" s="14" t="s">
        <v>1566</v>
      </c>
      <c r="I874" s="14" t="s">
        <v>2772</v>
      </c>
      <c r="J874" s="14">
        <v>2</v>
      </c>
      <c r="K874" s="14" t="s">
        <v>37</v>
      </c>
      <c r="L874" s="14" t="s">
        <v>48</v>
      </c>
      <c r="M874" s="14" t="s">
        <v>39</v>
      </c>
      <c r="N874" s="14" t="s">
        <v>39</v>
      </c>
      <c r="O874" s="14">
        <v>2</v>
      </c>
      <c r="P874" s="14">
        <v>2</v>
      </c>
      <c r="Q874" s="14">
        <v>146498</v>
      </c>
      <c r="R874" s="14"/>
      <c r="S874" s="26">
        <v>46058</v>
      </c>
      <c r="T874" s="26">
        <v>46042</v>
      </c>
      <c r="U874" s="25">
        <v>46055</v>
      </c>
      <c r="V874" s="14" t="s">
        <v>347</v>
      </c>
      <c r="W874" s="14"/>
      <c r="X874" s="355">
        <v>93.09</v>
      </c>
      <c r="Y874" s="355">
        <f>Table2[[#This Row],[PREÇO UNITARIO]]*Table2[[#This Row],[QUANTIDADE]]</f>
        <v>186.18</v>
      </c>
      <c r="Z874" s="14"/>
      <c r="AA874" s="291">
        <f>MONTH(Table2[[#This Row],[DATA PEDIDO HP]])</f>
        <v>11</v>
      </c>
      <c r="AB874" s="290" t="s">
        <v>42</v>
      </c>
      <c r="AC874" s="5">
        <f t="shared" ca="1" si="13"/>
        <v>46232</v>
      </c>
      <c r="AD874" s="331">
        <f ca="1">_xlfn.DAYS(Table2[[#This Row],[HOJE]],Table2[[#This Row],[DATA PEDIDO HP]])</f>
        <v>247</v>
      </c>
      <c r="AE874" s="5" t="s">
        <v>43</v>
      </c>
    </row>
    <row r="875" spans="1:31" ht="14.45" hidden="1">
      <c r="A875" s="286" t="s">
        <v>2773</v>
      </c>
      <c r="B875" s="26">
        <v>45985</v>
      </c>
      <c r="C875" s="26">
        <v>45982</v>
      </c>
      <c r="D875" s="14" t="s">
        <v>2774</v>
      </c>
      <c r="E875" s="14" t="s">
        <v>109</v>
      </c>
      <c r="F875" s="14" t="s">
        <v>34</v>
      </c>
      <c r="G875" s="14">
        <v>50110229</v>
      </c>
      <c r="H875" s="14" t="s">
        <v>2775</v>
      </c>
      <c r="I875" s="14" t="s">
        <v>2776</v>
      </c>
      <c r="J875" s="14">
        <v>1</v>
      </c>
      <c r="K875" s="14" t="s">
        <v>37</v>
      </c>
      <c r="L875" s="14" t="s">
        <v>48</v>
      </c>
      <c r="M875" s="14" t="s">
        <v>39</v>
      </c>
      <c r="N875" s="14" t="s">
        <v>39</v>
      </c>
      <c r="O875" s="14">
        <v>1</v>
      </c>
      <c r="P875" s="14">
        <v>1</v>
      </c>
      <c r="Q875" s="14">
        <v>146302</v>
      </c>
      <c r="R875" s="14" t="s">
        <v>2777</v>
      </c>
      <c r="S875" s="25">
        <v>46062</v>
      </c>
      <c r="T875" s="26">
        <v>46042</v>
      </c>
      <c r="U875" s="25">
        <v>46055</v>
      </c>
      <c r="V875" s="14" t="s">
        <v>347</v>
      </c>
      <c r="W875" s="14"/>
      <c r="X875" s="355">
        <v>217.85</v>
      </c>
      <c r="Y875" s="355">
        <f>Table2[[#This Row],[PREÇO UNITARIO]]*Table2[[#This Row],[QUANTIDADE]]</f>
        <v>217.85</v>
      </c>
      <c r="Z875" s="14"/>
      <c r="AA875" s="291">
        <f>MONTH(Table2[[#This Row],[DATA PEDIDO HP]])</f>
        <v>11</v>
      </c>
      <c r="AB875" s="290" t="s">
        <v>42</v>
      </c>
      <c r="AC875" s="5">
        <f t="shared" ca="1" si="13"/>
        <v>46232</v>
      </c>
      <c r="AD875" s="331">
        <f ca="1">_xlfn.DAYS(Table2[[#This Row],[HOJE]],Table2[[#This Row],[DATA PEDIDO HP]])</f>
        <v>247</v>
      </c>
      <c r="AE875" s="331" t="s">
        <v>43</v>
      </c>
    </row>
    <row r="876" spans="1:31" ht="14.45" hidden="1">
      <c r="A876" s="361" t="s">
        <v>2778</v>
      </c>
      <c r="B876" s="273">
        <v>45985</v>
      </c>
      <c r="C876" s="273">
        <v>45982</v>
      </c>
      <c r="D876" s="229" t="s">
        <v>2779</v>
      </c>
      <c r="E876" s="229" t="s">
        <v>73</v>
      </c>
      <c r="F876" s="229" t="s">
        <v>2491</v>
      </c>
      <c r="G876" s="229">
        <v>50110372</v>
      </c>
      <c r="H876" s="229" t="s">
        <v>80</v>
      </c>
      <c r="I876" s="229" t="s">
        <v>433</v>
      </c>
      <c r="J876" s="229">
        <v>1</v>
      </c>
      <c r="K876" s="229" t="s">
        <v>37</v>
      </c>
      <c r="L876" s="229" t="s">
        <v>48</v>
      </c>
      <c r="M876" s="229" t="s">
        <v>39</v>
      </c>
      <c r="N876" s="229" t="s">
        <v>39</v>
      </c>
      <c r="O876" s="229">
        <v>1</v>
      </c>
      <c r="P876" s="229">
        <v>1</v>
      </c>
      <c r="Q876" s="229">
        <v>146269</v>
      </c>
      <c r="R876" s="229"/>
      <c r="S876" s="25">
        <v>45693</v>
      </c>
      <c r="T876" s="25">
        <v>46042</v>
      </c>
      <c r="U876" s="25">
        <v>46055</v>
      </c>
      <c r="V876" s="229" t="s">
        <v>347</v>
      </c>
      <c r="W876" s="15" t="s">
        <v>41</v>
      </c>
      <c r="X876" s="362">
        <v>48.81</v>
      </c>
      <c r="Y876" s="315">
        <f>Table2[[#This Row],[PREÇO UNITARIO]]*Table2[[#This Row],[QUANTIDADE]]</f>
        <v>48.81</v>
      </c>
      <c r="Z876" s="363"/>
      <c r="AA876" s="359">
        <f>MONTH(Table2[[#This Row],[DATA PEDIDO HP]])</f>
        <v>11</v>
      </c>
      <c r="AB876" s="318" t="s">
        <v>42</v>
      </c>
      <c r="AC876" s="325">
        <f t="shared" ca="1" si="13"/>
        <v>46232</v>
      </c>
      <c r="AD876" s="331">
        <f ca="1">_xlfn.DAYS(Table2[[#This Row],[HOJE]],Table2[[#This Row],[DATA PEDIDO HP]])</f>
        <v>247</v>
      </c>
      <c r="AE876" s="331" t="s">
        <v>43</v>
      </c>
    </row>
    <row r="877" spans="1:31" ht="15.6" hidden="1">
      <c r="A877" s="361" t="s">
        <v>2780</v>
      </c>
      <c r="B877" s="273">
        <v>45986</v>
      </c>
      <c r="C877" s="273">
        <v>45986</v>
      </c>
      <c r="D877" s="364" t="s">
        <v>2781</v>
      </c>
      <c r="E877" s="229" t="s">
        <v>103</v>
      </c>
      <c r="F877" s="229" t="s">
        <v>2527</v>
      </c>
      <c r="G877" s="229">
        <v>51000323</v>
      </c>
      <c r="H877" s="364" t="s">
        <v>2782</v>
      </c>
      <c r="I877" s="364" t="s">
        <v>2783</v>
      </c>
      <c r="J877" s="229">
        <v>1</v>
      </c>
      <c r="K877" s="229" t="s">
        <v>67</v>
      </c>
      <c r="L877" s="229" t="s">
        <v>363</v>
      </c>
      <c r="M877" s="229" t="s">
        <v>88</v>
      </c>
      <c r="N877" s="229" t="s">
        <v>89</v>
      </c>
      <c r="O877" s="229">
        <v>1</v>
      </c>
      <c r="P877" s="229"/>
      <c r="Q877" s="229"/>
      <c r="R877" s="229"/>
      <c r="S877" s="26">
        <v>46059</v>
      </c>
      <c r="T877" s="273">
        <v>46042</v>
      </c>
      <c r="U877" s="25">
        <v>46055</v>
      </c>
      <c r="V877" s="229" t="s">
        <v>347</v>
      </c>
      <c r="W877" s="229"/>
      <c r="X877" s="362">
        <v>254.76</v>
      </c>
      <c r="Y877" s="315">
        <f>Table2[[#This Row],[PREÇO UNITARIO]]*Table2[[#This Row],[QUANTIDADE]]</f>
        <v>254.76</v>
      </c>
      <c r="Z877" s="363"/>
      <c r="AA877" s="359">
        <f>MONTH(Table2[[#This Row],[DATA PEDIDO HP]])</f>
        <v>11</v>
      </c>
      <c r="AB877" s="318" t="s">
        <v>42</v>
      </c>
      <c r="AC877" s="325">
        <f t="shared" ca="1" si="13"/>
        <v>46232</v>
      </c>
      <c r="AD877" s="331">
        <v>74</v>
      </c>
      <c r="AE877" s="331" t="s">
        <v>43</v>
      </c>
    </row>
    <row r="878" spans="1:31" ht="15.6" hidden="1">
      <c r="A878" s="361" t="s">
        <v>2780</v>
      </c>
      <c r="B878" s="273">
        <v>45986</v>
      </c>
      <c r="C878" s="273">
        <v>45986</v>
      </c>
      <c r="D878" s="364" t="s">
        <v>2781</v>
      </c>
      <c r="E878" s="229" t="s">
        <v>103</v>
      </c>
      <c r="F878" s="229" t="s">
        <v>2527</v>
      </c>
      <c r="G878" s="229">
        <v>51000323</v>
      </c>
      <c r="H878" s="229" t="s">
        <v>2784</v>
      </c>
      <c r="I878" s="229" t="s">
        <v>2785</v>
      </c>
      <c r="J878" s="229">
        <v>2</v>
      </c>
      <c r="K878" s="229" t="s">
        <v>67</v>
      </c>
      <c r="L878" s="229" t="s">
        <v>363</v>
      </c>
      <c r="M878" s="229" t="s">
        <v>88</v>
      </c>
      <c r="N878" s="229" t="s">
        <v>89</v>
      </c>
      <c r="O878" s="229">
        <v>2</v>
      </c>
      <c r="P878" s="229"/>
      <c r="Q878" s="229"/>
      <c r="R878" s="229"/>
      <c r="S878" s="26">
        <v>46059</v>
      </c>
      <c r="T878" s="273">
        <v>46042</v>
      </c>
      <c r="U878" s="25">
        <v>46055</v>
      </c>
      <c r="V878" s="229" t="s">
        <v>347</v>
      </c>
      <c r="W878" s="229"/>
      <c r="X878" s="362">
        <v>78.39</v>
      </c>
      <c r="Y878" s="315">
        <f>Table2[[#This Row],[PREÇO UNITARIO]]*Table2[[#This Row],[QUANTIDADE]]</f>
        <v>156.78</v>
      </c>
      <c r="Z878" s="363"/>
      <c r="AA878" s="359">
        <f>MONTH(Table2[[#This Row],[DATA PEDIDO HP]])</f>
        <v>11</v>
      </c>
      <c r="AB878" s="318" t="s">
        <v>42</v>
      </c>
      <c r="AC878" s="325">
        <f t="shared" ca="1" si="13"/>
        <v>46232</v>
      </c>
      <c r="AD878" s="331">
        <v>74</v>
      </c>
      <c r="AE878" s="331" t="s">
        <v>43</v>
      </c>
    </row>
    <row r="879" spans="1:31" ht="15.6" hidden="1">
      <c r="A879" s="361" t="s">
        <v>2780</v>
      </c>
      <c r="B879" s="273">
        <v>45986</v>
      </c>
      <c r="C879" s="273">
        <v>45986</v>
      </c>
      <c r="D879" s="365" t="s">
        <v>2781</v>
      </c>
      <c r="E879" s="229" t="s">
        <v>103</v>
      </c>
      <c r="F879" s="229" t="s">
        <v>2527</v>
      </c>
      <c r="G879" s="312">
        <v>51000323</v>
      </c>
      <c r="H879" s="312" t="s">
        <v>495</v>
      </c>
      <c r="I879" s="312" t="s">
        <v>496</v>
      </c>
      <c r="J879" s="312">
        <v>2</v>
      </c>
      <c r="K879" s="312" t="s">
        <v>67</v>
      </c>
      <c r="L879" s="312" t="s">
        <v>363</v>
      </c>
      <c r="M879" s="229" t="s">
        <v>88</v>
      </c>
      <c r="N879" s="312" t="s">
        <v>89</v>
      </c>
      <c r="O879" s="312">
        <v>2</v>
      </c>
      <c r="P879" s="312"/>
      <c r="Q879" s="312"/>
      <c r="R879" s="312"/>
      <c r="S879" s="26">
        <v>46059</v>
      </c>
      <c r="T879" s="273">
        <v>46042</v>
      </c>
      <c r="U879" s="25">
        <v>46055</v>
      </c>
      <c r="V879" s="312" t="s">
        <v>347</v>
      </c>
      <c r="W879" s="312"/>
      <c r="X879" s="366">
        <v>7.35</v>
      </c>
      <c r="Y879" s="367">
        <f>Table2[[#This Row],[PREÇO UNITARIO]]*Table2[[#This Row],[QUANTIDADE]]</f>
        <v>14.7</v>
      </c>
      <c r="Z879" s="368"/>
      <c r="AA879" s="369">
        <f>MONTH(Table2[[#This Row],[DATA PEDIDO HP]])</f>
        <v>11</v>
      </c>
      <c r="AB879" s="318" t="s">
        <v>42</v>
      </c>
      <c r="AC879" s="325">
        <f t="shared" ca="1" si="13"/>
        <v>46232</v>
      </c>
      <c r="AD879" s="331">
        <v>74</v>
      </c>
      <c r="AE879" s="331" t="s">
        <v>43</v>
      </c>
    </row>
    <row r="880" spans="1:31" ht="15.6" hidden="1">
      <c r="A880" s="361" t="s">
        <v>2780</v>
      </c>
      <c r="B880" s="273">
        <v>45986</v>
      </c>
      <c r="C880" s="319">
        <v>45986</v>
      </c>
      <c r="D880" s="365" t="s">
        <v>2781</v>
      </c>
      <c r="E880" s="312" t="s">
        <v>103</v>
      </c>
      <c r="F880" s="312" t="s">
        <v>2527</v>
      </c>
      <c r="G880" s="312">
        <v>51000323</v>
      </c>
      <c r="H880" s="312" t="s">
        <v>2786</v>
      </c>
      <c r="I880" s="312" t="s">
        <v>2787</v>
      </c>
      <c r="J880" s="312">
        <v>2</v>
      </c>
      <c r="K880" s="312" t="s">
        <v>67</v>
      </c>
      <c r="L880" s="312" t="s">
        <v>363</v>
      </c>
      <c r="M880" s="312" t="s">
        <v>88</v>
      </c>
      <c r="N880" s="312" t="s">
        <v>89</v>
      </c>
      <c r="O880" s="312">
        <v>2</v>
      </c>
      <c r="P880" s="312"/>
      <c r="Q880" s="312"/>
      <c r="R880" s="312"/>
      <c r="S880" s="26">
        <v>46059</v>
      </c>
      <c r="T880" s="273">
        <v>46042</v>
      </c>
      <c r="U880" s="25">
        <v>46055</v>
      </c>
      <c r="V880" s="312" t="s">
        <v>347</v>
      </c>
      <c r="W880" s="312"/>
      <c r="X880" s="366">
        <v>3.48</v>
      </c>
      <c r="Y880" s="367">
        <f>Table2[[#This Row],[PREÇO UNITARIO]]*Table2[[#This Row],[QUANTIDADE]]</f>
        <v>6.96</v>
      </c>
      <c r="Z880" s="368"/>
      <c r="AA880" s="369">
        <f>MONTH(Table2[[#This Row],[DATA PEDIDO HP]])</f>
        <v>11</v>
      </c>
      <c r="AB880" s="318" t="s">
        <v>42</v>
      </c>
      <c r="AC880" s="325">
        <f t="shared" ca="1" si="13"/>
        <v>46232</v>
      </c>
      <c r="AD880" s="331">
        <v>74</v>
      </c>
      <c r="AE880" s="331" t="s">
        <v>43</v>
      </c>
    </row>
    <row r="881" spans="1:37" ht="14.45" hidden="1">
      <c r="A881" s="370" t="s">
        <v>2788</v>
      </c>
      <c r="B881" s="273">
        <v>45986</v>
      </c>
      <c r="C881" s="273">
        <v>45986</v>
      </c>
      <c r="D881" s="229" t="s">
        <v>2789</v>
      </c>
      <c r="E881" s="229" t="s">
        <v>73</v>
      </c>
      <c r="F881" s="229" t="s">
        <v>203</v>
      </c>
      <c r="G881" s="229">
        <v>60002095</v>
      </c>
      <c r="H881" s="14" t="s">
        <v>136</v>
      </c>
      <c r="I881" s="14" t="s">
        <v>137</v>
      </c>
      <c r="J881" s="229">
        <v>1</v>
      </c>
      <c r="K881" s="229" t="s">
        <v>37</v>
      </c>
      <c r="L881" s="229" t="s">
        <v>48</v>
      </c>
      <c r="M881" s="229" t="s">
        <v>58</v>
      </c>
      <c r="N881" s="229" t="s">
        <v>58</v>
      </c>
      <c r="O881" s="229">
        <v>1</v>
      </c>
      <c r="P881" s="229">
        <v>1</v>
      </c>
      <c r="Q881" s="229">
        <v>146894</v>
      </c>
      <c r="R881" s="229"/>
      <c r="S881" s="273"/>
      <c r="T881" s="273">
        <v>46042</v>
      </c>
      <c r="U881" s="25">
        <v>46055</v>
      </c>
      <c r="V881" s="229" t="s">
        <v>347</v>
      </c>
      <c r="W881" s="229"/>
      <c r="X881" s="315">
        <v>19.600000000000001</v>
      </c>
      <c r="Y881" s="315">
        <f>Table2[[#This Row],[PREÇO UNITARIO]]*Table2[[#This Row],[QUANTIDADE]]</f>
        <v>19.600000000000001</v>
      </c>
      <c r="Z881" s="229"/>
      <c r="AA881" s="229">
        <f>MONTH(Table2[[#This Row],[DATA PEDIDO HP]])</f>
        <v>11</v>
      </c>
      <c r="AB881" s="360" t="s">
        <v>42</v>
      </c>
      <c r="AC881" s="325">
        <f t="shared" ca="1" si="13"/>
        <v>46232</v>
      </c>
      <c r="AD881" s="331">
        <f ca="1">_xlfn.DAYS(Table2[[#This Row],[HOJE]],Table2[[#This Row],[DATA PEDIDO HP]])</f>
        <v>246</v>
      </c>
      <c r="AE881" s="332" t="str">
        <f ca="1">IF(Table2[[#This Row],[HOLD]]&gt;30,"ATRASADO","NO PRAZO")</f>
        <v>ATRASADO</v>
      </c>
    </row>
    <row r="882" spans="1:37" s="348" customFormat="1" ht="14.45" hidden="1">
      <c r="A882" s="363" t="s">
        <v>2790</v>
      </c>
      <c r="B882" s="273">
        <v>45986</v>
      </c>
      <c r="C882" s="273">
        <v>45985</v>
      </c>
      <c r="D882" s="229" t="s">
        <v>2791</v>
      </c>
      <c r="E882" s="229" t="s">
        <v>225</v>
      </c>
      <c r="F882" s="229" t="s">
        <v>2491</v>
      </c>
      <c r="G882" s="229">
        <v>50110261</v>
      </c>
      <c r="H882" s="229" t="s">
        <v>80</v>
      </c>
      <c r="I882" s="229" t="s">
        <v>2792</v>
      </c>
      <c r="J882" s="229">
        <v>1</v>
      </c>
      <c r="K882" s="229" t="s">
        <v>37</v>
      </c>
      <c r="L882" s="229" t="s">
        <v>96</v>
      </c>
      <c r="M882" s="229" t="s">
        <v>39</v>
      </c>
      <c r="N882" s="229" t="s">
        <v>39</v>
      </c>
      <c r="O882" s="229">
        <v>1</v>
      </c>
      <c r="P882" s="229">
        <v>1</v>
      </c>
      <c r="Q882" s="229">
        <v>146234</v>
      </c>
      <c r="R882" s="229"/>
      <c r="S882" s="273">
        <v>46065</v>
      </c>
      <c r="T882" s="273">
        <v>46042</v>
      </c>
      <c r="U882" s="25">
        <v>46055</v>
      </c>
      <c r="V882" s="229" t="s">
        <v>347</v>
      </c>
      <c r="W882" s="229"/>
      <c r="X882" s="315">
        <v>49.81</v>
      </c>
      <c r="Y882" s="315">
        <f>Table2[[#This Row],[PREÇO UNITARIO]]*Table2[[#This Row],[QUANTIDADE]]</f>
        <v>49.81</v>
      </c>
      <c r="Z882" s="229"/>
      <c r="AA882" s="229">
        <f>MONTH(Table2[[#This Row],[DATA PEDIDO HP]])</f>
        <v>11</v>
      </c>
      <c r="AB882" s="290" t="s">
        <v>60</v>
      </c>
      <c r="AC882" s="5">
        <f t="shared" ca="1" si="13"/>
        <v>46232</v>
      </c>
      <c r="AD882" s="331">
        <f ca="1">_xlfn.DAYS(Table2[[#This Row],[HOJE]],Table2[[#This Row],[DATA PEDIDO HP]])</f>
        <v>246</v>
      </c>
      <c r="AE882" s="331" t="s">
        <v>43</v>
      </c>
    </row>
    <row r="883" spans="1:37" ht="14.45" hidden="1">
      <c r="A883" s="363" t="s">
        <v>2793</v>
      </c>
      <c r="B883" s="273">
        <v>45989</v>
      </c>
      <c r="C883" s="273">
        <v>45985</v>
      </c>
      <c r="D883" s="229" t="s">
        <v>2794</v>
      </c>
      <c r="E883" s="229" t="s">
        <v>982</v>
      </c>
      <c r="F883" s="229" t="s">
        <v>2664</v>
      </c>
      <c r="G883" s="229">
        <v>46000053</v>
      </c>
      <c r="H883" s="229" t="s">
        <v>335</v>
      </c>
      <c r="I883" s="229" t="s">
        <v>336</v>
      </c>
      <c r="J883" s="229">
        <v>2</v>
      </c>
      <c r="K883" s="229" t="s">
        <v>37</v>
      </c>
      <c r="L883" s="229" t="s">
        <v>38</v>
      </c>
      <c r="M883" s="14" t="s">
        <v>58</v>
      </c>
      <c r="N883" s="229" t="s">
        <v>89</v>
      </c>
      <c r="O883" s="229">
        <v>2</v>
      </c>
      <c r="P883" s="229"/>
      <c r="Q883" s="229">
        <v>143945</v>
      </c>
      <c r="R883" s="229"/>
      <c r="S883" s="26">
        <v>45972</v>
      </c>
      <c r="T883" s="273">
        <v>46042</v>
      </c>
      <c r="U883" s="25">
        <v>46055</v>
      </c>
      <c r="V883" s="229" t="s">
        <v>347</v>
      </c>
      <c r="W883" s="229"/>
      <c r="X883" s="315">
        <v>79.989999999999995</v>
      </c>
      <c r="Y883" s="315">
        <f>Table2[[#This Row],[PREÇO UNITARIO]]*Table2[[#This Row],[QUANTIDADE]]</f>
        <v>159.97999999999999</v>
      </c>
      <c r="Z883" s="229"/>
      <c r="AA883" s="229">
        <f>MONTH(Table2[[#This Row],[DATA PEDIDO HP]])</f>
        <v>11</v>
      </c>
      <c r="AB883" s="290" t="s">
        <v>60</v>
      </c>
      <c r="AC883" s="5">
        <f t="shared" ca="1" si="13"/>
        <v>46232</v>
      </c>
      <c r="AD883" s="331">
        <v>71</v>
      </c>
      <c r="AE883" s="331" t="s">
        <v>43</v>
      </c>
    </row>
    <row r="884" spans="1:37" ht="14.45" hidden="1">
      <c r="A884" s="363" t="s">
        <v>2793</v>
      </c>
      <c r="B884" s="273">
        <v>45989</v>
      </c>
      <c r="C884" s="273">
        <v>45985</v>
      </c>
      <c r="D884" s="229" t="s">
        <v>2794</v>
      </c>
      <c r="E884" s="229" t="s">
        <v>982</v>
      </c>
      <c r="F884" s="229" t="s">
        <v>2664</v>
      </c>
      <c r="G884" s="229">
        <v>46000053</v>
      </c>
      <c r="H884" s="229" t="s">
        <v>723</v>
      </c>
      <c r="I884" s="229" t="s">
        <v>724</v>
      </c>
      <c r="J884" s="229">
        <v>2</v>
      </c>
      <c r="K884" s="229" t="s">
        <v>67</v>
      </c>
      <c r="L884" s="229" t="s">
        <v>38</v>
      </c>
      <c r="M884" s="14" t="s">
        <v>58</v>
      </c>
      <c r="N884" s="229" t="s">
        <v>89</v>
      </c>
      <c r="O884" s="229">
        <v>2</v>
      </c>
      <c r="P884" s="229"/>
      <c r="Q884" s="229">
        <v>143945</v>
      </c>
      <c r="R884" s="229"/>
      <c r="S884" s="26">
        <v>45972</v>
      </c>
      <c r="T884" s="273">
        <v>46042</v>
      </c>
      <c r="U884" s="25">
        <v>46055</v>
      </c>
      <c r="V884" s="229" t="s">
        <v>347</v>
      </c>
      <c r="W884" s="229"/>
      <c r="X884" s="315">
        <v>147.61000000000001</v>
      </c>
      <c r="Y884" s="315">
        <f>Table2[[#This Row],[PREÇO UNITARIO]]*Table2[[#This Row],[QUANTIDADE]]</f>
        <v>295.22000000000003</v>
      </c>
      <c r="Z884" s="229"/>
      <c r="AA884" s="229">
        <f>MONTH(Table2[[#This Row],[DATA PEDIDO HP]])</f>
        <v>11</v>
      </c>
      <c r="AB884" s="290" t="s">
        <v>60</v>
      </c>
      <c r="AC884" s="5">
        <f t="shared" ca="1" si="13"/>
        <v>46232</v>
      </c>
      <c r="AD884" s="331">
        <v>71</v>
      </c>
      <c r="AE884" s="331" t="s">
        <v>43</v>
      </c>
    </row>
    <row r="885" spans="1:37" s="295" customFormat="1" ht="14.45" hidden="1">
      <c r="A885" s="229" t="s">
        <v>2795</v>
      </c>
      <c r="B885" s="273">
        <v>45987</v>
      </c>
      <c r="C885" s="371">
        <v>45985</v>
      </c>
      <c r="D885" s="372" t="s">
        <v>2796</v>
      </c>
      <c r="E885" s="372" t="s">
        <v>982</v>
      </c>
      <c r="F885" s="372" t="s">
        <v>2664</v>
      </c>
      <c r="G885" s="372">
        <v>46000018</v>
      </c>
      <c r="H885" s="372" t="s">
        <v>422</v>
      </c>
      <c r="I885" s="372" t="s">
        <v>2797</v>
      </c>
      <c r="J885" s="372">
        <v>1</v>
      </c>
      <c r="K885" s="372" t="s">
        <v>37</v>
      </c>
      <c r="L885" s="372" t="s">
        <v>38</v>
      </c>
      <c r="M885" s="14" t="s">
        <v>58</v>
      </c>
      <c r="N885" s="229" t="s">
        <v>89</v>
      </c>
      <c r="O885" s="229">
        <v>1</v>
      </c>
      <c r="P885" s="229"/>
      <c r="Q885" s="372">
        <v>143944</v>
      </c>
      <c r="R885" s="229"/>
      <c r="S885" s="26">
        <v>45972</v>
      </c>
      <c r="T885" s="273">
        <v>46042</v>
      </c>
      <c r="U885" s="25">
        <v>46055</v>
      </c>
      <c r="V885" s="229" t="s">
        <v>347</v>
      </c>
      <c r="W885" s="229"/>
      <c r="X885" s="315">
        <v>769.19</v>
      </c>
      <c r="Y885" s="315">
        <f>Table2[[#This Row],[PREÇO UNITARIO]]*Table2[[#This Row],[QUANTIDADE]]</f>
        <v>769.19</v>
      </c>
      <c r="Z885" s="229"/>
      <c r="AA885" s="229">
        <f>MONTH(Table2[[#This Row],[DATA PEDIDO HP]])</f>
        <v>11</v>
      </c>
      <c r="AB885" s="373" t="s">
        <v>60</v>
      </c>
      <c r="AC885" s="5">
        <f t="shared" ca="1" si="13"/>
        <v>46232</v>
      </c>
      <c r="AD885" s="331">
        <v>73</v>
      </c>
      <c r="AE885" s="331" t="s">
        <v>43</v>
      </c>
      <c r="AF885" s="294"/>
      <c r="AG885" s="294"/>
      <c r="AH885" s="294"/>
      <c r="AI885" s="294"/>
      <c r="AJ885" s="294"/>
      <c r="AK885" s="294"/>
    </row>
    <row r="886" spans="1:37" s="295" customFormat="1" ht="14.45" hidden="1">
      <c r="A886" s="374" t="s">
        <v>2798</v>
      </c>
      <c r="B886" s="273">
        <v>45987</v>
      </c>
      <c r="C886" s="273">
        <v>45985</v>
      </c>
      <c r="D886" s="229" t="s">
        <v>2799</v>
      </c>
      <c r="E886" s="229" t="s">
        <v>181</v>
      </c>
      <c r="F886" s="14" t="s">
        <v>34</v>
      </c>
      <c r="G886" s="229">
        <v>50110057</v>
      </c>
      <c r="H886" s="229" t="s">
        <v>2800</v>
      </c>
      <c r="I886" s="229" t="s">
        <v>2801</v>
      </c>
      <c r="J886" s="229">
        <v>1</v>
      </c>
      <c r="K886" s="229" t="s">
        <v>67</v>
      </c>
      <c r="L886" s="229" t="s">
        <v>38</v>
      </c>
      <c r="M886" s="229" t="s">
        <v>88</v>
      </c>
      <c r="N886" s="229" t="s">
        <v>89</v>
      </c>
      <c r="O886" s="230">
        <v>0</v>
      </c>
      <c r="P886" s="230"/>
      <c r="Q886" s="230">
        <v>146300</v>
      </c>
      <c r="R886" s="230"/>
      <c r="S886" s="26">
        <v>46066</v>
      </c>
      <c r="T886" s="273">
        <v>46042</v>
      </c>
      <c r="U886" s="25">
        <v>46055</v>
      </c>
      <c r="V886" s="230" t="s">
        <v>347</v>
      </c>
      <c r="W886" s="230"/>
      <c r="X886" s="231">
        <v>112</v>
      </c>
      <c r="Y886" s="231">
        <f>Table2[[#This Row],[PREÇO UNITARIO]]*Table2[[#This Row],[QUANTIDADE]]</f>
        <v>112</v>
      </c>
      <c r="Z886" s="230"/>
      <c r="AA886" s="230">
        <f>MONTH(Table2[[#This Row],[DATA PEDIDO HP]])</f>
        <v>11</v>
      </c>
      <c r="AB886" s="360" t="s">
        <v>42</v>
      </c>
      <c r="AC886" s="325">
        <f t="shared" ca="1" si="13"/>
        <v>46232</v>
      </c>
      <c r="AD886" s="331">
        <f ca="1">_xlfn.DAYS(Table2[[#This Row],[HOJE]],Table2[[#This Row],[DATA PEDIDO HP]])</f>
        <v>245</v>
      </c>
      <c r="AE886" s="331" t="s">
        <v>43</v>
      </c>
      <c r="AF886" s="294"/>
      <c r="AG886" s="294"/>
      <c r="AH886" s="294"/>
      <c r="AI886" s="294"/>
      <c r="AJ886" s="294"/>
      <c r="AK886" s="294"/>
    </row>
    <row r="887" spans="1:37" s="295" customFormat="1" ht="14.45" hidden="1">
      <c r="A887" s="374" t="s">
        <v>2802</v>
      </c>
      <c r="B887" s="228">
        <v>45986</v>
      </c>
      <c r="C887" s="317">
        <v>45986</v>
      </c>
      <c r="D887" s="313" t="s">
        <v>2803</v>
      </c>
      <c r="E887" s="313" t="s">
        <v>192</v>
      </c>
      <c r="F887" s="313" t="s">
        <v>173</v>
      </c>
      <c r="G887" s="313">
        <v>48300253</v>
      </c>
      <c r="H887" s="313" t="s">
        <v>2570</v>
      </c>
      <c r="I887" s="313" t="s">
        <v>2571</v>
      </c>
      <c r="J887" s="313">
        <v>1</v>
      </c>
      <c r="K887" s="313" t="s">
        <v>37</v>
      </c>
      <c r="L887" s="313" t="s">
        <v>48</v>
      </c>
      <c r="M887" s="313" t="s">
        <v>58</v>
      </c>
      <c r="N887" s="229" t="s">
        <v>58</v>
      </c>
      <c r="O887" s="230">
        <v>1</v>
      </c>
      <c r="P887" s="230">
        <v>1</v>
      </c>
      <c r="Q887" s="313">
        <v>143801</v>
      </c>
      <c r="R887" s="230"/>
      <c r="S887" s="228"/>
      <c r="T887" s="273">
        <v>46042</v>
      </c>
      <c r="U887" s="25">
        <v>46055</v>
      </c>
      <c r="V887" s="230" t="s">
        <v>347</v>
      </c>
      <c r="W887" s="230"/>
      <c r="X887" s="231">
        <v>16.329999999999998</v>
      </c>
      <c r="Y887" s="231">
        <f>Table2[[#This Row],[PREÇO UNITARIO]]*Table2[[#This Row],[QUANTIDADE]]</f>
        <v>16.329999999999998</v>
      </c>
      <c r="Z887" s="230"/>
      <c r="AA887" s="230">
        <f>MONTH(Table2[[#This Row],[DATA PEDIDO HP]])</f>
        <v>11</v>
      </c>
      <c r="AB887" s="373" t="s">
        <v>60</v>
      </c>
      <c r="AC887" s="5">
        <f t="shared" ca="1" si="13"/>
        <v>46232</v>
      </c>
      <c r="AD887" s="331">
        <f ca="1">_xlfn.DAYS(Table2[[#This Row],[HOJE]],Table2[[#This Row],[DATA PEDIDO HP]])</f>
        <v>246</v>
      </c>
      <c r="AE887" s="331" t="str">
        <f ca="1">IF(Table2[[#This Row],[HOLD]]&gt;30,"ATRASADO","NO PRAZO")</f>
        <v>ATRASADO</v>
      </c>
      <c r="AF887" s="294"/>
      <c r="AG887" s="294"/>
      <c r="AH887" s="294"/>
      <c r="AI887" s="294"/>
      <c r="AJ887" s="294"/>
      <c r="AK887" s="294"/>
    </row>
    <row r="888" spans="1:37" s="295" customFormat="1" ht="14.45" hidden="1">
      <c r="A888" s="374" t="s">
        <v>2804</v>
      </c>
      <c r="B888" s="228">
        <v>45986</v>
      </c>
      <c r="C888" s="317">
        <v>45986</v>
      </c>
      <c r="D888" s="313" t="s">
        <v>2805</v>
      </c>
      <c r="E888" s="313" t="s">
        <v>109</v>
      </c>
      <c r="F888" s="313" t="s">
        <v>2491</v>
      </c>
      <c r="G888" s="313">
        <v>50110229</v>
      </c>
      <c r="H888" s="313" t="s">
        <v>1091</v>
      </c>
      <c r="I888" s="313" t="s">
        <v>1090</v>
      </c>
      <c r="J888" s="313">
        <v>1</v>
      </c>
      <c r="K888" s="313" t="s">
        <v>37</v>
      </c>
      <c r="L888" s="313" t="s">
        <v>48</v>
      </c>
      <c r="M888" s="313" t="s">
        <v>58</v>
      </c>
      <c r="N888" s="313" t="s">
        <v>58</v>
      </c>
      <c r="O888" s="230">
        <v>1</v>
      </c>
      <c r="P888" s="230">
        <v>1</v>
      </c>
      <c r="Q888" s="313">
        <v>144523</v>
      </c>
      <c r="R888" s="230"/>
      <c r="S888" s="228"/>
      <c r="T888" s="273">
        <v>46042</v>
      </c>
      <c r="U888" s="25">
        <v>46055</v>
      </c>
      <c r="V888" s="230" t="s">
        <v>347</v>
      </c>
      <c r="W888" s="230"/>
      <c r="X888" s="231">
        <v>62.83</v>
      </c>
      <c r="Y888" s="231">
        <f>Table2[[#This Row],[PREÇO UNITARIO]]*Table2[[#This Row],[QUANTIDADE]]</f>
        <v>62.83</v>
      </c>
      <c r="Z888" s="230"/>
      <c r="AA888" s="230">
        <f>MONTH(Table2[[#This Row],[DATA PEDIDO HP]])</f>
        <v>11</v>
      </c>
      <c r="AB888" s="360" t="s">
        <v>42</v>
      </c>
      <c r="AC888" s="325">
        <f t="shared" ca="1" si="13"/>
        <v>46232</v>
      </c>
      <c r="AD888" s="331">
        <f ca="1">_xlfn.DAYS(Table2[[#This Row],[HOJE]],Table2[[#This Row],[DATA PEDIDO HP]])</f>
        <v>246</v>
      </c>
      <c r="AE888" s="332" t="str">
        <f ca="1">IF(Table2[[#This Row],[HOLD]]&gt;30,"ATRASADO","NO PRAZO")</f>
        <v>ATRASADO</v>
      </c>
      <c r="AF888" s="294"/>
      <c r="AG888" s="294"/>
      <c r="AH888" s="294"/>
      <c r="AI888" s="294"/>
      <c r="AJ888" s="294"/>
      <c r="AK888" s="294"/>
    </row>
    <row r="889" spans="1:37" s="295" customFormat="1" ht="14.45" hidden="1">
      <c r="A889" s="374" t="s">
        <v>2806</v>
      </c>
      <c r="B889" s="228">
        <v>45987</v>
      </c>
      <c r="C889" s="317">
        <v>45986</v>
      </c>
      <c r="D889" s="313" t="s">
        <v>2807</v>
      </c>
      <c r="E889" s="313" t="s">
        <v>1837</v>
      </c>
      <c r="F889" s="313" t="s">
        <v>2491</v>
      </c>
      <c r="G889" s="313">
        <v>50200095</v>
      </c>
      <c r="H889" s="313" t="s">
        <v>330</v>
      </c>
      <c r="I889" s="313" t="s">
        <v>1163</v>
      </c>
      <c r="J889" s="313">
        <v>1</v>
      </c>
      <c r="K889" s="313" t="s">
        <v>37</v>
      </c>
      <c r="L889" s="313" t="s">
        <v>48</v>
      </c>
      <c r="M889" s="313" t="s">
        <v>58</v>
      </c>
      <c r="N889" s="313" t="s">
        <v>58</v>
      </c>
      <c r="O889" s="230">
        <v>1</v>
      </c>
      <c r="P889" s="230">
        <v>1</v>
      </c>
      <c r="Q889" s="230">
        <v>144816</v>
      </c>
      <c r="R889" s="230"/>
      <c r="S889" s="228"/>
      <c r="T889" s="273">
        <v>46042</v>
      </c>
      <c r="U889" s="25">
        <v>46055</v>
      </c>
      <c r="V889" s="230" t="s">
        <v>347</v>
      </c>
      <c r="W889" s="230"/>
      <c r="X889" s="231">
        <v>35.19</v>
      </c>
      <c r="Y889" s="231">
        <f>Table2[[#This Row],[PREÇO UNITARIO]]*Table2[[#This Row],[QUANTIDADE]]</f>
        <v>35.19</v>
      </c>
      <c r="Z889" s="230"/>
      <c r="AA889" s="230">
        <f>MONTH(Table2[[#This Row],[DATA PEDIDO HP]])</f>
        <v>11</v>
      </c>
      <c r="AB889" s="290" t="s">
        <v>60</v>
      </c>
      <c r="AC889" s="5">
        <f t="shared" ca="1" si="13"/>
        <v>46232</v>
      </c>
      <c r="AD889" s="331">
        <f ca="1">_xlfn.DAYS(Table2[[#This Row],[HOJE]],Table2[[#This Row],[DATA PEDIDO HP]])</f>
        <v>245</v>
      </c>
      <c r="AE889" s="331" t="str">
        <f ca="1">IF(Table2[[#This Row],[HOLD]]&gt;30,"ATRASADO","NO PRAZO")</f>
        <v>ATRASADO</v>
      </c>
      <c r="AF889" s="294"/>
      <c r="AG889" s="294"/>
      <c r="AH889" s="294"/>
      <c r="AI889" s="294"/>
      <c r="AJ889" s="294"/>
      <c r="AK889" s="294"/>
    </row>
    <row r="890" spans="1:37" s="295" customFormat="1" ht="14.45" hidden="1">
      <c r="A890" s="230" t="s">
        <v>2808</v>
      </c>
      <c r="B890" s="228">
        <v>45987</v>
      </c>
      <c r="C890" s="317">
        <v>45986</v>
      </c>
      <c r="D890" s="313" t="s">
        <v>2809</v>
      </c>
      <c r="E890" s="313" t="s">
        <v>118</v>
      </c>
      <c r="F890" s="313" t="s">
        <v>64</v>
      </c>
      <c r="G890" s="313">
        <v>48000044</v>
      </c>
      <c r="H890" s="313" t="s">
        <v>335</v>
      </c>
      <c r="I890" s="313" t="s">
        <v>2810</v>
      </c>
      <c r="J890" s="313">
        <v>1</v>
      </c>
      <c r="K890" s="313" t="s">
        <v>37</v>
      </c>
      <c r="L890" s="313" t="s">
        <v>48</v>
      </c>
      <c r="M890" s="313" t="s">
        <v>58</v>
      </c>
      <c r="N890" s="313" t="s">
        <v>58</v>
      </c>
      <c r="O890" s="230">
        <v>1</v>
      </c>
      <c r="P890" s="230">
        <v>1</v>
      </c>
      <c r="Q890" s="313">
        <v>145442</v>
      </c>
      <c r="R890" s="230"/>
      <c r="S890" s="228"/>
      <c r="T890" s="273">
        <v>46042</v>
      </c>
      <c r="U890" s="25">
        <v>46055</v>
      </c>
      <c r="V890" s="230" t="s">
        <v>347</v>
      </c>
      <c r="W890" s="230"/>
      <c r="X890" s="231">
        <v>79.989999999999995</v>
      </c>
      <c r="Y890" s="231">
        <f>Table2[[#This Row],[PREÇO UNITARIO]]*Table2[[#This Row],[QUANTIDADE]]</f>
        <v>79.989999999999995</v>
      </c>
      <c r="Z890" s="230"/>
      <c r="AA890" s="230">
        <f>MONTH(Table2[[#This Row],[DATA PEDIDO HP]])</f>
        <v>11</v>
      </c>
      <c r="AB890" s="290" t="s">
        <v>60</v>
      </c>
      <c r="AC890" s="5">
        <f t="shared" ca="1" si="13"/>
        <v>46232</v>
      </c>
      <c r="AD890" s="331">
        <f ca="1">_xlfn.DAYS(Table2[[#This Row],[HOJE]],Table2[[#This Row],[DATA PEDIDO HP]])</f>
        <v>245</v>
      </c>
      <c r="AE890" s="331" t="str">
        <f ca="1">IF(Table2[[#This Row],[HOLD]]&gt;30,"ATRASADO","NO PRAZO")</f>
        <v>ATRASADO</v>
      </c>
      <c r="AF890" s="294"/>
      <c r="AG890" s="294"/>
      <c r="AH890" s="294"/>
      <c r="AI890" s="294"/>
      <c r="AJ890" s="294"/>
      <c r="AK890" s="294"/>
    </row>
    <row r="891" spans="1:37" s="295" customFormat="1" ht="14.45" hidden="1">
      <c r="A891" s="230" t="s">
        <v>2811</v>
      </c>
      <c r="B891" s="228">
        <v>45987</v>
      </c>
      <c r="C891" s="273">
        <v>45986</v>
      </c>
      <c r="D891" s="229" t="s">
        <v>2812</v>
      </c>
      <c r="E891" s="229" t="s">
        <v>118</v>
      </c>
      <c r="F891" s="229" t="s">
        <v>64</v>
      </c>
      <c r="G891" s="229">
        <v>48000044</v>
      </c>
      <c r="H891" s="229" t="s">
        <v>153</v>
      </c>
      <c r="I891" s="229" t="s">
        <v>154</v>
      </c>
      <c r="J891" s="229">
        <v>1</v>
      </c>
      <c r="K891" s="229" t="s">
        <v>37</v>
      </c>
      <c r="L891" s="229" t="s">
        <v>48</v>
      </c>
      <c r="M891" s="229" t="s">
        <v>58</v>
      </c>
      <c r="N891" s="230" t="s">
        <v>58</v>
      </c>
      <c r="O891" s="230">
        <v>1</v>
      </c>
      <c r="P891" s="230">
        <v>1</v>
      </c>
      <c r="Q891" s="230">
        <v>145838</v>
      </c>
      <c r="R891" s="230"/>
      <c r="S891" s="228"/>
      <c r="T891" s="273">
        <v>46042</v>
      </c>
      <c r="U891" s="25">
        <v>46055</v>
      </c>
      <c r="V891" s="230" t="s">
        <v>347</v>
      </c>
      <c r="W891" s="230"/>
      <c r="X891" s="231">
        <v>227.98</v>
      </c>
      <c r="Y891" s="231">
        <f>Table2[[#This Row],[PREÇO UNITARIO]]*Table2[[#This Row],[QUANTIDADE]]</f>
        <v>227.98</v>
      </c>
      <c r="Z891" s="230"/>
      <c r="AA891" s="230">
        <f>MONTH(Table2[[#This Row],[DATA PEDIDO HP]])</f>
        <v>11</v>
      </c>
      <c r="AB891" s="290" t="s">
        <v>60</v>
      </c>
      <c r="AC891" s="5">
        <f t="shared" ca="1" si="13"/>
        <v>46232</v>
      </c>
      <c r="AD891" s="331">
        <f ca="1">_xlfn.DAYS(Table2[[#This Row],[HOJE]],Table2[[#This Row],[DATA PEDIDO HP]])</f>
        <v>245</v>
      </c>
      <c r="AE891" s="331" t="str">
        <f ca="1">IF(Table2[[#This Row],[HOLD]]&gt;30,"ATRASADO","NO PRAZO")</f>
        <v>ATRASADO</v>
      </c>
      <c r="AF891" s="294"/>
      <c r="AG891" s="294"/>
      <c r="AH891" s="294"/>
      <c r="AI891" s="294"/>
      <c r="AJ891" s="294"/>
      <c r="AK891" s="294"/>
    </row>
    <row r="892" spans="1:37" s="295" customFormat="1" ht="14.45" hidden="1">
      <c r="A892" s="230" t="s">
        <v>2813</v>
      </c>
      <c r="B892" s="228">
        <v>45988</v>
      </c>
      <c r="C892" s="273">
        <v>45988</v>
      </c>
      <c r="D892" s="229" t="s">
        <v>2814</v>
      </c>
      <c r="E892" s="229" t="s">
        <v>73</v>
      </c>
      <c r="F892" s="229" t="s">
        <v>203</v>
      </c>
      <c r="G892" s="229">
        <v>60002095</v>
      </c>
      <c r="H892" s="229" t="s">
        <v>2815</v>
      </c>
      <c r="I892" s="229" t="s">
        <v>2816</v>
      </c>
      <c r="J892" s="229">
        <v>1</v>
      </c>
      <c r="K892" s="229" t="s">
        <v>67</v>
      </c>
      <c r="L892" s="229" t="s">
        <v>346</v>
      </c>
      <c r="M892" s="229" t="s">
        <v>88</v>
      </c>
      <c r="N892" s="230"/>
      <c r="O892" s="230"/>
      <c r="P892" s="15"/>
      <c r="Q892" s="15">
        <v>146993</v>
      </c>
      <c r="R892" s="230" t="s">
        <v>2817</v>
      </c>
      <c r="S892" s="228">
        <v>46007</v>
      </c>
      <c r="T892" s="228">
        <v>45999</v>
      </c>
      <c r="U892" s="228">
        <v>46007</v>
      </c>
      <c r="V892" s="230" t="s">
        <v>2813</v>
      </c>
      <c r="W892" s="230"/>
      <c r="X892" s="310">
        <v>7835.58</v>
      </c>
      <c r="Y892" s="231">
        <f>Table2[[#This Row],[PREÇO UNITARIO]]*Table2[[#This Row],[QUANTIDADE]]</f>
        <v>7835.58</v>
      </c>
      <c r="Z892" s="311"/>
      <c r="AA892" s="232">
        <f>MONTH(Table2[[#This Row],[DATA PEDIDO HP]])</f>
        <v>11</v>
      </c>
      <c r="AB892" s="32"/>
      <c r="AC892" s="5">
        <f t="shared" ca="1" si="13"/>
        <v>46232</v>
      </c>
      <c r="AD892" s="331">
        <f ca="1">_xlfn.DAYS(Table2[[#This Row],[HOJE]],Table2[[#This Row],[DATA PEDIDO HP]])</f>
        <v>244</v>
      </c>
      <c r="AE892" s="336" t="s">
        <v>43</v>
      </c>
      <c r="AF892" s="294"/>
      <c r="AG892" s="294"/>
      <c r="AH892" s="294"/>
      <c r="AI892" s="294"/>
      <c r="AJ892" s="294"/>
      <c r="AK892" s="294"/>
    </row>
    <row r="893" spans="1:37" s="295" customFormat="1" ht="14.45" hidden="1">
      <c r="A893" s="230" t="s">
        <v>2818</v>
      </c>
      <c r="B893" s="228">
        <v>45989</v>
      </c>
      <c r="C893" s="273">
        <v>45989</v>
      </c>
      <c r="D893" s="229" t="s">
        <v>2819</v>
      </c>
      <c r="E893" s="14" t="s">
        <v>1196</v>
      </c>
      <c r="F893" s="229" t="s">
        <v>64</v>
      </c>
      <c r="G893" s="229">
        <v>48300375</v>
      </c>
      <c r="H893" s="229" t="s">
        <v>1621</v>
      </c>
      <c r="I893" s="229" t="s">
        <v>2820</v>
      </c>
      <c r="J893" s="229">
        <v>1</v>
      </c>
      <c r="K893" s="229" t="s">
        <v>37</v>
      </c>
      <c r="L893" s="229" t="s">
        <v>48</v>
      </c>
      <c r="M893" s="229" t="s">
        <v>58</v>
      </c>
      <c r="N893" s="230"/>
      <c r="O893" s="230"/>
      <c r="P893" s="15"/>
      <c r="Q893" s="15">
        <v>147059</v>
      </c>
      <c r="R893" s="230"/>
      <c r="S893" s="228"/>
      <c r="T893" s="273">
        <v>46056</v>
      </c>
      <c r="U893" s="273">
        <v>46065</v>
      </c>
      <c r="V893" s="230" t="s">
        <v>2586</v>
      </c>
      <c r="W893" s="230"/>
      <c r="X893" s="310">
        <v>169.84</v>
      </c>
      <c r="Y893" s="231">
        <f>Table2[[#This Row],[PREÇO UNITARIO]]*Table2[[#This Row],[QUANTIDADE]]</f>
        <v>169.84</v>
      </c>
      <c r="Z893" s="311"/>
      <c r="AA893" s="232">
        <f>MONTH(Table2[[#This Row],[DATA PEDIDO HP]])</f>
        <v>11</v>
      </c>
      <c r="AB893" s="32"/>
      <c r="AC893" s="5">
        <f t="shared" ca="1" si="13"/>
        <v>46232</v>
      </c>
      <c r="AD893" s="331">
        <f ca="1">_xlfn.DAYS(Table2[[#This Row],[HOJE]],Table2[[#This Row],[DATA PEDIDO HP]])</f>
        <v>243</v>
      </c>
      <c r="AE893" s="331" t="str">
        <f ca="1">IF(Table2[[#This Row],[HOLD]]&gt;30,"ATRASADO","NO PRAZO")</f>
        <v>ATRASADO</v>
      </c>
      <c r="AF893" s="294"/>
      <c r="AG893" s="294"/>
      <c r="AH893" s="294"/>
      <c r="AI893" s="294"/>
      <c r="AJ893" s="294"/>
      <c r="AK893" s="294"/>
    </row>
    <row r="894" spans="1:37" s="295" customFormat="1" ht="14.45" hidden="1">
      <c r="A894" s="230" t="s">
        <v>2818</v>
      </c>
      <c r="B894" s="228">
        <v>45989</v>
      </c>
      <c r="C894" s="273">
        <v>45989</v>
      </c>
      <c r="D894" s="229" t="s">
        <v>2819</v>
      </c>
      <c r="E894" s="14" t="s">
        <v>1196</v>
      </c>
      <c r="F894" s="229" t="s">
        <v>64</v>
      </c>
      <c r="G894" s="229">
        <v>48300375</v>
      </c>
      <c r="H894" s="229" t="s">
        <v>174</v>
      </c>
      <c r="I894" s="229" t="s">
        <v>2821</v>
      </c>
      <c r="J894" s="229">
        <v>1</v>
      </c>
      <c r="K894" s="229" t="s">
        <v>37</v>
      </c>
      <c r="L894" s="229" t="s">
        <v>48</v>
      </c>
      <c r="M894" s="229" t="s">
        <v>88</v>
      </c>
      <c r="N894" s="230"/>
      <c r="O894" s="230"/>
      <c r="P894" s="15"/>
      <c r="Q894" s="15">
        <v>147059</v>
      </c>
      <c r="R894" s="230"/>
      <c r="S894" s="228"/>
      <c r="T894" s="273">
        <v>46056</v>
      </c>
      <c r="U894" s="273">
        <v>46065</v>
      </c>
      <c r="V894" s="230" t="s">
        <v>2586</v>
      </c>
      <c r="W894" s="230"/>
      <c r="X894" s="310">
        <v>130.65</v>
      </c>
      <c r="Y894" s="231">
        <f>Table2[[#This Row],[PREÇO UNITARIO]]*Table2[[#This Row],[QUANTIDADE]]</f>
        <v>130.65</v>
      </c>
      <c r="Z894" s="311"/>
      <c r="AA894" s="232">
        <f>MONTH(Table2[[#This Row],[DATA PEDIDO HP]])</f>
        <v>11</v>
      </c>
      <c r="AB894" s="32"/>
      <c r="AC894" s="5">
        <f t="shared" ca="1" si="13"/>
        <v>46232</v>
      </c>
      <c r="AD894" s="331">
        <f ca="1">_xlfn.DAYS(Table2[[#This Row],[HOJE]],Table2[[#This Row],[DATA PEDIDO HP]])</f>
        <v>243</v>
      </c>
      <c r="AE894" s="331" t="str">
        <f ca="1">IF(Table2[[#This Row],[HOLD]]&gt;30,"ATRASADO","NO PRAZO")</f>
        <v>ATRASADO</v>
      </c>
      <c r="AF894" s="294"/>
      <c r="AG894" s="294"/>
      <c r="AH894" s="294"/>
      <c r="AI894" s="294"/>
      <c r="AJ894" s="294"/>
      <c r="AK894" s="294"/>
    </row>
    <row r="895" spans="1:37" s="295" customFormat="1" ht="14.45" hidden="1">
      <c r="A895" s="380" t="s">
        <v>2822</v>
      </c>
      <c r="B895" s="228">
        <v>45992</v>
      </c>
      <c r="C895" s="317">
        <v>45988</v>
      </c>
      <c r="D895" s="313" t="s">
        <v>2823</v>
      </c>
      <c r="E895" s="313" t="s">
        <v>73</v>
      </c>
      <c r="F895" s="313" t="s">
        <v>203</v>
      </c>
      <c r="G895" s="313">
        <v>60002095</v>
      </c>
      <c r="H895" s="313" t="s">
        <v>1585</v>
      </c>
      <c r="I895" s="313" t="s">
        <v>2824</v>
      </c>
      <c r="J895" s="313">
        <v>7</v>
      </c>
      <c r="K895" s="313" t="s">
        <v>37</v>
      </c>
      <c r="L895" s="313" t="s">
        <v>96</v>
      </c>
      <c r="M895" s="313" t="s">
        <v>88</v>
      </c>
      <c r="N895" s="313" t="s">
        <v>89</v>
      </c>
      <c r="O895" s="230">
        <v>0</v>
      </c>
      <c r="P895" s="230">
        <v>7</v>
      </c>
      <c r="Q895" s="313">
        <v>147659</v>
      </c>
      <c r="R895" s="230"/>
      <c r="S895" s="228">
        <v>46087</v>
      </c>
      <c r="T895" s="25">
        <v>46069</v>
      </c>
      <c r="U895" s="25">
        <v>46078</v>
      </c>
      <c r="V895" s="230" t="s">
        <v>2189</v>
      </c>
      <c r="W895" s="230"/>
      <c r="X895" s="231">
        <v>32.79</v>
      </c>
      <c r="Y895" s="231">
        <f>Table2[[#This Row],[PREÇO UNITARIO]]*Table2[[#This Row],[QUANTIDADE]]</f>
        <v>229.53</v>
      </c>
      <c r="Z895" s="230"/>
      <c r="AA895" s="230">
        <f>MONTH(Table2[[#This Row],[DATA PEDIDO HP]])</f>
        <v>12</v>
      </c>
      <c r="AB895" s="290" t="s">
        <v>60</v>
      </c>
      <c r="AC895" s="5">
        <f t="shared" ca="1" si="13"/>
        <v>46232</v>
      </c>
      <c r="AD895" s="331">
        <f ca="1">_xlfn.DAYS(Table2[[#This Row],[HOJE]],Table2[[#This Row],[DATA PEDIDO HP]])</f>
        <v>240</v>
      </c>
      <c r="AE895" s="336" t="s">
        <v>43</v>
      </c>
      <c r="AF895" s="294"/>
      <c r="AG895" s="294"/>
      <c r="AH895" s="294"/>
      <c r="AI895" s="294"/>
      <c r="AJ895" s="294"/>
      <c r="AK895" s="294"/>
    </row>
    <row r="896" spans="1:37" s="295" customFormat="1" ht="14.45" hidden="1">
      <c r="A896" s="229" t="s">
        <v>2825</v>
      </c>
      <c r="B896" s="228">
        <v>45992</v>
      </c>
      <c r="C896" s="317">
        <v>45989</v>
      </c>
      <c r="D896" s="313" t="s">
        <v>2826</v>
      </c>
      <c r="E896" s="313" t="s">
        <v>85</v>
      </c>
      <c r="F896" s="313" t="s">
        <v>2496</v>
      </c>
      <c r="G896" s="313">
        <v>50000260</v>
      </c>
      <c r="H896" s="313" t="s">
        <v>354</v>
      </c>
      <c r="I896" s="313" t="s">
        <v>1731</v>
      </c>
      <c r="J896" s="313">
        <v>1</v>
      </c>
      <c r="K896" s="313" t="s">
        <v>37</v>
      </c>
      <c r="L896" s="313" t="s">
        <v>96</v>
      </c>
      <c r="M896" s="313" t="s">
        <v>58</v>
      </c>
      <c r="N896" s="313" t="s">
        <v>58</v>
      </c>
      <c r="O896" s="229">
        <v>1</v>
      </c>
      <c r="P896" s="229">
        <v>1</v>
      </c>
      <c r="Q896" s="313">
        <v>147950</v>
      </c>
      <c r="R896" s="229"/>
      <c r="S896" s="229"/>
      <c r="T896" s="273">
        <v>46056</v>
      </c>
      <c r="U896" s="273">
        <v>46065</v>
      </c>
      <c r="V896" s="229" t="s">
        <v>2586</v>
      </c>
      <c r="W896" s="375" t="s">
        <v>1519</v>
      </c>
      <c r="X896" s="315">
        <v>274.36</v>
      </c>
      <c r="Y896" s="231">
        <f>Table2[[#This Row],[PREÇO UNITARIO]]*Table2[[#This Row],[QUANTIDADE]]</f>
        <v>274.36</v>
      </c>
      <c r="Z896" s="230"/>
      <c r="AA896" s="230">
        <f>MONTH(Table2[[#This Row],[DATA PEDIDO HP]])</f>
        <v>12</v>
      </c>
      <c r="AB896" s="318" t="s">
        <v>42</v>
      </c>
      <c r="AC896" s="325">
        <f t="shared" ca="1" si="13"/>
        <v>46232</v>
      </c>
      <c r="AD896" s="331">
        <f ca="1">_xlfn.DAYS(Table2[[#This Row],[HOJE]],Table2[[#This Row],[DATA PEDIDO HP]])</f>
        <v>240</v>
      </c>
      <c r="AE896" s="332" t="str">
        <f ca="1">IF(Table2[[#This Row],[HOLD]]&gt;30,"ATRASADO","NO PRAZO")</f>
        <v>ATRASADO</v>
      </c>
      <c r="AF896" s="294"/>
      <c r="AG896" s="294"/>
      <c r="AH896" s="294"/>
      <c r="AI896" s="294"/>
      <c r="AJ896" s="294"/>
      <c r="AK896" s="294"/>
    </row>
    <row r="897" spans="1:37" s="295" customFormat="1" ht="14.45" hidden="1">
      <c r="A897" s="230" t="s">
        <v>2827</v>
      </c>
      <c r="B897" s="228">
        <v>45992</v>
      </c>
      <c r="C897" s="317">
        <v>45988</v>
      </c>
      <c r="D897" s="313" t="s">
        <v>2828</v>
      </c>
      <c r="E897" s="313" t="s">
        <v>79</v>
      </c>
      <c r="F897" s="313" t="s">
        <v>2496</v>
      </c>
      <c r="G897" s="313">
        <v>50000530</v>
      </c>
      <c r="H897" s="313" t="s">
        <v>446</v>
      </c>
      <c r="I897" s="313" t="s">
        <v>2829</v>
      </c>
      <c r="J897" s="313">
        <v>1</v>
      </c>
      <c r="K897" s="313" t="s">
        <v>37</v>
      </c>
      <c r="L897" s="313" t="s">
        <v>48</v>
      </c>
      <c r="M897" s="313" t="s">
        <v>58</v>
      </c>
      <c r="N897" s="313" t="s">
        <v>58</v>
      </c>
      <c r="O897" s="230">
        <v>1</v>
      </c>
      <c r="P897" s="230">
        <v>1</v>
      </c>
      <c r="Q897" s="313">
        <v>147456</v>
      </c>
      <c r="R897" s="230"/>
      <c r="S897" s="228"/>
      <c r="T897" s="273">
        <v>46056</v>
      </c>
      <c r="U897" s="273">
        <v>46065</v>
      </c>
      <c r="V897" s="230" t="s">
        <v>2586</v>
      </c>
      <c r="W897" s="230"/>
      <c r="X897" s="231">
        <v>83.29</v>
      </c>
      <c r="Y897" s="231">
        <f>Table2[[#This Row],[PREÇO UNITARIO]]*Table2[[#This Row],[QUANTIDADE]]</f>
        <v>83.29</v>
      </c>
      <c r="Z897" s="230"/>
      <c r="AA897" s="230">
        <f>MONTH(Table2[[#This Row],[DATA PEDIDO HP]])</f>
        <v>12</v>
      </c>
      <c r="AB897" s="290" t="s">
        <v>60</v>
      </c>
      <c r="AC897" s="5">
        <f t="shared" ca="1" si="13"/>
        <v>46232</v>
      </c>
      <c r="AD897" s="331">
        <f ca="1">_xlfn.DAYS(Table2[[#This Row],[HOJE]],Table2[[#This Row],[DATA PEDIDO HP]])</f>
        <v>240</v>
      </c>
      <c r="AE897" s="331" t="str">
        <f ca="1">IF(Table2[[#This Row],[HOLD]]&gt;30,"ATRASADO","NO PRAZO")</f>
        <v>ATRASADO</v>
      </c>
      <c r="AF897" s="294"/>
      <c r="AG897" s="294"/>
      <c r="AH897" s="294"/>
      <c r="AI897" s="294"/>
      <c r="AJ897" s="294"/>
      <c r="AK897" s="294"/>
    </row>
    <row r="898" spans="1:37" s="294" customFormat="1" ht="14.45" hidden="1">
      <c r="A898" s="230" t="s">
        <v>2830</v>
      </c>
      <c r="B898" s="228">
        <v>45992</v>
      </c>
      <c r="C898" s="317">
        <v>45989</v>
      </c>
      <c r="D898" s="313" t="s">
        <v>2831</v>
      </c>
      <c r="E898" s="313" t="s">
        <v>73</v>
      </c>
      <c r="F898" s="313" t="s">
        <v>203</v>
      </c>
      <c r="G898" s="313">
        <v>60002095</v>
      </c>
      <c r="H898" s="313" t="s">
        <v>2832</v>
      </c>
      <c r="I898" s="313" t="s">
        <v>2833</v>
      </c>
      <c r="J898" s="313">
        <v>1</v>
      </c>
      <c r="K898" s="313" t="s">
        <v>37</v>
      </c>
      <c r="L898" s="313" t="s">
        <v>48</v>
      </c>
      <c r="M898" s="313" t="s">
        <v>58</v>
      </c>
      <c r="N898" s="313" t="s">
        <v>58</v>
      </c>
      <c r="O898" s="230">
        <v>1</v>
      </c>
      <c r="P898" s="230">
        <v>1</v>
      </c>
      <c r="Q898" s="313">
        <v>147456</v>
      </c>
      <c r="R898" s="230"/>
      <c r="S898" s="228"/>
      <c r="T898" s="273">
        <v>46056</v>
      </c>
      <c r="U898" s="273">
        <v>46065</v>
      </c>
      <c r="V898" s="230" t="s">
        <v>2586</v>
      </c>
      <c r="W898" s="230"/>
      <c r="X898" s="231">
        <v>220.47</v>
      </c>
      <c r="Y898" s="231">
        <f>Table2[[#This Row],[PREÇO UNITARIO]]*Table2[[#This Row],[QUANTIDADE]]</f>
        <v>220.47</v>
      </c>
      <c r="Z898" s="230"/>
      <c r="AA898" s="230">
        <f>MONTH(Table2[[#This Row],[DATA PEDIDO HP]])</f>
        <v>12</v>
      </c>
      <c r="AB898" s="290" t="s">
        <v>60</v>
      </c>
      <c r="AC898" s="5">
        <f t="shared" ref="AC898:AC943" ca="1" si="14">TODAY()</f>
        <v>46232</v>
      </c>
      <c r="AD898" s="331">
        <f ca="1">_xlfn.DAYS(Table2[[#This Row],[HOJE]],Table2[[#This Row],[DATA PEDIDO HP]])</f>
        <v>240</v>
      </c>
      <c r="AE898" s="331" t="str">
        <f ca="1">IF(Table2[[#This Row],[HOLD]]&gt;30,"ATRASADO","NO PRAZO")</f>
        <v>ATRASADO</v>
      </c>
    </row>
    <row r="899" spans="1:37" s="295" customFormat="1" ht="14.45" hidden="1">
      <c r="A899" s="230" t="s">
        <v>2834</v>
      </c>
      <c r="B899" s="228">
        <v>45992</v>
      </c>
      <c r="C899" s="317">
        <v>45989</v>
      </c>
      <c r="D899" s="313" t="s">
        <v>2835</v>
      </c>
      <c r="E899" s="313" t="s">
        <v>2132</v>
      </c>
      <c r="F899" s="313" t="s">
        <v>203</v>
      </c>
      <c r="G899" s="313">
        <v>60001111</v>
      </c>
      <c r="H899" s="313" t="s">
        <v>2836</v>
      </c>
      <c r="I899" s="313" t="s">
        <v>2837</v>
      </c>
      <c r="J899" s="313">
        <v>1</v>
      </c>
      <c r="K899" s="313" t="s">
        <v>37</v>
      </c>
      <c r="L899" s="313" t="s">
        <v>48</v>
      </c>
      <c r="M899" s="313" t="s">
        <v>58</v>
      </c>
      <c r="N899" s="313" t="s">
        <v>58</v>
      </c>
      <c r="O899" s="230">
        <v>1</v>
      </c>
      <c r="P899" s="230">
        <v>1</v>
      </c>
      <c r="Q899" s="313">
        <v>147161</v>
      </c>
      <c r="R899" s="230"/>
      <c r="S899" s="228"/>
      <c r="T899" s="273">
        <v>46056</v>
      </c>
      <c r="U899" s="273">
        <v>46065</v>
      </c>
      <c r="V899" s="314" t="s">
        <v>2586</v>
      </c>
      <c r="W899" s="230"/>
      <c r="X899" s="231">
        <v>26.13</v>
      </c>
      <c r="Y899" s="231">
        <f>Table2[[#This Row],[PREÇO UNITARIO]]*Table2[[#This Row],[QUANTIDADE]]</f>
        <v>26.13</v>
      </c>
      <c r="Z899" s="230"/>
      <c r="AA899" s="230">
        <f>MONTH(Table2[[#This Row],[DATA PEDIDO HP]])</f>
        <v>12</v>
      </c>
      <c r="AB899" s="318" t="s">
        <v>42</v>
      </c>
      <c r="AC899" s="325">
        <f t="shared" ca="1" si="14"/>
        <v>46232</v>
      </c>
      <c r="AD899" s="331">
        <f ca="1">_xlfn.DAYS(Table2[[#This Row],[HOJE]],Table2[[#This Row],[DATA PEDIDO HP]])</f>
        <v>240</v>
      </c>
      <c r="AE899" s="5" t="s">
        <v>43</v>
      </c>
      <c r="AF899" s="294"/>
      <c r="AG899" s="294"/>
      <c r="AH899" s="294"/>
      <c r="AI899" s="294"/>
      <c r="AJ899" s="294"/>
      <c r="AK899" s="294"/>
    </row>
    <row r="900" spans="1:37" s="295" customFormat="1" ht="14.45" hidden="1">
      <c r="A900" s="314" t="s">
        <v>2834</v>
      </c>
      <c r="B900" s="320">
        <v>45992</v>
      </c>
      <c r="C900" s="319">
        <v>45989</v>
      </c>
      <c r="D900" s="312" t="s">
        <v>2835</v>
      </c>
      <c r="E900" s="312" t="s">
        <v>2132</v>
      </c>
      <c r="F900" s="312" t="s">
        <v>203</v>
      </c>
      <c r="G900" s="312">
        <v>60001111</v>
      </c>
      <c r="H900" s="312" t="s">
        <v>1366</v>
      </c>
      <c r="I900" s="312" t="s">
        <v>1322</v>
      </c>
      <c r="J900" s="312">
        <v>1</v>
      </c>
      <c r="K900" s="312" t="s">
        <v>37</v>
      </c>
      <c r="L900" s="312" t="s">
        <v>48</v>
      </c>
      <c r="M900" s="312" t="s">
        <v>58</v>
      </c>
      <c r="N900" s="312" t="s">
        <v>58</v>
      </c>
      <c r="O900" s="314">
        <v>1</v>
      </c>
      <c r="P900" s="314">
        <v>1</v>
      </c>
      <c r="Q900" s="314">
        <v>147161</v>
      </c>
      <c r="R900" s="314"/>
      <c r="S900" s="320"/>
      <c r="T900" s="273">
        <v>46056</v>
      </c>
      <c r="U900" s="273">
        <v>46065</v>
      </c>
      <c r="V900" s="230" t="s">
        <v>2586</v>
      </c>
      <c r="W900" s="314"/>
      <c r="X900" s="321">
        <v>305.67</v>
      </c>
      <c r="Y900" s="321">
        <f>Table2[[#This Row],[PREÇO UNITARIO]]*Table2[[#This Row],[QUANTIDADE]]</f>
        <v>305.67</v>
      </c>
      <c r="Z900" s="314"/>
      <c r="AA900" s="314">
        <f>MONTH(Table2[[#This Row],[DATA PEDIDO HP]])</f>
        <v>12</v>
      </c>
      <c r="AB900" s="318" t="s">
        <v>42</v>
      </c>
      <c r="AC900" s="325">
        <f t="shared" ca="1" si="14"/>
        <v>46232</v>
      </c>
      <c r="AD900" s="331">
        <f ca="1">_xlfn.DAYS(Table2[[#This Row],[HOJE]],Table2[[#This Row],[DATA PEDIDO HP]])</f>
        <v>240</v>
      </c>
      <c r="AE900" s="5" t="s">
        <v>43</v>
      </c>
      <c r="AF900" s="294"/>
      <c r="AG900" s="294"/>
      <c r="AH900" s="294"/>
      <c r="AI900" s="294"/>
      <c r="AJ900" s="294"/>
      <c r="AK900" s="294"/>
    </row>
    <row r="901" spans="1:37" s="296" customFormat="1" ht="14.45" hidden="1">
      <c r="A901" s="311" t="s">
        <v>2838</v>
      </c>
      <c r="B901" s="228">
        <v>45992</v>
      </c>
      <c r="C901" s="376">
        <v>45988</v>
      </c>
      <c r="D901" s="377" t="s">
        <v>2839</v>
      </c>
      <c r="E901" s="377" t="s">
        <v>720</v>
      </c>
      <c r="F901" s="377" t="s">
        <v>64</v>
      </c>
      <c r="G901" s="377">
        <v>48000002</v>
      </c>
      <c r="H901" s="377" t="s">
        <v>484</v>
      </c>
      <c r="I901" s="377" t="s">
        <v>485</v>
      </c>
      <c r="J901" s="377">
        <v>1</v>
      </c>
      <c r="K901" s="377" t="s">
        <v>37</v>
      </c>
      <c r="L901" s="377" t="s">
        <v>48</v>
      </c>
      <c r="M901" s="313" t="s">
        <v>88</v>
      </c>
      <c r="N901" s="313" t="s">
        <v>89</v>
      </c>
      <c r="O901" s="230">
        <v>0</v>
      </c>
      <c r="P901" s="230">
        <v>0</v>
      </c>
      <c r="Q901" s="377">
        <v>144324</v>
      </c>
      <c r="R901" s="230"/>
      <c r="S901" s="228"/>
      <c r="T901" s="273">
        <v>46056</v>
      </c>
      <c r="U901" s="273">
        <v>46065</v>
      </c>
      <c r="V901" s="230" t="s">
        <v>2586</v>
      </c>
      <c r="W901" s="230"/>
      <c r="X901" s="231">
        <v>125.99</v>
      </c>
      <c r="Y901" s="231">
        <f>Table2[[#This Row],[PREÇO UNITARIO]]*Table2[[#This Row],[QUANTIDADE]]</f>
        <v>125.99</v>
      </c>
      <c r="Z901" s="230"/>
      <c r="AA901" s="230">
        <f>MONTH(Table2[[#This Row],[DATA PEDIDO HP]])</f>
        <v>12</v>
      </c>
      <c r="AB901" s="290" t="s">
        <v>60</v>
      </c>
      <c r="AC901" s="378">
        <f t="shared" ca="1" si="14"/>
        <v>46232</v>
      </c>
      <c r="AD901" s="331">
        <f ca="1">_xlfn.DAYS(Table2[[#This Row],[HOJE]],Table2[[#This Row],[DATA PEDIDO HP]])</f>
        <v>240</v>
      </c>
      <c r="AE901" s="379" t="str">
        <f ca="1">IF(Table2[[#This Row],[HOLD]]&gt;30,"ATRASADO","NO PRAZO")</f>
        <v>ATRASADO</v>
      </c>
      <c r="AF901" s="324"/>
      <c r="AG901" s="324"/>
      <c r="AH901" s="324"/>
      <c r="AI901" s="324"/>
      <c r="AJ901" s="324"/>
      <c r="AK901" s="324"/>
    </row>
    <row r="902" spans="1:37" s="295" customFormat="1" ht="14.45" hidden="1">
      <c r="A902" s="311" t="s">
        <v>2840</v>
      </c>
      <c r="B902" s="228">
        <v>45989</v>
      </c>
      <c r="C902" s="317">
        <v>45988</v>
      </c>
      <c r="D902" s="313" t="s">
        <v>2841</v>
      </c>
      <c r="E902" s="313" t="s">
        <v>33</v>
      </c>
      <c r="F902" s="313" t="s">
        <v>2491</v>
      </c>
      <c r="G902" s="313">
        <v>50110193</v>
      </c>
      <c r="H902" s="313" t="s">
        <v>2626</v>
      </c>
      <c r="I902" s="313" t="s">
        <v>2842</v>
      </c>
      <c r="J902" s="313">
        <v>1</v>
      </c>
      <c r="K902" s="313" t="s">
        <v>37</v>
      </c>
      <c r="L902" s="313" t="s">
        <v>48</v>
      </c>
      <c r="M902" s="313" t="s">
        <v>39</v>
      </c>
      <c r="N902" s="313" t="s">
        <v>39</v>
      </c>
      <c r="O902" s="230">
        <v>1</v>
      </c>
      <c r="P902" s="230">
        <v>1</v>
      </c>
      <c r="Q902" s="313">
        <v>147455</v>
      </c>
      <c r="R902" s="230"/>
      <c r="S902" s="25">
        <v>46060</v>
      </c>
      <c r="T902" s="273">
        <v>46042</v>
      </c>
      <c r="U902" s="25">
        <v>46055</v>
      </c>
      <c r="V902" s="230" t="s">
        <v>347</v>
      </c>
      <c r="W902" s="230"/>
      <c r="X902" s="231">
        <v>54.06</v>
      </c>
      <c r="Y902" s="231">
        <f>Table2[[#This Row],[PREÇO UNITARIO]]*Table2[[#This Row],[QUANTIDADE]]</f>
        <v>54.06</v>
      </c>
      <c r="Z902" s="230"/>
      <c r="AA902" s="230">
        <f>MONTH(Table2[[#This Row],[DATA PEDIDO HP]])</f>
        <v>11</v>
      </c>
      <c r="AB902" s="318" t="s">
        <v>42</v>
      </c>
      <c r="AC902" s="325">
        <f t="shared" ca="1" si="14"/>
        <v>46232</v>
      </c>
      <c r="AD902" s="331">
        <v>71</v>
      </c>
      <c r="AE902" s="331" t="s">
        <v>43</v>
      </c>
      <c r="AF902" s="294"/>
      <c r="AG902" s="294"/>
      <c r="AH902" s="294"/>
      <c r="AI902" s="294"/>
      <c r="AJ902" s="294"/>
      <c r="AK902" s="294"/>
    </row>
    <row r="903" spans="1:37" s="295" customFormat="1" ht="14.45" hidden="1">
      <c r="A903" s="311" t="s">
        <v>2843</v>
      </c>
      <c r="B903" s="228">
        <v>45992</v>
      </c>
      <c r="C903" s="317">
        <v>45989</v>
      </c>
      <c r="D903" s="313" t="s">
        <v>2844</v>
      </c>
      <c r="E903" s="313" t="s">
        <v>118</v>
      </c>
      <c r="F903" s="313" t="s">
        <v>64</v>
      </c>
      <c r="G903" s="313">
        <v>48000044</v>
      </c>
      <c r="H903" s="313" t="s">
        <v>280</v>
      </c>
      <c r="I903" s="313" t="s">
        <v>2845</v>
      </c>
      <c r="J903" s="313">
        <v>1</v>
      </c>
      <c r="K903" s="313" t="s">
        <v>67</v>
      </c>
      <c r="L903" s="313" t="s">
        <v>48</v>
      </c>
      <c r="M903" s="313" t="s">
        <v>88</v>
      </c>
      <c r="N903" s="313" t="s">
        <v>89</v>
      </c>
      <c r="O903" s="230">
        <v>0</v>
      </c>
      <c r="P903" s="230">
        <v>0</v>
      </c>
      <c r="Q903" s="313">
        <v>145838</v>
      </c>
      <c r="R903" s="230"/>
      <c r="S903" s="228"/>
      <c r="T903" s="25">
        <v>46007</v>
      </c>
      <c r="U903" s="25">
        <v>46031</v>
      </c>
      <c r="V903" s="230" t="s">
        <v>1775</v>
      </c>
      <c r="W903" s="230"/>
      <c r="X903" s="231">
        <v>431.82</v>
      </c>
      <c r="Y903" s="231">
        <f>Table2[[#This Row],[PREÇO UNITARIO]]*Table2[[#This Row],[QUANTIDADE]]</f>
        <v>431.82</v>
      </c>
      <c r="Z903" s="230"/>
      <c r="AA903" s="230">
        <f>MONTH(Table2[[#This Row],[DATA PEDIDO HP]])</f>
        <v>12</v>
      </c>
      <c r="AB903" s="290" t="s">
        <v>60</v>
      </c>
      <c r="AC903" s="5">
        <f t="shared" ca="1" si="14"/>
        <v>46232</v>
      </c>
      <c r="AD903" s="331">
        <f ca="1">_xlfn.DAYS(Table2[[#This Row],[HOJE]],Table2[[#This Row],[DATA PEDIDO HP]])</f>
        <v>240</v>
      </c>
      <c r="AE903" s="5" t="s">
        <v>43</v>
      </c>
      <c r="AF903" s="294"/>
      <c r="AG903" s="294"/>
      <c r="AH903" s="294"/>
      <c r="AI903" s="294"/>
      <c r="AJ903" s="294"/>
      <c r="AK903" s="294"/>
    </row>
    <row r="904" spans="1:37" s="295" customFormat="1" ht="14.45" hidden="1">
      <c r="A904" s="311" t="s">
        <v>2846</v>
      </c>
      <c r="B904" s="228">
        <v>45989</v>
      </c>
      <c r="C904" s="273">
        <v>46351</v>
      </c>
      <c r="D904" s="229"/>
      <c r="E904" s="229" t="s">
        <v>381</v>
      </c>
      <c r="F904" s="229"/>
      <c r="G904" s="229"/>
      <c r="H904" s="229" t="s">
        <v>2847</v>
      </c>
      <c r="I904" s="229" t="s">
        <v>2848</v>
      </c>
      <c r="J904" s="229">
        <v>2</v>
      </c>
      <c r="K904" s="229"/>
      <c r="L904" s="229"/>
      <c r="M904" s="229" t="s">
        <v>384</v>
      </c>
      <c r="N904" s="230" t="s">
        <v>384</v>
      </c>
      <c r="O904" s="230"/>
      <c r="P904" s="15"/>
      <c r="Q904" s="15"/>
      <c r="R904" s="230"/>
      <c r="S904" s="228"/>
      <c r="T904" s="273">
        <v>46056</v>
      </c>
      <c r="U904" s="273">
        <v>46065</v>
      </c>
      <c r="V904" s="230" t="s">
        <v>2586</v>
      </c>
      <c r="W904" s="230"/>
      <c r="X904" s="310">
        <v>37.4</v>
      </c>
      <c r="Y904" s="231">
        <f>Table2[[#This Row],[PREÇO UNITARIO]]*Table2[[#This Row],[QUANTIDADE]]</f>
        <v>74.8</v>
      </c>
      <c r="Z904" s="311"/>
      <c r="AA904" s="232">
        <f>MONTH(Table2[[#This Row],[DATA PEDIDO HP]])</f>
        <v>11</v>
      </c>
      <c r="AB904" s="32"/>
      <c r="AC904" s="5">
        <f t="shared" ca="1" si="14"/>
        <v>46232</v>
      </c>
      <c r="AD904" s="331">
        <f ca="1">_xlfn.DAYS(Table2[[#This Row],[HOJE]],Table2[[#This Row],[DATA PEDIDO HP]])</f>
        <v>243</v>
      </c>
      <c r="AE904" s="331" t="str">
        <f ca="1">IF(Table2[[#This Row],[HOLD]]&gt;30,"ATRASADO","NO PRAZO")</f>
        <v>ATRASADO</v>
      </c>
      <c r="AF904" s="294"/>
      <c r="AG904" s="294"/>
      <c r="AH904" s="294"/>
      <c r="AI904" s="294"/>
      <c r="AJ904" s="294"/>
      <c r="AK904" s="294"/>
    </row>
    <row r="905" spans="1:37" s="295" customFormat="1" ht="14.45" hidden="1">
      <c r="A905" s="311" t="s">
        <v>2849</v>
      </c>
      <c r="B905" s="228">
        <v>45992</v>
      </c>
      <c r="C905" s="317">
        <v>45992</v>
      </c>
      <c r="D905" s="313" t="s">
        <v>2850</v>
      </c>
      <c r="E905" s="313" t="s">
        <v>181</v>
      </c>
      <c r="F905" s="313" t="s">
        <v>2491</v>
      </c>
      <c r="G905" s="313">
        <v>50110057</v>
      </c>
      <c r="H905" s="313" t="s">
        <v>484</v>
      </c>
      <c r="I905" s="313" t="s">
        <v>485</v>
      </c>
      <c r="J905" s="313">
        <v>1</v>
      </c>
      <c r="K905" s="313" t="s">
        <v>37</v>
      </c>
      <c r="L905" s="313" t="s">
        <v>38</v>
      </c>
      <c r="M905" s="313" t="s">
        <v>88</v>
      </c>
      <c r="N905" s="313" t="s">
        <v>89</v>
      </c>
      <c r="O905" s="230">
        <v>1</v>
      </c>
      <c r="P905" s="230">
        <v>1</v>
      </c>
      <c r="Q905" s="313">
        <v>148019</v>
      </c>
      <c r="R905" s="230"/>
      <c r="S905" s="228"/>
      <c r="T905" s="273">
        <v>46056</v>
      </c>
      <c r="U905" s="273">
        <v>46065</v>
      </c>
      <c r="V905" s="230" t="s">
        <v>2586</v>
      </c>
      <c r="W905" s="230"/>
      <c r="X905" s="231">
        <v>125.99</v>
      </c>
      <c r="Y905" s="231">
        <f>Table2[[#This Row],[PREÇO UNITARIO]]*Table2[[#This Row],[QUANTIDADE]]</f>
        <v>125.99</v>
      </c>
      <c r="Z905" s="230"/>
      <c r="AA905" s="230">
        <f>MONTH(Table2[[#This Row],[DATA PEDIDO HP]])</f>
        <v>12</v>
      </c>
      <c r="AB905" s="318" t="s">
        <v>42</v>
      </c>
      <c r="AC905" s="325">
        <f t="shared" ca="1" si="14"/>
        <v>46232</v>
      </c>
      <c r="AD905" s="331">
        <f ca="1">_xlfn.DAYS(Table2[[#This Row],[HOJE]],Table2[[#This Row],[DATA PEDIDO HP]])</f>
        <v>240</v>
      </c>
      <c r="AE905" s="332" t="str">
        <f ca="1">IF(Table2[[#This Row],[HOLD]]&gt;30,"ATRASADO","NO PRAZO")</f>
        <v>ATRASADO</v>
      </c>
      <c r="AF905" s="294"/>
      <c r="AG905" s="294"/>
      <c r="AH905" s="294"/>
      <c r="AI905" s="294"/>
      <c r="AJ905" s="294"/>
      <c r="AK905" s="294"/>
    </row>
    <row r="906" spans="1:37" s="295" customFormat="1" ht="14.45" hidden="1">
      <c r="A906" s="311" t="s">
        <v>2851</v>
      </c>
      <c r="B906" s="228">
        <v>45992</v>
      </c>
      <c r="C906" s="317">
        <v>45992</v>
      </c>
      <c r="D906" s="313" t="s">
        <v>2852</v>
      </c>
      <c r="E906" s="313" t="s">
        <v>181</v>
      </c>
      <c r="F906" s="313" t="s">
        <v>2491</v>
      </c>
      <c r="G906" s="313">
        <v>50110057</v>
      </c>
      <c r="H906" s="313" t="s">
        <v>545</v>
      </c>
      <c r="I906" s="14" t="s">
        <v>2140</v>
      </c>
      <c r="J906" s="313">
        <v>1</v>
      </c>
      <c r="K906" s="313" t="s">
        <v>67</v>
      </c>
      <c r="L906" s="313" t="s">
        <v>38</v>
      </c>
      <c r="M906" s="313" t="s">
        <v>88</v>
      </c>
      <c r="N906" s="313" t="s">
        <v>89</v>
      </c>
      <c r="O906" s="230">
        <v>0</v>
      </c>
      <c r="P906" s="230">
        <v>0</v>
      </c>
      <c r="Q906" s="313">
        <v>148019</v>
      </c>
      <c r="R906" s="230"/>
      <c r="S906" s="228"/>
      <c r="T906" s="273">
        <v>46056</v>
      </c>
      <c r="U906" s="273">
        <v>46065</v>
      </c>
      <c r="V906" s="230" t="s">
        <v>2586</v>
      </c>
      <c r="W906" s="230"/>
      <c r="X906" s="231">
        <v>898.2</v>
      </c>
      <c r="Y906" s="231">
        <f>Table2[[#This Row],[PREÇO UNITARIO]]*Table2[[#This Row],[QUANTIDADE]]</f>
        <v>898.2</v>
      </c>
      <c r="Z906" s="230"/>
      <c r="AA906" s="230">
        <f>MONTH(Table2[[#This Row],[DATA PEDIDO HP]])</f>
        <v>12</v>
      </c>
      <c r="AB906" s="318" t="s">
        <v>42</v>
      </c>
      <c r="AC906" s="325">
        <f t="shared" ca="1" si="14"/>
        <v>46232</v>
      </c>
      <c r="AD906" s="331">
        <f ca="1">_xlfn.DAYS(Table2[[#This Row],[HOJE]],Table2[[#This Row],[DATA PEDIDO HP]])</f>
        <v>240</v>
      </c>
      <c r="AE906" s="332" t="str">
        <f ca="1">IF(Table2[[#This Row],[HOLD]]&gt;30,"ATRASADO","NO PRAZO")</f>
        <v>ATRASADO</v>
      </c>
      <c r="AF906" s="294"/>
      <c r="AG906" s="294"/>
      <c r="AH906" s="294"/>
      <c r="AI906" s="294"/>
      <c r="AJ906" s="294"/>
      <c r="AK906" s="294"/>
    </row>
    <row r="907" spans="1:37" s="296" customFormat="1" ht="14.45" hidden="1">
      <c r="A907" s="311" t="s">
        <v>2853</v>
      </c>
      <c r="B907" s="228">
        <v>45992</v>
      </c>
      <c r="C907" s="317">
        <v>45992</v>
      </c>
      <c r="D907" s="313" t="s">
        <v>2854</v>
      </c>
      <c r="E907" s="313" t="s">
        <v>109</v>
      </c>
      <c r="F907" s="313" t="s">
        <v>2491</v>
      </c>
      <c r="G907" s="313">
        <v>50110229</v>
      </c>
      <c r="H907" s="313" t="s">
        <v>94</v>
      </c>
      <c r="I907" s="313" t="s">
        <v>2617</v>
      </c>
      <c r="J907" s="313">
        <v>1</v>
      </c>
      <c r="K907" s="313" t="s">
        <v>37</v>
      </c>
      <c r="L907" s="313" t="s">
        <v>96</v>
      </c>
      <c r="M907" s="313" t="s">
        <v>39</v>
      </c>
      <c r="N907" s="313" t="s">
        <v>39</v>
      </c>
      <c r="O907" s="230">
        <v>1</v>
      </c>
      <c r="P907" s="230">
        <v>1</v>
      </c>
      <c r="Q907" s="313">
        <v>148017</v>
      </c>
      <c r="R907" s="230"/>
      <c r="S907" s="228"/>
      <c r="T907" s="273">
        <v>46056</v>
      </c>
      <c r="U907" s="273">
        <v>46065</v>
      </c>
      <c r="V907" s="230" t="s">
        <v>2586</v>
      </c>
      <c r="W907" s="230"/>
      <c r="X907" s="231">
        <v>207.82</v>
      </c>
      <c r="Y907" s="231">
        <f>Table2[[#This Row],[PREÇO UNITARIO]]*Table2[[#This Row],[QUANTIDADE]]</f>
        <v>207.82</v>
      </c>
      <c r="Z907" s="230"/>
      <c r="AA907" s="230">
        <f>MONTH(Table2[[#This Row],[DATA PEDIDO HP]])</f>
        <v>12</v>
      </c>
      <c r="AB907" s="318" t="s">
        <v>42</v>
      </c>
      <c r="AC907" s="326">
        <f t="shared" ca="1" si="14"/>
        <v>46232</v>
      </c>
      <c r="AD907" s="331">
        <f ca="1">_xlfn.DAYS(Table2[[#This Row],[HOJE]],Table2[[#This Row],[DATA PEDIDO HP]])</f>
        <v>240</v>
      </c>
      <c r="AE907" s="333" t="str">
        <f ca="1">IF(Table2[[#This Row],[HOLD]]&gt;30,"ATRASADO","NO PRAZO")</f>
        <v>ATRASADO</v>
      </c>
      <c r="AF907" s="324"/>
      <c r="AG907" s="324"/>
      <c r="AH907" s="324"/>
      <c r="AI907" s="324"/>
      <c r="AJ907" s="324"/>
      <c r="AK907" s="324"/>
    </row>
    <row r="908" spans="1:37" ht="14.45" hidden="1">
      <c r="A908" s="311" t="s">
        <v>2855</v>
      </c>
      <c r="B908" s="228">
        <v>45992</v>
      </c>
      <c r="C908" s="317">
        <v>45992</v>
      </c>
      <c r="D908" s="313" t="s">
        <v>2856</v>
      </c>
      <c r="E908" s="313" t="s">
        <v>181</v>
      </c>
      <c r="F908" s="313" t="s">
        <v>2491</v>
      </c>
      <c r="G908" s="313">
        <v>50110057</v>
      </c>
      <c r="H908" s="313" t="s">
        <v>2857</v>
      </c>
      <c r="I908" s="313" t="s">
        <v>2858</v>
      </c>
      <c r="J908" s="313">
        <v>1</v>
      </c>
      <c r="K908" s="313" t="s">
        <v>37</v>
      </c>
      <c r="L908" s="313" t="s">
        <v>38</v>
      </c>
      <c r="M908" s="313" t="s">
        <v>88</v>
      </c>
      <c r="N908" s="313" t="s">
        <v>89</v>
      </c>
      <c r="O908" s="230">
        <v>0</v>
      </c>
      <c r="P908" s="230">
        <v>0</v>
      </c>
      <c r="Q908" s="313">
        <v>148019</v>
      </c>
      <c r="R908" s="230" t="s">
        <v>2859</v>
      </c>
      <c r="S908" s="228"/>
      <c r="T908" s="273">
        <v>46056</v>
      </c>
      <c r="U908" s="273">
        <v>46065</v>
      </c>
      <c r="V908" s="230" t="s">
        <v>2586</v>
      </c>
      <c r="W908" s="230"/>
      <c r="X908" s="231">
        <v>202.65</v>
      </c>
      <c r="Y908" s="231">
        <f>Table2[[#This Row],[PREÇO UNITARIO]]*Table2[[#This Row],[QUANTIDADE]]</f>
        <v>202.65</v>
      </c>
      <c r="Z908" s="230"/>
      <c r="AA908" s="230">
        <f>MONTH(Table2[[#This Row],[DATA PEDIDO HP]])</f>
        <v>12</v>
      </c>
      <c r="AB908" s="318" t="s">
        <v>42</v>
      </c>
      <c r="AC908" s="325">
        <f t="shared" ca="1" si="14"/>
        <v>46232</v>
      </c>
      <c r="AD908" s="331">
        <f ca="1">_xlfn.DAYS(Table2[[#This Row],[HOJE]],Table2[[#This Row],[DATA PEDIDO HP]])</f>
        <v>240</v>
      </c>
      <c r="AE908" s="332" t="str">
        <f ca="1">IF(Table2[[#This Row],[HOLD]]&gt;30,"ATRASADO","NO PRAZO")</f>
        <v>ATRASADO</v>
      </c>
    </row>
    <row r="909" spans="1:37" s="296" customFormat="1" ht="14.45" hidden="1">
      <c r="A909" s="311" t="s">
        <v>2860</v>
      </c>
      <c r="B909" s="228">
        <v>45992</v>
      </c>
      <c r="C909" s="317">
        <v>45992</v>
      </c>
      <c r="D909" s="313" t="s">
        <v>2861</v>
      </c>
      <c r="E909" s="313" t="s">
        <v>381</v>
      </c>
      <c r="F909" s="313" t="s">
        <v>899</v>
      </c>
      <c r="G909" s="313">
        <v>48500669</v>
      </c>
      <c r="H909" s="313" t="s">
        <v>1890</v>
      </c>
      <c r="I909" s="313" t="s">
        <v>2862</v>
      </c>
      <c r="J909" s="313">
        <v>2</v>
      </c>
      <c r="K909" s="313" t="s">
        <v>37</v>
      </c>
      <c r="L909" s="313" t="s">
        <v>217</v>
      </c>
      <c r="M909" s="229" t="s">
        <v>58</v>
      </c>
      <c r="N909" s="229" t="s">
        <v>58</v>
      </c>
      <c r="O909" s="230">
        <v>2</v>
      </c>
      <c r="P909" s="230">
        <v>2</v>
      </c>
      <c r="Q909" s="313">
        <v>148214</v>
      </c>
      <c r="R909" s="230"/>
      <c r="S909" s="228"/>
      <c r="T909" s="26">
        <v>46070</v>
      </c>
      <c r="U909" s="273"/>
      <c r="V909" s="230" t="s">
        <v>2519</v>
      </c>
      <c r="W909" s="230"/>
      <c r="X909" s="231">
        <v>1272.6400000000001</v>
      </c>
      <c r="Y909" s="231">
        <f>Table2[[#This Row],[PREÇO UNITARIO]]*Table2[[#This Row],[QUANTIDADE]]</f>
        <v>2545.2800000000002</v>
      </c>
      <c r="Z909" s="230"/>
      <c r="AA909" s="230">
        <f>MONTH(Table2[[#This Row],[DATA PEDIDO HP]])</f>
        <v>12</v>
      </c>
      <c r="AB909" s="318" t="s">
        <v>42</v>
      </c>
      <c r="AC909" s="326">
        <f t="shared" ca="1" si="14"/>
        <v>46232</v>
      </c>
      <c r="AD909" s="331">
        <f ca="1">_xlfn.DAYS(Table2[[#This Row],[HOJE]],Table2[[#This Row],[DATA PEDIDO HP]])</f>
        <v>240</v>
      </c>
      <c r="AE909" s="333" t="str">
        <f ca="1">IF(Table2[[#This Row],[HOLD]]&gt;30,"ATRASADO","NO PRAZO")</f>
        <v>ATRASADO</v>
      </c>
      <c r="AF909" s="324"/>
      <c r="AG909" s="324"/>
      <c r="AH909" s="324"/>
      <c r="AI909" s="324"/>
      <c r="AJ909" s="324"/>
      <c r="AK909" s="324"/>
    </row>
    <row r="910" spans="1:37" s="295" customFormat="1" ht="14.45" hidden="1">
      <c r="A910" s="311" t="s">
        <v>2863</v>
      </c>
      <c r="B910" s="228">
        <v>45992</v>
      </c>
      <c r="C910" s="317">
        <v>45992</v>
      </c>
      <c r="D910" s="313" t="s">
        <v>2864</v>
      </c>
      <c r="E910" s="313" t="s">
        <v>381</v>
      </c>
      <c r="F910" s="313" t="s">
        <v>2496</v>
      </c>
      <c r="G910" s="313">
        <v>50000530</v>
      </c>
      <c r="H910" s="313" t="s">
        <v>2865</v>
      </c>
      <c r="I910" s="313" t="s">
        <v>2866</v>
      </c>
      <c r="J910" s="313">
        <v>4</v>
      </c>
      <c r="K910" s="313" t="s">
        <v>37</v>
      </c>
      <c r="L910" s="313" t="s">
        <v>217</v>
      </c>
      <c r="M910" s="229" t="s">
        <v>58</v>
      </c>
      <c r="N910" s="229" t="s">
        <v>58</v>
      </c>
      <c r="O910" s="313">
        <v>4</v>
      </c>
      <c r="P910" s="313">
        <v>4</v>
      </c>
      <c r="Q910" s="313">
        <v>148247</v>
      </c>
      <c r="R910" s="230" t="s">
        <v>2867</v>
      </c>
      <c r="S910" s="228"/>
      <c r="T910" s="25">
        <v>46069</v>
      </c>
      <c r="U910" s="25">
        <v>46078</v>
      </c>
      <c r="V910" s="230" t="s">
        <v>2868</v>
      </c>
      <c r="W910" s="230"/>
      <c r="X910" s="231">
        <v>48.76</v>
      </c>
      <c r="Y910" s="231">
        <f>Table2[[#This Row],[PREÇO UNITARIO]]*Table2[[#This Row],[QUANTIDADE]]</f>
        <v>195.04</v>
      </c>
      <c r="Z910" s="230" t="s">
        <v>2869</v>
      </c>
      <c r="AA910" s="230">
        <f>MONTH(Table2[[#This Row],[DATA PEDIDO HP]])</f>
        <v>12</v>
      </c>
      <c r="AB910" s="318" t="s">
        <v>42</v>
      </c>
      <c r="AC910" s="325">
        <f t="shared" ca="1" si="14"/>
        <v>46232</v>
      </c>
      <c r="AD910" s="331">
        <f ca="1">_xlfn.DAYS(Table2[[#This Row],[HOJE]],Table2[[#This Row],[DATA PEDIDO HP]])</f>
        <v>240</v>
      </c>
      <c r="AE910" s="332" t="str">
        <f ca="1">IF(Table2[[#This Row],[HOLD]]&gt;30,"ATRASADO","NO PRAZO")</f>
        <v>ATRASADO</v>
      </c>
      <c r="AF910" s="294"/>
      <c r="AG910" s="294"/>
      <c r="AH910" s="294"/>
      <c r="AI910" s="294"/>
      <c r="AJ910" s="294"/>
      <c r="AK910" s="294"/>
    </row>
    <row r="911" spans="1:37" s="295" customFormat="1" ht="14.45" hidden="1">
      <c r="A911" s="311" t="s">
        <v>2863</v>
      </c>
      <c r="B911" s="228">
        <v>45992</v>
      </c>
      <c r="C911" s="273">
        <v>45992</v>
      </c>
      <c r="D911" s="229" t="s">
        <v>2864</v>
      </c>
      <c r="E911" s="229" t="s">
        <v>381</v>
      </c>
      <c r="F911" s="229" t="s">
        <v>2496</v>
      </c>
      <c r="G911" s="229">
        <v>50000530</v>
      </c>
      <c r="H911" s="229" t="s">
        <v>1206</v>
      </c>
      <c r="I911" s="229" t="s">
        <v>2870</v>
      </c>
      <c r="J911" s="229">
        <v>4</v>
      </c>
      <c r="K911" s="229" t="s">
        <v>37</v>
      </c>
      <c r="L911" s="229" t="s">
        <v>217</v>
      </c>
      <c r="M911" s="229" t="s">
        <v>58</v>
      </c>
      <c r="N911" s="229" t="s">
        <v>58</v>
      </c>
      <c r="O911" s="229">
        <v>4</v>
      </c>
      <c r="P911" s="229">
        <v>4</v>
      </c>
      <c r="Q911" s="229">
        <v>148247</v>
      </c>
      <c r="R911" s="230" t="s">
        <v>1208</v>
      </c>
      <c r="S911" s="228"/>
      <c r="T911" s="273">
        <v>46056</v>
      </c>
      <c r="U911" s="273">
        <v>46065</v>
      </c>
      <c r="V911" s="230" t="s">
        <v>2586</v>
      </c>
      <c r="W911" s="230"/>
      <c r="X911" s="231">
        <v>19.52</v>
      </c>
      <c r="Y911" s="231">
        <f>Table2[[#This Row],[PREÇO UNITARIO]]*Table2[[#This Row],[QUANTIDADE]]</f>
        <v>78.08</v>
      </c>
      <c r="Z911" s="230" t="s">
        <v>2869</v>
      </c>
      <c r="AA911" s="230">
        <f>MONTH(Table2[[#This Row],[DATA PEDIDO HP]])</f>
        <v>12</v>
      </c>
      <c r="AB911" s="318" t="s">
        <v>42</v>
      </c>
      <c r="AC911" s="325">
        <f t="shared" ca="1" si="14"/>
        <v>46232</v>
      </c>
      <c r="AD911" s="331">
        <f ca="1">_xlfn.DAYS(Table2[[#This Row],[HOJE]],Table2[[#This Row],[DATA PEDIDO HP]])</f>
        <v>240</v>
      </c>
      <c r="AE911" s="332" t="str">
        <f ca="1">IF(Table2[[#This Row],[HOLD]]&gt;30,"ATRASADO","NO PRAZO")</f>
        <v>ATRASADO</v>
      </c>
      <c r="AF911" s="294"/>
      <c r="AG911" s="294"/>
      <c r="AH911" s="294"/>
      <c r="AI911" s="294"/>
      <c r="AJ911" s="294"/>
      <c r="AK911" s="294"/>
    </row>
    <row r="912" spans="1:37" s="295" customFormat="1" ht="14.45" hidden="1">
      <c r="A912" s="311" t="s">
        <v>2863</v>
      </c>
      <c r="B912" s="228">
        <v>45992</v>
      </c>
      <c r="C912" s="273">
        <v>45992</v>
      </c>
      <c r="D912" s="229" t="s">
        <v>2864</v>
      </c>
      <c r="E912" s="229" t="s">
        <v>381</v>
      </c>
      <c r="F912" s="229" t="s">
        <v>2496</v>
      </c>
      <c r="G912" s="229">
        <v>50000530</v>
      </c>
      <c r="H912" s="229" t="s">
        <v>1204</v>
      </c>
      <c r="I912" s="229" t="s">
        <v>2871</v>
      </c>
      <c r="J912" s="229">
        <v>4</v>
      </c>
      <c r="K912" s="229" t="s">
        <v>37</v>
      </c>
      <c r="L912" s="229" t="s">
        <v>217</v>
      </c>
      <c r="M912" s="229" t="s">
        <v>58</v>
      </c>
      <c r="N912" s="229" t="s">
        <v>58</v>
      </c>
      <c r="O912" s="229">
        <v>4</v>
      </c>
      <c r="P912" s="229">
        <v>4</v>
      </c>
      <c r="Q912" s="229">
        <v>148247</v>
      </c>
      <c r="R912" s="230"/>
      <c r="S912" s="228"/>
      <c r="T912" s="273">
        <v>46056</v>
      </c>
      <c r="U912" s="273">
        <v>46065</v>
      </c>
      <c r="V912" s="230" t="s">
        <v>2586</v>
      </c>
      <c r="W912" s="230"/>
      <c r="X912" s="231">
        <v>26.7</v>
      </c>
      <c r="Y912" s="231">
        <f>Table2[[#This Row],[PREÇO UNITARIO]]*Table2[[#This Row],[QUANTIDADE]]</f>
        <v>106.8</v>
      </c>
      <c r="Z912" s="230" t="s">
        <v>2869</v>
      </c>
      <c r="AA912" s="230">
        <f>MONTH(Table2[[#This Row],[DATA PEDIDO HP]])</f>
        <v>12</v>
      </c>
      <c r="AB912" s="318" t="s">
        <v>42</v>
      </c>
      <c r="AC912" s="325">
        <f t="shared" ca="1" si="14"/>
        <v>46232</v>
      </c>
      <c r="AD912" s="331">
        <f ca="1">_xlfn.DAYS(Table2[[#This Row],[HOJE]],Table2[[#This Row],[DATA PEDIDO HP]])</f>
        <v>240</v>
      </c>
      <c r="AE912" s="332" t="str">
        <f ca="1">IF(Table2[[#This Row],[HOLD]]&gt;30,"ATRASADO","NO PRAZO")</f>
        <v>ATRASADO</v>
      </c>
      <c r="AF912" s="294"/>
      <c r="AG912" s="294"/>
      <c r="AH912" s="294"/>
      <c r="AI912" s="294"/>
      <c r="AJ912" s="294"/>
      <c r="AK912" s="294"/>
    </row>
    <row r="913" spans="1:37" s="295" customFormat="1" ht="14.45" hidden="1">
      <c r="A913" s="311" t="s">
        <v>2863</v>
      </c>
      <c r="B913" s="228">
        <v>45992</v>
      </c>
      <c r="C913" s="273">
        <v>45992</v>
      </c>
      <c r="D913" s="229" t="s">
        <v>2864</v>
      </c>
      <c r="E913" s="229" t="s">
        <v>381</v>
      </c>
      <c r="F913" s="229" t="s">
        <v>2496</v>
      </c>
      <c r="G913" s="229">
        <v>50000530</v>
      </c>
      <c r="H913" s="229" t="s">
        <v>2872</v>
      </c>
      <c r="I913" s="229" t="s">
        <v>2873</v>
      </c>
      <c r="J913" s="229">
        <v>1</v>
      </c>
      <c r="K913" s="229" t="s">
        <v>37</v>
      </c>
      <c r="L913" s="229" t="s">
        <v>217</v>
      </c>
      <c r="M913" s="229" t="s">
        <v>58</v>
      </c>
      <c r="N913" s="229" t="s">
        <v>58</v>
      </c>
      <c r="O913" s="229">
        <v>1</v>
      </c>
      <c r="P913" s="229">
        <v>1</v>
      </c>
      <c r="Q913" s="229">
        <v>148247</v>
      </c>
      <c r="R913" s="230" t="s">
        <v>2874</v>
      </c>
      <c r="S913" s="228"/>
      <c r="T913" s="273">
        <v>46056</v>
      </c>
      <c r="U913" s="273">
        <v>46065</v>
      </c>
      <c r="V913" s="230" t="s">
        <v>2586</v>
      </c>
      <c r="W913" s="230"/>
      <c r="X913" s="231">
        <v>360.91</v>
      </c>
      <c r="Y913" s="231">
        <f>Table2[[#This Row],[PREÇO UNITARIO]]*Table2[[#This Row],[QUANTIDADE]]</f>
        <v>360.91</v>
      </c>
      <c r="Z913" s="230" t="s">
        <v>2869</v>
      </c>
      <c r="AA913" s="230">
        <f>MONTH(Table2[[#This Row],[DATA PEDIDO HP]])</f>
        <v>12</v>
      </c>
      <c r="AB913" s="318" t="s">
        <v>42</v>
      </c>
      <c r="AC913" s="325">
        <f t="shared" ca="1" si="14"/>
        <v>46232</v>
      </c>
      <c r="AD913" s="331">
        <f ca="1">_xlfn.DAYS(Table2[[#This Row],[HOJE]],Table2[[#This Row],[DATA PEDIDO HP]])</f>
        <v>240</v>
      </c>
      <c r="AE913" s="332" t="str">
        <f ca="1">IF(Table2[[#This Row],[HOLD]]&gt;30,"ATRASADO","NO PRAZO")</f>
        <v>ATRASADO</v>
      </c>
      <c r="AF913" s="294"/>
      <c r="AG913" s="294"/>
      <c r="AH913" s="294"/>
      <c r="AI913" s="294"/>
      <c r="AJ913" s="294"/>
      <c r="AK913" s="294"/>
    </row>
    <row r="914" spans="1:37" s="295" customFormat="1" ht="14.45" hidden="1">
      <c r="A914" s="311" t="s">
        <v>2875</v>
      </c>
      <c r="B914" s="228">
        <v>45993</v>
      </c>
      <c r="C914" s="317">
        <v>45993</v>
      </c>
      <c r="D914" s="313" t="s">
        <v>2876</v>
      </c>
      <c r="E914" s="313" t="s">
        <v>79</v>
      </c>
      <c r="F914" s="313" t="s">
        <v>2496</v>
      </c>
      <c r="G914" s="313">
        <v>50000530</v>
      </c>
      <c r="H914" s="313" t="s">
        <v>80</v>
      </c>
      <c r="I914" s="313" t="s">
        <v>433</v>
      </c>
      <c r="J914" s="313">
        <v>1</v>
      </c>
      <c r="K914" s="313" t="s">
        <v>37</v>
      </c>
      <c r="L914" s="313" t="s">
        <v>48</v>
      </c>
      <c r="M914" s="313" t="s">
        <v>58</v>
      </c>
      <c r="N914" s="313" t="s">
        <v>58</v>
      </c>
      <c r="O914" s="229">
        <v>1</v>
      </c>
      <c r="P914" s="229">
        <v>1</v>
      </c>
      <c r="Q914" s="313">
        <v>143951</v>
      </c>
      <c r="R914" s="230"/>
      <c r="S914" s="228"/>
      <c r="T914" s="273">
        <v>46056</v>
      </c>
      <c r="U914" s="273">
        <v>46065</v>
      </c>
      <c r="V914" s="230" t="s">
        <v>2586</v>
      </c>
      <c r="W914" s="230"/>
      <c r="X914" s="231">
        <v>49.81</v>
      </c>
      <c r="Y914" s="231">
        <f>Table2[[#This Row],[PREÇO UNITARIO]]*Table2[[#This Row],[QUANTIDADE]]</f>
        <v>49.81</v>
      </c>
      <c r="Z914" s="230"/>
      <c r="AA914" s="230">
        <f>MONTH(Table2[[#This Row],[DATA PEDIDO HP]])</f>
        <v>12</v>
      </c>
      <c r="AB914" s="290" t="s">
        <v>60</v>
      </c>
      <c r="AC914" s="5">
        <f t="shared" ca="1" si="14"/>
        <v>46232</v>
      </c>
      <c r="AD914" s="331">
        <f ca="1">_xlfn.DAYS(Table2[[#This Row],[HOJE]],Table2[[#This Row],[DATA PEDIDO HP]])</f>
        <v>239</v>
      </c>
      <c r="AE914" s="331" t="str">
        <f ca="1">IF(Table2[[#This Row],[HOLD]]&gt;30,"ATRASADO","NO PRAZO")</f>
        <v>ATRASADO</v>
      </c>
      <c r="AF914" s="294"/>
      <c r="AG914" s="294"/>
      <c r="AH914" s="294"/>
      <c r="AI914" s="294"/>
      <c r="AJ914" s="294"/>
      <c r="AK914" s="294"/>
    </row>
    <row r="915" spans="1:37" ht="14.45" hidden="1">
      <c r="A915" s="311" t="s">
        <v>2877</v>
      </c>
      <c r="B915" s="228">
        <v>45993</v>
      </c>
      <c r="C915" s="319">
        <v>45993</v>
      </c>
      <c r="D915" s="312" t="s">
        <v>2878</v>
      </c>
      <c r="E915" s="312" t="s">
        <v>73</v>
      </c>
      <c r="F915" s="312" t="s">
        <v>203</v>
      </c>
      <c r="G915" s="312">
        <v>60002095</v>
      </c>
      <c r="H915" s="312" t="s">
        <v>2879</v>
      </c>
      <c r="I915" s="312" t="s">
        <v>2880</v>
      </c>
      <c r="J915" s="312">
        <v>14</v>
      </c>
      <c r="K915" s="312" t="s">
        <v>37</v>
      </c>
      <c r="L915" s="312" t="s">
        <v>217</v>
      </c>
      <c r="M915" s="313" t="s">
        <v>88</v>
      </c>
      <c r="N915" s="313" t="s">
        <v>89</v>
      </c>
      <c r="O915" s="314">
        <v>0</v>
      </c>
      <c r="P915" s="314">
        <v>14</v>
      </c>
      <c r="Q915" s="312">
        <v>148445</v>
      </c>
      <c r="R915" s="314" t="s">
        <v>1585</v>
      </c>
      <c r="S915" s="320"/>
      <c r="T915" s="273">
        <v>46056</v>
      </c>
      <c r="U915" s="273">
        <v>46065</v>
      </c>
      <c r="V915" s="314" t="s">
        <v>2586</v>
      </c>
      <c r="W915" s="314"/>
      <c r="X915" s="321">
        <v>32.79</v>
      </c>
      <c r="Y915" s="231">
        <f>Table2[[#This Row],[PREÇO UNITARIO]]*Table2[[#This Row],[QUANTIDADE]]</f>
        <v>459.06</v>
      </c>
      <c r="Z915" s="314"/>
      <c r="AA915" s="230">
        <f>MONTH(Table2[[#This Row],[DATA PEDIDO HP]])</f>
        <v>12</v>
      </c>
      <c r="AB915" s="318"/>
      <c r="AC915" s="325">
        <f t="shared" ca="1" si="14"/>
        <v>46232</v>
      </c>
      <c r="AD915" s="331">
        <f ca="1">_xlfn.DAYS(Table2[[#This Row],[HOJE]],Table2[[#This Row],[DATA PEDIDO HP]])</f>
        <v>239</v>
      </c>
      <c r="AE915" s="332" t="str">
        <f ca="1">IF(Table2[[#This Row],[HOLD]]&gt;30,"ATRASADO","NO PRAZO")</f>
        <v>ATRASADO</v>
      </c>
    </row>
    <row r="916" spans="1:37" ht="14.45" hidden="1">
      <c r="A916" s="311" t="s">
        <v>2881</v>
      </c>
      <c r="B916" s="228">
        <v>45993</v>
      </c>
      <c r="C916" s="319">
        <v>45993</v>
      </c>
      <c r="D916" s="312"/>
      <c r="E916" s="312" t="s">
        <v>2132</v>
      </c>
      <c r="F916" s="312"/>
      <c r="G916" s="312">
        <v>60001111</v>
      </c>
      <c r="H916" s="312" t="s">
        <v>2882</v>
      </c>
      <c r="I916" s="312" t="s">
        <v>2883</v>
      </c>
      <c r="J916" s="312">
        <v>1</v>
      </c>
      <c r="K916" s="312"/>
      <c r="L916" s="312"/>
      <c r="M916" s="313" t="s">
        <v>384</v>
      </c>
      <c r="N916" s="313" t="s">
        <v>384</v>
      </c>
      <c r="O916" s="314"/>
      <c r="P916" s="314"/>
      <c r="Q916" s="312"/>
      <c r="R916" s="314"/>
      <c r="S916" s="320">
        <v>46086</v>
      </c>
      <c r="T916" s="273">
        <v>46056</v>
      </c>
      <c r="U916" s="273">
        <v>46065</v>
      </c>
      <c r="V916" s="314" t="s">
        <v>2586</v>
      </c>
      <c r="W916" s="314"/>
      <c r="X916" s="321">
        <v>3821.33</v>
      </c>
      <c r="Y916" s="231">
        <f>Table2[[#This Row],[PREÇO UNITARIO]]*Table2[[#This Row],[QUANTIDADE]]</f>
        <v>3821.33</v>
      </c>
      <c r="Z916" s="314"/>
      <c r="AA916" s="230">
        <f>MONTH(Table2[[#This Row],[DATA PEDIDO HP]])</f>
        <v>12</v>
      </c>
      <c r="AB916" s="318"/>
      <c r="AC916" s="325">
        <f t="shared" ca="1" si="14"/>
        <v>46232</v>
      </c>
      <c r="AD916" s="331">
        <f ca="1">_xlfn.DAYS(Table2[[#This Row],[HOJE]],Table2[[#This Row],[DATA PEDIDO HP]])</f>
        <v>239</v>
      </c>
      <c r="AE916" s="5" t="s">
        <v>43</v>
      </c>
    </row>
    <row r="917" spans="1:37" ht="14.45" hidden="1">
      <c r="A917" s="311" t="s">
        <v>2884</v>
      </c>
      <c r="B917" s="228">
        <v>45993</v>
      </c>
      <c r="C917" s="319">
        <v>45993</v>
      </c>
      <c r="D917" s="312"/>
      <c r="E917" s="312" t="s">
        <v>2132</v>
      </c>
      <c r="F917" s="312"/>
      <c r="G917" s="312">
        <v>60001111</v>
      </c>
      <c r="H917" s="312" t="s">
        <v>2885</v>
      </c>
      <c r="I917" s="312" t="s">
        <v>2886</v>
      </c>
      <c r="J917" s="312">
        <v>1</v>
      </c>
      <c r="K917" s="312"/>
      <c r="L917" s="312"/>
      <c r="M917" s="313" t="s">
        <v>384</v>
      </c>
      <c r="N917" s="313" t="s">
        <v>384</v>
      </c>
      <c r="O917" s="314"/>
      <c r="P917" s="314"/>
      <c r="Q917" s="312"/>
      <c r="R917" s="314"/>
      <c r="S917" s="320"/>
      <c r="T917" s="320"/>
      <c r="U917" s="320"/>
      <c r="V917" s="314"/>
      <c r="W917" s="314"/>
      <c r="X917" s="321">
        <v>91.45</v>
      </c>
      <c r="Y917" s="231">
        <f>Table2[[#This Row],[PREÇO UNITARIO]]*Table2[[#This Row],[QUANTIDADE]]</f>
        <v>91.45</v>
      </c>
      <c r="Z917" s="314"/>
      <c r="AA917" s="230">
        <f>MONTH(Table2[[#This Row],[DATA PEDIDO HP]])</f>
        <v>12</v>
      </c>
      <c r="AB917" s="318"/>
      <c r="AC917" s="325">
        <f t="shared" ca="1" si="14"/>
        <v>46232</v>
      </c>
      <c r="AD917" s="331">
        <f ca="1">_xlfn.DAYS(Table2[[#This Row],[HOJE]],Table2[[#This Row],[DATA PEDIDO HP]])</f>
        <v>239</v>
      </c>
      <c r="AE917" s="5" t="s">
        <v>43</v>
      </c>
    </row>
    <row r="918" spans="1:37" ht="14.45" hidden="1">
      <c r="A918" s="311" t="s">
        <v>2887</v>
      </c>
      <c r="B918" s="319">
        <v>45995</v>
      </c>
      <c r="C918" s="319">
        <v>45995</v>
      </c>
      <c r="D918" s="312" t="s">
        <v>2888</v>
      </c>
      <c r="E918" s="312" t="s">
        <v>1106</v>
      </c>
      <c r="F918" s="312" t="s">
        <v>1107</v>
      </c>
      <c r="G918" s="312">
        <v>51100110</v>
      </c>
      <c r="H918" s="312" t="s">
        <v>2889</v>
      </c>
      <c r="I918" s="312" t="s">
        <v>2890</v>
      </c>
      <c r="J918" s="312">
        <v>1</v>
      </c>
      <c r="K918" s="312" t="s">
        <v>37</v>
      </c>
      <c r="L918" s="312" t="s">
        <v>48</v>
      </c>
      <c r="M918" s="313" t="s">
        <v>58</v>
      </c>
      <c r="N918" s="313" t="s">
        <v>58</v>
      </c>
      <c r="O918" s="229">
        <v>1</v>
      </c>
      <c r="P918" s="229">
        <v>1</v>
      </c>
      <c r="Q918" s="312">
        <v>143878</v>
      </c>
      <c r="R918" s="314"/>
      <c r="S918" s="320"/>
      <c r="T918" s="273">
        <v>46056</v>
      </c>
      <c r="U918" s="273">
        <v>46065</v>
      </c>
      <c r="V918" s="314" t="s">
        <v>2586</v>
      </c>
      <c r="W918" s="314"/>
      <c r="X918" s="321">
        <v>245.03</v>
      </c>
      <c r="Y918" s="231">
        <f>Table2[[#This Row],[PREÇO UNITARIO]]*Table2[[#This Row],[QUANTIDADE]]</f>
        <v>245.03</v>
      </c>
      <c r="Z918" s="314"/>
      <c r="AA918" s="230">
        <f>MONTH(Table2[[#This Row],[DATA PEDIDO HP]])</f>
        <v>12</v>
      </c>
      <c r="AB918" s="318"/>
      <c r="AC918" s="325">
        <f t="shared" ca="1" si="14"/>
        <v>46232</v>
      </c>
      <c r="AD918" s="331">
        <f ca="1">_xlfn.DAYS(Table2[[#This Row],[HOJE]],Table2[[#This Row],[DATA PEDIDO HP]])</f>
        <v>237</v>
      </c>
      <c r="AE918" s="332" t="str">
        <f ca="1">IF(Table2[[#This Row],[HOLD]]&gt;30,"ATRASADO","NO PRAZO")</f>
        <v>ATRASADO</v>
      </c>
    </row>
    <row r="919" spans="1:37" ht="14.45" hidden="1">
      <c r="A919" s="311" t="s">
        <v>2891</v>
      </c>
      <c r="B919" s="319">
        <v>45995</v>
      </c>
      <c r="C919" s="319">
        <v>45994</v>
      </c>
      <c r="D919" s="312" t="s">
        <v>2892</v>
      </c>
      <c r="E919" s="312" t="s">
        <v>109</v>
      </c>
      <c r="F919" s="312" t="s">
        <v>2491</v>
      </c>
      <c r="G919" s="312">
        <v>50110229</v>
      </c>
      <c r="H919" s="312" t="s">
        <v>2365</v>
      </c>
      <c r="I919" s="312" t="s">
        <v>2893</v>
      </c>
      <c r="J919" s="312">
        <v>1</v>
      </c>
      <c r="K919" s="312" t="s">
        <v>37</v>
      </c>
      <c r="L919" s="312" t="s">
        <v>48</v>
      </c>
      <c r="M919" s="313" t="s">
        <v>58</v>
      </c>
      <c r="N919" s="313" t="s">
        <v>58</v>
      </c>
      <c r="O919" s="229">
        <v>1</v>
      </c>
      <c r="P919" s="229">
        <v>1</v>
      </c>
      <c r="Q919" s="312">
        <v>148742</v>
      </c>
      <c r="R919" s="314"/>
      <c r="S919" s="320"/>
      <c r="T919" s="26">
        <v>46070</v>
      </c>
      <c r="U919" s="320"/>
      <c r="V919" s="314" t="s">
        <v>2519</v>
      </c>
      <c r="W919" s="314"/>
      <c r="X919" s="322">
        <v>456.12</v>
      </c>
      <c r="Y919" s="231">
        <f>Table2[[#This Row],[PREÇO UNITARIO]]*Table2[[#This Row],[QUANTIDADE]]</f>
        <v>456.12</v>
      </c>
      <c r="Z919" s="314"/>
      <c r="AA919" s="230">
        <f>MONTH(Table2[[#This Row],[DATA PEDIDO HP]])</f>
        <v>12</v>
      </c>
      <c r="AB919" s="318"/>
      <c r="AC919" s="325">
        <f t="shared" ca="1" si="14"/>
        <v>46232</v>
      </c>
      <c r="AD919" s="331">
        <f ca="1">_xlfn.DAYS(Table2[[#This Row],[HOJE]],Table2[[#This Row],[DATA PEDIDO HP]])</f>
        <v>237</v>
      </c>
      <c r="AE919" s="5" t="s">
        <v>549</v>
      </c>
    </row>
    <row r="920" spans="1:37" ht="14.45" hidden="1">
      <c r="A920" s="311" t="s">
        <v>2894</v>
      </c>
      <c r="B920" s="319">
        <v>45995</v>
      </c>
      <c r="C920" s="319">
        <v>45995</v>
      </c>
      <c r="D920" s="312" t="s">
        <v>2895</v>
      </c>
      <c r="E920" s="312" t="s">
        <v>202</v>
      </c>
      <c r="F920" s="312" t="s">
        <v>203</v>
      </c>
      <c r="G920" s="312">
        <v>60002072</v>
      </c>
      <c r="H920" s="312" t="s">
        <v>1480</v>
      </c>
      <c r="I920" s="312" t="s">
        <v>1479</v>
      </c>
      <c r="J920" s="312">
        <v>9</v>
      </c>
      <c r="K920" s="312" t="s">
        <v>37</v>
      </c>
      <c r="L920" s="312" t="s">
        <v>346</v>
      </c>
      <c r="M920" s="313" t="s">
        <v>88</v>
      </c>
      <c r="N920" s="313" t="s">
        <v>89</v>
      </c>
      <c r="O920" s="314">
        <v>0</v>
      </c>
      <c r="P920" s="314">
        <v>9</v>
      </c>
      <c r="Q920" s="312"/>
      <c r="R920" s="314"/>
      <c r="S920" s="320"/>
      <c r="T920" s="273">
        <v>46056</v>
      </c>
      <c r="U920" s="273">
        <v>46065</v>
      </c>
      <c r="V920" s="314" t="s">
        <v>2586</v>
      </c>
      <c r="W920" s="314"/>
      <c r="X920" s="321">
        <v>530.75</v>
      </c>
      <c r="Y920" s="231">
        <f>Table2[[#This Row],[PREÇO UNITARIO]]*Table2[[#This Row],[QUANTIDADE]]</f>
        <v>4776.75</v>
      </c>
      <c r="Z920" s="314"/>
      <c r="AA920" s="230">
        <f>MONTH(Table2[[#This Row],[DATA PEDIDO HP]])</f>
        <v>12</v>
      </c>
      <c r="AB920" s="318"/>
      <c r="AC920" s="325">
        <f t="shared" ca="1" si="14"/>
        <v>46232</v>
      </c>
      <c r="AD920" s="331">
        <f ca="1">_xlfn.DAYS(Table2[[#This Row],[HOJE]],Table2[[#This Row],[DATA PEDIDO HP]])</f>
        <v>237</v>
      </c>
      <c r="AE920" s="331" t="s">
        <v>43</v>
      </c>
    </row>
    <row r="921" spans="1:37" ht="14.45" hidden="1">
      <c r="A921" s="311" t="s">
        <v>2896</v>
      </c>
      <c r="B921" s="319">
        <v>45995</v>
      </c>
      <c r="C921" s="319">
        <v>45995</v>
      </c>
      <c r="D921" s="312" t="s">
        <v>2897</v>
      </c>
      <c r="E921" s="312" t="s">
        <v>2472</v>
      </c>
      <c r="F921" s="14" t="s">
        <v>640</v>
      </c>
      <c r="G921" s="312">
        <v>48500811</v>
      </c>
      <c r="H921" s="312" t="s">
        <v>369</v>
      </c>
      <c r="I921" s="312" t="s">
        <v>2898</v>
      </c>
      <c r="J921" s="312">
        <v>1</v>
      </c>
      <c r="K921" s="312" t="s">
        <v>67</v>
      </c>
      <c r="L921" s="312" t="s">
        <v>294</v>
      </c>
      <c r="M921" s="313" t="s">
        <v>39</v>
      </c>
      <c r="N921" s="313" t="s">
        <v>39</v>
      </c>
      <c r="O921" s="229">
        <v>1</v>
      </c>
      <c r="P921" s="229">
        <v>1</v>
      </c>
      <c r="Q921" s="312">
        <v>148841</v>
      </c>
      <c r="R921" s="314"/>
      <c r="S921" s="320"/>
      <c r="T921" s="273">
        <v>46056</v>
      </c>
      <c r="U921" s="273">
        <v>46065</v>
      </c>
      <c r="V921" s="314" t="s">
        <v>2586</v>
      </c>
      <c r="W921" s="314"/>
      <c r="X921" s="321">
        <v>98.36</v>
      </c>
      <c r="Y921" s="231">
        <f>Table2[[#This Row],[PREÇO UNITARIO]]*Table2[[#This Row],[QUANTIDADE]]</f>
        <v>98.36</v>
      </c>
      <c r="Z921" s="314"/>
      <c r="AA921" s="230">
        <f>MONTH(Table2[[#This Row],[DATA PEDIDO HP]])</f>
        <v>12</v>
      </c>
      <c r="AB921" s="318"/>
      <c r="AC921" s="325">
        <f t="shared" ca="1" si="14"/>
        <v>46232</v>
      </c>
      <c r="AD921" s="331">
        <f ca="1">_xlfn.DAYS(Table2[[#This Row],[HOJE]],Table2[[#This Row],[DATA PEDIDO HP]])</f>
        <v>237</v>
      </c>
      <c r="AE921" s="5" t="s">
        <v>43</v>
      </c>
    </row>
    <row r="922" spans="1:37" ht="14.45" hidden="1">
      <c r="A922" s="311" t="s">
        <v>2899</v>
      </c>
      <c r="B922" s="319">
        <v>45995</v>
      </c>
      <c r="C922" s="319">
        <v>45950</v>
      </c>
      <c r="D922" s="312" t="s">
        <v>2900</v>
      </c>
      <c r="E922" s="312" t="s">
        <v>1837</v>
      </c>
      <c r="F922" s="312" t="s">
        <v>2491</v>
      </c>
      <c r="G922" s="312">
        <v>50200095</v>
      </c>
      <c r="H922" s="312" t="s">
        <v>80</v>
      </c>
      <c r="I922" s="312" t="s">
        <v>81</v>
      </c>
      <c r="J922" s="312">
        <v>1</v>
      </c>
      <c r="K922" s="312" t="s">
        <v>37</v>
      </c>
      <c r="L922" s="312" t="s">
        <v>96</v>
      </c>
      <c r="M922" s="313" t="s">
        <v>39</v>
      </c>
      <c r="N922" s="313" t="s">
        <v>39</v>
      </c>
      <c r="O922" s="229">
        <v>1</v>
      </c>
      <c r="P922" s="229">
        <v>1</v>
      </c>
      <c r="Q922" s="312">
        <v>149270</v>
      </c>
      <c r="R922" s="314"/>
      <c r="S922" s="320"/>
      <c r="T922" s="273">
        <v>46056</v>
      </c>
      <c r="U922" s="273">
        <v>46065</v>
      </c>
      <c r="V922" s="314" t="s">
        <v>2586</v>
      </c>
      <c r="W922" s="314"/>
      <c r="X922" s="321">
        <v>49.81</v>
      </c>
      <c r="Y922" s="231">
        <f>Table2[[#This Row],[PREÇO UNITARIO]]*Table2[[#This Row],[QUANTIDADE]]</f>
        <v>49.81</v>
      </c>
      <c r="Z922" s="314"/>
      <c r="AA922" s="230">
        <f>MONTH(Table2[[#This Row],[DATA PEDIDO HP]])</f>
        <v>12</v>
      </c>
      <c r="AB922" s="318"/>
      <c r="AC922" s="325">
        <f t="shared" ca="1" si="14"/>
        <v>46232</v>
      </c>
      <c r="AD922" s="331">
        <f ca="1">_xlfn.DAYS(Table2[[#This Row],[HOJE]],Table2[[#This Row],[DATA PEDIDO HP]])</f>
        <v>237</v>
      </c>
      <c r="AE922" s="332" t="str">
        <f ca="1">IF(Table2[[#This Row],[HOLD]]&gt;30,"ATRASADO","NO PRAZO")</f>
        <v>ATRASADO</v>
      </c>
    </row>
    <row r="923" spans="1:37" ht="14.45" hidden="1">
      <c r="A923" s="311" t="s">
        <v>2901</v>
      </c>
      <c r="B923" s="319">
        <v>45995</v>
      </c>
      <c r="C923" s="319">
        <v>45995</v>
      </c>
      <c r="D923" s="312" t="s">
        <v>2902</v>
      </c>
      <c r="E923" s="312" t="s">
        <v>109</v>
      </c>
      <c r="F923" s="312" t="s">
        <v>2491</v>
      </c>
      <c r="G923" s="312">
        <v>50110229</v>
      </c>
      <c r="H923" s="312" t="s">
        <v>1373</v>
      </c>
      <c r="I923" s="312" t="s">
        <v>2903</v>
      </c>
      <c r="J923" s="312">
        <v>1</v>
      </c>
      <c r="K923" s="312" t="s">
        <v>37</v>
      </c>
      <c r="L923" s="312" t="s">
        <v>48</v>
      </c>
      <c r="M923" s="313" t="s">
        <v>58</v>
      </c>
      <c r="N923" s="313" t="s">
        <v>58</v>
      </c>
      <c r="O923" s="229">
        <v>1</v>
      </c>
      <c r="P923" s="229">
        <v>1</v>
      </c>
      <c r="Q923" s="312">
        <v>149138</v>
      </c>
      <c r="R923" s="314"/>
      <c r="S923" s="320"/>
      <c r="T923" s="273">
        <v>46056</v>
      </c>
      <c r="U923" s="273">
        <v>46065</v>
      </c>
      <c r="V923" s="230" t="s">
        <v>2586</v>
      </c>
      <c r="W923" s="314"/>
      <c r="X923" s="321">
        <v>253.13</v>
      </c>
      <c r="Y923" s="231">
        <f>Table2[[#This Row],[PREÇO UNITARIO]]*Table2[[#This Row],[QUANTIDADE]]</f>
        <v>253.13</v>
      </c>
      <c r="Z923" s="314"/>
      <c r="AA923" s="230">
        <f>MONTH(Table2[[#This Row],[DATA PEDIDO HP]])</f>
        <v>12</v>
      </c>
      <c r="AB923" s="318"/>
      <c r="AC923" s="325">
        <f t="shared" ca="1" si="14"/>
        <v>46232</v>
      </c>
      <c r="AD923" s="331">
        <f ca="1">_xlfn.DAYS(Table2[[#This Row],[HOJE]],Table2[[#This Row],[DATA PEDIDO HP]])</f>
        <v>237</v>
      </c>
      <c r="AE923" s="332" t="str">
        <f ca="1">IF(Table2[[#This Row],[HOLD]]&gt;30,"ATRASADO","NO PRAZO")</f>
        <v>ATRASADO</v>
      </c>
    </row>
    <row r="924" spans="1:37" ht="14.45" hidden="1">
      <c r="A924" s="311" t="s">
        <v>2904</v>
      </c>
      <c r="B924" s="319">
        <v>45996</v>
      </c>
      <c r="C924" s="319">
        <v>45996</v>
      </c>
      <c r="D924" s="312" t="s">
        <v>2905</v>
      </c>
      <c r="E924" s="312" t="s">
        <v>33</v>
      </c>
      <c r="F924" s="312" t="s">
        <v>2491</v>
      </c>
      <c r="G924" s="312">
        <v>50110193</v>
      </c>
      <c r="H924" s="312" t="s">
        <v>94</v>
      </c>
      <c r="I924" s="312" t="s">
        <v>162</v>
      </c>
      <c r="J924" s="312">
        <v>1</v>
      </c>
      <c r="K924" s="312" t="s">
        <v>37</v>
      </c>
      <c r="L924" s="312" t="s">
        <v>96</v>
      </c>
      <c r="M924" s="313" t="s">
        <v>39</v>
      </c>
      <c r="N924" s="313" t="s">
        <v>39</v>
      </c>
      <c r="O924" s="229">
        <v>1</v>
      </c>
      <c r="P924" s="229">
        <v>1</v>
      </c>
      <c r="Q924" s="312">
        <v>149337</v>
      </c>
      <c r="R924" s="314"/>
      <c r="S924" s="320"/>
      <c r="T924" s="273">
        <v>46056</v>
      </c>
      <c r="U924" s="273">
        <v>46065</v>
      </c>
      <c r="V924" s="314" t="s">
        <v>2586</v>
      </c>
      <c r="W924" s="314"/>
      <c r="X924" s="321">
        <v>207.82</v>
      </c>
      <c r="Y924" s="231">
        <f>Table2[[#This Row],[PREÇO UNITARIO]]*Table2[[#This Row],[QUANTIDADE]]</f>
        <v>207.82</v>
      </c>
      <c r="Z924" s="314"/>
      <c r="AA924" s="230">
        <f>MONTH(Table2[[#This Row],[DATA PEDIDO HP]])</f>
        <v>12</v>
      </c>
      <c r="AB924" s="318"/>
      <c r="AC924" s="325">
        <f t="shared" ca="1" si="14"/>
        <v>46232</v>
      </c>
      <c r="AD924" s="331">
        <f ca="1">_xlfn.DAYS(Table2[[#This Row],[HOJE]],Table2[[#This Row],[DATA PEDIDO HP]])</f>
        <v>236</v>
      </c>
      <c r="AE924" s="332" t="str">
        <f ca="1">IF(Table2[[#This Row],[HOLD]]&gt;30,"ATRASADO","NO PRAZO")</f>
        <v>ATRASADO</v>
      </c>
    </row>
    <row r="925" spans="1:37" ht="14.45" hidden="1">
      <c r="A925" s="311" t="s">
        <v>2906</v>
      </c>
      <c r="B925" s="319">
        <v>45996</v>
      </c>
      <c r="C925" s="319">
        <v>45996</v>
      </c>
      <c r="D925" s="312" t="s">
        <v>2907</v>
      </c>
      <c r="E925" s="312" t="s">
        <v>63</v>
      </c>
      <c r="F925" s="312" t="s">
        <v>173</v>
      </c>
      <c r="G925" s="312">
        <v>48300301</v>
      </c>
      <c r="H925" s="312" t="s">
        <v>2908</v>
      </c>
      <c r="I925" s="312" t="s">
        <v>2909</v>
      </c>
      <c r="J925" s="312">
        <v>1</v>
      </c>
      <c r="K925" s="312" t="s">
        <v>37</v>
      </c>
      <c r="L925" s="312" t="s">
        <v>2556</v>
      </c>
      <c r="M925" s="313" t="s">
        <v>88</v>
      </c>
      <c r="N925" s="313" t="s">
        <v>89</v>
      </c>
      <c r="O925" s="314">
        <v>0</v>
      </c>
      <c r="P925" s="314">
        <v>0</v>
      </c>
      <c r="Q925" s="312">
        <v>149238</v>
      </c>
      <c r="R925" s="314"/>
      <c r="S925" s="320">
        <v>46091</v>
      </c>
      <c r="T925" s="273">
        <v>46056</v>
      </c>
      <c r="U925" s="273">
        <v>46065</v>
      </c>
      <c r="V925" s="314" t="s">
        <v>2586</v>
      </c>
      <c r="W925" s="314"/>
      <c r="X925" s="321">
        <v>114.32</v>
      </c>
      <c r="Y925" s="231">
        <f>Table2[[#This Row],[PREÇO UNITARIO]]*Table2[[#This Row],[QUANTIDADE]]</f>
        <v>114.32</v>
      </c>
      <c r="Z925" s="314"/>
      <c r="AA925" s="230">
        <f>MONTH(Table2[[#This Row],[DATA PEDIDO HP]])</f>
        <v>12</v>
      </c>
      <c r="AB925" s="318"/>
      <c r="AC925" s="325">
        <f t="shared" ca="1" si="14"/>
        <v>46232</v>
      </c>
      <c r="AD925" s="331">
        <f ca="1">_xlfn.DAYS(Table2[[#This Row],[HOJE]],Table2[[#This Row],[DATA PEDIDO HP]])</f>
        <v>236</v>
      </c>
      <c r="AE925" s="332" t="s">
        <v>43</v>
      </c>
    </row>
    <row r="926" spans="1:37" ht="14.45" hidden="1">
      <c r="A926" s="311" t="s">
        <v>2906</v>
      </c>
      <c r="B926" s="319">
        <v>45996</v>
      </c>
      <c r="C926" s="319">
        <v>45996</v>
      </c>
      <c r="D926" s="312" t="s">
        <v>2907</v>
      </c>
      <c r="E926" s="312" t="s">
        <v>63</v>
      </c>
      <c r="F926" s="312" t="s">
        <v>173</v>
      </c>
      <c r="G926" s="312">
        <v>48300301</v>
      </c>
      <c r="H926" s="312" t="s">
        <v>2910</v>
      </c>
      <c r="I926" s="312" t="s">
        <v>2911</v>
      </c>
      <c r="J926" s="312">
        <v>1</v>
      </c>
      <c r="K926" s="312" t="s">
        <v>37</v>
      </c>
      <c r="L926" s="312" t="s">
        <v>2556</v>
      </c>
      <c r="M926" s="313" t="s">
        <v>88</v>
      </c>
      <c r="N926" s="313" t="s">
        <v>89</v>
      </c>
      <c r="O926" s="314">
        <v>0</v>
      </c>
      <c r="P926" s="314">
        <v>0</v>
      </c>
      <c r="Q926" s="312">
        <v>149238</v>
      </c>
      <c r="R926" s="314"/>
      <c r="S926" s="320">
        <v>46091</v>
      </c>
      <c r="T926" s="273">
        <v>46056</v>
      </c>
      <c r="U926" s="273">
        <v>46065</v>
      </c>
      <c r="V926" s="314" t="s">
        <v>2586</v>
      </c>
      <c r="W926" s="314"/>
      <c r="X926" s="321">
        <v>127.38</v>
      </c>
      <c r="Y926" s="231">
        <f>Table2[[#This Row],[PREÇO UNITARIO]]*Table2[[#This Row],[QUANTIDADE]]</f>
        <v>127.38</v>
      </c>
      <c r="Z926" s="314"/>
      <c r="AA926" s="230">
        <f>MONTH(Table2[[#This Row],[DATA PEDIDO HP]])</f>
        <v>12</v>
      </c>
      <c r="AB926" s="318"/>
      <c r="AC926" s="325">
        <f t="shared" ca="1" si="14"/>
        <v>46232</v>
      </c>
      <c r="AD926" s="331">
        <f ca="1">_xlfn.DAYS(Table2[[#This Row],[HOJE]],Table2[[#This Row],[DATA PEDIDO HP]])</f>
        <v>236</v>
      </c>
      <c r="AE926" s="332" t="s">
        <v>43</v>
      </c>
    </row>
    <row r="927" spans="1:37" ht="14.45" hidden="1">
      <c r="A927" s="311" t="s">
        <v>2912</v>
      </c>
      <c r="B927" s="319">
        <v>45999</v>
      </c>
      <c r="C927" s="319">
        <v>45999</v>
      </c>
      <c r="D927" s="312" t="s">
        <v>2913</v>
      </c>
      <c r="E927" s="312" t="s">
        <v>2132</v>
      </c>
      <c r="F927" s="312" t="s">
        <v>203</v>
      </c>
      <c r="G927" s="312">
        <v>60001111</v>
      </c>
      <c r="H927" s="312" t="s">
        <v>446</v>
      </c>
      <c r="I927" s="312" t="s">
        <v>1182</v>
      </c>
      <c r="J927" s="312">
        <v>1</v>
      </c>
      <c r="K927" s="312" t="s">
        <v>37</v>
      </c>
      <c r="L927" s="312" t="s">
        <v>96</v>
      </c>
      <c r="M927" s="313" t="s">
        <v>58</v>
      </c>
      <c r="N927" s="312" t="s">
        <v>58</v>
      </c>
      <c r="O927" s="314">
        <v>1</v>
      </c>
      <c r="P927" s="314">
        <v>1</v>
      </c>
      <c r="Q927" s="312">
        <v>149699</v>
      </c>
      <c r="R927" s="314"/>
      <c r="S927" s="320"/>
      <c r="T927" s="273">
        <v>46056</v>
      </c>
      <c r="U927" s="273">
        <v>46065</v>
      </c>
      <c r="V927" s="314" t="s">
        <v>2586</v>
      </c>
      <c r="W927" s="314"/>
      <c r="X927" s="321">
        <v>83.29</v>
      </c>
      <c r="Y927" s="231">
        <f>Table2[[#This Row],[PREÇO UNITARIO]]*Table2[[#This Row],[QUANTIDADE]]</f>
        <v>83.29</v>
      </c>
      <c r="Z927" s="314"/>
      <c r="AA927" s="230">
        <f>MONTH(Table2[[#This Row],[DATA PEDIDO HP]])</f>
        <v>12</v>
      </c>
      <c r="AB927" s="318"/>
      <c r="AC927" s="325">
        <f t="shared" ca="1" si="14"/>
        <v>46232</v>
      </c>
      <c r="AD927" s="331">
        <f ca="1">_xlfn.DAYS(Table2[[#This Row],[HOJE]],Table2[[#This Row],[DATA PEDIDO HP]])</f>
        <v>233</v>
      </c>
      <c r="AE927" s="5" t="s">
        <v>43</v>
      </c>
    </row>
    <row r="928" spans="1:37" ht="14.45" hidden="1">
      <c r="A928" s="311" t="s">
        <v>2914</v>
      </c>
      <c r="B928" s="319">
        <v>45999</v>
      </c>
      <c r="C928" s="319">
        <v>45999</v>
      </c>
      <c r="D928" s="312" t="s">
        <v>2915</v>
      </c>
      <c r="E928" s="312" t="s">
        <v>103</v>
      </c>
      <c r="F928" s="312" t="s">
        <v>2916</v>
      </c>
      <c r="G928" s="312">
        <v>51000136</v>
      </c>
      <c r="H928" s="312" t="s">
        <v>2917</v>
      </c>
      <c r="I928" s="312" t="s">
        <v>2918</v>
      </c>
      <c r="J928" s="312">
        <v>1</v>
      </c>
      <c r="K928" s="14" t="s">
        <v>37</v>
      </c>
      <c r="L928" s="312" t="s">
        <v>363</v>
      </c>
      <c r="M928" s="313" t="s">
        <v>88</v>
      </c>
      <c r="N928" s="313" t="s">
        <v>89</v>
      </c>
      <c r="O928" s="314">
        <v>0</v>
      </c>
      <c r="P928" s="314">
        <v>0</v>
      </c>
      <c r="Q928" s="312"/>
      <c r="R928" s="314"/>
      <c r="S928" s="320"/>
      <c r="T928" s="320"/>
      <c r="U928" s="320"/>
      <c r="V928" s="314"/>
      <c r="W928" s="314"/>
      <c r="X928" s="322">
        <v>1214.3800000000001</v>
      </c>
      <c r="Y928" s="231">
        <f>Table2[[#This Row],[PREÇO UNITARIO]]*Table2[[#This Row],[QUANTIDADE]]</f>
        <v>1214.3800000000001</v>
      </c>
      <c r="Z928" s="314"/>
      <c r="AA928" s="230">
        <f>MONTH(Table2[[#This Row],[DATA PEDIDO HP]])</f>
        <v>12</v>
      </c>
      <c r="AB928" s="318"/>
      <c r="AC928" s="325">
        <f t="shared" ca="1" si="14"/>
        <v>46232</v>
      </c>
      <c r="AD928" s="331">
        <f ca="1">_xlfn.DAYS(Table2[[#This Row],[HOJE]],Table2[[#This Row],[DATA PEDIDO HP]])</f>
        <v>233</v>
      </c>
      <c r="AE928" s="5" t="s">
        <v>549</v>
      </c>
    </row>
    <row r="929" spans="1:31" ht="14.45" hidden="1">
      <c r="A929" s="311" t="s">
        <v>2914</v>
      </c>
      <c r="B929" s="319">
        <v>45999</v>
      </c>
      <c r="C929" s="319">
        <v>45999</v>
      </c>
      <c r="D929" s="312" t="s">
        <v>2915</v>
      </c>
      <c r="E929" s="312" t="s">
        <v>103</v>
      </c>
      <c r="F929" s="312" t="s">
        <v>2916</v>
      </c>
      <c r="G929" s="312">
        <v>51000136</v>
      </c>
      <c r="H929" s="312" t="s">
        <v>2919</v>
      </c>
      <c r="I929" s="312" t="s">
        <v>2920</v>
      </c>
      <c r="J929" s="312">
        <v>1</v>
      </c>
      <c r="K929" s="14" t="s">
        <v>37</v>
      </c>
      <c r="L929" s="312" t="s">
        <v>363</v>
      </c>
      <c r="M929" s="313" t="s">
        <v>88</v>
      </c>
      <c r="N929" s="313" t="s">
        <v>89</v>
      </c>
      <c r="O929" s="314">
        <v>0</v>
      </c>
      <c r="P929" s="314">
        <v>0</v>
      </c>
      <c r="Q929" s="312"/>
      <c r="R929" s="314"/>
      <c r="S929" s="320">
        <v>46091</v>
      </c>
      <c r="T929" s="25">
        <v>46069</v>
      </c>
      <c r="U929" s="25">
        <v>46078</v>
      </c>
      <c r="V929" s="314" t="s">
        <v>2189</v>
      </c>
      <c r="W929" s="314"/>
      <c r="X929" s="322">
        <v>2946.1</v>
      </c>
      <c r="Y929" s="231">
        <f>Table2[[#This Row],[PREÇO UNITARIO]]*Table2[[#This Row],[QUANTIDADE]]</f>
        <v>2946.1</v>
      </c>
      <c r="Z929" s="314"/>
      <c r="AA929" s="230">
        <f>MONTH(Table2[[#This Row],[DATA PEDIDO HP]])</f>
        <v>12</v>
      </c>
      <c r="AB929" s="318" t="s">
        <v>42</v>
      </c>
      <c r="AC929" s="325">
        <f t="shared" ca="1" si="14"/>
        <v>46232</v>
      </c>
      <c r="AD929" s="331">
        <f ca="1">_xlfn.DAYS(Table2[[#This Row],[HOJE]],Table2[[#This Row],[DATA PEDIDO HP]])</f>
        <v>233</v>
      </c>
      <c r="AE929" s="5" t="s">
        <v>43</v>
      </c>
    </row>
    <row r="930" spans="1:31" ht="14.45" hidden="1">
      <c r="A930" s="311" t="s">
        <v>2921</v>
      </c>
      <c r="B930" s="319">
        <v>46000</v>
      </c>
      <c r="C930" s="319">
        <v>45999</v>
      </c>
      <c r="D930" s="312" t="s">
        <v>2922</v>
      </c>
      <c r="E930" s="312" t="s">
        <v>445</v>
      </c>
      <c r="F930" s="312" t="s">
        <v>403</v>
      </c>
      <c r="G930" s="312">
        <v>50300097</v>
      </c>
      <c r="H930" s="312" t="s">
        <v>545</v>
      </c>
      <c r="I930" s="312" t="s">
        <v>2923</v>
      </c>
      <c r="J930" s="312">
        <v>1</v>
      </c>
      <c r="K930" s="312" t="s">
        <v>37</v>
      </c>
      <c r="L930" s="312" t="s">
        <v>294</v>
      </c>
      <c r="M930" s="313" t="s">
        <v>58</v>
      </c>
      <c r="N930" s="312" t="s">
        <v>58</v>
      </c>
      <c r="O930" s="229">
        <v>1</v>
      </c>
      <c r="P930" s="229">
        <v>1</v>
      </c>
      <c r="Q930" s="312">
        <v>149600</v>
      </c>
      <c r="R930" s="314"/>
      <c r="S930" s="320"/>
      <c r="T930" s="273">
        <v>46056</v>
      </c>
      <c r="U930" s="273">
        <v>46065</v>
      </c>
      <c r="V930" s="230" t="s">
        <v>2586</v>
      </c>
      <c r="W930" s="314"/>
      <c r="X930" s="321">
        <v>898.2</v>
      </c>
      <c r="Y930" s="231">
        <f>Table2[[#This Row],[PREÇO UNITARIO]]*Table2[[#This Row],[QUANTIDADE]]</f>
        <v>898.2</v>
      </c>
      <c r="Z930" s="314"/>
      <c r="AA930" s="230">
        <f>MONTH(Table2[[#This Row],[DATA PEDIDO HP]])</f>
        <v>12</v>
      </c>
      <c r="AB930" s="318"/>
      <c r="AC930" s="325">
        <f t="shared" ca="1" si="14"/>
        <v>46232</v>
      </c>
      <c r="AD930" s="331">
        <f ca="1">_xlfn.DAYS(Table2[[#This Row],[HOJE]],Table2[[#This Row],[DATA PEDIDO HP]])</f>
        <v>232</v>
      </c>
      <c r="AE930" s="332" t="str">
        <f ca="1">IF(Table2[[#This Row],[HOLD]]&gt;30,"ATRASADO","NO PRAZO")</f>
        <v>ATRASADO</v>
      </c>
    </row>
    <row r="931" spans="1:31" ht="14.45" hidden="1">
      <c r="A931" s="311" t="s">
        <v>2924</v>
      </c>
      <c r="B931" s="319">
        <v>46000</v>
      </c>
      <c r="C931" s="319">
        <v>46000</v>
      </c>
      <c r="D931" s="312" t="s">
        <v>2925</v>
      </c>
      <c r="E931" s="312" t="s">
        <v>73</v>
      </c>
      <c r="F931" s="312" t="s">
        <v>203</v>
      </c>
      <c r="G931" s="312">
        <v>60002095</v>
      </c>
      <c r="H931" s="312" t="s">
        <v>2926</v>
      </c>
      <c r="I931" s="312" t="s">
        <v>2927</v>
      </c>
      <c r="J931" s="312">
        <v>1</v>
      </c>
      <c r="K931" s="312" t="s">
        <v>37</v>
      </c>
      <c r="L931" s="312" t="s">
        <v>96</v>
      </c>
      <c r="M931" s="313" t="s">
        <v>58</v>
      </c>
      <c r="N931" s="312" t="s">
        <v>58</v>
      </c>
      <c r="O931" s="314">
        <v>1</v>
      </c>
      <c r="P931" s="314">
        <v>1</v>
      </c>
      <c r="Q931" s="312">
        <v>149897</v>
      </c>
      <c r="R931" s="314"/>
      <c r="S931" s="320"/>
      <c r="T931" s="25">
        <v>46069</v>
      </c>
      <c r="U931" s="25">
        <v>46078</v>
      </c>
      <c r="V931" s="314" t="s">
        <v>2189</v>
      </c>
      <c r="W931" s="314"/>
      <c r="X931" s="322">
        <v>173.5</v>
      </c>
      <c r="Y931" s="231">
        <f>Table2[[#This Row],[PREÇO UNITARIO]]*Table2[[#This Row],[QUANTIDADE]]</f>
        <v>173.5</v>
      </c>
      <c r="Z931" s="314"/>
      <c r="AA931" s="230">
        <f>MONTH(Table2[[#This Row],[DATA PEDIDO HP]])</f>
        <v>12</v>
      </c>
      <c r="AB931" s="318"/>
      <c r="AC931" s="325">
        <f t="shared" ca="1" si="14"/>
        <v>46232</v>
      </c>
      <c r="AD931" s="331">
        <f ca="1">_xlfn.DAYS(Table2[[#This Row],[HOJE]],Table2[[#This Row],[DATA PEDIDO HP]])</f>
        <v>232</v>
      </c>
      <c r="AE931" s="5" t="s">
        <v>549</v>
      </c>
    </row>
    <row r="932" spans="1:31" ht="14.45" hidden="1">
      <c r="A932" s="311" t="s">
        <v>2928</v>
      </c>
      <c r="B932" s="319">
        <v>46000</v>
      </c>
      <c r="C932" s="319">
        <v>46000</v>
      </c>
      <c r="D932" s="312" t="s">
        <v>2929</v>
      </c>
      <c r="E932" s="312" t="s">
        <v>1106</v>
      </c>
      <c r="F932" s="312" t="s">
        <v>1107</v>
      </c>
      <c r="G932" s="312">
        <v>51100110</v>
      </c>
      <c r="H932" s="312" t="s">
        <v>1373</v>
      </c>
      <c r="I932" s="312" t="s">
        <v>2930</v>
      </c>
      <c r="J932" s="312">
        <v>1</v>
      </c>
      <c r="K932" s="312" t="s">
        <v>37</v>
      </c>
      <c r="L932" s="312" t="s">
        <v>96</v>
      </c>
      <c r="M932" s="313" t="s">
        <v>58</v>
      </c>
      <c r="N932" s="313" t="s">
        <v>58</v>
      </c>
      <c r="O932" s="229">
        <v>1</v>
      </c>
      <c r="P932" s="229">
        <v>1</v>
      </c>
      <c r="Q932" s="312">
        <v>149798</v>
      </c>
      <c r="R932" s="314"/>
      <c r="S932" s="320"/>
      <c r="T932" s="273">
        <v>46056</v>
      </c>
      <c r="U932" s="273">
        <v>46065</v>
      </c>
      <c r="V932" s="230" t="s">
        <v>2586</v>
      </c>
      <c r="W932" s="314"/>
      <c r="X932" s="321">
        <v>253.13</v>
      </c>
      <c r="Y932" s="231">
        <f>Table2[[#This Row],[PREÇO UNITARIO]]*Table2[[#This Row],[QUANTIDADE]]</f>
        <v>253.13</v>
      </c>
      <c r="Z932" s="314"/>
      <c r="AA932" s="230">
        <f>MONTH(Table2[[#This Row],[DATA PEDIDO HP]])</f>
        <v>12</v>
      </c>
      <c r="AB932" s="318"/>
      <c r="AC932" s="325">
        <f t="shared" ca="1" si="14"/>
        <v>46232</v>
      </c>
      <c r="AD932" s="331">
        <f ca="1">_xlfn.DAYS(Table2[[#This Row],[HOJE]],Table2[[#This Row],[DATA PEDIDO HP]])</f>
        <v>232</v>
      </c>
      <c r="AE932" s="332" t="str">
        <f ca="1">IF(Table2[[#This Row],[HOLD]]&gt;30,"ATRASADO","NO PRAZO")</f>
        <v>ATRASADO</v>
      </c>
    </row>
    <row r="933" spans="1:31" ht="14.45" hidden="1">
      <c r="A933" s="311" t="s">
        <v>2931</v>
      </c>
      <c r="B933" s="319">
        <v>46001</v>
      </c>
      <c r="C933" s="319">
        <v>46001</v>
      </c>
      <c r="D933" s="312" t="s">
        <v>2932</v>
      </c>
      <c r="E933" s="312" t="s">
        <v>445</v>
      </c>
      <c r="F933" s="312" t="s">
        <v>403</v>
      </c>
      <c r="G933" s="312">
        <v>50300097</v>
      </c>
      <c r="H933" s="312" t="s">
        <v>75</v>
      </c>
      <c r="I933" s="312" t="s">
        <v>76</v>
      </c>
      <c r="J933" s="312">
        <v>1</v>
      </c>
      <c r="K933" s="312" t="s">
        <v>37</v>
      </c>
      <c r="L933" s="312" t="s">
        <v>96</v>
      </c>
      <c r="M933" s="313" t="s">
        <v>58</v>
      </c>
      <c r="N933" s="313" t="s">
        <v>58</v>
      </c>
      <c r="O933" s="229">
        <v>1</v>
      </c>
      <c r="P933" s="229">
        <v>1</v>
      </c>
      <c r="Q933" s="312">
        <v>150359</v>
      </c>
      <c r="R933" s="314"/>
      <c r="S933" s="320"/>
      <c r="T933" s="273">
        <v>46056</v>
      </c>
      <c r="U933" s="273">
        <v>46065</v>
      </c>
      <c r="V933" s="314" t="s">
        <v>2586</v>
      </c>
      <c r="W933" s="314"/>
      <c r="X933" s="321">
        <v>1187.4100000000001</v>
      </c>
      <c r="Y933" s="231">
        <f>Table2[[#This Row],[PREÇO UNITARIO]]*Table2[[#This Row],[QUANTIDADE]]</f>
        <v>1187.4100000000001</v>
      </c>
      <c r="Z933" s="314"/>
      <c r="AA933" s="230">
        <f>MONTH(Table2[[#This Row],[DATA PEDIDO HP]])</f>
        <v>12</v>
      </c>
      <c r="AB933" s="318"/>
      <c r="AC933" s="325">
        <f t="shared" ca="1" si="14"/>
        <v>46232</v>
      </c>
      <c r="AD933" s="331">
        <f ca="1">_xlfn.DAYS(Table2[[#This Row],[HOJE]],Table2[[#This Row],[DATA PEDIDO HP]])</f>
        <v>231</v>
      </c>
      <c r="AE933" s="332" t="str">
        <f ca="1">IF(Table2[[#This Row],[HOLD]]&gt;30,"ATRASADO","NO PRAZO")</f>
        <v>ATRASADO</v>
      </c>
    </row>
    <row r="934" spans="1:31" ht="14.45" hidden="1">
      <c r="A934" s="311" t="s">
        <v>2933</v>
      </c>
      <c r="B934" s="319">
        <v>46002</v>
      </c>
      <c r="C934" s="319">
        <v>46002</v>
      </c>
      <c r="D934" s="312" t="s">
        <v>2934</v>
      </c>
      <c r="E934" s="312" t="s">
        <v>202</v>
      </c>
      <c r="F934" s="312" t="s">
        <v>203</v>
      </c>
      <c r="G934" s="312">
        <v>60002072</v>
      </c>
      <c r="H934" s="312" t="s">
        <v>2935</v>
      </c>
      <c r="I934" s="312" t="s">
        <v>2936</v>
      </c>
      <c r="J934" s="312">
        <v>1</v>
      </c>
      <c r="K934" s="312" t="s">
        <v>37</v>
      </c>
      <c r="L934" s="312" t="s">
        <v>96</v>
      </c>
      <c r="M934" s="313" t="s">
        <v>88</v>
      </c>
      <c r="N934" s="313" t="s">
        <v>89</v>
      </c>
      <c r="O934" s="314">
        <v>0</v>
      </c>
      <c r="P934" s="314">
        <v>1</v>
      </c>
      <c r="Q934" s="312">
        <v>149898</v>
      </c>
      <c r="R934" s="314"/>
      <c r="S934" s="320"/>
      <c r="T934" s="273">
        <v>46056</v>
      </c>
      <c r="U934" s="273">
        <v>46065</v>
      </c>
      <c r="V934" s="314" t="s">
        <v>2586</v>
      </c>
      <c r="W934" s="314"/>
      <c r="X934" s="321">
        <v>723.56</v>
      </c>
      <c r="Y934" s="231">
        <f>Table2[[#This Row],[PREÇO UNITARIO]]*Table2[[#This Row],[QUANTIDADE]]</f>
        <v>723.56</v>
      </c>
      <c r="Z934" s="314"/>
      <c r="AA934" s="230">
        <f>MONTH(Table2[[#This Row],[DATA PEDIDO HP]])</f>
        <v>12</v>
      </c>
      <c r="AB934" s="318"/>
      <c r="AC934" s="325">
        <f t="shared" ca="1" si="14"/>
        <v>46232</v>
      </c>
      <c r="AD934" s="331">
        <f ca="1">_xlfn.DAYS(Table2[[#This Row],[HOJE]],Table2[[#This Row],[DATA PEDIDO HP]])</f>
        <v>230</v>
      </c>
      <c r="AE934" s="331" t="s">
        <v>43</v>
      </c>
    </row>
    <row r="935" spans="1:31" ht="14.45" hidden="1">
      <c r="A935" s="311" t="s">
        <v>2937</v>
      </c>
      <c r="B935" s="319">
        <v>46003</v>
      </c>
      <c r="C935" s="319">
        <v>46003</v>
      </c>
      <c r="D935" s="312" t="s">
        <v>2938</v>
      </c>
      <c r="E935" s="312" t="s">
        <v>720</v>
      </c>
      <c r="F935" s="312" t="s">
        <v>64</v>
      </c>
      <c r="G935" s="312">
        <v>48000002</v>
      </c>
      <c r="H935" s="312" t="s">
        <v>1591</v>
      </c>
      <c r="I935" s="312" t="s">
        <v>2939</v>
      </c>
      <c r="J935" s="312">
        <v>1</v>
      </c>
      <c r="K935" s="312" t="s">
        <v>37</v>
      </c>
      <c r="L935" s="312" t="s">
        <v>48</v>
      </c>
      <c r="M935" s="313" t="s">
        <v>58</v>
      </c>
      <c r="N935" s="313" t="s">
        <v>58</v>
      </c>
      <c r="O935" s="229">
        <v>1</v>
      </c>
      <c r="P935" s="229">
        <v>1</v>
      </c>
      <c r="Q935" s="312">
        <v>149469</v>
      </c>
      <c r="R935" s="314"/>
      <c r="S935" s="320"/>
      <c r="T935" s="273">
        <v>46056</v>
      </c>
      <c r="U935" s="273">
        <v>46065</v>
      </c>
      <c r="V935" s="314" t="s">
        <v>2586</v>
      </c>
      <c r="W935" s="314"/>
      <c r="X935" s="321">
        <v>290.23</v>
      </c>
      <c r="Y935" s="231">
        <f>Table2[[#This Row],[PREÇO UNITARIO]]*Table2[[#This Row],[QUANTIDADE]]</f>
        <v>290.23</v>
      </c>
      <c r="Z935" s="314"/>
      <c r="AA935" s="230">
        <f>MONTH(Table2[[#This Row],[DATA PEDIDO HP]])</f>
        <v>12</v>
      </c>
      <c r="AB935" s="318"/>
      <c r="AC935" s="325">
        <f t="shared" ca="1" si="14"/>
        <v>46232</v>
      </c>
      <c r="AD935" s="331">
        <f ca="1">_xlfn.DAYS(Table2[[#This Row],[HOJE]],Table2[[#This Row],[DATA PEDIDO HP]])</f>
        <v>229</v>
      </c>
      <c r="AE935" s="332" t="str">
        <f ca="1">IF(Table2[[#This Row],[HOLD]]&gt;30,"ATRASADO","NO PRAZO")</f>
        <v>ATRASADO</v>
      </c>
    </row>
    <row r="936" spans="1:31" ht="14.45" hidden="1">
      <c r="A936" s="311" t="s">
        <v>2940</v>
      </c>
      <c r="B936" s="319">
        <v>46003</v>
      </c>
      <c r="C936" s="319">
        <v>46003</v>
      </c>
      <c r="D936" s="312" t="s">
        <v>2941</v>
      </c>
      <c r="E936" s="312" t="s">
        <v>103</v>
      </c>
      <c r="F936" s="312" t="s">
        <v>2527</v>
      </c>
      <c r="G936" s="312">
        <v>51000323</v>
      </c>
      <c r="H936" s="312" t="s">
        <v>750</v>
      </c>
      <c r="I936" s="312" t="s">
        <v>2449</v>
      </c>
      <c r="J936" s="312">
        <v>1</v>
      </c>
      <c r="K936" s="312" t="s">
        <v>37</v>
      </c>
      <c r="L936" s="312" t="s">
        <v>48</v>
      </c>
      <c r="M936" s="313" t="s">
        <v>58</v>
      </c>
      <c r="N936" s="313" t="s">
        <v>58</v>
      </c>
      <c r="O936" s="229">
        <v>1</v>
      </c>
      <c r="P936" s="229">
        <v>1</v>
      </c>
      <c r="Q936" s="312">
        <v>146004</v>
      </c>
      <c r="R936" s="314" t="s">
        <v>743</v>
      </c>
      <c r="S936" s="320"/>
      <c r="T936" s="273">
        <v>46056</v>
      </c>
      <c r="U936" s="273">
        <v>46065</v>
      </c>
      <c r="V936" s="314" t="s">
        <v>2586</v>
      </c>
      <c r="W936" s="314"/>
      <c r="X936" s="321">
        <v>874.36</v>
      </c>
      <c r="Y936" s="231">
        <f>Table2[[#This Row],[PREÇO UNITARIO]]*Table2[[#This Row],[QUANTIDADE]]</f>
        <v>874.36</v>
      </c>
      <c r="Z936" s="314"/>
      <c r="AA936" s="230">
        <f>MONTH(Table2[[#This Row],[DATA PEDIDO HP]])</f>
        <v>12</v>
      </c>
      <c r="AB936" s="318"/>
      <c r="AC936" s="325">
        <f t="shared" ca="1" si="14"/>
        <v>46232</v>
      </c>
      <c r="AD936" s="331">
        <f ca="1">_xlfn.DAYS(Table2[[#This Row],[HOJE]],Table2[[#This Row],[DATA PEDIDO HP]])</f>
        <v>229</v>
      </c>
      <c r="AE936" s="332" t="str">
        <f ca="1">IF(Table2[[#This Row],[HOLD]]&gt;30,"ATRASADO","NO PRAZO")</f>
        <v>ATRASADO</v>
      </c>
    </row>
    <row r="937" spans="1:31" ht="14.45" hidden="1">
      <c r="A937" s="311" t="s">
        <v>2942</v>
      </c>
      <c r="B937" s="319">
        <v>46003</v>
      </c>
      <c r="C937" s="319">
        <v>46003</v>
      </c>
      <c r="D937" s="312" t="s">
        <v>2943</v>
      </c>
      <c r="E937" s="312" t="s">
        <v>898</v>
      </c>
      <c r="F937" s="312" t="s">
        <v>899</v>
      </c>
      <c r="G937" s="312">
        <v>48500271</v>
      </c>
      <c r="H937" s="312" t="s">
        <v>856</v>
      </c>
      <c r="I937" s="312" t="s">
        <v>1877</v>
      </c>
      <c r="J937" s="312">
        <v>1</v>
      </c>
      <c r="K937" s="312" t="s">
        <v>37</v>
      </c>
      <c r="L937" s="312" t="s">
        <v>48</v>
      </c>
      <c r="M937" s="313" t="s">
        <v>39</v>
      </c>
      <c r="N937" s="313" t="s">
        <v>39</v>
      </c>
      <c r="O937" s="229">
        <v>1</v>
      </c>
      <c r="P937" s="229">
        <v>1</v>
      </c>
      <c r="Q937" s="312">
        <v>150821</v>
      </c>
      <c r="R937" s="314"/>
      <c r="S937" s="320"/>
      <c r="T937" s="25">
        <v>46069</v>
      </c>
      <c r="U937" s="25">
        <v>46078</v>
      </c>
      <c r="V937" s="314" t="s">
        <v>2189</v>
      </c>
      <c r="W937" s="314"/>
      <c r="X937" s="322">
        <v>274.36</v>
      </c>
      <c r="Y937" s="231">
        <f>Table2[[#This Row],[PREÇO UNITARIO]]*Table2[[#This Row],[QUANTIDADE]]</f>
        <v>274.36</v>
      </c>
      <c r="Z937" s="314"/>
      <c r="AA937" s="230">
        <f>MONTH(Table2[[#This Row],[DATA PEDIDO HP]])</f>
        <v>12</v>
      </c>
      <c r="AB937" s="318"/>
      <c r="AC937" s="325">
        <f t="shared" ca="1" si="14"/>
        <v>46232</v>
      </c>
      <c r="AD937" s="331">
        <f ca="1">_xlfn.DAYS(Table2[[#This Row],[HOJE]],Table2[[#This Row],[DATA PEDIDO HP]])</f>
        <v>229</v>
      </c>
      <c r="AE937" s="5" t="s">
        <v>549</v>
      </c>
    </row>
    <row r="938" spans="1:31" ht="14.45" hidden="1">
      <c r="A938" s="311" t="s">
        <v>2944</v>
      </c>
      <c r="B938" s="319">
        <v>46003</v>
      </c>
      <c r="C938" s="319">
        <v>46003</v>
      </c>
      <c r="D938" s="312" t="s">
        <v>2945</v>
      </c>
      <c r="E938" s="312" t="s">
        <v>79</v>
      </c>
      <c r="F938" s="312" t="s">
        <v>2496</v>
      </c>
      <c r="G938" s="312">
        <v>50000530</v>
      </c>
      <c r="H938" s="312" t="s">
        <v>2070</v>
      </c>
      <c r="I938" s="312" t="s">
        <v>2946</v>
      </c>
      <c r="J938" s="312">
        <v>1</v>
      </c>
      <c r="K938" s="312" t="s">
        <v>37</v>
      </c>
      <c r="L938" s="312" t="s">
        <v>48</v>
      </c>
      <c r="M938" s="313" t="s">
        <v>58</v>
      </c>
      <c r="N938" s="313" t="s">
        <v>58</v>
      </c>
      <c r="O938" s="229">
        <v>1</v>
      </c>
      <c r="P938" s="229">
        <v>1</v>
      </c>
      <c r="Q938" s="312">
        <v>149072</v>
      </c>
      <c r="R938" s="314"/>
      <c r="S938" s="320"/>
      <c r="T938" s="273">
        <v>46056</v>
      </c>
      <c r="U938" s="273">
        <v>46065</v>
      </c>
      <c r="V938" s="314" t="s">
        <v>2586</v>
      </c>
      <c r="W938" s="314"/>
      <c r="X938" s="321">
        <v>2457.8000000000002</v>
      </c>
      <c r="Y938" s="231">
        <f>Table2[[#This Row],[PREÇO UNITARIO]]*Table2[[#This Row],[QUANTIDADE]]</f>
        <v>2457.8000000000002</v>
      </c>
      <c r="Z938" s="314"/>
      <c r="AA938" s="230">
        <f>MONTH(Table2[[#This Row],[DATA PEDIDO HP]])</f>
        <v>12</v>
      </c>
      <c r="AB938" s="318"/>
      <c r="AC938" s="325">
        <f t="shared" ca="1" si="14"/>
        <v>46232</v>
      </c>
      <c r="AD938" s="331">
        <f ca="1">_xlfn.DAYS(Table2[[#This Row],[HOJE]],Table2[[#This Row],[DATA PEDIDO HP]])</f>
        <v>229</v>
      </c>
      <c r="AE938" s="332" t="str">
        <f ca="1">IF(Table2[[#This Row],[HOLD]]&gt;30,"ATRASADO","NO PRAZO")</f>
        <v>ATRASADO</v>
      </c>
    </row>
    <row r="939" spans="1:31" ht="14.45" hidden="1">
      <c r="A939" s="311" t="s">
        <v>2947</v>
      </c>
      <c r="B939" s="319">
        <v>46003</v>
      </c>
      <c r="C939" s="319">
        <v>46003</v>
      </c>
      <c r="D939" s="312" t="s">
        <v>2948</v>
      </c>
      <c r="E939" s="312" t="s">
        <v>73</v>
      </c>
      <c r="F939" s="312" t="s">
        <v>203</v>
      </c>
      <c r="G939" s="312">
        <v>60002095</v>
      </c>
      <c r="H939" s="312" t="s">
        <v>134</v>
      </c>
      <c r="I939" s="312" t="s">
        <v>1266</v>
      </c>
      <c r="J939" s="312">
        <v>1</v>
      </c>
      <c r="K939" s="312" t="s">
        <v>37</v>
      </c>
      <c r="L939" s="312" t="s">
        <v>96</v>
      </c>
      <c r="M939" s="313" t="s">
        <v>39</v>
      </c>
      <c r="N939" s="313" t="s">
        <v>39</v>
      </c>
      <c r="O939" s="314">
        <v>1</v>
      </c>
      <c r="P939" s="314">
        <v>1</v>
      </c>
      <c r="Q939" s="312">
        <v>150854</v>
      </c>
      <c r="R939" s="314"/>
      <c r="S939" s="320"/>
      <c r="T939" s="273">
        <v>46056</v>
      </c>
      <c r="U939" s="273">
        <v>46065</v>
      </c>
      <c r="V939" s="314" t="s">
        <v>2586</v>
      </c>
      <c r="W939" s="314"/>
      <c r="X939" s="321">
        <v>42.46</v>
      </c>
      <c r="Y939" s="231">
        <f>Table2[[#This Row],[PREÇO UNITARIO]]*Table2[[#This Row],[QUANTIDADE]]</f>
        <v>42.46</v>
      </c>
      <c r="Z939" s="314"/>
      <c r="AA939" s="230">
        <f>MONTH(Table2[[#This Row],[DATA PEDIDO HP]])</f>
        <v>12</v>
      </c>
      <c r="AB939" s="318"/>
      <c r="AC939" s="325">
        <f t="shared" ca="1" si="14"/>
        <v>46232</v>
      </c>
      <c r="AD939" s="331">
        <f ca="1">_xlfn.DAYS(Table2[[#This Row],[HOJE]],Table2[[#This Row],[DATA PEDIDO HP]])</f>
        <v>229</v>
      </c>
      <c r="AE939" s="332" t="str">
        <f ca="1">IF(Table2[[#This Row],[HOLD]]&gt;30,"ATRASADO","NO PRAZO")</f>
        <v>ATRASADO</v>
      </c>
    </row>
    <row r="940" spans="1:31" ht="14.45" hidden="1">
      <c r="A940" s="311" t="s">
        <v>2949</v>
      </c>
      <c r="B940" s="319">
        <v>46003</v>
      </c>
      <c r="C940" s="319">
        <v>46003</v>
      </c>
      <c r="D940" s="312" t="s">
        <v>2950</v>
      </c>
      <c r="E940" s="312" t="s">
        <v>33</v>
      </c>
      <c r="F940" s="312" t="s">
        <v>2491</v>
      </c>
      <c r="G940" s="312">
        <v>50110193</v>
      </c>
      <c r="H940" s="312" t="s">
        <v>2951</v>
      </c>
      <c r="I940" s="312" t="s">
        <v>2952</v>
      </c>
      <c r="J940" s="312">
        <v>1</v>
      </c>
      <c r="K940" s="312" t="s">
        <v>37</v>
      </c>
      <c r="L940" s="312" t="s">
        <v>48</v>
      </c>
      <c r="M940" s="313" t="s">
        <v>58</v>
      </c>
      <c r="N940" s="313" t="s">
        <v>58</v>
      </c>
      <c r="O940" s="229">
        <v>1</v>
      </c>
      <c r="P940" s="229">
        <v>1</v>
      </c>
      <c r="Q940" s="312">
        <v>149931</v>
      </c>
      <c r="R940" s="314"/>
      <c r="S940" s="320"/>
      <c r="T940" s="273">
        <v>46056</v>
      </c>
      <c r="U940" s="273">
        <v>46065</v>
      </c>
      <c r="V940" s="230" t="s">
        <v>2586</v>
      </c>
      <c r="W940" s="314"/>
      <c r="X940" s="321">
        <v>21.59</v>
      </c>
      <c r="Y940" s="231">
        <f>Table2[[#This Row],[PREÇO UNITARIO]]*Table2[[#This Row],[QUANTIDADE]]</f>
        <v>21.59</v>
      </c>
      <c r="Z940" s="314"/>
      <c r="AA940" s="230">
        <f>MONTH(Table2[[#This Row],[DATA PEDIDO HP]])</f>
        <v>12</v>
      </c>
      <c r="AB940" s="318"/>
      <c r="AC940" s="325">
        <f t="shared" ca="1" si="14"/>
        <v>46232</v>
      </c>
      <c r="AD940" s="331">
        <f ca="1">_xlfn.DAYS(Table2[[#This Row],[HOJE]],Table2[[#This Row],[DATA PEDIDO HP]])</f>
        <v>229</v>
      </c>
      <c r="AE940" s="332" t="str">
        <f ca="1">IF(Table2[[#This Row],[HOLD]]&gt;30,"ATRASADO","NO PRAZO")</f>
        <v>ATRASADO</v>
      </c>
    </row>
    <row r="941" spans="1:31" ht="14.45" hidden="1">
      <c r="A941" s="311" t="s">
        <v>2953</v>
      </c>
      <c r="B941" s="319">
        <v>46003</v>
      </c>
      <c r="C941" s="319">
        <v>46003</v>
      </c>
      <c r="D941" s="312" t="s">
        <v>2954</v>
      </c>
      <c r="E941" s="312" t="s">
        <v>73</v>
      </c>
      <c r="F941" s="312" t="s">
        <v>2491</v>
      </c>
      <c r="G941" s="312">
        <v>50110372</v>
      </c>
      <c r="H941" s="312" t="s">
        <v>2955</v>
      </c>
      <c r="I941" s="312" t="s">
        <v>2956</v>
      </c>
      <c r="J941" s="312">
        <v>1</v>
      </c>
      <c r="K941" s="312" t="s">
        <v>37</v>
      </c>
      <c r="L941" s="312" t="s">
        <v>48</v>
      </c>
      <c r="M941" s="313" t="s">
        <v>58</v>
      </c>
      <c r="N941" s="312" t="s">
        <v>58</v>
      </c>
      <c r="O941" s="314">
        <v>1</v>
      </c>
      <c r="P941" s="314">
        <v>1</v>
      </c>
      <c r="Q941" s="312">
        <v>150755</v>
      </c>
      <c r="R941" s="314" t="s">
        <v>1916</v>
      </c>
      <c r="S941" s="320"/>
      <c r="T941" s="273">
        <v>46056</v>
      </c>
      <c r="U941" s="273">
        <v>46065</v>
      </c>
      <c r="V941" s="314" t="s">
        <v>2586</v>
      </c>
      <c r="W941" s="314"/>
      <c r="X941" s="321">
        <v>381.36</v>
      </c>
      <c r="Y941" s="231">
        <f>Table2[[#This Row],[PREÇO UNITARIO]]*Table2[[#This Row],[QUANTIDADE]]</f>
        <v>381.36</v>
      </c>
      <c r="Z941" s="314"/>
      <c r="AA941" s="230">
        <f>MONTH(Table2[[#This Row],[DATA PEDIDO HP]])</f>
        <v>12</v>
      </c>
      <c r="AB941" s="318"/>
      <c r="AC941" s="325">
        <f t="shared" ca="1" si="14"/>
        <v>46232</v>
      </c>
      <c r="AD941" s="331">
        <f ca="1">_xlfn.DAYS(Table2[[#This Row],[HOJE]],Table2[[#This Row],[DATA PEDIDO HP]])</f>
        <v>229</v>
      </c>
      <c r="AE941" s="332" t="str">
        <f ca="1">IF(Table2[[#This Row],[HOLD]]&gt;30,"ATRASADO","NO PRAZO")</f>
        <v>ATRASADO</v>
      </c>
    </row>
    <row r="942" spans="1:31" ht="14.45" hidden="1">
      <c r="A942" s="311" t="s">
        <v>2957</v>
      </c>
      <c r="B942" s="319">
        <v>46009</v>
      </c>
      <c r="C942" s="319">
        <v>45814</v>
      </c>
      <c r="D942" s="312" t="s">
        <v>2958</v>
      </c>
      <c r="E942" s="312" t="s">
        <v>63</v>
      </c>
      <c r="F942" s="312" t="s">
        <v>173</v>
      </c>
      <c r="G942" s="312">
        <v>48300301</v>
      </c>
      <c r="H942" s="312" t="s">
        <v>2959</v>
      </c>
      <c r="I942" s="312" t="s">
        <v>2960</v>
      </c>
      <c r="J942" s="312">
        <v>1</v>
      </c>
      <c r="K942" s="312" t="s">
        <v>67</v>
      </c>
      <c r="L942" s="312" t="s">
        <v>2556</v>
      </c>
      <c r="M942" s="313" t="s">
        <v>88</v>
      </c>
      <c r="N942" s="313" t="s">
        <v>89</v>
      </c>
      <c r="O942" s="314">
        <v>0</v>
      </c>
      <c r="P942" s="314">
        <v>0</v>
      </c>
      <c r="Q942" s="312"/>
      <c r="R942" s="314"/>
      <c r="S942" s="320"/>
      <c r="T942" s="320">
        <v>46034</v>
      </c>
      <c r="U942" s="320"/>
      <c r="V942" s="314" t="s">
        <v>2957</v>
      </c>
      <c r="W942" s="314"/>
      <c r="X942" s="322">
        <v>5552.51</v>
      </c>
      <c r="Y942" s="231">
        <f>Table2[[#This Row],[PREÇO UNITARIO]]*Table2[[#This Row],[QUANTIDADE]]</f>
        <v>5552.51</v>
      </c>
      <c r="Z942" s="314"/>
      <c r="AA942" s="230">
        <f>MONTH(Table2[[#This Row],[DATA PEDIDO HP]])</f>
        <v>12</v>
      </c>
      <c r="AB942" s="318"/>
      <c r="AC942" s="325">
        <f t="shared" ca="1" si="14"/>
        <v>46232</v>
      </c>
      <c r="AD942" s="331">
        <f ca="1">_xlfn.DAYS(Table2[[#This Row],[HOJE]],Table2[[#This Row],[DATA PEDIDO HP]])</f>
        <v>223</v>
      </c>
      <c r="AE942" s="5" t="s">
        <v>43</v>
      </c>
    </row>
    <row r="943" spans="1:31" ht="14.45" hidden="1">
      <c r="A943" s="311" t="s">
        <v>2961</v>
      </c>
      <c r="B943" s="319">
        <v>46009</v>
      </c>
      <c r="C943" s="319">
        <v>46009</v>
      </c>
      <c r="D943" s="312" t="s">
        <v>2962</v>
      </c>
      <c r="E943" s="312" t="s">
        <v>2132</v>
      </c>
      <c r="F943" s="312" t="s">
        <v>203</v>
      </c>
      <c r="G943" s="312" t="s">
        <v>2963</v>
      </c>
      <c r="H943" s="312" t="s">
        <v>2964</v>
      </c>
      <c r="I943" s="312" t="s">
        <v>2965</v>
      </c>
      <c r="J943" s="312">
        <v>1</v>
      </c>
      <c r="K943" s="312" t="s">
        <v>67</v>
      </c>
      <c r="L943" s="312" t="s">
        <v>346</v>
      </c>
      <c r="M943" s="313" t="s">
        <v>88</v>
      </c>
      <c r="N943" s="313" t="s">
        <v>89</v>
      </c>
      <c r="O943" s="314">
        <v>0</v>
      </c>
      <c r="P943" s="314">
        <v>1</v>
      </c>
      <c r="Q943" s="312"/>
      <c r="R943" s="314"/>
      <c r="S943" s="320">
        <v>46086</v>
      </c>
      <c r="T943" s="26">
        <v>46070</v>
      </c>
      <c r="U943" s="320"/>
      <c r="V943" s="314" t="s">
        <v>2519</v>
      </c>
      <c r="W943" s="314"/>
      <c r="X943" s="321">
        <v>3006.52</v>
      </c>
      <c r="Y943" s="231">
        <f>Table2[[#This Row],[PREÇO UNITARIO]]*Table2[[#This Row],[QUANTIDADE]]</f>
        <v>3006.52</v>
      </c>
      <c r="Z943" s="314"/>
      <c r="AA943" s="230">
        <f>MONTH(Table2[[#This Row],[DATA PEDIDO HP]])</f>
        <v>12</v>
      </c>
      <c r="AB943" s="318"/>
      <c r="AC943" s="325">
        <f t="shared" ca="1" si="14"/>
        <v>46232</v>
      </c>
      <c r="AD943" s="331">
        <f ca="1">_xlfn.DAYS(Table2[[#This Row],[HOJE]],Table2[[#This Row],[DATA PEDIDO HP]])</f>
        <v>223</v>
      </c>
      <c r="AE943" s="5" t="s">
        <v>549</v>
      </c>
    </row>
    <row r="944" spans="1:31" ht="14.45" hidden="1">
      <c r="A944" s="323"/>
      <c r="B944" s="320"/>
      <c r="C944" s="319"/>
      <c r="D944" s="312"/>
      <c r="E944" s="312"/>
      <c r="F944" s="312"/>
      <c r="G944" s="312"/>
      <c r="H944" s="312"/>
      <c r="I944" s="312"/>
      <c r="J944" s="312"/>
      <c r="K944" s="312"/>
      <c r="L944" s="312"/>
      <c r="M944" s="313"/>
      <c r="N944" s="313"/>
      <c r="O944" s="314"/>
      <c r="P944" s="314"/>
      <c r="Q944" s="312"/>
      <c r="R944" s="314"/>
      <c r="S944" s="320"/>
      <c r="T944" s="320"/>
      <c r="U944" s="320"/>
      <c r="V944" s="314"/>
      <c r="W944" s="314"/>
      <c r="X944" s="322"/>
      <c r="Y944" s="322"/>
      <c r="Z944" s="314"/>
      <c r="AA944" s="314"/>
      <c r="AB944" s="318"/>
      <c r="AC944" s="325"/>
      <c r="AD944" s="331"/>
      <c r="AE944" s="325" t="str">
        <f>IF(Table2[[#This Row],[HOLD]]&gt;30,"ATRASADO","NO PRAZO")</f>
        <v>NO PRAZO</v>
      </c>
    </row>
    <row r="945" spans="1:31" ht="14.45" hidden="1">
      <c r="A945" s="323"/>
      <c r="B945" s="320"/>
      <c r="C945" s="319"/>
      <c r="D945" s="312"/>
      <c r="E945" s="312"/>
      <c r="F945" s="312"/>
      <c r="G945" s="312"/>
      <c r="H945" s="312"/>
      <c r="I945" s="312"/>
      <c r="J945" s="312"/>
      <c r="K945" s="312"/>
      <c r="L945" s="312"/>
      <c r="M945" s="313"/>
      <c r="N945" s="313"/>
      <c r="O945" s="314"/>
      <c r="P945" s="314"/>
      <c r="Q945" s="312"/>
      <c r="R945" s="314"/>
      <c r="S945" s="320"/>
      <c r="T945" s="320"/>
      <c r="U945" s="320"/>
      <c r="V945" s="314"/>
      <c r="W945" s="314"/>
      <c r="X945" s="322"/>
      <c r="Y945" s="322"/>
      <c r="Z945" s="314"/>
      <c r="AA945" s="314"/>
      <c r="AB945" s="318"/>
      <c r="AC945" s="325"/>
      <c r="AD945" s="325"/>
      <c r="AE945" s="325" t="str">
        <f>IF(Table2[[#This Row],[HOLD]]&gt;30,"ATRASADO","NO PRAZO")</f>
        <v>NO PRAZO</v>
      </c>
    </row>
    <row r="946" spans="1:31" ht="14.45" hidden="1">
      <c r="A946" s="323"/>
      <c r="B946" s="320"/>
      <c r="C946" s="319"/>
      <c r="D946" s="312"/>
      <c r="E946" s="312"/>
      <c r="F946" s="312"/>
      <c r="G946" s="312"/>
      <c r="H946" s="312"/>
      <c r="I946" s="312"/>
      <c r="J946" s="312"/>
      <c r="K946" s="312"/>
      <c r="L946" s="312"/>
      <c r="M946" s="313"/>
      <c r="N946" s="313"/>
      <c r="O946" s="314"/>
      <c r="P946" s="314"/>
      <c r="Q946" s="312"/>
      <c r="R946" s="314"/>
      <c r="S946" s="320"/>
      <c r="T946" s="320"/>
      <c r="U946" s="320"/>
      <c r="V946" s="314"/>
      <c r="W946" s="314"/>
      <c r="X946" s="322"/>
      <c r="Y946" s="322"/>
      <c r="Z946" s="314"/>
      <c r="AA946" s="314"/>
      <c r="AB946" s="318"/>
      <c r="AC946" s="325"/>
      <c r="AD946" s="325"/>
      <c r="AE946" s="325" t="str">
        <f>IF(Table2[[#This Row],[HOLD]]&gt;30,"ATRASADO","NO PRAZO")</f>
        <v>NO PRAZO</v>
      </c>
    </row>
    <row r="947" spans="1:31" ht="14.45" hidden="1">
      <c r="A947" s="323"/>
      <c r="B947" s="320"/>
      <c r="C947" s="319"/>
      <c r="D947" s="312"/>
      <c r="E947" s="312"/>
      <c r="F947" s="312"/>
      <c r="G947" s="312"/>
      <c r="H947" s="312"/>
      <c r="I947" s="312"/>
      <c r="J947" s="312"/>
      <c r="K947" s="312"/>
      <c r="L947" s="312"/>
      <c r="M947" s="313"/>
      <c r="N947" s="313"/>
      <c r="O947" s="314"/>
      <c r="P947" s="314"/>
      <c r="Q947" s="312"/>
      <c r="R947" s="314"/>
      <c r="S947" s="320"/>
      <c r="T947" s="320"/>
      <c r="U947" s="320"/>
      <c r="V947" s="314"/>
      <c r="W947" s="314"/>
      <c r="X947" s="322"/>
      <c r="Y947" s="322"/>
      <c r="Z947" s="314"/>
      <c r="AA947" s="314"/>
      <c r="AB947" s="318"/>
      <c r="AC947" s="325"/>
      <c r="AD947" s="325"/>
      <c r="AE947" s="325" t="str">
        <f>IF(Table2[[#This Row],[HOLD]]&gt;30,"ATRASADO","NO PRAZO")</f>
        <v>NO PRAZO</v>
      </c>
    </row>
    <row r="948" spans="1:31" ht="14.45" hidden="1">
      <c r="A948" s="323"/>
      <c r="B948" s="320"/>
      <c r="C948" s="319"/>
      <c r="D948" s="312"/>
      <c r="E948" s="312"/>
      <c r="F948" s="312"/>
      <c r="G948" s="312"/>
      <c r="H948" s="312"/>
      <c r="I948" s="312"/>
      <c r="J948" s="312"/>
      <c r="K948" s="312"/>
      <c r="L948" s="312"/>
      <c r="M948" s="313"/>
      <c r="N948" s="313"/>
      <c r="O948" s="314"/>
      <c r="P948" s="314"/>
      <c r="Q948" s="312"/>
      <c r="R948" s="314"/>
      <c r="S948" s="320"/>
      <c r="T948" s="320"/>
      <c r="U948" s="320"/>
      <c r="V948" s="314"/>
      <c r="W948" s="314"/>
      <c r="X948" s="322"/>
      <c r="Y948" s="322"/>
      <c r="Z948" s="314"/>
      <c r="AA948" s="314"/>
      <c r="AB948" s="318"/>
      <c r="AC948" s="325"/>
      <c r="AD948" s="325"/>
      <c r="AE948" s="325" t="str">
        <f>IF(Table2[[#This Row],[HOLD]]&gt;30,"ATRASADO","NO PRAZO")</f>
        <v>NO PRAZO</v>
      </c>
    </row>
    <row r="949" spans="1:31" ht="14.45" hidden="1">
      <c r="A949" s="323"/>
      <c r="B949" s="320"/>
      <c r="C949" s="319"/>
      <c r="D949" s="312"/>
      <c r="E949" s="312"/>
      <c r="F949" s="312"/>
      <c r="G949" s="312"/>
      <c r="H949" s="312"/>
      <c r="I949" s="312"/>
      <c r="J949" s="312"/>
      <c r="K949" s="312"/>
      <c r="L949" s="312"/>
      <c r="M949" s="313"/>
      <c r="N949" s="313"/>
      <c r="O949" s="314"/>
      <c r="P949" s="314"/>
      <c r="Q949" s="312"/>
      <c r="R949" s="314"/>
      <c r="S949" s="320"/>
      <c r="T949" s="320"/>
      <c r="U949" s="320"/>
      <c r="V949" s="314"/>
      <c r="W949" s="314"/>
      <c r="X949" s="322"/>
      <c r="Y949" s="322"/>
      <c r="Z949" s="314"/>
      <c r="AA949" s="314"/>
      <c r="AB949" s="318"/>
      <c r="AC949" s="325"/>
      <c r="AD949" s="325"/>
      <c r="AE949" s="325" t="str">
        <f>IF(Table2[[#This Row],[HOLD]]&gt;30,"ATRASADO","NO PRAZO")</f>
        <v>NO PRAZO</v>
      </c>
    </row>
    <row r="950" spans="1:31" ht="14.45" hidden="1">
      <c r="A950" s="323"/>
      <c r="B950" s="320"/>
      <c r="C950" s="319"/>
      <c r="D950" s="312"/>
      <c r="E950" s="312"/>
      <c r="F950" s="312"/>
      <c r="G950" s="312"/>
      <c r="H950" s="312"/>
      <c r="I950" s="312"/>
      <c r="J950" s="312"/>
      <c r="K950" s="312"/>
      <c r="L950" s="312"/>
      <c r="M950" s="313"/>
      <c r="N950" s="313"/>
      <c r="O950" s="314"/>
      <c r="P950" s="314"/>
      <c r="Q950" s="312"/>
      <c r="R950" s="314"/>
      <c r="S950" s="320"/>
      <c r="T950" s="320"/>
      <c r="U950" s="320"/>
      <c r="V950" s="314"/>
      <c r="W950" s="314"/>
      <c r="X950" s="322"/>
      <c r="Y950" s="322"/>
      <c r="Z950" s="314"/>
      <c r="AA950" s="314"/>
      <c r="AB950" s="318"/>
      <c r="AC950" s="325"/>
      <c r="AD950" s="325"/>
      <c r="AE950" s="325" t="str">
        <f>IF(Table2[[#This Row],[HOLD]]&gt;30,"ATRASADO","NO PRAZO")</f>
        <v>NO PRAZO</v>
      </c>
    </row>
    <row r="951" spans="1:31" ht="14.45" hidden="1">
      <c r="A951" s="323"/>
      <c r="B951" s="320"/>
      <c r="C951" s="319"/>
      <c r="D951" s="312"/>
      <c r="E951" s="312"/>
      <c r="F951" s="312"/>
      <c r="G951" s="312"/>
      <c r="H951" s="312"/>
      <c r="I951" s="312"/>
      <c r="J951" s="312"/>
      <c r="K951" s="312"/>
      <c r="L951" s="312"/>
      <c r="M951" s="313"/>
      <c r="N951" s="313"/>
      <c r="O951" s="314"/>
      <c r="P951" s="314"/>
      <c r="Q951" s="312"/>
      <c r="R951" s="314"/>
      <c r="S951" s="320"/>
      <c r="T951" s="320"/>
      <c r="U951" s="320"/>
      <c r="V951" s="314"/>
      <c r="W951" s="314"/>
      <c r="X951" s="322"/>
      <c r="Y951" s="322"/>
      <c r="Z951" s="314"/>
      <c r="AA951" s="314"/>
      <c r="AB951" s="318"/>
      <c r="AC951" s="325"/>
      <c r="AD951" s="325"/>
      <c r="AE951" s="325" t="str">
        <f>IF(Table2[[#This Row],[HOLD]]&gt;30,"ATRASADO","NO PRAZO")</f>
        <v>NO PRAZO</v>
      </c>
    </row>
    <row r="952" spans="1:31" ht="14.45" hidden="1">
      <c r="A952" s="323"/>
      <c r="B952" s="320"/>
      <c r="C952" s="319"/>
      <c r="D952" s="312"/>
      <c r="E952" s="312"/>
      <c r="F952" s="312"/>
      <c r="G952" s="312"/>
      <c r="H952" s="312"/>
      <c r="I952" s="312"/>
      <c r="J952" s="312"/>
      <c r="K952" s="312"/>
      <c r="L952" s="312"/>
      <c r="M952" s="313"/>
      <c r="N952" s="313"/>
      <c r="O952" s="314"/>
      <c r="P952" s="314"/>
      <c r="Q952" s="312"/>
      <c r="R952" s="314"/>
      <c r="S952" s="320"/>
      <c r="T952" s="320"/>
      <c r="U952" s="320"/>
      <c r="V952" s="314"/>
      <c r="W952" s="314"/>
      <c r="X952" s="322"/>
      <c r="Y952" s="322"/>
      <c r="Z952" s="314"/>
      <c r="AA952" s="314"/>
      <c r="AB952" s="318"/>
      <c r="AC952" s="325"/>
      <c r="AD952" s="325"/>
      <c r="AE952" s="325" t="str">
        <f>IF(Table2[[#This Row],[HOLD]]&gt;30,"ATRASADO","NO PRAZO")</f>
        <v>NO PRAZO</v>
      </c>
    </row>
    <row r="953" spans="1:31" ht="14.45" hidden="1">
      <c r="A953" s="323"/>
      <c r="B953" s="320"/>
      <c r="C953" s="319"/>
      <c r="D953" s="312"/>
      <c r="E953" s="312"/>
      <c r="F953" s="312"/>
      <c r="G953" s="312"/>
      <c r="H953" s="312"/>
      <c r="I953" s="312"/>
      <c r="J953" s="312"/>
      <c r="K953" s="312"/>
      <c r="L953" s="312"/>
      <c r="M953" s="313"/>
      <c r="N953" s="313"/>
      <c r="O953" s="314"/>
      <c r="P953" s="314"/>
      <c r="Q953" s="312"/>
      <c r="R953" s="314"/>
      <c r="S953" s="320"/>
      <c r="T953" s="320"/>
      <c r="U953" s="320"/>
      <c r="V953" s="314"/>
      <c r="W953" s="314"/>
      <c r="X953" s="322"/>
      <c r="Y953" s="322"/>
      <c r="Z953" s="314"/>
      <c r="AA953" s="314"/>
      <c r="AB953" s="318"/>
      <c r="AC953" s="325"/>
      <c r="AD953" s="325"/>
      <c r="AE953" s="325" t="str">
        <f>IF(Table2[[#This Row],[HOLD]]&gt;30,"ATRASADO","NO PRAZO")</f>
        <v>NO PRAZO</v>
      </c>
    </row>
    <row r="954" spans="1:31" ht="14.45" hidden="1">
      <c r="A954" s="323"/>
      <c r="B954" s="320"/>
      <c r="C954" s="319"/>
      <c r="D954" s="312"/>
      <c r="E954" s="312"/>
      <c r="F954" s="312"/>
      <c r="G954" s="312"/>
      <c r="H954" s="312"/>
      <c r="I954" s="312"/>
      <c r="J954" s="312"/>
      <c r="K954" s="312"/>
      <c r="L954" s="312"/>
      <c r="M954" s="313"/>
      <c r="N954" s="313"/>
      <c r="O954" s="314"/>
      <c r="P954" s="314"/>
      <c r="Q954" s="312"/>
      <c r="R954" s="314"/>
      <c r="S954" s="320"/>
      <c r="T954" s="320"/>
      <c r="U954" s="320"/>
      <c r="V954" s="314"/>
      <c r="W954" s="314"/>
      <c r="X954" s="322"/>
      <c r="Y954" s="322"/>
      <c r="Z954" s="314"/>
      <c r="AA954" s="314"/>
      <c r="AB954" s="318"/>
      <c r="AC954" s="325"/>
      <c r="AD954" s="325"/>
      <c r="AE954" s="325" t="str">
        <f>IF(Table2[[#This Row],[HOLD]]&gt;30,"ATRASADO","NO PRAZO")</f>
        <v>NO PRAZO</v>
      </c>
    </row>
    <row r="955" spans="1:31" ht="14.45" hidden="1">
      <c r="A955" s="323"/>
      <c r="B955" s="320"/>
      <c r="C955" s="319"/>
      <c r="D955" s="312"/>
      <c r="E955" s="312"/>
      <c r="F955" s="312"/>
      <c r="G955" s="312"/>
      <c r="H955" s="312"/>
      <c r="I955" s="312"/>
      <c r="J955" s="312"/>
      <c r="K955" s="312"/>
      <c r="L955" s="312"/>
      <c r="M955" s="313"/>
      <c r="N955" s="313"/>
      <c r="O955" s="314"/>
      <c r="P955" s="314"/>
      <c r="Q955" s="312"/>
      <c r="R955" s="314"/>
      <c r="S955" s="320"/>
      <c r="T955" s="320"/>
      <c r="U955" s="320"/>
      <c r="V955" s="314"/>
      <c r="W955" s="314"/>
      <c r="X955" s="322"/>
      <c r="Y955" s="322"/>
      <c r="Z955" s="314"/>
      <c r="AA955" s="314"/>
      <c r="AB955" s="318"/>
      <c r="AC955" s="325"/>
      <c r="AD955" s="325"/>
      <c r="AE955" s="325" t="str">
        <f>IF(Table2[[#This Row],[HOLD]]&gt;30,"ATRASADO","NO PRAZO")</f>
        <v>NO PRAZO</v>
      </c>
    </row>
    <row r="956" spans="1:31" ht="14.45" hidden="1">
      <c r="A956" s="323"/>
      <c r="B956" s="320"/>
      <c r="C956" s="319"/>
      <c r="D956" s="312"/>
      <c r="E956" s="312"/>
      <c r="F956" s="312"/>
      <c r="G956" s="312"/>
      <c r="H956" s="312"/>
      <c r="I956" s="312"/>
      <c r="J956" s="312"/>
      <c r="K956" s="312"/>
      <c r="L956" s="312"/>
      <c r="M956" s="313"/>
      <c r="N956" s="313"/>
      <c r="O956" s="314"/>
      <c r="P956" s="314"/>
      <c r="Q956" s="312"/>
      <c r="R956" s="314"/>
      <c r="S956" s="320"/>
      <c r="T956" s="320"/>
      <c r="U956" s="320"/>
      <c r="V956" s="314"/>
      <c r="W956" s="314"/>
      <c r="X956" s="322"/>
      <c r="Y956" s="322"/>
      <c r="Z956" s="314"/>
      <c r="AA956" s="314"/>
      <c r="AB956" s="318"/>
      <c r="AC956" s="325"/>
      <c r="AD956" s="325"/>
      <c r="AE956" s="325" t="str">
        <f>IF(Table2[[#This Row],[HOLD]]&gt;30,"ATRASADO","NO PRAZO")</f>
        <v>NO PRAZO</v>
      </c>
    </row>
    <row r="957" spans="1:31" ht="14.45" hidden="1">
      <c r="A957" s="323"/>
      <c r="B957" s="320"/>
      <c r="C957" s="319"/>
      <c r="D957" s="312"/>
      <c r="E957" s="312"/>
      <c r="F957" s="312"/>
      <c r="G957" s="312"/>
      <c r="H957" s="312"/>
      <c r="I957" s="312"/>
      <c r="J957" s="312"/>
      <c r="K957" s="312"/>
      <c r="L957" s="312"/>
      <c r="M957" s="313"/>
      <c r="N957" s="313"/>
      <c r="O957" s="314"/>
      <c r="P957" s="314"/>
      <c r="Q957" s="312"/>
      <c r="R957" s="314"/>
      <c r="S957" s="320"/>
      <c r="T957" s="320"/>
      <c r="U957" s="320"/>
      <c r="V957" s="314"/>
      <c r="W957" s="314"/>
      <c r="X957" s="322"/>
      <c r="Y957" s="322"/>
      <c r="Z957" s="314"/>
      <c r="AA957" s="314"/>
      <c r="AB957" s="318"/>
      <c r="AC957" s="325"/>
      <c r="AD957" s="325"/>
      <c r="AE957" s="325" t="str">
        <f>IF(Table2[[#This Row],[HOLD]]&gt;30,"ATRASADO","NO PRAZO")</f>
        <v>NO PRAZO</v>
      </c>
    </row>
    <row r="958" spans="1:31" ht="14.45" hidden="1">
      <c r="A958" s="323"/>
      <c r="B958" s="320"/>
      <c r="C958" s="319"/>
      <c r="D958" s="312"/>
      <c r="E958" s="312"/>
      <c r="F958" s="312"/>
      <c r="G958" s="312"/>
      <c r="H958" s="312"/>
      <c r="I958" s="312"/>
      <c r="J958" s="312"/>
      <c r="K958" s="312"/>
      <c r="L958" s="312"/>
      <c r="M958" s="313"/>
      <c r="N958" s="313"/>
      <c r="O958" s="314"/>
      <c r="P958" s="314"/>
      <c r="Q958" s="312"/>
      <c r="R958" s="314"/>
      <c r="S958" s="320"/>
      <c r="T958" s="320"/>
      <c r="U958" s="320"/>
      <c r="V958" s="314"/>
      <c r="W958" s="314"/>
      <c r="X958" s="322"/>
      <c r="Y958" s="322"/>
      <c r="Z958" s="314"/>
      <c r="AA958" s="314"/>
      <c r="AB958" s="318"/>
      <c r="AC958" s="325"/>
      <c r="AD958" s="325"/>
      <c r="AE958" s="325" t="str">
        <f>IF(Table2[[#This Row],[HOLD]]&gt;30,"ATRASADO","NO PRAZO")</f>
        <v>NO PRAZO</v>
      </c>
    </row>
    <row r="959" spans="1:31" ht="14.45" hidden="1">
      <c r="A959" s="323"/>
      <c r="B959" s="320"/>
      <c r="C959" s="319"/>
      <c r="D959" s="312"/>
      <c r="E959" s="312"/>
      <c r="F959" s="312"/>
      <c r="G959" s="312"/>
      <c r="H959" s="312"/>
      <c r="I959" s="312"/>
      <c r="J959" s="312"/>
      <c r="K959" s="312"/>
      <c r="L959" s="312"/>
      <c r="M959" s="313"/>
      <c r="N959" s="313"/>
      <c r="O959" s="314"/>
      <c r="P959" s="314"/>
      <c r="Q959" s="312"/>
      <c r="R959" s="314"/>
      <c r="S959" s="320"/>
      <c r="T959" s="320"/>
      <c r="U959" s="320"/>
      <c r="V959" s="314"/>
      <c r="W959" s="314"/>
      <c r="X959" s="322"/>
      <c r="Y959" s="322"/>
      <c r="Z959" s="314"/>
      <c r="AA959" s="314"/>
      <c r="AB959" s="318"/>
      <c r="AC959" s="325"/>
      <c r="AD959" s="325"/>
      <c r="AE959" s="325" t="str">
        <f>IF(Table2[[#This Row],[HOLD]]&gt;30,"ATRASADO","NO PRAZO")</f>
        <v>NO PRAZO</v>
      </c>
    </row>
    <row r="960" spans="1:31" ht="14.45" hidden="1">
      <c r="A960" s="323"/>
      <c r="B960" s="320"/>
      <c r="C960" s="319"/>
      <c r="D960" s="312"/>
      <c r="E960" s="312"/>
      <c r="F960" s="312"/>
      <c r="G960" s="312"/>
      <c r="H960" s="312"/>
      <c r="I960" s="312"/>
      <c r="J960" s="312"/>
      <c r="K960" s="312"/>
      <c r="L960" s="312"/>
      <c r="M960" s="313"/>
      <c r="N960" s="313"/>
      <c r="O960" s="314"/>
      <c r="P960" s="314"/>
      <c r="Q960" s="312"/>
      <c r="R960" s="314"/>
      <c r="S960" s="320"/>
      <c r="T960" s="320"/>
      <c r="U960" s="320"/>
      <c r="V960" s="314"/>
      <c r="W960" s="314"/>
      <c r="X960" s="322"/>
      <c r="Y960" s="322"/>
      <c r="Z960" s="314"/>
      <c r="AA960" s="314"/>
      <c r="AB960" s="318"/>
      <c r="AC960" s="325"/>
      <c r="AD960" s="325"/>
      <c r="AE960" s="325" t="str">
        <f>IF(Table2[[#This Row],[HOLD]]&gt;30,"ATRASADO","NO PRAZO")</f>
        <v>NO PRAZO</v>
      </c>
    </row>
    <row r="961" spans="1:31" ht="14.45" hidden="1">
      <c r="A961" s="323"/>
      <c r="B961" s="320"/>
      <c r="C961" s="319"/>
      <c r="D961" s="312"/>
      <c r="E961" s="312"/>
      <c r="F961" s="312"/>
      <c r="G961" s="312"/>
      <c r="H961" s="312"/>
      <c r="I961" s="312"/>
      <c r="J961" s="312"/>
      <c r="K961" s="312"/>
      <c r="L961" s="312"/>
      <c r="M961" s="313"/>
      <c r="N961" s="313"/>
      <c r="O961" s="314"/>
      <c r="P961" s="314"/>
      <c r="Q961" s="312"/>
      <c r="R961" s="314"/>
      <c r="S961" s="320"/>
      <c r="T961" s="320"/>
      <c r="U961" s="320"/>
      <c r="V961" s="314"/>
      <c r="W961" s="314"/>
      <c r="X961" s="322"/>
      <c r="Y961" s="322"/>
      <c r="Z961" s="314"/>
      <c r="AA961" s="314"/>
      <c r="AB961" s="318"/>
      <c r="AC961" s="325"/>
      <c r="AD961" s="325"/>
      <c r="AE961" s="325" t="str">
        <f>IF(Table2[[#This Row],[HOLD]]&gt;30,"ATRASADO","NO PRAZO")</f>
        <v>NO PRAZO</v>
      </c>
    </row>
    <row r="962" spans="1:31" ht="14.45" hidden="1">
      <c r="A962" s="323"/>
      <c r="B962" s="320"/>
      <c r="C962" s="319"/>
      <c r="D962" s="312"/>
      <c r="E962" s="312"/>
      <c r="F962" s="312"/>
      <c r="G962" s="312"/>
      <c r="H962" s="312"/>
      <c r="I962" s="312"/>
      <c r="J962" s="312"/>
      <c r="K962" s="312"/>
      <c r="L962" s="312"/>
      <c r="M962" s="313"/>
      <c r="N962" s="313"/>
      <c r="O962" s="314"/>
      <c r="P962" s="314"/>
      <c r="Q962" s="312"/>
      <c r="R962" s="314"/>
      <c r="S962" s="320"/>
      <c r="T962" s="320"/>
      <c r="U962" s="320"/>
      <c r="V962" s="314"/>
      <c r="W962" s="314"/>
      <c r="X962" s="322"/>
      <c r="Y962" s="322"/>
      <c r="Z962" s="314"/>
      <c r="AA962" s="314"/>
      <c r="AB962" s="318"/>
      <c r="AC962" s="325"/>
      <c r="AD962" s="325"/>
      <c r="AE962" s="325" t="str">
        <f>IF(Table2[[#This Row],[HOLD]]&gt;30,"ATRASADO","NO PRAZO")</f>
        <v>NO PRAZO</v>
      </c>
    </row>
    <row r="963" spans="1:31" ht="14.45" hidden="1">
      <c r="A963" s="323"/>
      <c r="B963" s="320"/>
      <c r="C963" s="319"/>
      <c r="D963" s="312"/>
      <c r="E963" s="312"/>
      <c r="F963" s="312"/>
      <c r="G963" s="312"/>
      <c r="H963" s="312"/>
      <c r="I963" s="312"/>
      <c r="J963" s="312"/>
      <c r="K963" s="312"/>
      <c r="L963" s="312"/>
      <c r="M963" s="313"/>
      <c r="N963" s="313"/>
      <c r="O963" s="314"/>
      <c r="P963" s="314"/>
      <c r="Q963" s="312"/>
      <c r="R963" s="314"/>
      <c r="S963" s="320"/>
      <c r="T963" s="320"/>
      <c r="U963" s="320"/>
      <c r="V963" s="314"/>
      <c r="W963" s="314"/>
      <c r="X963" s="322"/>
      <c r="Y963" s="322"/>
      <c r="Z963" s="314"/>
      <c r="AA963" s="314"/>
      <c r="AB963" s="318"/>
      <c r="AC963" s="325"/>
      <c r="AD963" s="325"/>
      <c r="AE963" s="325" t="str">
        <f>IF(Table2[[#This Row],[HOLD]]&gt;30,"ATRASADO","NO PRAZO")</f>
        <v>NO PRAZO</v>
      </c>
    </row>
    <row r="964" spans="1:31" ht="14.45" hidden="1">
      <c r="A964" s="323"/>
      <c r="B964" s="320"/>
      <c r="C964" s="319"/>
      <c r="D964" s="312"/>
      <c r="E964" s="312"/>
      <c r="F964" s="312"/>
      <c r="G964" s="312"/>
      <c r="H964" s="312"/>
      <c r="I964" s="312"/>
      <c r="J964" s="312"/>
      <c r="K964" s="312"/>
      <c r="L964" s="312"/>
      <c r="M964" s="313"/>
      <c r="N964" s="313"/>
      <c r="O964" s="314"/>
      <c r="P964" s="314"/>
      <c r="Q964" s="312"/>
      <c r="R964" s="314"/>
      <c r="S964" s="320"/>
      <c r="T964" s="320"/>
      <c r="U964" s="320"/>
      <c r="V964" s="314"/>
      <c r="W964" s="314"/>
      <c r="X964" s="322"/>
      <c r="Y964" s="322"/>
      <c r="Z964" s="314"/>
      <c r="AA964" s="314"/>
      <c r="AB964" s="318"/>
      <c r="AC964" s="325"/>
      <c r="AD964" s="325"/>
      <c r="AE964" s="325" t="str">
        <f>IF(Table2[[#This Row],[HOLD]]&gt;30,"ATRASADO","NO PRAZO")</f>
        <v>NO PRAZO</v>
      </c>
    </row>
    <row r="965" spans="1:31" ht="14.45" hidden="1">
      <c r="A965" s="323"/>
      <c r="B965" s="320"/>
      <c r="C965" s="319"/>
      <c r="D965" s="312"/>
      <c r="E965" s="312"/>
      <c r="F965" s="312"/>
      <c r="G965" s="312"/>
      <c r="H965" s="312"/>
      <c r="I965" s="312"/>
      <c r="J965" s="312"/>
      <c r="K965" s="312"/>
      <c r="L965" s="312"/>
      <c r="M965" s="313"/>
      <c r="N965" s="313"/>
      <c r="O965" s="314"/>
      <c r="P965" s="314"/>
      <c r="Q965" s="312"/>
      <c r="R965" s="314"/>
      <c r="S965" s="320"/>
      <c r="T965" s="320"/>
      <c r="U965" s="320"/>
      <c r="V965" s="314"/>
      <c r="W965" s="314"/>
      <c r="X965" s="322"/>
      <c r="Y965" s="322"/>
      <c r="Z965" s="314"/>
      <c r="AA965" s="314"/>
      <c r="AB965" s="318"/>
      <c r="AC965" s="325"/>
      <c r="AD965" s="325"/>
      <c r="AE965" s="325" t="str">
        <f>IF(Table2[[#This Row],[HOLD]]&gt;30,"ATRASADO","NO PRAZO")</f>
        <v>NO PRAZO</v>
      </c>
    </row>
    <row r="966" spans="1:31" ht="14.45" hidden="1">
      <c r="A966" s="323"/>
      <c r="B966" s="320"/>
      <c r="C966" s="319"/>
      <c r="D966" s="312"/>
      <c r="E966" s="312"/>
      <c r="F966" s="312"/>
      <c r="G966" s="312"/>
      <c r="H966" s="312"/>
      <c r="I966" s="312"/>
      <c r="J966" s="312"/>
      <c r="K966" s="312"/>
      <c r="L966" s="312"/>
      <c r="M966" s="313"/>
      <c r="N966" s="313"/>
      <c r="O966" s="314"/>
      <c r="P966" s="314"/>
      <c r="Q966" s="312"/>
      <c r="R966" s="314"/>
      <c r="S966" s="320"/>
      <c r="T966" s="320"/>
      <c r="U966" s="320"/>
      <c r="V966" s="314"/>
      <c r="W966" s="314"/>
      <c r="X966" s="322"/>
      <c r="Y966" s="322"/>
      <c r="Z966" s="314"/>
      <c r="AA966" s="314"/>
      <c r="AB966" s="318"/>
      <c r="AC966" s="325"/>
      <c r="AD966" s="325"/>
      <c r="AE966" s="325" t="str">
        <f>IF(Table2[[#This Row],[HOLD]]&gt;30,"ATRASADO","NO PRAZO")</f>
        <v>NO PRAZO</v>
      </c>
    </row>
    <row r="967" spans="1:31" ht="14.45" hidden="1">
      <c r="A967" s="323"/>
      <c r="B967" s="320"/>
      <c r="C967" s="319"/>
      <c r="D967" s="312"/>
      <c r="E967" s="312"/>
      <c r="F967" s="312"/>
      <c r="G967" s="312"/>
      <c r="H967" s="312"/>
      <c r="I967" s="312"/>
      <c r="J967" s="312"/>
      <c r="K967" s="312"/>
      <c r="L967" s="312"/>
      <c r="M967" s="313"/>
      <c r="N967" s="313"/>
      <c r="O967" s="314"/>
      <c r="P967" s="314"/>
      <c r="Q967" s="312"/>
      <c r="R967" s="314"/>
      <c r="S967" s="320"/>
      <c r="T967" s="320"/>
      <c r="U967" s="320"/>
      <c r="V967" s="314"/>
      <c r="W967" s="314"/>
      <c r="X967" s="322"/>
      <c r="Y967" s="322"/>
      <c r="Z967" s="314"/>
      <c r="AA967" s="314"/>
      <c r="AB967" s="318"/>
      <c r="AC967" s="325"/>
      <c r="AD967" s="325"/>
      <c r="AE967" s="325" t="str">
        <f>IF(Table2[[#This Row],[HOLD]]&gt;30,"ATRASADO","NO PRAZO")</f>
        <v>NO PRAZO</v>
      </c>
    </row>
    <row r="968" spans="1:31" ht="14.45" hidden="1">
      <c r="A968" s="323"/>
      <c r="B968" s="320"/>
      <c r="C968" s="319"/>
      <c r="D968" s="312"/>
      <c r="E968" s="312"/>
      <c r="F968" s="312"/>
      <c r="G968" s="312"/>
      <c r="H968" s="312"/>
      <c r="I968" s="312"/>
      <c r="J968" s="312"/>
      <c r="K968" s="312"/>
      <c r="L968" s="312"/>
      <c r="M968" s="313"/>
      <c r="N968" s="313"/>
      <c r="O968" s="314"/>
      <c r="P968" s="314"/>
      <c r="Q968" s="312"/>
      <c r="R968" s="314"/>
      <c r="S968" s="320"/>
      <c r="T968" s="320"/>
      <c r="U968" s="320"/>
      <c r="V968" s="314"/>
      <c r="W968" s="314"/>
      <c r="X968" s="322"/>
      <c r="Y968" s="322"/>
      <c r="Z968" s="314"/>
      <c r="AA968" s="314"/>
      <c r="AB968" s="318"/>
      <c r="AC968" s="325"/>
      <c r="AD968" s="325"/>
      <c r="AE968" s="325" t="str">
        <f>IF(Table2[[#This Row],[HOLD]]&gt;30,"ATRASADO","NO PRAZO")</f>
        <v>NO PRAZO</v>
      </c>
    </row>
    <row r="969" spans="1:31" ht="14.45" hidden="1">
      <c r="A969" s="323"/>
      <c r="B969" s="320"/>
      <c r="C969" s="319"/>
      <c r="D969" s="312"/>
      <c r="E969" s="312"/>
      <c r="F969" s="312"/>
      <c r="G969" s="312"/>
      <c r="H969" s="312"/>
      <c r="I969" s="312"/>
      <c r="J969" s="312"/>
      <c r="K969" s="312"/>
      <c r="L969" s="312"/>
      <c r="M969" s="313"/>
      <c r="N969" s="313"/>
      <c r="O969" s="314"/>
      <c r="P969" s="314"/>
      <c r="Q969" s="312"/>
      <c r="R969" s="314"/>
      <c r="S969" s="320"/>
      <c r="T969" s="320"/>
      <c r="U969" s="320"/>
      <c r="V969" s="314"/>
      <c r="W969" s="314"/>
      <c r="X969" s="322"/>
      <c r="Y969" s="322"/>
      <c r="Z969" s="314"/>
      <c r="AA969" s="314"/>
      <c r="AB969" s="318"/>
      <c r="AC969" s="325"/>
      <c r="AD969" s="325"/>
      <c r="AE969" s="325" t="str">
        <f>IF(Table2[[#This Row],[HOLD]]&gt;30,"ATRASADO","NO PRAZO")</f>
        <v>NO PRAZO</v>
      </c>
    </row>
    <row r="970" spans="1:31" ht="14.45" hidden="1">
      <c r="A970" s="323"/>
      <c r="B970" s="320"/>
      <c r="C970" s="319"/>
      <c r="D970" s="312"/>
      <c r="E970" s="312"/>
      <c r="F970" s="312"/>
      <c r="G970" s="312"/>
      <c r="H970" s="312"/>
      <c r="I970" s="312"/>
      <c r="J970" s="312"/>
      <c r="K970" s="312"/>
      <c r="L970" s="312"/>
      <c r="M970" s="313"/>
      <c r="N970" s="313"/>
      <c r="O970" s="314"/>
      <c r="P970" s="314"/>
      <c r="Q970" s="312"/>
      <c r="R970" s="314"/>
      <c r="S970" s="320"/>
      <c r="T970" s="320"/>
      <c r="U970" s="320"/>
      <c r="V970" s="314"/>
      <c r="W970" s="314"/>
      <c r="X970" s="322"/>
      <c r="Y970" s="322"/>
      <c r="Z970" s="314"/>
      <c r="AA970" s="314"/>
      <c r="AB970" s="318"/>
      <c r="AC970" s="325"/>
      <c r="AD970" s="325"/>
      <c r="AE970" s="325" t="str">
        <f>IF(Table2[[#This Row],[HOLD]]&gt;30,"ATRASADO","NO PRAZO")</f>
        <v>NO PRAZO</v>
      </c>
    </row>
    <row r="971" spans="1:31" ht="14.45" hidden="1">
      <c r="A971" s="323"/>
      <c r="B971" s="320"/>
      <c r="C971" s="319"/>
      <c r="D971" s="312"/>
      <c r="E971" s="312"/>
      <c r="F971" s="312"/>
      <c r="G971" s="312"/>
      <c r="H971" s="312"/>
      <c r="I971" s="312"/>
      <c r="J971" s="312"/>
      <c r="K971" s="312"/>
      <c r="L971" s="312"/>
      <c r="M971" s="313"/>
      <c r="N971" s="313"/>
      <c r="O971" s="314"/>
      <c r="P971" s="314"/>
      <c r="Q971" s="312"/>
      <c r="R971" s="314"/>
      <c r="S971" s="320"/>
      <c r="T971" s="320"/>
      <c r="U971" s="320"/>
      <c r="V971" s="314"/>
      <c r="W971" s="314"/>
      <c r="X971" s="322"/>
      <c r="Y971" s="322"/>
      <c r="Z971" s="314"/>
      <c r="AA971" s="314"/>
      <c r="AB971" s="318"/>
      <c r="AC971" s="325"/>
      <c r="AD971" s="325"/>
      <c r="AE971" s="325" t="str">
        <f>IF(Table2[[#This Row],[HOLD]]&gt;30,"ATRASADO","NO PRAZO")</f>
        <v>NO PRAZO</v>
      </c>
    </row>
    <row r="972" spans="1:31" ht="14.45" hidden="1">
      <c r="A972" s="323"/>
      <c r="B972" s="320"/>
      <c r="C972" s="319"/>
      <c r="D972" s="312"/>
      <c r="E972" s="312"/>
      <c r="F972" s="312"/>
      <c r="G972" s="312"/>
      <c r="H972" s="312"/>
      <c r="I972" s="312"/>
      <c r="J972" s="312"/>
      <c r="K972" s="312"/>
      <c r="L972" s="312"/>
      <c r="M972" s="313"/>
      <c r="N972" s="313"/>
      <c r="O972" s="314"/>
      <c r="P972" s="314"/>
      <c r="Q972" s="312" t="s">
        <v>2966</v>
      </c>
      <c r="R972" s="314"/>
      <c r="S972" s="320"/>
      <c r="T972" s="320"/>
      <c r="U972" s="320"/>
      <c r="V972" s="314"/>
      <c r="W972" s="314"/>
      <c r="X972" s="322"/>
      <c r="Y972" s="322"/>
      <c r="Z972" s="314"/>
      <c r="AA972" s="314"/>
      <c r="AB972" s="318"/>
      <c r="AC972" s="325"/>
      <c r="AD972" s="325"/>
      <c r="AE972" s="325" t="str">
        <f>IF(Table2[[#This Row],[HOLD]]&gt;30,"ATRASADO","NO PRAZO")</f>
        <v>NO PRAZO</v>
      </c>
    </row>
    <row r="973" spans="1:31" ht="14.45" hidden="1">
      <c r="A973" s="323"/>
      <c r="B973" s="320"/>
      <c r="C973" s="319"/>
      <c r="D973" s="312"/>
      <c r="E973" s="312"/>
      <c r="F973" s="312"/>
      <c r="G973" s="312"/>
      <c r="H973" s="312"/>
      <c r="I973" s="312"/>
      <c r="J973" s="312"/>
      <c r="K973" s="312"/>
      <c r="L973" s="312"/>
      <c r="M973" s="313"/>
      <c r="N973" s="313"/>
      <c r="O973" s="314"/>
      <c r="P973" s="314"/>
      <c r="Q973" s="312"/>
      <c r="R973" s="314"/>
      <c r="S973" s="320"/>
      <c r="T973" s="320"/>
      <c r="U973" s="320"/>
      <c r="V973" s="314"/>
      <c r="W973" s="314"/>
      <c r="X973" s="322"/>
      <c r="Y973" s="322"/>
      <c r="Z973" s="314"/>
      <c r="AA973" s="314"/>
      <c r="AB973" s="318"/>
      <c r="AC973" s="325"/>
      <c r="AD973" s="325"/>
      <c r="AE973" s="325" t="str">
        <f>IF(Table2[[#This Row],[HOLD]]&gt;30,"ATRASADO","NO PRAZO")</f>
        <v>NO PRAZO</v>
      </c>
    </row>
    <row r="974" spans="1:31" ht="14.45" hidden="1">
      <c r="A974" s="323"/>
      <c r="B974" s="320"/>
      <c r="C974" s="319"/>
      <c r="D974" s="312"/>
      <c r="E974" s="312"/>
      <c r="F974" s="312"/>
      <c r="G974" s="312"/>
      <c r="H974" s="312"/>
      <c r="I974" s="312"/>
      <c r="J974" s="312"/>
      <c r="K974" s="312"/>
      <c r="L974" s="312"/>
      <c r="M974" s="313"/>
      <c r="N974" s="313"/>
      <c r="O974" s="314"/>
      <c r="P974" s="314"/>
      <c r="Q974" s="312"/>
      <c r="R974" s="314"/>
      <c r="S974" s="320"/>
      <c r="T974" s="320"/>
      <c r="U974" s="320"/>
      <c r="V974" s="314"/>
      <c r="W974" s="314"/>
      <c r="X974" s="322"/>
      <c r="Y974" s="322"/>
      <c r="Z974" s="314"/>
      <c r="AA974" s="314"/>
      <c r="AB974" s="318"/>
      <c r="AC974" s="325"/>
      <c r="AD974" s="325"/>
      <c r="AE974" s="325" t="str">
        <f>IF(Table2[[#This Row],[HOLD]]&gt;30,"ATRASADO","NO PRAZO")</f>
        <v>NO PRAZO</v>
      </c>
    </row>
    <row r="975" spans="1:31" ht="14.45" hidden="1">
      <c r="A975" s="323"/>
      <c r="B975" s="320"/>
      <c r="C975" s="319"/>
      <c r="D975" s="312"/>
      <c r="E975" s="312"/>
      <c r="F975" s="312"/>
      <c r="G975" s="312"/>
      <c r="H975" s="312"/>
      <c r="I975" s="312"/>
      <c r="J975" s="312"/>
      <c r="K975" s="312"/>
      <c r="L975" s="312"/>
      <c r="M975" s="313"/>
      <c r="N975" s="313"/>
      <c r="O975" s="314"/>
      <c r="P975" s="314"/>
      <c r="Q975" s="312"/>
      <c r="R975" s="314"/>
      <c r="S975" s="320"/>
      <c r="T975" s="320"/>
      <c r="U975" s="320"/>
      <c r="V975" s="314"/>
      <c r="W975" s="314"/>
      <c r="X975" s="322"/>
      <c r="Y975" s="322"/>
      <c r="Z975" s="314"/>
      <c r="AA975" s="314"/>
      <c r="AB975" s="318"/>
      <c r="AC975" s="325"/>
      <c r="AD975" s="325"/>
      <c r="AE975" s="325" t="str">
        <f>IF(Table2[[#This Row],[HOLD]]&gt;30,"ATRASADO","NO PRAZO")</f>
        <v>NO PRAZO</v>
      </c>
    </row>
    <row r="976" spans="1:31" ht="14.45" hidden="1">
      <c r="A976" s="323"/>
      <c r="B976" s="320"/>
      <c r="C976" s="319"/>
      <c r="D976" s="312"/>
      <c r="E976" s="312"/>
      <c r="F976" s="312"/>
      <c r="G976" s="312"/>
      <c r="H976" s="312"/>
      <c r="I976" s="312"/>
      <c r="J976" s="312"/>
      <c r="K976" s="312"/>
      <c r="L976" s="312"/>
      <c r="M976" s="313"/>
      <c r="N976" s="313"/>
      <c r="O976" s="314"/>
      <c r="P976" s="314"/>
      <c r="Q976" s="312"/>
      <c r="R976" s="314"/>
      <c r="S976" s="320"/>
      <c r="T976" s="320"/>
      <c r="U976" s="320"/>
      <c r="V976" s="314"/>
      <c r="W976" s="314"/>
      <c r="X976" s="322"/>
      <c r="Y976" s="322"/>
      <c r="Z976" s="314"/>
      <c r="AA976" s="314"/>
      <c r="AB976" s="318"/>
      <c r="AC976" s="325"/>
      <c r="AD976" s="325"/>
      <c r="AE976" s="325" t="str">
        <f>IF(Table2[[#This Row],[HOLD]]&gt;30,"ATRASADO","NO PRAZO")</f>
        <v>NO PRAZO</v>
      </c>
    </row>
    <row r="977" spans="1:31" ht="14.45" hidden="1">
      <c r="A977" s="323"/>
      <c r="B977" s="320"/>
      <c r="C977" s="319"/>
      <c r="D977" s="312"/>
      <c r="E977" s="312"/>
      <c r="F977" s="312"/>
      <c r="G977" s="312"/>
      <c r="H977" s="312"/>
      <c r="I977" s="312"/>
      <c r="J977" s="312"/>
      <c r="K977" s="312"/>
      <c r="L977" s="312"/>
      <c r="M977" s="313"/>
      <c r="N977" s="313"/>
      <c r="O977" s="314"/>
      <c r="P977" s="314"/>
      <c r="Q977" s="312"/>
      <c r="R977" s="314"/>
      <c r="S977" s="320"/>
      <c r="T977" s="320"/>
      <c r="U977" s="320"/>
      <c r="V977" s="314"/>
      <c r="W977" s="314"/>
      <c r="X977" s="322"/>
      <c r="Y977" s="322"/>
      <c r="Z977" s="314"/>
      <c r="AA977" s="314"/>
      <c r="AB977" s="318"/>
      <c r="AC977" s="325"/>
      <c r="AD977" s="325"/>
      <c r="AE977" s="325" t="str">
        <f>IF(Table2[[#This Row],[HOLD]]&gt;30,"ATRASADO","NO PRAZO")</f>
        <v>NO PRAZO</v>
      </c>
    </row>
    <row r="978" spans="1:31" ht="14.45" hidden="1">
      <c r="A978" s="323"/>
      <c r="B978" s="320"/>
      <c r="C978" s="319"/>
      <c r="D978" s="312"/>
      <c r="E978" s="312"/>
      <c r="F978" s="312"/>
      <c r="G978" s="312"/>
      <c r="H978" s="312"/>
      <c r="I978" s="312"/>
      <c r="J978" s="312"/>
      <c r="K978" s="312"/>
      <c r="L978" s="312"/>
      <c r="M978" s="313"/>
      <c r="N978" s="313"/>
      <c r="O978" s="314"/>
      <c r="P978" s="314"/>
      <c r="Q978" s="312"/>
      <c r="R978" s="314"/>
      <c r="S978" s="320"/>
      <c r="T978" s="320"/>
      <c r="U978" s="320"/>
      <c r="V978" s="314"/>
      <c r="W978" s="314"/>
      <c r="X978" s="322"/>
      <c r="Y978" s="322"/>
      <c r="Z978" s="314"/>
      <c r="AA978" s="314"/>
      <c r="AB978" s="318"/>
      <c r="AC978" s="325"/>
      <c r="AD978" s="325"/>
      <c r="AE978" s="325" t="str">
        <f>IF(Table2[[#This Row],[HOLD]]&gt;30,"ATRASADO","NO PRAZO")</f>
        <v>NO PRAZO</v>
      </c>
    </row>
    <row r="979" spans="1:31" ht="14.45" hidden="1">
      <c r="A979" s="323"/>
      <c r="B979" s="320"/>
      <c r="C979" s="319"/>
      <c r="D979" s="312"/>
      <c r="E979" s="312"/>
      <c r="F979" s="312"/>
      <c r="G979" s="312"/>
      <c r="H979" s="312"/>
      <c r="I979" s="312"/>
      <c r="J979" s="312"/>
      <c r="K979" s="312"/>
      <c r="L979" s="312"/>
      <c r="M979" s="313"/>
      <c r="N979" s="313"/>
      <c r="O979" s="314"/>
      <c r="P979" s="314"/>
      <c r="Q979" s="312"/>
      <c r="R979" s="314"/>
      <c r="S979" s="320"/>
      <c r="T979" s="320"/>
      <c r="U979" s="320"/>
      <c r="V979" s="314"/>
      <c r="W979" s="314"/>
      <c r="X979" s="322"/>
      <c r="Y979" s="322"/>
      <c r="Z979" s="314"/>
      <c r="AA979" s="314"/>
      <c r="AB979" s="318"/>
      <c r="AC979" s="325"/>
      <c r="AD979" s="325"/>
      <c r="AE979" s="325" t="str">
        <f>IF(Table2[[#This Row],[HOLD]]&gt;30,"ATRASADO","NO PRAZO")</f>
        <v>NO PRAZO</v>
      </c>
    </row>
    <row r="980" spans="1:31" ht="14.45" hidden="1">
      <c r="A980" s="323"/>
      <c r="B980" s="320"/>
      <c r="C980" s="319"/>
      <c r="D980" s="312"/>
      <c r="E980" s="312"/>
      <c r="F980" s="312"/>
      <c r="G980" s="312"/>
      <c r="H980" s="312"/>
      <c r="I980" s="312"/>
      <c r="J980" s="312"/>
      <c r="K980" s="312"/>
      <c r="L980" s="312"/>
      <c r="M980" s="313"/>
      <c r="N980" s="313"/>
      <c r="O980" s="314"/>
      <c r="P980" s="314"/>
      <c r="Q980" s="312"/>
      <c r="R980" s="314"/>
      <c r="S980" s="320"/>
      <c r="T980" s="320"/>
      <c r="U980" s="320"/>
      <c r="V980" s="314"/>
      <c r="W980" s="314"/>
      <c r="X980" s="322"/>
      <c r="Y980" s="322"/>
      <c r="Z980" s="314"/>
      <c r="AA980" s="314"/>
      <c r="AB980" s="318"/>
      <c r="AC980" s="325"/>
      <c r="AD980" s="325"/>
      <c r="AE980" s="325" t="str">
        <f>IF(Table2[[#This Row],[HOLD]]&gt;30,"ATRASADO","NO PRAZO")</f>
        <v>NO PRAZO</v>
      </c>
    </row>
    <row r="981" spans="1:31" ht="14.45" hidden="1">
      <c r="A981" s="323"/>
      <c r="B981" s="320"/>
      <c r="C981" s="319"/>
      <c r="D981" s="312"/>
      <c r="E981" s="312"/>
      <c r="F981" s="312"/>
      <c r="G981" s="312"/>
      <c r="H981" s="312"/>
      <c r="I981" s="312"/>
      <c r="J981" s="312"/>
      <c r="K981" s="312"/>
      <c r="L981" s="312"/>
      <c r="M981" s="313"/>
      <c r="N981" s="313"/>
      <c r="O981" s="314"/>
      <c r="P981" s="314"/>
      <c r="Q981" s="312"/>
      <c r="R981" s="314"/>
      <c r="S981" s="320"/>
      <c r="T981" s="320"/>
      <c r="U981" s="320"/>
      <c r="V981" s="314"/>
      <c r="W981" s="314"/>
      <c r="X981" s="322"/>
      <c r="Y981" s="322"/>
      <c r="Z981" s="314"/>
      <c r="AA981" s="314"/>
      <c r="AB981" s="318"/>
      <c r="AC981" s="325"/>
      <c r="AD981" s="325"/>
      <c r="AE981" s="325" t="str">
        <f>IF(Table2[[#This Row],[HOLD]]&gt;30,"ATRASADO","NO PRAZO")</f>
        <v>NO PRAZO</v>
      </c>
    </row>
    <row r="982" spans="1:31" ht="14.45" hidden="1">
      <c r="A982" s="323"/>
      <c r="B982" s="320"/>
      <c r="C982" s="319"/>
      <c r="D982" s="312"/>
      <c r="E982" s="312"/>
      <c r="F982" s="312"/>
      <c r="G982" s="312"/>
      <c r="H982" s="312"/>
      <c r="I982" s="312"/>
      <c r="J982" s="312"/>
      <c r="K982" s="312"/>
      <c r="L982" s="312"/>
      <c r="M982" s="313"/>
      <c r="N982" s="313"/>
      <c r="O982" s="314"/>
      <c r="P982" s="314"/>
      <c r="Q982" s="312"/>
      <c r="R982" s="314"/>
      <c r="S982" s="320"/>
      <c r="T982" s="320"/>
      <c r="U982" s="320"/>
      <c r="V982" s="314"/>
      <c r="W982" s="314"/>
      <c r="X982" s="322"/>
      <c r="Y982" s="322"/>
      <c r="Z982" s="314"/>
      <c r="AA982" s="314"/>
      <c r="AB982" s="318"/>
      <c r="AC982" s="325"/>
      <c r="AD982" s="325"/>
      <c r="AE982" s="325" t="str">
        <f>IF(Table2[[#This Row],[HOLD]]&gt;30,"ATRASADO","NO PRAZO")</f>
        <v>NO PRAZO</v>
      </c>
    </row>
    <row r="983" spans="1:31" ht="14.45" hidden="1">
      <c r="A983" s="323"/>
      <c r="B983" s="320"/>
      <c r="C983" s="319"/>
      <c r="D983" s="312"/>
      <c r="E983" s="312"/>
      <c r="F983" s="312"/>
      <c r="G983" s="312"/>
      <c r="H983" s="312"/>
      <c r="I983" s="312"/>
      <c r="J983" s="312"/>
      <c r="K983" s="312"/>
      <c r="L983" s="312"/>
      <c r="M983" s="313"/>
      <c r="N983" s="313"/>
      <c r="O983" s="314"/>
      <c r="P983" s="314"/>
      <c r="Q983" s="312"/>
      <c r="R983" s="314"/>
      <c r="S983" s="320"/>
      <c r="T983" s="320"/>
      <c r="U983" s="320"/>
      <c r="V983" s="314"/>
      <c r="W983" s="314"/>
      <c r="X983" s="322"/>
      <c r="Y983" s="322"/>
      <c r="Z983" s="314"/>
      <c r="AA983" s="314"/>
      <c r="AB983" s="318"/>
      <c r="AC983" s="325"/>
      <c r="AD983" s="325"/>
      <c r="AE983" s="325" t="str">
        <f>IF(Table2[[#This Row],[HOLD]]&gt;30,"ATRASADO","NO PRAZO")</f>
        <v>NO PRAZO</v>
      </c>
    </row>
    <row r="984" spans="1:31" ht="14.45" hidden="1">
      <c r="A984" s="323"/>
      <c r="B984" s="320"/>
      <c r="C984" s="319"/>
      <c r="D984" s="312"/>
      <c r="E984" s="312"/>
      <c r="F984" s="312"/>
      <c r="G984" s="312"/>
      <c r="H984" s="312"/>
      <c r="I984" s="312"/>
      <c r="J984" s="312"/>
      <c r="K984" s="312"/>
      <c r="L984" s="312"/>
      <c r="M984" s="313"/>
      <c r="N984" s="313"/>
      <c r="O984" s="314"/>
      <c r="P984" s="314"/>
      <c r="Q984" s="312"/>
      <c r="R984" s="314"/>
      <c r="S984" s="320"/>
      <c r="T984" s="320"/>
      <c r="U984" s="320"/>
      <c r="V984" s="314"/>
      <c r="W984" s="314"/>
      <c r="X984" s="322"/>
      <c r="Y984" s="322"/>
      <c r="Z984" s="314"/>
      <c r="AA984" s="314"/>
      <c r="AB984" s="318"/>
      <c r="AC984" s="325"/>
      <c r="AD984" s="325"/>
      <c r="AE984" s="325" t="str">
        <f>IF(Table2[[#This Row],[HOLD]]&gt;30,"ATRASADO","NO PRAZO")</f>
        <v>NO PRAZO</v>
      </c>
    </row>
    <row r="985" spans="1:31" ht="14.45" hidden="1">
      <c r="A985" s="323"/>
      <c r="B985" s="320"/>
      <c r="C985" s="319"/>
      <c r="D985" s="312"/>
      <c r="E985" s="312"/>
      <c r="F985" s="312"/>
      <c r="G985" s="312"/>
      <c r="H985" s="312"/>
      <c r="I985" s="312"/>
      <c r="J985" s="312"/>
      <c r="K985" s="312"/>
      <c r="L985" s="312"/>
      <c r="M985" s="313"/>
      <c r="N985" s="313"/>
      <c r="O985" s="314"/>
      <c r="P985" s="314"/>
      <c r="Q985" s="312"/>
      <c r="R985" s="314"/>
      <c r="S985" s="320"/>
      <c r="T985" s="320"/>
      <c r="U985" s="320"/>
      <c r="V985" s="314"/>
      <c r="W985" s="314"/>
      <c r="X985" s="322"/>
      <c r="Y985" s="322"/>
      <c r="Z985" s="314"/>
      <c r="AA985" s="314"/>
      <c r="AB985" s="318"/>
      <c r="AC985" s="325"/>
      <c r="AD985" s="325"/>
      <c r="AE985" s="325" t="str">
        <f>IF(Table2[[#This Row],[HOLD]]&gt;30,"ATRASADO","NO PRAZO")</f>
        <v>NO PRAZO</v>
      </c>
    </row>
    <row r="986" spans="1:31" ht="14.45" hidden="1">
      <c r="A986" s="323"/>
      <c r="B986" s="320"/>
      <c r="C986" s="319"/>
      <c r="D986" s="312"/>
      <c r="E986" s="312"/>
      <c r="F986" s="312"/>
      <c r="G986" s="312"/>
      <c r="H986" s="312"/>
      <c r="I986" s="312"/>
      <c r="J986" s="312"/>
      <c r="K986" s="312"/>
      <c r="L986" s="312"/>
      <c r="M986" s="313"/>
      <c r="N986" s="313"/>
      <c r="O986" s="314"/>
      <c r="P986" s="314"/>
      <c r="Q986" s="312"/>
      <c r="R986" s="314"/>
      <c r="S986" s="320"/>
      <c r="T986" s="320"/>
      <c r="U986" s="320"/>
      <c r="V986" s="314"/>
      <c r="W986" s="314"/>
      <c r="X986" s="322"/>
      <c r="Y986" s="322"/>
      <c r="Z986" s="314"/>
      <c r="AA986" s="314"/>
      <c r="AB986" s="318"/>
      <c r="AC986" s="325"/>
      <c r="AD986" s="325"/>
      <c r="AE986" s="325" t="str">
        <f>IF(Table2[[#This Row],[HOLD]]&gt;30,"ATRASADO","NO PRAZO")</f>
        <v>NO PRAZO</v>
      </c>
    </row>
    <row r="987" spans="1:31" ht="14.45" hidden="1">
      <c r="A987" s="323"/>
      <c r="B987" s="320"/>
      <c r="C987" s="319"/>
      <c r="D987" s="312"/>
      <c r="E987" s="312"/>
      <c r="F987" s="312"/>
      <c r="G987" s="312"/>
      <c r="H987" s="312"/>
      <c r="I987" s="312"/>
      <c r="J987" s="312"/>
      <c r="K987" s="312"/>
      <c r="L987" s="312"/>
      <c r="M987" s="313"/>
      <c r="N987" s="313"/>
      <c r="O987" s="314"/>
      <c r="P987" s="314"/>
      <c r="Q987" s="312"/>
      <c r="R987" s="314"/>
      <c r="S987" s="320"/>
      <c r="T987" s="320"/>
      <c r="U987" s="320"/>
      <c r="V987" s="314"/>
      <c r="W987" s="314"/>
      <c r="X987" s="322"/>
      <c r="Y987" s="322"/>
      <c r="Z987" s="314"/>
      <c r="AA987" s="314"/>
      <c r="AB987" s="318"/>
      <c r="AC987" s="325"/>
      <c r="AD987" s="325"/>
      <c r="AE987" s="325" t="str">
        <f>IF(Table2[[#This Row],[HOLD]]&gt;30,"ATRASADO","NO PRAZO")</f>
        <v>NO PRAZO</v>
      </c>
    </row>
    <row r="988" spans="1:31" ht="14.45" hidden="1">
      <c r="A988" s="323"/>
      <c r="B988" s="320"/>
      <c r="C988" s="319"/>
      <c r="D988" s="312"/>
      <c r="E988" s="312"/>
      <c r="F988" s="312"/>
      <c r="G988" s="312"/>
      <c r="H988" s="312"/>
      <c r="I988" s="312"/>
      <c r="J988" s="312"/>
      <c r="K988" s="312"/>
      <c r="L988" s="312"/>
      <c r="M988" s="313"/>
      <c r="N988" s="313"/>
      <c r="O988" s="314"/>
      <c r="P988" s="314"/>
      <c r="Q988" s="312"/>
      <c r="R988" s="314"/>
      <c r="S988" s="320"/>
      <c r="T988" s="320"/>
      <c r="U988" s="320"/>
      <c r="V988" s="314"/>
      <c r="W988" s="314"/>
      <c r="X988" s="322"/>
      <c r="Y988" s="322"/>
      <c r="Z988" s="314"/>
      <c r="AA988" s="314"/>
      <c r="AB988" s="318"/>
      <c r="AC988" s="325"/>
      <c r="AD988" s="325"/>
      <c r="AE988" s="325" t="str">
        <f>IF(Table2[[#This Row],[HOLD]]&gt;30,"ATRASADO","NO PRAZO")</f>
        <v>NO PRAZO</v>
      </c>
    </row>
    <row r="989" spans="1:31" ht="14.45" hidden="1">
      <c r="A989" s="323"/>
      <c r="B989" s="320"/>
      <c r="C989" s="319"/>
      <c r="D989" s="312"/>
      <c r="E989" s="312"/>
      <c r="F989" s="312"/>
      <c r="G989" s="312"/>
      <c r="H989" s="312"/>
      <c r="I989" s="312"/>
      <c r="J989" s="312"/>
      <c r="K989" s="312"/>
      <c r="L989" s="312"/>
      <c r="M989" s="313"/>
      <c r="N989" s="313"/>
      <c r="O989" s="314"/>
      <c r="P989" s="314"/>
      <c r="Q989" s="312"/>
      <c r="R989" s="314"/>
      <c r="S989" s="320"/>
      <c r="T989" s="320"/>
      <c r="U989" s="320"/>
      <c r="V989" s="314"/>
      <c r="W989" s="314"/>
      <c r="X989" s="322"/>
      <c r="Y989" s="322"/>
      <c r="Z989" s="314"/>
      <c r="AA989" s="314"/>
      <c r="AB989" s="318"/>
      <c r="AC989" s="325"/>
      <c r="AD989" s="325"/>
      <c r="AE989" s="325" t="str">
        <f>IF(Table2[[#This Row],[HOLD]]&gt;30,"ATRASADO","NO PRAZO")</f>
        <v>NO PRAZO</v>
      </c>
    </row>
    <row r="990" spans="1:31" ht="14.45" hidden="1">
      <c r="A990" s="323"/>
      <c r="B990" s="320"/>
      <c r="C990" s="319"/>
      <c r="D990" s="312"/>
      <c r="E990" s="312"/>
      <c r="F990" s="312"/>
      <c r="G990" s="312"/>
      <c r="H990" s="312"/>
      <c r="I990" s="312"/>
      <c r="J990" s="312"/>
      <c r="K990" s="312"/>
      <c r="L990" s="312"/>
      <c r="M990" s="313"/>
      <c r="N990" s="313"/>
      <c r="O990" s="314"/>
      <c r="P990" s="314"/>
      <c r="Q990" s="312"/>
      <c r="R990" s="314"/>
      <c r="S990" s="320"/>
      <c r="T990" s="320"/>
      <c r="U990" s="320"/>
      <c r="V990" s="314"/>
      <c r="W990" s="314"/>
      <c r="X990" s="322"/>
      <c r="Y990" s="322"/>
      <c r="Z990" s="314"/>
      <c r="AA990" s="314"/>
      <c r="AB990" s="318"/>
      <c r="AC990" s="325"/>
      <c r="AD990" s="325"/>
      <c r="AE990" s="325" t="str">
        <f>IF(Table2[[#This Row],[HOLD]]&gt;30,"ATRASADO","NO PRAZO")</f>
        <v>NO PRAZO</v>
      </c>
    </row>
    <row r="991" spans="1:31" ht="14.45" hidden="1">
      <c r="A991" s="323"/>
      <c r="B991" s="320"/>
      <c r="C991" s="319"/>
      <c r="D991" s="312"/>
      <c r="E991" s="312"/>
      <c r="F991" s="312"/>
      <c r="G991" s="312"/>
      <c r="H991" s="312"/>
      <c r="I991" s="312"/>
      <c r="J991" s="312"/>
      <c r="K991" s="312"/>
      <c r="L991" s="312"/>
      <c r="M991" s="313"/>
      <c r="N991" s="313"/>
      <c r="O991" s="314"/>
      <c r="P991" s="314"/>
      <c r="Q991" s="312"/>
      <c r="R991" s="314"/>
      <c r="S991" s="320"/>
      <c r="T991" s="320"/>
      <c r="U991" s="320"/>
      <c r="V991" s="314"/>
      <c r="W991" s="314"/>
      <c r="X991" s="322"/>
      <c r="Y991" s="322"/>
      <c r="Z991" s="314"/>
      <c r="AA991" s="314"/>
      <c r="AB991" s="318"/>
      <c r="AC991" s="325"/>
      <c r="AD991" s="325"/>
      <c r="AE991" s="325" t="str">
        <f>IF(Table2[[#This Row],[HOLD]]&gt;30,"ATRASADO","NO PRAZO")</f>
        <v>NO PRAZO</v>
      </c>
    </row>
    <row r="992" spans="1:31" ht="14.45" hidden="1">
      <c r="A992" s="323"/>
      <c r="B992" s="320"/>
      <c r="C992" s="319"/>
      <c r="D992" s="312"/>
      <c r="E992" s="312"/>
      <c r="F992" s="312"/>
      <c r="G992" s="312"/>
      <c r="H992" s="312"/>
      <c r="I992" s="312"/>
      <c r="J992" s="312"/>
      <c r="K992" s="312"/>
      <c r="L992" s="312"/>
      <c r="M992" s="313"/>
      <c r="N992" s="313"/>
      <c r="O992" s="314"/>
      <c r="P992" s="314"/>
      <c r="Q992" s="312"/>
      <c r="R992" s="314"/>
      <c r="S992" s="320"/>
      <c r="T992" s="320"/>
      <c r="U992" s="320"/>
      <c r="V992" s="314"/>
      <c r="W992" s="314"/>
      <c r="X992" s="322"/>
      <c r="Y992" s="322"/>
      <c r="Z992" s="314"/>
      <c r="AA992" s="314"/>
      <c r="AB992" s="318"/>
      <c r="AC992" s="325"/>
      <c r="AD992" s="325"/>
      <c r="AE992" s="325" t="str">
        <f>IF(Table2[[#This Row],[HOLD]]&gt;30,"ATRASADO","NO PRAZO")</f>
        <v>NO PRAZO</v>
      </c>
    </row>
    <row r="993" spans="1:31" ht="14.45" hidden="1">
      <c r="A993" s="323"/>
      <c r="B993" s="320"/>
      <c r="C993" s="319"/>
      <c r="D993" s="312"/>
      <c r="E993" s="312"/>
      <c r="F993" s="312"/>
      <c r="G993" s="312"/>
      <c r="H993" s="312"/>
      <c r="I993" s="312"/>
      <c r="J993" s="312"/>
      <c r="K993" s="312"/>
      <c r="L993" s="312"/>
      <c r="M993" s="313"/>
      <c r="N993" s="313"/>
      <c r="O993" s="314"/>
      <c r="P993" s="314"/>
      <c r="Q993" s="312"/>
      <c r="R993" s="314"/>
      <c r="S993" s="320"/>
      <c r="T993" s="320"/>
      <c r="U993" s="320"/>
      <c r="V993" s="314"/>
      <c r="W993" s="314"/>
      <c r="X993" s="322"/>
      <c r="Y993" s="322"/>
      <c r="Z993" s="314"/>
      <c r="AA993" s="314"/>
      <c r="AB993" s="318"/>
      <c r="AC993" s="325"/>
      <c r="AD993" s="325"/>
      <c r="AE993" s="325" t="str">
        <f>IF(Table2[[#This Row],[HOLD]]&gt;30,"ATRASADO","NO PRAZO")</f>
        <v>NO PRAZO</v>
      </c>
    </row>
    <row r="994" spans="1:31" ht="14.45" hidden="1">
      <c r="A994" s="323"/>
      <c r="B994" s="320"/>
      <c r="C994" s="319"/>
      <c r="D994" s="312"/>
      <c r="E994" s="312"/>
      <c r="F994" s="312"/>
      <c r="G994" s="312"/>
      <c r="H994" s="312"/>
      <c r="I994" s="312"/>
      <c r="J994" s="312"/>
      <c r="K994" s="312"/>
      <c r="L994" s="312"/>
      <c r="M994" s="313"/>
      <c r="N994" s="313"/>
      <c r="O994" s="314"/>
      <c r="P994" s="314"/>
      <c r="Q994" s="312"/>
      <c r="R994" s="314"/>
      <c r="S994" s="320"/>
      <c r="T994" s="320"/>
      <c r="U994" s="320"/>
      <c r="V994" s="314"/>
      <c r="W994" s="314"/>
      <c r="X994" s="322"/>
      <c r="Y994" s="322"/>
      <c r="Z994" s="314"/>
      <c r="AA994" s="314"/>
      <c r="AB994" s="318"/>
      <c r="AC994" s="325"/>
      <c r="AD994" s="325"/>
      <c r="AE994" s="325" t="str">
        <f>IF(Table2[[#This Row],[HOLD]]&gt;30,"ATRASADO","NO PRAZO")</f>
        <v>NO PRAZO</v>
      </c>
    </row>
    <row r="995" spans="1:31" ht="14.45" hidden="1">
      <c r="A995" s="323"/>
      <c r="B995" s="320"/>
      <c r="C995" s="319"/>
      <c r="D995" s="312"/>
      <c r="E995" s="312"/>
      <c r="F995" s="312"/>
      <c r="G995" s="312"/>
      <c r="H995" s="312"/>
      <c r="I995" s="312"/>
      <c r="J995" s="312"/>
      <c r="K995" s="312"/>
      <c r="L995" s="312"/>
      <c r="M995" s="313"/>
      <c r="N995" s="313"/>
      <c r="O995" s="314"/>
      <c r="P995" s="314"/>
      <c r="Q995" s="312"/>
      <c r="R995" s="314"/>
      <c r="S995" s="320"/>
      <c r="T995" s="320"/>
      <c r="U995" s="320"/>
      <c r="V995" s="314"/>
      <c r="W995" s="314"/>
      <c r="X995" s="322"/>
      <c r="Y995" s="322"/>
      <c r="Z995" s="314"/>
      <c r="AA995" s="314"/>
      <c r="AB995" s="318"/>
      <c r="AC995" s="325"/>
      <c r="AD995" s="325"/>
      <c r="AE995" s="325" t="str">
        <f>IF(Table2[[#This Row],[HOLD]]&gt;30,"ATRASADO","NO PRAZO")</f>
        <v>NO PRAZO</v>
      </c>
    </row>
    <row r="996" spans="1:31" ht="14.45" hidden="1">
      <c r="A996" s="323"/>
      <c r="B996" s="320"/>
      <c r="C996" s="319"/>
      <c r="D996" s="312"/>
      <c r="E996" s="312"/>
      <c r="F996" s="312"/>
      <c r="G996" s="312"/>
      <c r="H996" s="312"/>
      <c r="I996" s="312"/>
      <c r="J996" s="312"/>
      <c r="K996" s="312"/>
      <c r="L996" s="312"/>
      <c r="M996" s="313"/>
      <c r="N996" s="313"/>
      <c r="O996" s="314"/>
      <c r="P996" s="314"/>
      <c r="Q996" s="312"/>
      <c r="R996" s="314"/>
      <c r="S996" s="320"/>
      <c r="T996" s="320"/>
      <c r="U996" s="320"/>
      <c r="V996" s="314"/>
      <c r="W996" s="314"/>
      <c r="X996" s="322"/>
      <c r="Y996" s="322"/>
      <c r="Z996" s="314"/>
      <c r="AA996" s="314"/>
      <c r="AB996" s="318"/>
      <c r="AC996" s="325"/>
      <c r="AD996" s="325"/>
      <c r="AE996" s="325" t="str">
        <f>IF(Table2[[#This Row],[HOLD]]&gt;30,"ATRASADO","NO PRAZO")</f>
        <v>NO PRAZO</v>
      </c>
    </row>
    <row r="997" spans="1:31" ht="14.45" hidden="1">
      <c r="A997" s="323"/>
      <c r="B997" s="320"/>
      <c r="C997" s="319"/>
      <c r="D997" s="312"/>
      <c r="E997" s="312"/>
      <c r="F997" s="312"/>
      <c r="G997" s="312"/>
      <c r="H997" s="312"/>
      <c r="I997" s="312"/>
      <c r="J997" s="312"/>
      <c r="K997" s="312"/>
      <c r="L997" s="312"/>
      <c r="M997" s="313"/>
      <c r="N997" s="313"/>
      <c r="O997" s="314"/>
      <c r="P997" s="314"/>
      <c r="Q997" s="312"/>
      <c r="R997" s="314"/>
      <c r="S997" s="320"/>
      <c r="T997" s="320"/>
      <c r="U997" s="320"/>
      <c r="V997" s="314"/>
      <c r="W997" s="314"/>
      <c r="X997" s="322"/>
      <c r="Y997" s="322"/>
      <c r="Z997" s="314"/>
      <c r="AA997" s="314"/>
      <c r="AB997" s="318"/>
      <c r="AC997" s="325"/>
      <c r="AD997" s="325"/>
      <c r="AE997" s="325" t="str">
        <f>IF(Table2[[#This Row],[HOLD]]&gt;30,"ATRASADO","NO PRAZO")</f>
        <v>NO PRAZO</v>
      </c>
    </row>
    <row r="998" spans="1:31" ht="14.45" hidden="1">
      <c r="A998" s="323"/>
      <c r="B998" s="320"/>
      <c r="C998" s="319"/>
      <c r="D998" s="312"/>
      <c r="E998" s="312"/>
      <c r="F998" s="312"/>
      <c r="G998" s="312"/>
      <c r="H998" s="312"/>
      <c r="I998" s="312"/>
      <c r="J998" s="312"/>
      <c r="K998" s="312"/>
      <c r="L998" s="312"/>
      <c r="M998" s="313"/>
      <c r="N998" s="313"/>
      <c r="O998" s="314"/>
      <c r="P998" s="314"/>
      <c r="Q998" s="312"/>
      <c r="R998" s="314"/>
      <c r="S998" s="320"/>
      <c r="T998" s="320"/>
      <c r="U998" s="320"/>
      <c r="V998" s="314"/>
      <c r="W998" s="314"/>
      <c r="X998" s="322"/>
      <c r="Y998" s="322"/>
      <c r="Z998" s="314"/>
      <c r="AA998" s="314"/>
      <c r="AB998" s="318"/>
      <c r="AC998" s="325"/>
      <c r="AD998" s="325"/>
      <c r="AE998" s="325" t="str">
        <f>IF(Table2[[#This Row],[HOLD]]&gt;30,"ATRASADO","NO PRAZO")</f>
        <v>NO PRAZO</v>
      </c>
    </row>
    <row r="999" spans="1:31" ht="14.45" hidden="1">
      <c r="A999" s="323"/>
      <c r="B999" s="320"/>
      <c r="C999" s="319"/>
      <c r="D999" s="312"/>
      <c r="E999" s="312"/>
      <c r="F999" s="312"/>
      <c r="G999" s="312"/>
      <c r="H999" s="312"/>
      <c r="I999" s="312"/>
      <c r="J999" s="312"/>
      <c r="K999" s="312"/>
      <c r="L999" s="312"/>
      <c r="M999" s="313"/>
      <c r="N999" s="313"/>
      <c r="O999" s="314"/>
      <c r="P999" s="314"/>
      <c r="Q999" s="312"/>
      <c r="R999" s="314"/>
      <c r="S999" s="320"/>
      <c r="T999" s="320"/>
      <c r="U999" s="320"/>
      <c r="V999" s="314"/>
      <c r="W999" s="314"/>
      <c r="X999" s="322"/>
      <c r="Y999" s="322"/>
      <c r="Z999" s="314"/>
      <c r="AA999" s="314"/>
      <c r="AB999" s="318"/>
      <c r="AC999" s="325"/>
      <c r="AD999" s="325"/>
      <c r="AE999" s="325" t="str">
        <f>IF(Table2[[#This Row],[HOLD]]&gt;30,"ATRASADO","NO PRAZO")</f>
        <v>NO PRAZO</v>
      </c>
    </row>
    <row r="1000" spans="1:31" ht="14.45" hidden="1">
      <c r="A1000" s="323"/>
      <c r="B1000" s="320"/>
      <c r="C1000" s="319"/>
      <c r="D1000" s="312"/>
      <c r="E1000" s="312"/>
      <c r="F1000" s="312"/>
      <c r="G1000" s="312"/>
      <c r="H1000" s="312"/>
      <c r="I1000" s="312"/>
      <c r="J1000" s="312"/>
      <c r="K1000" s="312"/>
      <c r="L1000" s="312"/>
      <c r="M1000" s="313"/>
      <c r="N1000" s="313"/>
      <c r="O1000" s="314"/>
      <c r="P1000" s="314"/>
      <c r="Q1000" s="312"/>
      <c r="R1000" s="314"/>
      <c r="S1000" s="320"/>
      <c r="T1000" s="320"/>
      <c r="U1000" s="320"/>
      <c r="V1000" s="314"/>
      <c r="W1000" s="314"/>
      <c r="X1000" s="322"/>
      <c r="Y1000" s="322"/>
      <c r="Z1000" s="314"/>
      <c r="AA1000" s="314"/>
      <c r="AB1000" s="318"/>
      <c r="AC1000" s="325"/>
      <c r="AD1000" s="325"/>
      <c r="AE1000" s="325" t="str">
        <f>IF(Table2[[#This Row],[HOLD]]&gt;30,"ATRASADO","NO PRAZO")</f>
        <v>NO PRAZO</v>
      </c>
    </row>
    <row r="1001" spans="1:31" ht="14.45" hidden="1">
      <c r="A1001" s="323"/>
      <c r="B1001" s="320"/>
      <c r="C1001" s="319"/>
      <c r="D1001" s="312"/>
      <c r="E1001" s="312"/>
      <c r="F1001" s="312"/>
      <c r="G1001" s="312"/>
      <c r="H1001" s="312"/>
      <c r="I1001" s="312"/>
      <c r="J1001" s="312"/>
      <c r="K1001" s="312"/>
      <c r="L1001" s="312"/>
      <c r="M1001" s="313"/>
      <c r="N1001" s="313"/>
      <c r="O1001" s="314"/>
      <c r="P1001" s="314"/>
      <c r="Q1001" s="312"/>
      <c r="R1001" s="314"/>
      <c r="S1001" s="320"/>
      <c r="T1001" s="320"/>
      <c r="U1001" s="320"/>
      <c r="V1001" s="314"/>
      <c r="W1001" s="314"/>
      <c r="X1001" s="322"/>
      <c r="Y1001" s="322"/>
      <c r="Z1001" s="314"/>
      <c r="AA1001" s="314"/>
      <c r="AB1001" s="318"/>
      <c r="AC1001" s="325"/>
      <c r="AD1001" s="325"/>
      <c r="AE1001" s="325" t="str">
        <f>IF(Table2[[#This Row],[HOLD]]&gt;30,"ATRASADO","NO PRAZO")</f>
        <v>NO PRAZO</v>
      </c>
    </row>
    <row r="1002" spans="1:31" ht="14.45" hidden="1">
      <c r="A1002" s="323"/>
      <c r="B1002" s="320"/>
      <c r="C1002" s="319"/>
      <c r="D1002" s="312"/>
      <c r="E1002" s="312"/>
      <c r="F1002" s="312"/>
      <c r="G1002" s="312"/>
      <c r="H1002" s="312"/>
      <c r="I1002" s="312"/>
      <c r="J1002" s="312"/>
      <c r="K1002" s="312"/>
      <c r="L1002" s="312"/>
      <c r="M1002" s="313"/>
      <c r="N1002" s="313"/>
      <c r="O1002" s="314"/>
      <c r="P1002" s="314"/>
      <c r="Q1002" s="312"/>
      <c r="R1002" s="314"/>
      <c r="S1002" s="320"/>
      <c r="T1002" s="320"/>
      <c r="U1002" s="320"/>
      <c r="V1002" s="314"/>
      <c r="W1002" s="314"/>
      <c r="X1002" s="322"/>
      <c r="Y1002" s="322"/>
      <c r="Z1002" s="314"/>
      <c r="AA1002" s="314"/>
      <c r="AB1002" s="318"/>
      <c r="AC1002" s="325"/>
      <c r="AD1002" s="325"/>
      <c r="AE1002" s="325" t="str">
        <f>IF(Table2[[#This Row],[HOLD]]&gt;30,"ATRASADO","NO PRAZO")</f>
        <v>NO PRAZO</v>
      </c>
    </row>
    <row r="1003" spans="1:31" ht="14.45" hidden="1">
      <c r="A1003" s="323"/>
      <c r="B1003" s="320"/>
      <c r="C1003" s="319"/>
      <c r="D1003" s="312"/>
      <c r="E1003" s="312"/>
      <c r="F1003" s="312"/>
      <c r="G1003" s="312"/>
      <c r="H1003" s="312"/>
      <c r="I1003" s="312"/>
      <c r="J1003" s="312"/>
      <c r="K1003" s="312"/>
      <c r="L1003" s="312"/>
      <c r="M1003" s="313"/>
      <c r="N1003" s="313"/>
      <c r="O1003" s="314"/>
      <c r="P1003" s="314"/>
      <c r="Q1003" s="312"/>
      <c r="R1003" s="314"/>
      <c r="S1003" s="320"/>
      <c r="T1003" s="320"/>
      <c r="U1003" s="320"/>
      <c r="V1003" s="314"/>
      <c r="W1003" s="314"/>
      <c r="X1003" s="322"/>
      <c r="Y1003" s="322"/>
      <c r="Z1003" s="314"/>
      <c r="AA1003" s="314"/>
      <c r="AB1003" s="318"/>
      <c r="AC1003" s="325"/>
      <c r="AD1003" s="325"/>
      <c r="AE1003" s="325" t="str">
        <f>IF(Table2[[#This Row],[HOLD]]&gt;30,"ATRASADO","NO PRAZO")</f>
        <v>NO PRAZO</v>
      </c>
    </row>
    <row r="1004" spans="1:31" ht="14.45" hidden="1">
      <c r="A1004" s="323"/>
      <c r="B1004" s="320"/>
      <c r="C1004" s="319"/>
      <c r="D1004" s="312"/>
      <c r="E1004" s="312"/>
      <c r="F1004" s="312"/>
      <c r="G1004" s="312"/>
      <c r="H1004" s="312"/>
      <c r="I1004" s="312"/>
      <c r="J1004" s="312"/>
      <c r="K1004" s="312"/>
      <c r="L1004" s="312"/>
      <c r="M1004" s="313"/>
      <c r="N1004" s="313"/>
      <c r="O1004" s="314"/>
      <c r="P1004" s="314"/>
      <c r="Q1004" s="312"/>
      <c r="R1004" s="314"/>
      <c r="S1004" s="320"/>
      <c r="T1004" s="320"/>
      <c r="U1004" s="320"/>
      <c r="V1004" s="314"/>
      <c r="W1004" s="314"/>
      <c r="X1004" s="322"/>
      <c r="Y1004" s="322"/>
      <c r="Z1004" s="314"/>
      <c r="AA1004" s="314"/>
      <c r="AB1004" s="318"/>
      <c r="AC1004" s="325"/>
      <c r="AD1004" s="325"/>
      <c r="AE1004" s="325" t="str">
        <f>IF(Table2[[#This Row],[HOLD]]&gt;30,"ATRASADO","NO PRAZO")</f>
        <v>NO PRAZO</v>
      </c>
    </row>
    <row r="1005" spans="1:31" ht="14.45" hidden="1">
      <c r="A1005" s="323"/>
      <c r="B1005" s="320"/>
      <c r="C1005" s="319"/>
      <c r="D1005" s="312"/>
      <c r="E1005" s="312"/>
      <c r="F1005" s="312"/>
      <c r="G1005" s="312"/>
      <c r="H1005" s="312"/>
      <c r="I1005" s="312"/>
      <c r="J1005" s="312"/>
      <c r="K1005" s="312"/>
      <c r="L1005" s="312"/>
      <c r="M1005" s="313"/>
      <c r="N1005" s="313"/>
      <c r="O1005" s="314"/>
      <c r="P1005" s="314"/>
      <c r="Q1005" s="312"/>
      <c r="R1005" s="314"/>
      <c r="S1005" s="320"/>
      <c r="T1005" s="320"/>
      <c r="U1005" s="320"/>
      <c r="V1005" s="314"/>
      <c r="W1005" s="314"/>
      <c r="X1005" s="322"/>
      <c r="Y1005" s="322"/>
      <c r="Z1005" s="314"/>
      <c r="AA1005" s="314"/>
      <c r="AB1005" s="318"/>
      <c r="AC1005" s="325"/>
      <c r="AD1005" s="325"/>
      <c r="AE1005" s="325" t="str">
        <f>IF(Table2[[#This Row],[HOLD]]&gt;30,"ATRASADO","NO PRAZO")</f>
        <v>NO PRAZO</v>
      </c>
    </row>
  </sheetData>
  <phoneticPr fontId="5" type="noConversion"/>
  <conditionalFormatting sqref="AE1:AE1048576">
    <cfRule type="containsText" dxfId="114" priority="9" operator="containsText" text="ENTREGUE">
      <formula>NOT(ISERROR(SEARCH("ENTREGUE",AE1)))</formula>
    </cfRule>
    <cfRule type="containsText" dxfId="113" priority="10" operator="containsText" text="NO PRAZO">
      <formula>NOT(ISERROR(SEARCH("NO PRAZO",AE1)))</formula>
    </cfRule>
  </conditionalFormatting>
  <conditionalFormatting sqref="AE2 AE5:AE8 AE10:AE11 AE14:AE15 AE18:AE26 AE28:AE30 AE33:AE35 AE37:AE38 AE40:AE45 AE47:AE49 AE51 AE53:AE70 AE72:AE73 AE75:AE78 AE80 AE84:AE111 AE114:AE118 AE120:AE121 AE124:AE126 AE128:AE143 AE145:AE155 AE162:AE166 AE169:AE170 AE172:AE173 AE183:AE185 AE189:AE191 AE194 AE196 AE198:AE202 AE205 AE211 AE220:AE221 AE226:AE234 AE238 AE241:AE242 AE246 AE249 AE251 AE253 AE257:AE258 AE260 AE267:AE268 AE270:AE271 AE273:AE274 AE276:AE278 AE281:AE283 AE285 AE287:AE293 AE295 AE298:AE300 AE303 AE305:AE306 AE308:AE309 AE312 AE315 AE318:AE321 AE327:AE329 AE331 AE333 AE336:AE337 AE339 AE341 AE347 AE351 AE354:AE356 AE361:AE363 AE369 AE375:AE376 AE378:AE380 AE384 AE387:AE388 AE392:AE398 AE404 AE407:AE410 AE412:AE414 AE416 AE423:AE434 AE437:AE440 AE443:AE444 AE446:AE447 AE449:AE455 AE457 AE460:AE463 AE465 AE468 AE470:AE472 AE475:AE476 AE479 AE483:AE486 AE489:AE490 AE493 AE496 AE499 AE501:AE507 AE511 AE515 AE517:AE518 AE521:AE523 AE525:AE529 AE531:AE537 AE539 AE543:AE544 AE546:AE559 AE565:AE566 AE571:AE573 AE576 AE582 AE585 AE587 AE589 AE591 AE594:AE601 AE603:AE605 AE607:AE615 AE617 AE620:AE621 AE632:AE633 AE636 AE639:AE640 AE644:AE647 AE650:AE651 AE654:AE656 AE659 AE666 AE668:AE669 AE675:AE679 AE681:AE682 AE685 AE687:AE691 AE696 AE698 AE700:AE704 AE707:AE711 AE714:AE716 AE718 AE721 AE726:AE732 AE749 AE751:AE752 AE755:AE757 AE760:AE761 AE764:AE765 AE776:AE777 AE790 AE792 AE803 AE811 AE817 AE825 AE827:AE828 AE831 AE839:AE843 AE849 AE856 AE858:AE863 AE873:AE874 AE892 AE899:AE900 AE916:AE917 AE927">
    <cfRule type="containsText" dxfId="112" priority="11" operator="containsText" text="NO PRAZO">
      <formula>NOT(ISERROR(SEARCH("NO PRAZO",AE2)))</formula>
    </cfRule>
    <cfRule type="containsText" dxfId="111" priority="12" operator="containsText" text="ATRASADO">
      <formula>NOT(ISERROR(SEARCH("ATRASADO",AE2)))</formula>
    </cfRule>
  </conditionalFormatting>
  <conditionalFormatting sqref="AE2:AE1048576">
    <cfRule type="cellIs" dxfId="110" priority="13" operator="greaterThan">
      <formula>30</formula>
    </cfRule>
  </conditionalFormatting>
  <conditionalFormatting sqref="AE780">
    <cfRule type="containsText" dxfId="109" priority="1" operator="containsText" text="NO PRAZO">
      <formula>NOT(ISERROR(SEARCH("NO PRAZO",AE780)))</formula>
    </cfRule>
    <cfRule type="containsText" dxfId="108" priority="2" operator="containsText" text="ATRASADO">
      <formula>NOT(ISERROR(SEARCH("ATRASADO",AE780)))</formula>
    </cfRule>
  </conditionalFormatting>
  <conditionalFormatting sqref="AE866">
    <cfRule type="containsText" dxfId="107" priority="5" operator="containsText" text="NO PRAZO">
      <formula>NOT(ISERROR(SEARCH("NO PRAZO",AE866)))</formula>
    </cfRule>
    <cfRule type="containsText" dxfId="106" priority="6" operator="containsText" text="ATRASADO">
      <formula>NOT(ISERROR(SEARCH("ATRASADO",AE866)))</formula>
    </cfRule>
    <cfRule type="containsText" dxfId="105" priority="7" operator="containsText" text="NO PRAZO">
      <formula>NOT(ISERROR(SEARCH("NO PRAZO",AE866)))</formula>
    </cfRule>
    <cfRule type="containsText" dxfId="104" priority="8" operator="containsText" text="ATRASADO">
      <formula>NOT(ISERROR(SEARCH("ATRASADO",AE866)))</formula>
    </cfRule>
  </conditionalFormatting>
  <conditionalFormatting sqref="AE895">
    <cfRule type="containsText" dxfId="103" priority="3" operator="containsText" text="NO PRAZO">
      <formula>NOT(ISERROR(SEARCH("NO PRAZO",AE895)))</formula>
    </cfRule>
    <cfRule type="containsText" dxfId="102" priority="4" operator="containsText" text="ATRASADO">
      <formula>NOT(ISERROR(SEARCH("ATRASADO",AE895)))</formula>
    </cfRule>
  </conditionalFormatting>
  <dataValidations count="2">
    <dataValidation type="date" allowBlank="1" showInputMessage="1" showErrorMessage="1" sqref="B26:B38 C9:C17 S23:U23 B57:B62 B93 B64:B88 B112:B113 S3:S4 D3:D4 B122:B182 B186:B188 T3:U22 B272:B293 B306:B311 B223:B267 C315 T209:T316 S26:S146 C317:C362 B318:B377 B381:B406 U2 T189:T193 U225:U316 T24:T32 T34:T39 T44:T50 T52:T59 T71 T74 T79:T80 T82 T87 T109 T112:T113 T127 T133 T137 T144 T148 T162 T183 T150:U150 T198:T201 T203:T204 T196:U196 B446:B469 B421:B443 T169:T174 T441:U441 S254:S315 B590:B620 U151:U195 U197:U223 T224:U224 T206:T207 S149:S252 C19:C223 C225:C313 B224:C224 B206:B213 B471:B588 S317:U440 B679:B699 C364:C700 B631:B676 U24:U149 S441:S644 B622 C839:C851 T122 T118:T120 C858:C869 B870:C875 T896:T901 T918:U918 C774:C803 S883:S886 T943 B774:B869 B702:C773 S902 T811:T876 T893:U895 U896:U902 T920:U927 T929:U941 U811:U891 T919 S646:S880 T443:U810 T903:U916" xr:uid="{00000000-0002-0000-0000-000000000000}">
      <formula1>44927</formula1>
      <formula2>46387</formula2>
    </dataValidation>
    <dataValidation type="date" allowBlank="1" showInputMessage="1" showErrorMessage="1" sqref="S5:S22 S24:S25 B39:B56 B63 B89:B92 B3:B25 B94:B111 B114:B121 B183:B185 B294:B305 B214:B222 B268:B271 B189:B205 C314 B312:B317 B378:B380 B407:B420 B444:B445 B470 B589 B677:B678 C701 B700:B701 B621 B623:B630" xr:uid="{EDE89F81-6DE4-4D9B-85C5-7D9CB4EFB04E}">
      <formula1>45292</formula1>
      <formula2>46387</formula2>
    </dataValidation>
  </dataValidations>
  <pageMargins left="0.25" right="0.25" top="0.75" bottom="0.75" header="0.3" footer="0.3"/>
  <pageSetup paperSize="9" scale="2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842F97-A916-4A6A-B97E-E56E8C802A61}">
          <x14:formula1>
            <xm:f>DB!$A$2:$A$8</xm:f>
          </x14:formula1>
          <xm:sqref>M518 M701:N701 M615:N615 M81:M83 M99 M105 M113 M122:M123 N529:N540 N512:N527 M520:M527 N129:N155 M580:N580 M612:N612 M660:N661 M675:N675 M688:N688 M734:M748 N726:N729 N546:N547 N551:N555 N560:N564 N566:N572 N574:N579 N581 N583:N584 N586 N588:N590 N598 N600:N601 N603 N608:N611 N613:N614 N616:N617 N619 N633 N637:N639 N645:N647 N654 N656 N663:N664 N670 N677:N678 N681:N682 N685 N689:N695 N697:N700 N709 N714 N718 N723 N732:N749 N753:N755 N760:N761 N763:N765 N796 N1:N106 N109:N124 M127:N127 M130:M489 M491:N506 M508:N510 M512:M516 M529:M538 N161:N489 N774:N776 N830 N832:N833 N825:N828 N838 N853:N855 N861 N790 N864 N867:N871 N876:N879 N882:N885 N891:N894 N803:N817 N841:N842 N847:N851 N1006:N1048576</xm:sqref>
        </x14:dataValidation>
        <x14:dataValidation type="list" allowBlank="1" showInputMessage="1" showErrorMessage="1" xr:uid="{9CCBCCE7-5E32-4AC1-B7B2-68C411DBB6F1}">
          <x14:formula1>
            <xm:f>DB!$B$2:$B$3</xm:f>
          </x14:formula1>
          <xm:sqref>R905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7F5-788C-4BEA-A0F0-A4D5038CA72F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425D-D665-44EE-8DA2-A677C098470E}">
  <sheetPr>
    <pageSetUpPr fitToPage="1"/>
  </sheetPr>
  <dimension ref="A1:R484"/>
  <sheetViews>
    <sheetView workbookViewId="0">
      <selection activeCell="J502" sqref="J502:J503"/>
    </sheetView>
  </sheetViews>
  <sheetFormatPr defaultColWidth="9.140625" defaultRowHeight="14.45"/>
  <cols>
    <col min="1" max="1" width="11.28515625" style="4" customWidth="1"/>
    <col min="2" max="2" width="14.140625" style="5" bestFit="1" customWidth="1"/>
    <col min="3" max="3" width="16.140625" style="4" bestFit="1" customWidth="1"/>
    <col min="4" max="4" width="16.28515625" style="1" customWidth="1"/>
    <col min="5" max="5" width="20.7109375" style="4" customWidth="1"/>
    <col min="6" max="6" width="53" style="4" bestFit="1" customWidth="1"/>
    <col min="7" max="7" width="8.7109375" style="4" bestFit="1" customWidth="1"/>
    <col min="8" max="8" width="14.140625" style="186" bestFit="1" customWidth="1"/>
    <col min="9" max="9" width="14.7109375" style="1" bestFit="1" customWidth="1"/>
    <col min="10" max="10" width="39.140625" style="1" bestFit="1" customWidth="1"/>
    <col min="11" max="11" width="13" style="4" customWidth="1"/>
    <col min="12" max="12" width="67.28515625" style="4" customWidth="1"/>
    <col min="13" max="13" width="15.7109375" style="1" customWidth="1"/>
    <col min="14" max="14" width="20.28515625" style="5" customWidth="1"/>
    <col min="15" max="15" width="20.140625" style="4" bestFit="1" customWidth="1"/>
    <col min="16" max="16" width="15.28515625" style="4" customWidth="1"/>
    <col min="17" max="17" width="12.7109375" style="171" customWidth="1"/>
    <col min="18" max="18" width="14" style="1" customWidth="1"/>
    <col min="19" max="16384" width="9.140625" style="1"/>
  </cols>
  <sheetData>
    <row r="1" spans="1:18" s="210" customFormat="1" ht="27.6">
      <c r="A1" s="204" t="s">
        <v>2967</v>
      </c>
      <c r="B1" s="205" t="s">
        <v>2968</v>
      </c>
      <c r="C1" s="204" t="s">
        <v>2969</v>
      </c>
      <c r="D1" s="204" t="s">
        <v>2970</v>
      </c>
      <c r="E1" s="206" t="s">
        <v>2971</v>
      </c>
      <c r="F1" s="204" t="s">
        <v>2972</v>
      </c>
      <c r="G1" s="204" t="s">
        <v>2973</v>
      </c>
      <c r="H1" s="207" t="s">
        <v>2974</v>
      </c>
      <c r="I1" s="207" t="s">
        <v>2975</v>
      </c>
      <c r="J1" s="204" t="s">
        <v>2976</v>
      </c>
      <c r="K1" s="206" t="s">
        <v>13</v>
      </c>
      <c r="L1" s="204" t="s">
        <v>2977</v>
      </c>
      <c r="M1" s="204" t="s">
        <v>2978</v>
      </c>
      <c r="N1" s="205" t="s">
        <v>2979</v>
      </c>
      <c r="O1" s="208" t="s">
        <v>2980</v>
      </c>
      <c r="P1" s="208" t="s">
        <v>2981</v>
      </c>
      <c r="Q1" s="209" t="s">
        <v>2982</v>
      </c>
      <c r="R1" s="208" t="s">
        <v>30</v>
      </c>
    </row>
    <row r="2" spans="1:18" s="52" customFormat="1" hidden="1">
      <c r="A2" s="177" t="s">
        <v>2983</v>
      </c>
      <c r="B2" s="49">
        <v>45663</v>
      </c>
      <c r="C2" s="177" t="s">
        <v>2984</v>
      </c>
      <c r="D2" s="48" t="s">
        <v>2985</v>
      </c>
      <c r="E2" s="48"/>
      <c r="F2" s="48" t="s">
        <v>2986</v>
      </c>
      <c r="G2" s="48">
        <v>1</v>
      </c>
      <c r="H2" s="184">
        <v>102.62</v>
      </c>
      <c r="I2" s="184">
        <f>Table3[[#This Row],[Unit Price]]*Table3[[#This Row],[QTY]]</f>
        <v>102.62</v>
      </c>
      <c r="J2" s="48" t="s">
        <v>2987</v>
      </c>
      <c r="K2" s="48" t="s">
        <v>89</v>
      </c>
      <c r="L2" s="48" t="s">
        <v>2988</v>
      </c>
      <c r="M2" s="49">
        <v>45685</v>
      </c>
      <c r="N2" s="174">
        <v>45733</v>
      </c>
      <c r="O2" s="50">
        <v>108088</v>
      </c>
      <c r="P2" s="51" t="s">
        <v>2989</v>
      </c>
      <c r="Q2" s="57">
        <v>45737</v>
      </c>
      <c r="R2" s="52" t="s">
        <v>2990</v>
      </c>
    </row>
    <row r="3" spans="1:18" s="52" customFormat="1" hidden="1">
      <c r="A3" s="48" t="s">
        <v>2983</v>
      </c>
      <c r="B3" s="49">
        <v>45663</v>
      </c>
      <c r="C3" s="48" t="s">
        <v>2984</v>
      </c>
      <c r="D3" s="48" t="s">
        <v>2991</v>
      </c>
      <c r="E3" s="48"/>
      <c r="F3" s="48" t="s">
        <v>2992</v>
      </c>
      <c r="G3" s="48">
        <v>1</v>
      </c>
      <c r="H3" s="184">
        <v>17.920000000000002</v>
      </c>
      <c r="I3" s="184">
        <f>Table3[[#This Row],[Unit Price]]*Table3[[#This Row],[QTY]]</f>
        <v>17.920000000000002</v>
      </c>
      <c r="J3" s="48" t="s">
        <v>2993</v>
      </c>
      <c r="K3" s="48" t="s">
        <v>89</v>
      </c>
      <c r="L3" s="48" t="s">
        <v>2988</v>
      </c>
      <c r="M3" s="49">
        <v>45669</v>
      </c>
      <c r="N3" s="174">
        <v>45683</v>
      </c>
      <c r="O3" s="50">
        <v>108088</v>
      </c>
      <c r="P3" s="53"/>
      <c r="Q3" s="57"/>
    </row>
    <row r="4" spans="1:18" s="52" customFormat="1" hidden="1">
      <c r="A4" s="48" t="s">
        <v>2983</v>
      </c>
      <c r="B4" s="49">
        <v>45663</v>
      </c>
      <c r="C4" s="48" t="s">
        <v>2984</v>
      </c>
      <c r="D4" s="48" t="s">
        <v>2994</v>
      </c>
      <c r="E4" s="48" t="s">
        <v>2995</v>
      </c>
      <c r="F4" s="48" t="s">
        <v>2996</v>
      </c>
      <c r="G4" s="48">
        <v>1</v>
      </c>
      <c r="H4" s="184">
        <v>294.25</v>
      </c>
      <c r="I4" s="184">
        <f>Table3[[#This Row],[Unit Price]]*Table3[[#This Row],[QTY]]</f>
        <v>294.25</v>
      </c>
      <c r="J4" s="48" t="s">
        <v>2993</v>
      </c>
      <c r="K4" s="48" t="s">
        <v>89</v>
      </c>
      <c r="L4" s="48"/>
      <c r="M4" s="49">
        <v>45669</v>
      </c>
      <c r="N4" s="174">
        <v>45683</v>
      </c>
      <c r="O4" s="54"/>
      <c r="P4" s="53"/>
      <c r="Q4" s="57"/>
    </row>
    <row r="5" spans="1:18" hidden="1">
      <c r="A5" s="6" t="s">
        <v>2983</v>
      </c>
      <c r="B5" s="7">
        <v>45663</v>
      </c>
      <c r="C5" s="6" t="s">
        <v>2984</v>
      </c>
      <c r="D5" s="6" t="s">
        <v>2997</v>
      </c>
      <c r="E5" s="6"/>
      <c r="F5" s="6" t="s">
        <v>2998</v>
      </c>
      <c r="G5" s="6">
        <v>1</v>
      </c>
      <c r="H5" s="184">
        <v>154.88</v>
      </c>
      <c r="I5" s="184">
        <f>Table3[[#This Row],[Unit Price]]*Table3[[#This Row],[QTY]]</f>
        <v>154.88</v>
      </c>
      <c r="J5" s="6" t="s">
        <v>2993</v>
      </c>
      <c r="K5" s="6" t="s">
        <v>58</v>
      </c>
      <c r="L5" s="6"/>
      <c r="M5" s="7">
        <v>45669</v>
      </c>
      <c r="N5" s="174">
        <v>45683</v>
      </c>
    </row>
    <row r="6" spans="1:18" hidden="1">
      <c r="A6" s="6" t="s">
        <v>2983</v>
      </c>
      <c r="B6" s="7">
        <v>45663</v>
      </c>
      <c r="C6" s="6" t="s">
        <v>2984</v>
      </c>
      <c r="D6" s="30" t="s">
        <v>2999</v>
      </c>
      <c r="E6" s="6"/>
      <c r="F6" s="6" t="s">
        <v>3000</v>
      </c>
      <c r="G6" s="6">
        <v>1</v>
      </c>
      <c r="H6" s="184">
        <v>52.14</v>
      </c>
      <c r="I6" s="184">
        <f>Table3[[#This Row],[Unit Price]]*Table3[[#This Row],[QTY]]</f>
        <v>52.14</v>
      </c>
      <c r="J6" s="6" t="s">
        <v>2993</v>
      </c>
      <c r="K6" s="6" t="s">
        <v>58</v>
      </c>
      <c r="L6" s="6"/>
      <c r="M6" s="7">
        <v>45669</v>
      </c>
      <c r="N6" s="174">
        <v>45683</v>
      </c>
    </row>
    <row r="7" spans="1:18" hidden="1">
      <c r="A7" s="6" t="s">
        <v>3001</v>
      </c>
      <c r="B7" s="7">
        <v>45664</v>
      </c>
      <c r="C7" s="6" t="s">
        <v>3002</v>
      </c>
      <c r="D7" s="6" t="s">
        <v>130</v>
      </c>
      <c r="E7" s="6"/>
      <c r="F7" s="6" t="s">
        <v>3003</v>
      </c>
      <c r="G7" s="6">
        <v>2</v>
      </c>
      <c r="H7" s="184">
        <v>16.22</v>
      </c>
      <c r="I7" s="184">
        <f>Table3[[#This Row],[Unit Price]]*Table3[[#This Row],[QTY]]</f>
        <v>32.44</v>
      </c>
      <c r="J7" s="6" t="s">
        <v>2993</v>
      </c>
      <c r="K7" s="6" t="s">
        <v>58</v>
      </c>
      <c r="L7" s="6" t="s">
        <v>2988</v>
      </c>
      <c r="M7" s="7">
        <v>45669</v>
      </c>
      <c r="N7" s="174">
        <v>45683</v>
      </c>
      <c r="O7" s="42">
        <v>108154</v>
      </c>
      <c r="P7" s="43"/>
      <c r="Q7" s="170"/>
    </row>
    <row r="8" spans="1:18" hidden="1">
      <c r="A8" s="6" t="s">
        <v>3004</v>
      </c>
      <c r="B8" s="7">
        <v>45665</v>
      </c>
      <c r="C8" s="6" t="s">
        <v>3005</v>
      </c>
      <c r="D8" s="6" t="s">
        <v>130</v>
      </c>
      <c r="E8" s="6"/>
      <c r="F8" s="6" t="s">
        <v>3003</v>
      </c>
      <c r="G8" s="6">
        <v>1</v>
      </c>
      <c r="H8" s="184">
        <v>16.22</v>
      </c>
      <c r="I8" s="184">
        <f>Table3[[#This Row],[Unit Price]]*Table3[[#This Row],[QTY]]</f>
        <v>16.22</v>
      </c>
      <c r="J8" s="6" t="s">
        <v>2993</v>
      </c>
      <c r="K8" s="6" t="s">
        <v>58</v>
      </c>
      <c r="L8" s="6"/>
      <c r="M8" s="7">
        <v>45672</v>
      </c>
      <c r="N8" s="174">
        <v>45683</v>
      </c>
    </row>
    <row r="9" spans="1:18" hidden="1">
      <c r="A9" s="6" t="s">
        <v>3006</v>
      </c>
      <c r="B9" s="7">
        <v>45665</v>
      </c>
      <c r="C9" s="6" t="s">
        <v>381</v>
      </c>
      <c r="D9" s="6" t="s">
        <v>335</v>
      </c>
      <c r="E9" s="6"/>
      <c r="F9" s="6" t="s">
        <v>2569</v>
      </c>
      <c r="G9" s="6">
        <v>3</v>
      </c>
      <c r="H9" s="184">
        <v>86.61</v>
      </c>
      <c r="I9" s="184">
        <f>Table3[[#This Row],[Unit Price]]*Table3[[#This Row],[QTY]]</f>
        <v>259.83</v>
      </c>
      <c r="J9" s="6" t="s">
        <v>2993</v>
      </c>
      <c r="K9" s="6" t="s">
        <v>58</v>
      </c>
      <c r="L9" s="6"/>
      <c r="M9" s="7">
        <v>45672</v>
      </c>
      <c r="N9" s="174">
        <v>45683</v>
      </c>
    </row>
    <row r="10" spans="1:18" hidden="1">
      <c r="A10" s="6" t="s">
        <v>3007</v>
      </c>
      <c r="B10" s="7">
        <v>45665</v>
      </c>
      <c r="C10" s="6" t="s">
        <v>3002</v>
      </c>
      <c r="D10" s="6" t="s">
        <v>2185</v>
      </c>
      <c r="E10" s="6"/>
      <c r="F10" s="6" t="s">
        <v>3008</v>
      </c>
      <c r="G10" s="6">
        <v>1</v>
      </c>
      <c r="H10" s="184">
        <v>5392.47</v>
      </c>
      <c r="I10" s="184">
        <f>Table3[[#This Row],[Unit Price]]*Table3[[#This Row],[QTY]]</f>
        <v>5392.47</v>
      </c>
      <c r="J10" s="6" t="s">
        <v>2993</v>
      </c>
      <c r="K10" s="6" t="s">
        <v>58</v>
      </c>
      <c r="L10" s="6"/>
      <c r="M10" s="7">
        <v>45672</v>
      </c>
      <c r="N10" s="174">
        <v>45683</v>
      </c>
    </row>
    <row r="11" spans="1:18" hidden="1">
      <c r="A11" s="6" t="s">
        <v>3009</v>
      </c>
      <c r="B11" s="7">
        <v>45666</v>
      </c>
      <c r="C11" s="6" t="s">
        <v>2984</v>
      </c>
      <c r="D11" s="6" t="s">
        <v>3010</v>
      </c>
      <c r="E11" s="6"/>
      <c r="F11" s="6" t="s">
        <v>3011</v>
      </c>
      <c r="G11" s="6">
        <v>1</v>
      </c>
      <c r="H11" s="184">
        <v>73.8</v>
      </c>
      <c r="I11" s="184">
        <f>Table3[[#This Row],[Unit Price]]*Table3[[#This Row],[QTY]]</f>
        <v>73.8</v>
      </c>
      <c r="J11" s="6" t="s">
        <v>2993</v>
      </c>
      <c r="K11" s="6" t="s">
        <v>58</v>
      </c>
      <c r="L11" s="6"/>
      <c r="M11" s="7">
        <v>45672</v>
      </c>
      <c r="N11" s="174">
        <v>45683</v>
      </c>
    </row>
    <row r="12" spans="1:18" s="52" customFormat="1" hidden="1">
      <c r="A12" s="48" t="s">
        <v>3009</v>
      </c>
      <c r="B12" s="49">
        <v>45666</v>
      </c>
      <c r="C12" s="48" t="s">
        <v>2984</v>
      </c>
      <c r="D12" s="48" t="s">
        <v>2999</v>
      </c>
      <c r="E12" s="48"/>
      <c r="F12" s="48" t="s">
        <v>3000</v>
      </c>
      <c r="G12" s="48">
        <v>3</v>
      </c>
      <c r="H12" s="184">
        <v>227.08</v>
      </c>
      <c r="I12" s="184">
        <f>Table3[[#This Row],[Unit Price]]*Table3[[#This Row],[QTY]]</f>
        <v>681.24</v>
      </c>
      <c r="J12" s="48" t="s">
        <v>2993</v>
      </c>
      <c r="K12" s="48" t="s">
        <v>3012</v>
      </c>
      <c r="L12" s="48" t="s">
        <v>3013</v>
      </c>
      <c r="M12" s="49">
        <v>45672</v>
      </c>
      <c r="N12" s="174">
        <v>45683</v>
      </c>
      <c r="O12" s="54"/>
      <c r="P12" s="53"/>
      <c r="Q12" s="57"/>
    </row>
    <row r="13" spans="1:18" s="52" customFormat="1" hidden="1">
      <c r="A13" s="48" t="s">
        <v>3009</v>
      </c>
      <c r="B13" s="49">
        <v>45666</v>
      </c>
      <c r="C13" s="48" t="s">
        <v>2984</v>
      </c>
      <c r="D13" s="48" t="s">
        <v>2997</v>
      </c>
      <c r="E13" s="48"/>
      <c r="F13" s="48" t="s">
        <v>3014</v>
      </c>
      <c r="G13" s="48">
        <v>1</v>
      </c>
      <c r="H13" s="184">
        <v>764.44</v>
      </c>
      <c r="I13" s="184">
        <f>Table3[[#This Row],[Unit Price]]*Table3[[#This Row],[QTY]]</f>
        <v>764.44</v>
      </c>
      <c r="J13" s="48" t="s">
        <v>2993</v>
      </c>
      <c r="K13" s="48" t="s">
        <v>89</v>
      </c>
      <c r="L13" s="48"/>
      <c r="M13" s="49">
        <v>45672</v>
      </c>
      <c r="N13" s="174">
        <v>45683</v>
      </c>
      <c r="O13" s="54"/>
      <c r="P13" s="53"/>
      <c r="Q13" s="57"/>
    </row>
    <row r="14" spans="1:18" s="52" customFormat="1" hidden="1">
      <c r="A14" s="48" t="s">
        <v>3009</v>
      </c>
      <c r="B14" s="49">
        <v>45666</v>
      </c>
      <c r="C14" s="48" t="s">
        <v>2984</v>
      </c>
      <c r="D14" s="48" t="s">
        <v>3015</v>
      </c>
      <c r="E14" s="48"/>
      <c r="F14" s="48" t="s">
        <v>3016</v>
      </c>
      <c r="G14" s="48">
        <v>2</v>
      </c>
      <c r="H14" s="184">
        <v>75.430000000000007</v>
      </c>
      <c r="I14" s="184">
        <f>Table3[[#This Row],[Unit Price]]*Table3[[#This Row],[QTY]]</f>
        <v>150.86000000000001</v>
      </c>
      <c r="J14" s="48" t="s">
        <v>2993</v>
      </c>
      <c r="K14" s="48" t="s">
        <v>89</v>
      </c>
      <c r="L14" s="48"/>
      <c r="M14" s="49">
        <v>45672</v>
      </c>
      <c r="N14" s="174">
        <v>45683</v>
      </c>
      <c r="O14" s="54"/>
      <c r="P14" s="53"/>
      <c r="Q14" s="57"/>
    </row>
    <row r="15" spans="1:18" s="52" customFormat="1" hidden="1">
      <c r="A15" s="48" t="s">
        <v>3009</v>
      </c>
      <c r="B15" s="49">
        <v>45666</v>
      </c>
      <c r="C15" s="48" t="s">
        <v>2984</v>
      </c>
      <c r="D15" s="48" t="s">
        <v>3017</v>
      </c>
      <c r="E15" s="48"/>
      <c r="F15" s="48" t="s">
        <v>3018</v>
      </c>
      <c r="G15" s="48">
        <v>1</v>
      </c>
      <c r="H15" s="184">
        <v>1399.79</v>
      </c>
      <c r="I15" s="184">
        <f>Table3[[#This Row],[Unit Price]]*Table3[[#This Row],[QTY]]</f>
        <v>1399.79</v>
      </c>
      <c r="J15" s="48" t="s">
        <v>2993</v>
      </c>
      <c r="K15" s="48" t="s">
        <v>89</v>
      </c>
      <c r="L15" s="48"/>
      <c r="M15" s="49">
        <v>45672</v>
      </c>
      <c r="N15" s="174">
        <v>45683</v>
      </c>
      <c r="O15" s="54"/>
      <c r="P15" s="53"/>
      <c r="Q15" s="57"/>
    </row>
    <row r="16" spans="1:18" s="52" customFormat="1" hidden="1">
      <c r="A16" s="48" t="s">
        <v>3009</v>
      </c>
      <c r="B16" s="49">
        <v>45666</v>
      </c>
      <c r="C16" s="48" t="s">
        <v>2984</v>
      </c>
      <c r="D16" s="48" t="s">
        <v>3019</v>
      </c>
      <c r="E16" s="48"/>
      <c r="F16" s="48" t="s">
        <v>3020</v>
      </c>
      <c r="G16" s="48">
        <v>2</v>
      </c>
      <c r="H16" s="184">
        <v>50.86</v>
      </c>
      <c r="I16" s="184">
        <f>Table3[[#This Row],[Unit Price]]*Table3[[#This Row],[QTY]]</f>
        <v>101.72</v>
      </c>
      <c r="J16" s="48" t="s">
        <v>2993</v>
      </c>
      <c r="K16" s="48" t="s">
        <v>89</v>
      </c>
      <c r="L16" s="48"/>
      <c r="M16" s="49">
        <v>45672</v>
      </c>
      <c r="N16" s="174">
        <v>45683</v>
      </c>
      <c r="O16" s="54"/>
      <c r="P16" s="53"/>
      <c r="Q16" s="57"/>
    </row>
    <row r="17" spans="1:18" s="52" customFormat="1" hidden="1">
      <c r="A17" s="48" t="s">
        <v>3021</v>
      </c>
      <c r="B17" s="49">
        <v>45666</v>
      </c>
      <c r="C17" s="48" t="s">
        <v>381</v>
      </c>
      <c r="D17" s="48" t="s">
        <v>3022</v>
      </c>
      <c r="E17" s="48"/>
      <c r="F17" s="48" t="s">
        <v>3023</v>
      </c>
      <c r="G17" s="48">
        <v>2</v>
      </c>
      <c r="H17" s="184">
        <v>85.04</v>
      </c>
      <c r="I17" s="184">
        <f>Table3[[#This Row],[Unit Price]]*Table3[[#This Row],[QTY]]</f>
        <v>170.08</v>
      </c>
      <c r="J17" s="48" t="s">
        <v>69</v>
      </c>
      <c r="K17" s="48" t="s">
        <v>89</v>
      </c>
      <c r="L17" s="48"/>
      <c r="M17" s="49">
        <v>45670</v>
      </c>
      <c r="N17" s="174">
        <v>45680</v>
      </c>
      <c r="O17" s="54"/>
      <c r="P17" s="53"/>
      <c r="Q17" s="57"/>
    </row>
    <row r="18" spans="1:18" s="52" customFormat="1" hidden="1">
      <c r="A18" s="48" t="s">
        <v>3024</v>
      </c>
      <c r="B18" s="49">
        <v>45667</v>
      </c>
      <c r="C18" s="48" t="s">
        <v>2132</v>
      </c>
      <c r="D18" s="48" t="s">
        <v>3025</v>
      </c>
      <c r="E18" s="48"/>
      <c r="F18" s="48" t="s">
        <v>42</v>
      </c>
      <c r="G18" s="48">
        <v>1</v>
      </c>
      <c r="H18" s="184">
        <v>50.99</v>
      </c>
      <c r="I18" s="184">
        <f>Table3[[#This Row],[Unit Price]]*Table3[[#This Row],[QTY]]</f>
        <v>50.99</v>
      </c>
      <c r="J18" s="48" t="s">
        <v>2993</v>
      </c>
      <c r="K18" s="48" t="s">
        <v>89</v>
      </c>
      <c r="L18" s="48"/>
      <c r="M18" s="49">
        <v>45672</v>
      </c>
      <c r="N18" s="174">
        <v>45683</v>
      </c>
      <c r="O18" s="54"/>
      <c r="P18" s="53"/>
      <c r="Q18" s="57"/>
    </row>
    <row r="19" spans="1:18" hidden="1">
      <c r="A19" s="6" t="s">
        <v>3026</v>
      </c>
      <c r="B19" s="7">
        <v>45667</v>
      </c>
      <c r="C19" s="6" t="s">
        <v>3027</v>
      </c>
      <c r="D19" s="6" t="s">
        <v>1843</v>
      </c>
      <c r="E19" s="6"/>
      <c r="F19" s="6" t="s">
        <v>3028</v>
      </c>
      <c r="G19" s="6">
        <v>1</v>
      </c>
      <c r="H19" s="184">
        <v>18.55</v>
      </c>
      <c r="I19" s="184">
        <f>Table3[[#This Row],[Unit Price]]*Table3[[#This Row],[QTY]]</f>
        <v>18.55</v>
      </c>
      <c r="J19" s="6" t="s">
        <v>2993</v>
      </c>
      <c r="K19" s="6" t="s">
        <v>58</v>
      </c>
      <c r="L19" s="6"/>
      <c r="M19" s="7">
        <v>45672</v>
      </c>
      <c r="N19" s="174">
        <v>45683</v>
      </c>
    </row>
    <row r="20" spans="1:18" s="52" customFormat="1" hidden="1">
      <c r="A20" s="48" t="s">
        <v>3029</v>
      </c>
      <c r="B20" s="49">
        <v>45670</v>
      </c>
      <c r="C20" s="48" t="s">
        <v>402</v>
      </c>
      <c r="D20" s="48" t="s">
        <v>3030</v>
      </c>
      <c r="E20" s="48"/>
      <c r="F20" s="48" t="s">
        <v>3031</v>
      </c>
      <c r="G20" s="48">
        <v>1</v>
      </c>
      <c r="H20" s="184">
        <v>27167</v>
      </c>
      <c r="I20" s="184">
        <f>Table3[[#This Row],[Unit Price]]*Table3[[#This Row],[QTY]]</f>
        <v>27167</v>
      </c>
      <c r="J20" s="48" t="s">
        <v>3029</v>
      </c>
      <c r="K20" s="48" t="s">
        <v>384</v>
      </c>
      <c r="L20" s="48"/>
      <c r="M20" s="49">
        <v>45671</v>
      </c>
      <c r="N20" s="174">
        <v>45685</v>
      </c>
      <c r="O20" s="54"/>
      <c r="P20" s="53"/>
      <c r="Q20" s="57"/>
    </row>
    <row r="21" spans="1:18" s="55" customFormat="1" ht="14.25" hidden="1" customHeight="1">
      <c r="A21" s="177" t="s">
        <v>3032</v>
      </c>
      <c r="B21" s="49">
        <v>45670</v>
      </c>
      <c r="C21" s="177" t="s">
        <v>3005</v>
      </c>
      <c r="D21" s="48" t="s">
        <v>1103</v>
      </c>
      <c r="E21" s="48" t="s">
        <v>3033</v>
      </c>
      <c r="F21" s="48" t="s">
        <v>3034</v>
      </c>
      <c r="G21" s="48">
        <v>2</v>
      </c>
      <c r="H21" s="184">
        <v>555.25</v>
      </c>
      <c r="I21" s="184">
        <f>Table3[[#This Row],[Unit Price]]*Table3[[#This Row],[QTY]]</f>
        <v>1110.5</v>
      </c>
      <c r="J21" s="48" t="s">
        <v>2987</v>
      </c>
      <c r="K21" s="48" t="s">
        <v>3012</v>
      </c>
      <c r="L21" s="48" t="s">
        <v>3035</v>
      </c>
      <c r="M21" s="49">
        <v>45697</v>
      </c>
      <c r="N21" s="174">
        <v>45733</v>
      </c>
      <c r="O21" s="50">
        <v>108074</v>
      </c>
      <c r="P21" s="51" t="s">
        <v>3036</v>
      </c>
      <c r="Q21" s="57">
        <v>45740</v>
      </c>
      <c r="R21" s="52" t="s">
        <v>2990</v>
      </c>
    </row>
    <row r="22" spans="1:18" s="52" customFormat="1" hidden="1">
      <c r="A22" s="177" t="s">
        <v>3037</v>
      </c>
      <c r="B22" s="49">
        <v>45670</v>
      </c>
      <c r="C22" s="177" t="s">
        <v>2132</v>
      </c>
      <c r="D22" s="48" t="s">
        <v>3038</v>
      </c>
      <c r="E22" s="48"/>
      <c r="F22" s="48" t="s">
        <v>159</v>
      </c>
      <c r="G22" s="48">
        <v>1</v>
      </c>
      <c r="H22" s="184">
        <v>389.44</v>
      </c>
      <c r="I22" s="184">
        <f>Table3[[#This Row],[Unit Price]]*Table3[[#This Row],[QTY]]</f>
        <v>389.44</v>
      </c>
      <c r="J22" s="48" t="s">
        <v>2987</v>
      </c>
      <c r="K22" s="48" t="s">
        <v>89</v>
      </c>
      <c r="L22" s="48"/>
      <c r="M22" s="49">
        <v>45685</v>
      </c>
      <c r="N22" s="174">
        <v>45733</v>
      </c>
      <c r="O22" s="50">
        <v>108416</v>
      </c>
      <c r="P22" s="51" t="s">
        <v>3039</v>
      </c>
      <c r="Q22" s="57">
        <v>45740</v>
      </c>
      <c r="R22" s="52" t="s">
        <v>2990</v>
      </c>
    </row>
    <row r="23" spans="1:18" s="52" customFormat="1" hidden="1">
      <c r="A23" s="48" t="s">
        <v>3040</v>
      </c>
      <c r="B23" s="49">
        <v>45670</v>
      </c>
      <c r="C23" s="48" t="s">
        <v>2132</v>
      </c>
      <c r="D23" s="48" t="s">
        <v>1480</v>
      </c>
      <c r="E23" s="48"/>
      <c r="F23" s="48" t="s">
        <v>3041</v>
      </c>
      <c r="G23" s="48">
        <v>1</v>
      </c>
      <c r="H23" s="184">
        <v>530.75</v>
      </c>
      <c r="I23" s="184">
        <f>Table3[[#This Row],[Unit Price]]*Table3[[#This Row],[QTY]]</f>
        <v>530.75</v>
      </c>
      <c r="J23" s="48" t="s">
        <v>2993</v>
      </c>
      <c r="K23" s="48" t="s">
        <v>89</v>
      </c>
      <c r="L23" s="48"/>
      <c r="M23" s="49">
        <v>45678</v>
      </c>
      <c r="N23" s="174">
        <v>45683</v>
      </c>
      <c r="O23" s="54"/>
      <c r="P23" s="53"/>
      <c r="Q23" s="57"/>
    </row>
    <row r="24" spans="1:18" hidden="1">
      <c r="A24" s="6" t="s">
        <v>3042</v>
      </c>
      <c r="B24" s="7">
        <v>45672</v>
      </c>
      <c r="C24" s="6" t="s">
        <v>515</v>
      </c>
      <c r="D24" s="6" t="s">
        <v>3043</v>
      </c>
      <c r="E24" s="6"/>
      <c r="F24" s="6" t="s">
        <v>3044</v>
      </c>
      <c r="G24" s="6">
        <v>3</v>
      </c>
      <c r="H24" s="184">
        <v>220</v>
      </c>
      <c r="I24" s="184">
        <f>Table3[[#This Row],[Unit Price]]*Table3[[#This Row],[QTY]]</f>
        <v>660</v>
      </c>
      <c r="J24" s="6" t="s">
        <v>3042</v>
      </c>
      <c r="K24" s="6"/>
      <c r="L24" s="6"/>
      <c r="M24" s="7">
        <v>45673</v>
      </c>
      <c r="N24" s="175">
        <v>45686</v>
      </c>
    </row>
    <row r="25" spans="1:18" s="52" customFormat="1" hidden="1">
      <c r="A25" s="48" t="s">
        <v>3045</v>
      </c>
      <c r="B25" s="49">
        <v>45680</v>
      </c>
      <c r="C25" s="48" t="s">
        <v>982</v>
      </c>
      <c r="D25" s="48" t="s">
        <v>3046</v>
      </c>
      <c r="E25" s="48"/>
      <c r="F25" s="48" t="s">
        <v>3047</v>
      </c>
      <c r="G25" s="48">
        <v>1</v>
      </c>
      <c r="H25" s="184">
        <v>4168.68</v>
      </c>
      <c r="I25" s="184">
        <f>Table3[[#This Row],[Unit Price]]*Table3[[#This Row],[QTY]]</f>
        <v>4168.68</v>
      </c>
      <c r="J25" s="48" t="s">
        <v>3045</v>
      </c>
      <c r="K25" s="48" t="s">
        <v>89</v>
      </c>
      <c r="L25" s="48" t="s">
        <v>3048</v>
      </c>
      <c r="M25" s="49">
        <v>46049</v>
      </c>
      <c r="N25" s="174">
        <v>46060</v>
      </c>
      <c r="O25" s="54"/>
      <c r="P25" s="53"/>
      <c r="Q25" s="57"/>
    </row>
    <row r="26" spans="1:18" s="52" customFormat="1" hidden="1">
      <c r="A26" s="48" t="s">
        <v>3049</v>
      </c>
      <c r="B26" s="49">
        <v>45673</v>
      </c>
      <c r="C26" s="48" t="s">
        <v>63</v>
      </c>
      <c r="D26" s="48" t="s">
        <v>326</v>
      </c>
      <c r="E26" s="48"/>
      <c r="F26" s="48" t="s">
        <v>3050</v>
      </c>
      <c r="G26" s="48">
        <v>1</v>
      </c>
      <c r="H26" s="184">
        <v>828.81</v>
      </c>
      <c r="I26" s="184">
        <f>Table3[[#This Row],[Unit Price]]*Table3[[#This Row],[QTY]]</f>
        <v>828.81</v>
      </c>
      <c r="J26" s="48" t="s">
        <v>2993</v>
      </c>
      <c r="K26" s="48" t="s">
        <v>89</v>
      </c>
      <c r="L26" s="48"/>
      <c r="M26" s="49">
        <v>45678</v>
      </c>
      <c r="N26" s="174">
        <v>45683</v>
      </c>
      <c r="O26" s="54"/>
      <c r="P26" s="53"/>
      <c r="Q26" s="57"/>
    </row>
    <row r="27" spans="1:18" s="52" customFormat="1" hidden="1">
      <c r="A27" s="48" t="s">
        <v>3049</v>
      </c>
      <c r="B27" s="49">
        <v>45673</v>
      </c>
      <c r="C27" s="48" t="s">
        <v>63</v>
      </c>
      <c r="D27" s="48" t="s">
        <v>3051</v>
      </c>
      <c r="E27" s="48"/>
      <c r="F27" s="48" t="s">
        <v>3052</v>
      </c>
      <c r="G27" s="48">
        <v>1</v>
      </c>
      <c r="H27" s="184">
        <v>659.37</v>
      </c>
      <c r="I27" s="184">
        <f>Table3[[#This Row],[Unit Price]]*Table3[[#This Row],[QTY]]</f>
        <v>659.37</v>
      </c>
      <c r="J27" s="48" t="s">
        <v>2993</v>
      </c>
      <c r="K27" s="48" t="s">
        <v>89</v>
      </c>
      <c r="L27" s="48"/>
      <c r="M27" s="49">
        <v>45678</v>
      </c>
      <c r="N27" s="174">
        <v>45683</v>
      </c>
      <c r="O27" s="54"/>
      <c r="P27" s="53"/>
      <c r="Q27" s="57"/>
    </row>
    <row r="28" spans="1:18" hidden="1">
      <c r="A28" s="6" t="s">
        <v>3049</v>
      </c>
      <c r="B28" s="7">
        <v>45673</v>
      </c>
      <c r="C28" s="6" t="s">
        <v>63</v>
      </c>
      <c r="D28" s="6" t="s">
        <v>280</v>
      </c>
      <c r="E28" s="6"/>
      <c r="F28" s="6" t="s">
        <v>3053</v>
      </c>
      <c r="G28" s="6">
        <v>1</v>
      </c>
      <c r="H28" s="184">
        <v>182.54</v>
      </c>
      <c r="I28" s="184">
        <f>Table3[[#This Row],[Unit Price]]*Table3[[#This Row],[QTY]]</f>
        <v>182.54</v>
      </c>
      <c r="J28" s="6" t="s">
        <v>2993</v>
      </c>
      <c r="K28" s="6" t="s">
        <v>58</v>
      </c>
      <c r="L28" s="6"/>
      <c r="M28" s="7">
        <v>45678</v>
      </c>
      <c r="N28" s="174">
        <v>45683</v>
      </c>
    </row>
    <row r="29" spans="1:18" hidden="1">
      <c r="A29" s="6" t="s">
        <v>3049</v>
      </c>
      <c r="B29" s="7">
        <v>45673</v>
      </c>
      <c r="C29" s="6" t="s">
        <v>63</v>
      </c>
      <c r="D29" s="6" t="s">
        <v>153</v>
      </c>
      <c r="E29" s="6"/>
      <c r="F29" s="6" t="s">
        <v>154</v>
      </c>
      <c r="G29" s="6">
        <v>1</v>
      </c>
      <c r="H29" s="184">
        <v>146.5</v>
      </c>
      <c r="I29" s="184">
        <f>Table3[[#This Row],[Unit Price]]*Table3[[#This Row],[QTY]]</f>
        <v>146.5</v>
      </c>
      <c r="J29" s="6" t="s">
        <v>2993</v>
      </c>
      <c r="K29" s="6" t="s">
        <v>58</v>
      </c>
      <c r="L29" s="6"/>
      <c r="M29" s="7">
        <v>45678</v>
      </c>
      <c r="N29" s="174">
        <v>45683</v>
      </c>
    </row>
    <row r="30" spans="1:18" hidden="1">
      <c r="A30" s="6" t="s">
        <v>3049</v>
      </c>
      <c r="B30" s="7">
        <v>45673</v>
      </c>
      <c r="C30" s="6" t="s">
        <v>63</v>
      </c>
      <c r="D30" s="6" t="s">
        <v>3054</v>
      </c>
      <c r="E30" s="6" t="s">
        <v>789</v>
      </c>
      <c r="F30" s="6" t="s">
        <v>3055</v>
      </c>
      <c r="G30" s="6">
        <v>1</v>
      </c>
      <c r="H30" s="184">
        <v>266.06</v>
      </c>
      <c r="I30" s="184">
        <f>Table3[[#This Row],[Unit Price]]*Table3[[#This Row],[QTY]]</f>
        <v>266.06</v>
      </c>
      <c r="J30" s="6" t="s">
        <v>2993</v>
      </c>
      <c r="K30" s="6" t="s">
        <v>58</v>
      </c>
      <c r="L30" s="6"/>
      <c r="M30" s="7">
        <v>45678</v>
      </c>
      <c r="N30" s="174">
        <v>45683</v>
      </c>
    </row>
    <row r="31" spans="1:18" s="52" customFormat="1" hidden="1">
      <c r="A31" s="177" t="s">
        <v>3056</v>
      </c>
      <c r="B31" s="49">
        <v>45677</v>
      </c>
      <c r="C31" s="177" t="s">
        <v>3057</v>
      </c>
      <c r="D31" s="48" t="s">
        <v>335</v>
      </c>
      <c r="E31" s="48"/>
      <c r="F31" s="48" t="s">
        <v>2569</v>
      </c>
      <c r="G31" s="48">
        <v>1</v>
      </c>
      <c r="H31" s="184">
        <v>86.61</v>
      </c>
      <c r="I31" s="184">
        <f>Table3[[#This Row],[Unit Price]]*Table3[[#This Row],[QTY]]</f>
        <v>86.61</v>
      </c>
      <c r="J31" s="48" t="s">
        <v>2987</v>
      </c>
      <c r="K31" s="48" t="s">
        <v>89</v>
      </c>
      <c r="L31" s="48" t="s">
        <v>2988</v>
      </c>
      <c r="M31" s="49">
        <v>45685</v>
      </c>
      <c r="N31" s="174">
        <v>45733</v>
      </c>
      <c r="O31" s="50">
        <v>108247</v>
      </c>
      <c r="P31" s="51" t="s">
        <v>3058</v>
      </c>
      <c r="Q31" s="57">
        <v>45735</v>
      </c>
      <c r="R31" s="52" t="s">
        <v>2990</v>
      </c>
    </row>
    <row r="32" spans="1:18" s="52" customFormat="1" hidden="1">
      <c r="A32" s="177" t="s">
        <v>3059</v>
      </c>
      <c r="B32" s="49">
        <v>45677</v>
      </c>
      <c r="C32" s="177" t="s">
        <v>3060</v>
      </c>
      <c r="D32" s="48" t="s">
        <v>3061</v>
      </c>
      <c r="E32" s="48"/>
      <c r="F32" s="48" t="s">
        <v>3062</v>
      </c>
      <c r="G32" s="48">
        <v>2</v>
      </c>
      <c r="H32" s="184">
        <v>22.39</v>
      </c>
      <c r="I32" s="184">
        <f>Table3[[#This Row],[Unit Price]]*Table3[[#This Row],[QTY]]</f>
        <v>44.78</v>
      </c>
      <c r="J32" s="48" t="s">
        <v>2987</v>
      </c>
      <c r="K32" s="48" t="s">
        <v>89</v>
      </c>
      <c r="L32" s="48" t="s">
        <v>2988</v>
      </c>
      <c r="M32" s="49">
        <v>45685</v>
      </c>
      <c r="N32" s="174">
        <v>45733</v>
      </c>
      <c r="O32" s="50">
        <v>108217</v>
      </c>
      <c r="P32" s="51" t="s">
        <v>3063</v>
      </c>
      <c r="Q32" s="57">
        <v>45671</v>
      </c>
      <c r="R32" s="52" t="s">
        <v>2990</v>
      </c>
    </row>
    <row r="33" spans="1:18" s="52" customFormat="1" hidden="1">
      <c r="A33" s="177" t="s">
        <v>3064</v>
      </c>
      <c r="B33" s="49">
        <v>45677</v>
      </c>
      <c r="C33" s="177" t="s">
        <v>695</v>
      </c>
      <c r="D33" s="48" t="s">
        <v>3065</v>
      </c>
      <c r="E33" s="48"/>
      <c r="F33" s="48" t="s">
        <v>3066</v>
      </c>
      <c r="G33" s="48">
        <v>2</v>
      </c>
      <c r="H33" s="184">
        <v>8.7100000000000009</v>
      </c>
      <c r="I33" s="184">
        <f>Table3[[#This Row],[Unit Price]]*Table3[[#This Row],[QTY]]</f>
        <v>17.420000000000002</v>
      </c>
      <c r="J33" s="48" t="s">
        <v>2987</v>
      </c>
      <c r="K33" s="48" t="s">
        <v>89</v>
      </c>
      <c r="L33" s="48" t="s">
        <v>2988</v>
      </c>
      <c r="M33" s="49">
        <v>45685</v>
      </c>
      <c r="N33" s="174">
        <v>45733</v>
      </c>
      <c r="O33" s="50">
        <v>108209</v>
      </c>
      <c r="P33" s="51" t="s">
        <v>3067</v>
      </c>
      <c r="Q33" s="57">
        <v>45735</v>
      </c>
      <c r="R33" s="52" t="s">
        <v>2990</v>
      </c>
    </row>
    <row r="34" spans="1:18" s="52" customFormat="1" hidden="1">
      <c r="A34" s="177" t="s">
        <v>3068</v>
      </c>
      <c r="B34" s="49">
        <v>45677</v>
      </c>
      <c r="C34" s="177" t="s">
        <v>3069</v>
      </c>
      <c r="D34" s="48" t="s">
        <v>3070</v>
      </c>
      <c r="E34" s="48"/>
      <c r="F34" s="48" t="s">
        <v>3071</v>
      </c>
      <c r="G34" s="48">
        <v>1</v>
      </c>
      <c r="H34" s="184">
        <v>56.62</v>
      </c>
      <c r="I34" s="184">
        <f>Table3[[#This Row],[Unit Price]]*Table3[[#This Row],[QTY]]</f>
        <v>56.62</v>
      </c>
      <c r="J34" s="48" t="s">
        <v>2987</v>
      </c>
      <c r="K34" s="48" t="s">
        <v>89</v>
      </c>
      <c r="L34" s="48"/>
      <c r="M34" s="49">
        <v>45685</v>
      </c>
      <c r="N34" s="174">
        <v>45733</v>
      </c>
      <c r="O34" s="50">
        <v>108249</v>
      </c>
      <c r="P34" s="51" t="s">
        <v>3072</v>
      </c>
      <c r="Q34" s="57">
        <v>45737</v>
      </c>
      <c r="R34" s="52" t="s">
        <v>2990</v>
      </c>
    </row>
    <row r="35" spans="1:18" s="52" customFormat="1" hidden="1">
      <c r="A35" s="177" t="s">
        <v>3068</v>
      </c>
      <c r="B35" s="49">
        <v>45677</v>
      </c>
      <c r="C35" s="177" t="s">
        <v>3069</v>
      </c>
      <c r="D35" s="48" t="s">
        <v>3073</v>
      </c>
      <c r="E35" s="48"/>
      <c r="F35" s="48" t="s">
        <v>3074</v>
      </c>
      <c r="G35" s="48">
        <v>1</v>
      </c>
      <c r="H35" s="184">
        <v>48.79</v>
      </c>
      <c r="I35" s="184">
        <f>Table3[[#This Row],[Unit Price]]*Table3[[#This Row],[QTY]]</f>
        <v>48.79</v>
      </c>
      <c r="J35" s="48" t="s">
        <v>2987</v>
      </c>
      <c r="K35" s="48" t="s">
        <v>89</v>
      </c>
      <c r="L35" s="48" t="s">
        <v>2988</v>
      </c>
      <c r="M35" s="49">
        <v>45697</v>
      </c>
      <c r="N35" s="174">
        <v>45733</v>
      </c>
      <c r="O35" s="50">
        <v>108249</v>
      </c>
      <c r="P35" s="51" t="s">
        <v>3072</v>
      </c>
      <c r="Q35" s="57">
        <v>45740</v>
      </c>
      <c r="R35" s="52" t="s">
        <v>2990</v>
      </c>
    </row>
    <row r="36" spans="1:18" hidden="1">
      <c r="A36" s="6" t="s">
        <v>3075</v>
      </c>
      <c r="B36" s="7">
        <v>45680</v>
      </c>
      <c r="C36" s="6" t="s">
        <v>3076</v>
      </c>
      <c r="D36" s="6" t="s">
        <v>238</v>
      </c>
      <c r="E36" s="6"/>
      <c r="F36" s="6" t="s">
        <v>3077</v>
      </c>
      <c r="G36" s="6">
        <v>1</v>
      </c>
      <c r="H36" s="184">
        <v>186.16</v>
      </c>
      <c r="I36" s="184">
        <f>Table3[[#This Row],[Unit Price]]*Table3[[#This Row],[QTY]]</f>
        <v>186.16</v>
      </c>
      <c r="J36" s="6" t="s">
        <v>2987</v>
      </c>
      <c r="K36" s="6" t="s">
        <v>58</v>
      </c>
      <c r="L36" s="6"/>
      <c r="M36" s="7">
        <v>45685</v>
      </c>
      <c r="N36" s="175">
        <v>45733</v>
      </c>
    </row>
    <row r="37" spans="1:18" s="52" customFormat="1" hidden="1">
      <c r="A37" s="177" t="s">
        <v>3078</v>
      </c>
      <c r="B37" s="49">
        <v>45684</v>
      </c>
      <c r="C37" s="177" t="s">
        <v>3079</v>
      </c>
      <c r="D37" s="48" t="s">
        <v>3080</v>
      </c>
      <c r="E37" s="48" t="s">
        <v>3081</v>
      </c>
      <c r="F37" s="48" t="s">
        <v>3082</v>
      </c>
      <c r="G37" s="48">
        <v>2</v>
      </c>
      <c r="H37" s="184">
        <v>8.1300000000000008</v>
      </c>
      <c r="I37" s="184">
        <f>Table3[[#This Row],[Unit Price]]*Table3[[#This Row],[QTY]]</f>
        <v>16.260000000000002</v>
      </c>
      <c r="J37" s="48" t="s">
        <v>2987</v>
      </c>
      <c r="K37" s="48" t="s">
        <v>89</v>
      </c>
      <c r="L37" s="48" t="s">
        <v>3083</v>
      </c>
      <c r="M37" s="49">
        <v>45704</v>
      </c>
      <c r="N37" s="174">
        <v>45733</v>
      </c>
      <c r="O37" s="50">
        <v>108292</v>
      </c>
      <c r="P37" s="51" t="s">
        <v>3084</v>
      </c>
      <c r="Q37" s="57">
        <v>45740</v>
      </c>
      <c r="R37" s="52" t="s">
        <v>2990</v>
      </c>
    </row>
    <row r="38" spans="1:18" s="52" customFormat="1" hidden="1">
      <c r="A38" s="177" t="s">
        <v>3078</v>
      </c>
      <c r="B38" s="49">
        <v>45684</v>
      </c>
      <c r="C38" s="177" t="s">
        <v>3079</v>
      </c>
      <c r="D38" s="48" t="s">
        <v>2985</v>
      </c>
      <c r="E38" s="48"/>
      <c r="F38" s="48" t="s">
        <v>2986</v>
      </c>
      <c r="G38" s="48">
        <v>2</v>
      </c>
      <c r="H38" s="184">
        <v>102.62</v>
      </c>
      <c r="I38" s="184">
        <f>Table3[[#This Row],[Unit Price]]*Table3[[#This Row],[QTY]]</f>
        <v>205.24</v>
      </c>
      <c r="J38" s="48" t="s">
        <v>2987</v>
      </c>
      <c r="K38" s="48" t="s">
        <v>89</v>
      </c>
      <c r="L38" s="48" t="s">
        <v>2988</v>
      </c>
      <c r="M38" s="49">
        <v>45697</v>
      </c>
      <c r="N38" s="174">
        <v>45733</v>
      </c>
      <c r="O38" s="50">
        <v>108292</v>
      </c>
      <c r="P38" s="51" t="s">
        <v>3085</v>
      </c>
      <c r="Q38" s="57">
        <v>45740</v>
      </c>
      <c r="R38" s="52" t="s">
        <v>2990</v>
      </c>
    </row>
    <row r="39" spans="1:18" s="52" customFormat="1" hidden="1">
      <c r="A39" s="177" t="s">
        <v>3086</v>
      </c>
      <c r="B39" s="49">
        <v>45681</v>
      </c>
      <c r="C39" s="177" t="s">
        <v>2984</v>
      </c>
      <c r="D39" s="48" t="s">
        <v>3081</v>
      </c>
      <c r="E39" s="48"/>
      <c r="F39" s="48" t="s">
        <v>3082</v>
      </c>
      <c r="G39" s="48">
        <v>18</v>
      </c>
      <c r="H39" s="184">
        <v>8.1300000000000008</v>
      </c>
      <c r="I39" s="184">
        <f>Table3[[#This Row],[Unit Price]]*Table3[[#This Row],[QTY]]</f>
        <v>146.34</v>
      </c>
      <c r="J39" s="48" t="s">
        <v>2987</v>
      </c>
      <c r="K39" s="48" t="s">
        <v>3012</v>
      </c>
      <c r="L39" s="48" t="s">
        <v>3087</v>
      </c>
      <c r="M39" s="49">
        <v>45685</v>
      </c>
      <c r="N39" s="174">
        <v>45733</v>
      </c>
      <c r="O39" s="50">
        <v>108287</v>
      </c>
      <c r="P39" s="51" t="s">
        <v>2989</v>
      </c>
      <c r="Q39" s="57">
        <v>45737</v>
      </c>
      <c r="R39" s="52" t="s">
        <v>2990</v>
      </c>
    </row>
    <row r="40" spans="1:18" s="52" customFormat="1" hidden="1">
      <c r="A40" s="48" t="s">
        <v>3088</v>
      </c>
      <c r="B40" s="49">
        <v>45685</v>
      </c>
      <c r="C40" s="48" t="s">
        <v>3089</v>
      </c>
      <c r="D40" s="48" t="s">
        <v>3090</v>
      </c>
      <c r="E40" s="48"/>
      <c r="F40" s="48" t="s">
        <v>3091</v>
      </c>
      <c r="G40" s="48">
        <v>1</v>
      </c>
      <c r="H40" s="184">
        <v>87.78</v>
      </c>
      <c r="I40" s="184">
        <f>Table3[[#This Row],[Unit Price]]*Table3[[#This Row],[QTY]]</f>
        <v>87.78</v>
      </c>
      <c r="J40" s="48" t="s">
        <v>2987</v>
      </c>
      <c r="K40" s="48" t="s">
        <v>89</v>
      </c>
      <c r="L40" s="48" t="s">
        <v>2988</v>
      </c>
      <c r="M40" s="49">
        <v>45697</v>
      </c>
      <c r="N40" s="174">
        <v>45733</v>
      </c>
      <c r="O40" s="50">
        <v>108291</v>
      </c>
      <c r="P40" s="51"/>
      <c r="Q40" s="57"/>
    </row>
    <row r="41" spans="1:18" hidden="1">
      <c r="A41" s="6" t="s">
        <v>3092</v>
      </c>
      <c r="B41" s="7">
        <v>45685</v>
      </c>
      <c r="C41" s="6" t="s">
        <v>3093</v>
      </c>
      <c r="D41" s="6" t="s">
        <v>3094</v>
      </c>
      <c r="E41" s="6"/>
      <c r="F41" s="6" t="s">
        <v>3095</v>
      </c>
      <c r="G41" s="6">
        <v>1</v>
      </c>
      <c r="H41" s="184">
        <v>60.56</v>
      </c>
      <c r="I41" s="184">
        <f>Table3[[#This Row],[Unit Price]]*Table3[[#This Row],[QTY]]</f>
        <v>60.56</v>
      </c>
      <c r="J41" s="6" t="s">
        <v>2987</v>
      </c>
      <c r="K41" s="6" t="s">
        <v>58</v>
      </c>
      <c r="L41" s="6"/>
      <c r="M41" s="7">
        <v>45697</v>
      </c>
      <c r="N41" s="175">
        <v>45733</v>
      </c>
    </row>
    <row r="42" spans="1:18" s="52" customFormat="1" hidden="1">
      <c r="A42" s="177" t="s">
        <v>3096</v>
      </c>
      <c r="B42" s="49">
        <v>45686</v>
      </c>
      <c r="C42" s="177" t="s">
        <v>3097</v>
      </c>
      <c r="D42" s="48" t="s">
        <v>3090</v>
      </c>
      <c r="E42" s="48"/>
      <c r="F42" s="48" t="s">
        <v>3091</v>
      </c>
      <c r="G42" s="48">
        <v>1</v>
      </c>
      <c r="H42" s="184">
        <v>87.78</v>
      </c>
      <c r="I42" s="184">
        <f>Table3[[#This Row],[Unit Price]]*Table3[[#This Row],[QTY]]</f>
        <v>87.78</v>
      </c>
      <c r="J42" s="48" t="s">
        <v>2987</v>
      </c>
      <c r="K42" s="48" t="s">
        <v>89</v>
      </c>
      <c r="L42" s="48" t="s">
        <v>2988</v>
      </c>
      <c r="M42" s="49">
        <v>45697</v>
      </c>
      <c r="N42" s="174">
        <v>45733</v>
      </c>
      <c r="O42" s="50">
        <v>108314</v>
      </c>
      <c r="P42" s="51" t="s">
        <v>3098</v>
      </c>
      <c r="Q42" s="57">
        <v>45740</v>
      </c>
      <c r="R42" s="52" t="s">
        <v>2990</v>
      </c>
    </row>
    <row r="43" spans="1:18" s="52" customFormat="1" hidden="1">
      <c r="A43" s="177" t="s">
        <v>3099</v>
      </c>
      <c r="B43" s="49">
        <v>45686</v>
      </c>
      <c r="C43" s="177" t="s">
        <v>3100</v>
      </c>
      <c r="D43" s="48" t="s">
        <v>3090</v>
      </c>
      <c r="E43" s="48"/>
      <c r="F43" s="48" t="s">
        <v>3091</v>
      </c>
      <c r="G43" s="48">
        <v>1</v>
      </c>
      <c r="H43" s="184">
        <v>87.78</v>
      </c>
      <c r="I43" s="184">
        <f>Table3[[#This Row],[Unit Price]]*Table3[[#This Row],[QTY]]</f>
        <v>87.78</v>
      </c>
      <c r="J43" s="48" t="s">
        <v>2987</v>
      </c>
      <c r="K43" s="48" t="s">
        <v>89</v>
      </c>
      <c r="L43" s="48" t="s">
        <v>2988</v>
      </c>
      <c r="M43" s="49">
        <v>45697</v>
      </c>
      <c r="N43" s="174">
        <v>45733</v>
      </c>
      <c r="O43" s="50">
        <v>108324</v>
      </c>
      <c r="P43" s="51" t="s">
        <v>3101</v>
      </c>
      <c r="Q43" s="57">
        <v>45740</v>
      </c>
      <c r="R43" s="52" t="s">
        <v>2990</v>
      </c>
    </row>
    <row r="44" spans="1:18" s="52" customFormat="1" hidden="1">
      <c r="A44" s="177" t="s">
        <v>3102</v>
      </c>
      <c r="B44" s="49">
        <v>45687</v>
      </c>
      <c r="C44" s="177" t="s">
        <v>3103</v>
      </c>
      <c r="D44" s="48" t="s">
        <v>3081</v>
      </c>
      <c r="E44" s="48"/>
      <c r="F44" s="48" t="s">
        <v>3082</v>
      </c>
      <c r="G44" s="48">
        <v>1</v>
      </c>
      <c r="H44" s="184">
        <v>8.1300000000000008</v>
      </c>
      <c r="I44" s="184">
        <f>Table3[[#This Row],[Unit Price]]*Table3[[#This Row],[QTY]]</f>
        <v>8.1300000000000008</v>
      </c>
      <c r="J44" s="48" t="s">
        <v>2987</v>
      </c>
      <c r="K44" s="48" t="s">
        <v>89</v>
      </c>
      <c r="L44" s="48" t="s">
        <v>2988</v>
      </c>
      <c r="M44" s="49">
        <v>45704</v>
      </c>
      <c r="N44" s="174">
        <v>45733</v>
      </c>
      <c r="O44" s="50">
        <v>108274</v>
      </c>
      <c r="P44" s="51" t="s">
        <v>3104</v>
      </c>
      <c r="Q44" s="57">
        <v>45740</v>
      </c>
      <c r="R44" s="52" t="s">
        <v>2990</v>
      </c>
    </row>
    <row r="45" spans="1:18" s="52" customFormat="1" hidden="1">
      <c r="A45" s="177" t="s">
        <v>3102</v>
      </c>
      <c r="B45" s="49">
        <v>45687</v>
      </c>
      <c r="C45" s="177" t="s">
        <v>3103</v>
      </c>
      <c r="D45" s="48" t="s">
        <v>3105</v>
      </c>
      <c r="E45" s="48"/>
      <c r="F45" s="48" t="s">
        <v>3106</v>
      </c>
      <c r="G45" s="48">
        <v>1</v>
      </c>
      <c r="H45" s="184">
        <v>24.99</v>
      </c>
      <c r="I45" s="184">
        <f>Table3[[#This Row],[Unit Price]]*Table3[[#This Row],[QTY]]</f>
        <v>24.99</v>
      </c>
      <c r="J45" s="48" t="s">
        <v>3107</v>
      </c>
      <c r="K45" s="48" t="s">
        <v>89</v>
      </c>
      <c r="L45" s="48"/>
      <c r="M45" s="49">
        <v>45727</v>
      </c>
      <c r="N45" s="174">
        <v>45756</v>
      </c>
      <c r="O45" s="54">
        <v>108189</v>
      </c>
      <c r="P45" s="53">
        <v>71475</v>
      </c>
      <c r="Q45" s="57">
        <v>45783</v>
      </c>
      <c r="R45" s="52" t="s">
        <v>2990</v>
      </c>
    </row>
    <row r="46" spans="1:18" s="52" customFormat="1" hidden="1">
      <c r="A46" s="177" t="s">
        <v>3108</v>
      </c>
      <c r="B46" s="49">
        <v>45687</v>
      </c>
      <c r="C46" s="177" t="s">
        <v>381</v>
      </c>
      <c r="D46" s="48" t="s">
        <v>1356</v>
      </c>
      <c r="E46" s="48"/>
      <c r="F46" s="48" t="s">
        <v>3109</v>
      </c>
      <c r="G46" s="48">
        <v>1</v>
      </c>
      <c r="H46" s="184">
        <v>106.15</v>
      </c>
      <c r="I46" s="184">
        <f>Table3[[#This Row],[Unit Price]]*Table3[[#This Row],[QTY]]</f>
        <v>106.15</v>
      </c>
      <c r="J46" s="48" t="s">
        <v>2987</v>
      </c>
      <c r="K46" s="48" t="s">
        <v>89</v>
      </c>
      <c r="L46" s="48" t="s">
        <v>3110</v>
      </c>
      <c r="M46" s="49">
        <v>45697</v>
      </c>
      <c r="N46" s="174">
        <v>45733</v>
      </c>
      <c r="O46" s="54">
        <v>109174</v>
      </c>
      <c r="P46" s="51" t="s">
        <v>3111</v>
      </c>
      <c r="Q46" s="57">
        <v>45789</v>
      </c>
      <c r="R46" s="52" t="s">
        <v>2990</v>
      </c>
    </row>
    <row r="47" spans="1:18" s="52" customFormat="1" hidden="1">
      <c r="A47" s="177" t="s">
        <v>3108</v>
      </c>
      <c r="B47" s="49">
        <v>45687</v>
      </c>
      <c r="C47" s="177" t="s">
        <v>381</v>
      </c>
      <c r="D47" s="48" t="s">
        <v>3112</v>
      </c>
      <c r="E47" s="48"/>
      <c r="F47" s="48" t="s">
        <v>3113</v>
      </c>
      <c r="G47" s="48">
        <v>1</v>
      </c>
      <c r="H47" s="184">
        <v>4.1399999999999997</v>
      </c>
      <c r="I47" s="184">
        <f>Table3[[#This Row],[Unit Price]]*Table3[[#This Row],[QTY]]</f>
        <v>4.1399999999999997</v>
      </c>
      <c r="J47" s="48" t="s">
        <v>2987</v>
      </c>
      <c r="K47" s="48" t="s">
        <v>89</v>
      </c>
      <c r="L47" s="48" t="s">
        <v>3114</v>
      </c>
      <c r="M47" s="49">
        <v>45697</v>
      </c>
      <c r="N47" s="174">
        <v>45733</v>
      </c>
      <c r="O47" s="54">
        <v>109174</v>
      </c>
      <c r="P47" s="51" t="s">
        <v>3111</v>
      </c>
      <c r="Q47" s="57">
        <v>45789</v>
      </c>
      <c r="R47" s="52" t="s">
        <v>2990</v>
      </c>
    </row>
    <row r="48" spans="1:18" s="52" customFormat="1" hidden="1">
      <c r="A48" s="177" t="s">
        <v>3108</v>
      </c>
      <c r="B48" s="49">
        <v>45687</v>
      </c>
      <c r="C48" s="177" t="s">
        <v>381</v>
      </c>
      <c r="D48" s="48" t="s">
        <v>3115</v>
      </c>
      <c r="E48" s="48"/>
      <c r="F48" s="48" t="s">
        <v>3116</v>
      </c>
      <c r="G48" s="48">
        <v>1</v>
      </c>
      <c r="H48" s="184">
        <v>112.48</v>
      </c>
      <c r="I48" s="184">
        <f>Table3[[#This Row],[Unit Price]]*Table3[[#This Row],[QTY]]</f>
        <v>112.48</v>
      </c>
      <c r="J48" s="48" t="s">
        <v>2987</v>
      </c>
      <c r="K48" s="48" t="s">
        <v>89</v>
      </c>
      <c r="L48" s="48" t="s">
        <v>3110</v>
      </c>
      <c r="M48" s="49">
        <v>45697</v>
      </c>
      <c r="N48" s="174">
        <v>45733</v>
      </c>
      <c r="O48" s="54">
        <v>109174</v>
      </c>
      <c r="P48" s="51" t="s">
        <v>3111</v>
      </c>
      <c r="Q48" s="57">
        <v>45789</v>
      </c>
      <c r="R48" s="52" t="s">
        <v>2990</v>
      </c>
    </row>
    <row r="49" spans="1:18" s="52" customFormat="1" hidden="1">
      <c r="A49" s="177" t="s">
        <v>3108</v>
      </c>
      <c r="B49" s="49">
        <v>45687</v>
      </c>
      <c r="C49" s="177" t="s">
        <v>381</v>
      </c>
      <c r="D49" s="48" t="s">
        <v>766</v>
      </c>
      <c r="E49" s="48" t="s">
        <v>768</v>
      </c>
      <c r="F49" s="48" t="s">
        <v>3117</v>
      </c>
      <c r="G49" s="48">
        <v>1</v>
      </c>
      <c r="H49" s="184">
        <v>222.04</v>
      </c>
      <c r="I49" s="184">
        <f>Table3[[#This Row],[Unit Price]]*Table3[[#This Row],[QTY]]</f>
        <v>222.04</v>
      </c>
      <c r="J49" s="48" t="s">
        <v>2987</v>
      </c>
      <c r="K49" s="48" t="s">
        <v>89</v>
      </c>
      <c r="L49" s="48" t="s">
        <v>3110</v>
      </c>
      <c r="M49" s="49">
        <v>45697</v>
      </c>
      <c r="N49" s="174">
        <v>45733</v>
      </c>
      <c r="O49" s="54">
        <v>109174</v>
      </c>
      <c r="P49" s="51" t="s">
        <v>3111</v>
      </c>
      <c r="Q49" s="57">
        <v>45789</v>
      </c>
      <c r="R49" s="52" t="s">
        <v>2990</v>
      </c>
    </row>
    <row r="50" spans="1:18" s="52" customFormat="1" hidden="1">
      <c r="A50" s="177" t="s">
        <v>3108</v>
      </c>
      <c r="B50" s="49">
        <v>45687</v>
      </c>
      <c r="C50" s="177" t="s">
        <v>381</v>
      </c>
      <c r="D50" s="48" t="s">
        <v>354</v>
      </c>
      <c r="E50" s="48"/>
      <c r="F50" s="48" t="s">
        <v>1956</v>
      </c>
      <c r="G50" s="48">
        <v>1</v>
      </c>
      <c r="H50" s="184">
        <v>257.62</v>
      </c>
      <c r="I50" s="184">
        <f>Table3[[#This Row],[Unit Price]]*Table3[[#This Row],[QTY]]</f>
        <v>257.62</v>
      </c>
      <c r="J50" s="48" t="s">
        <v>2987</v>
      </c>
      <c r="K50" s="48" t="s">
        <v>89</v>
      </c>
      <c r="L50" s="48" t="s">
        <v>3110</v>
      </c>
      <c r="M50" s="49">
        <v>45697</v>
      </c>
      <c r="N50" s="174">
        <v>45733</v>
      </c>
      <c r="O50" s="54">
        <v>109174</v>
      </c>
      <c r="P50" s="51" t="s">
        <v>3111</v>
      </c>
      <c r="Q50" s="57">
        <v>45789</v>
      </c>
      <c r="R50" s="52" t="s">
        <v>2990</v>
      </c>
    </row>
    <row r="51" spans="1:18" s="52" customFormat="1" hidden="1">
      <c r="A51" s="177" t="s">
        <v>3108</v>
      </c>
      <c r="B51" s="49">
        <v>45687</v>
      </c>
      <c r="C51" s="177" t="s">
        <v>381</v>
      </c>
      <c r="D51" s="48" t="s">
        <v>2084</v>
      </c>
      <c r="E51" s="48"/>
      <c r="F51" s="48" t="s">
        <v>3118</v>
      </c>
      <c r="G51" s="48">
        <v>1</v>
      </c>
      <c r="H51" s="184">
        <v>93.74</v>
      </c>
      <c r="I51" s="184">
        <f>Table3[[#This Row],[Unit Price]]*Table3[[#This Row],[QTY]]</f>
        <v>93.74</v>
      </c>
      <c r="J51" s="48" t="s">
        <v>2987</v>
      </c>
      <c r="K51" s="48" t="s">
        <v>89</v>
      </c>
      <c r="L51" s="48" t="s">
        <v>3110</v>
      </c>
      <c r="M51" s="49">
        <v>45697</v>
      </c>
      <c r="N51" s="174">
        <v>45733</v>
      </c>
      <c r="O51" s="54">
        <v>109174</v>
      </c>
      <c r="P51" s="51" t="s">
        <v>3111</v>
      </c>
      <c r="Q51" s="57">
        <v>45789</v>
      </c>
      <c r="R51" s="52" t="s">
        <v>2990</v>
      </c>
    </row>
    <row r="52" spans="1:18" s="52" customFormat="1" hidden="1">
      <c r="A52" s="48" t="s">
        <v>3108</v>
      </c>
      <c r="B52" s="49">
        <v>45687</v>
      </c>
      <c r="C52" s="48" t="s">
        <v>381</v>
      </c>
      <c r="D52" s="48" t="s">
        <v>3119</v>
      </c>
      <c r="E52" s="48"/>
      <c r="F52" s="48" t="s">
        <v>3120</v>
      </c>
      <c r="G52" s="48">
        <v>1</v>
      </c>
      <c r="H52" s="184">
        <v>6.75</v>
      </c>
      <c r="I52" s="184">
        <f>Table3[[#This Row],[Unit Price]]*Table3[[#This Row],[QTY]]</f>
        <v>6.75</v>
      </c>
      <c r="J52" s="48" t="s">
        <v>3121</v>
      </c>
      <c r="K52" s="48" t="s">
        <v>89</v>
      </c>
      <c r="L52" s="48" t="s">
        <v>3110</v>
      </c>
      <c r="M52" s="49">
        <v>45804</v>
      </c>
      <c r="N52" s="174">
        <v>45838</v>
      </c>
      <c r="O52" s="54"/>
      <c r="P52" s="53"/>
      <c r="Q52" s="57"/>
    </row>
    <row r="53" spans="1:18" s="52" customFormat="1" hidden="1">
      <c r="A53" s="177" t="s">
        <v>3122</v>
      </c>
      <c r="B53" s="49">
        <v>45691</v>
      </c>
      <c r="C53" s="177" t="s">
        <v>3123</v>
      </c>
      <c r="D53" s="48" t="s">
        <v>3124</v>
      </c>
      <c r="E53" s="48" t="s">
        <v>153</v>
      </c>
      <c r="F53" s="48" t="s">
        <v>154</v>
      </c>
      <c r="G53" s="48">
        <v>1</v>
      </c>
      <c r="H53" s="184">
        <v>658.68</v>
      </c>
      <c r="I53" s="184">
        <f>Table3[[#This Row],[Unit Price]]*Table3[[#This Row],[QTY]]</f>
        <v>658.68</v>
      </c>
      <c r="J53" s="48" t="s">
        <v>2987</v>
      </c>
      <c r="K53" s="48" t="s">
        <v>89</v>
      </c>
      <c r="L53" s="48" t="s">
        <v>2988</v>
      </c>
      <c r="M53" s="49">
        <v>45704</v>
      </c>
      <c r="N53" s="174">
        <v>45733</v>
      </c>
      <c r="O53" s="50">
        <v>108362</v>
      </c>
      <c r="P53" s="51" t="s">
        <v>3125</v>
      </c>
      <c r="Q53" s="57">
        <v>45740</v>
      </c>
      <c r="R53" s="52" t="s">
        <v>2990</v>
      </c>
    </row>
    <row r="54" spans="1:18" s="52" customFormat="1" hidden="1">
      <c r="A54" s="177" t="s">
        <v>3122</v>
      </c>
      <c r="B54" s="49">
        <v>45691</v>
      </c>
      <c r="C54" s="177" t="s">
        <v>3123</v>
      </c>
      <c r="D54" s="48" t="s">
        <v>3126</v>
      </c>
      <c r="E54" s="48"/>
      <c r="F54" s="48" t="s">
        <v>3127</v>
      </c>
      <c r="G54" s="48">
        <v>25</v>
      </c>
      <c r="H54" s="184">
        <v>59.92</v>
      </c>
      <c r="I54" s="184">
        <f>Table3[[#This Row],[Unit Price]]*Table3[[#This Row],[QTY]]</f>
        <v>1498</v>
      </c>
      <c r="J54" s="48" t="s">
        <v>2987</v>
      </c>
      <c r="K54" s="48" t="s">
        <v>89</v>
      </c>
      <c r="L54" s="48" t="s">
        <v>2988</v>
      </c>
      <c r="M54" s="49">
        <v>45704</v>
      </c>
      <c r="N54" s="174">
        <v>45733</v>
      </c>
      <c r="O54" s="50">
        <v>108362</v>
      </c>
      <c r="P54" s="51" t="s">
        <v>3125</v>
      </c>
      <c r="Q54" s="173">
        <v>45740</v>
      </c>
      <c r="R54" s="52" t="s">
        <v>2990</v>
      </c>
    </row>
    <row r="55" spans="1:18" s="52" customFormat="1" hidden="1">
      <c r="A55" s="177" t="s">
        <v>3122</v>
      </c>
      <c r="B55" s="49">
        <v>45691</v>
      </c>
      <c r="C55" s="177" t="s">
        <v>3123</v>
      </c>
      <c r="D55" s="48" t="s">
        <v>3128</v>
      </c>
      <c r="E55" s="48"/>
      <c r="F55" s="48" t="s">
        <v>3129</v>
      </c>
      <c r="G55" s="48">
        <v>1</v>
      </c>
      <c r="H55" s="184">
        <v>63.77</v>
      </c>
      <c r="I55" s="184">
        <f>Table3[[#This Row],[Unit Price]]*Table3[[#This Row],[QTY]]</f>
        <v>63.77</v>
      </c>
      <c r="J55" s="48" t="s">
        <v>2987</v>
      </c>
      <c r="K55" s="48" t="s">
        <v>89</v>
      </c>
      <c r="L55" s="48" t="s">
        <v>2988</v>
      </c>
      <c r="M55" s="49">
        <v>45704</v>
      </c>
      <c r="N55" s="174">
        <v>45733</v>
      </c>
      <c r="O55" s="50">
        <v>108362</v>
      </c>
      <c r="P55" s="51" t="s">
        <v>3125</v>
      </c>
      <c r="Q55" s="57">
        <v>45740</v>
      </c>
      <c r="R55" s="52" t="s">
        <v>2990</v>
      </c>
    </row>
    <row r="56" spans="1:18" s="52" customFormat="1" hidden="1">
      <c r="A56" s="177" t="s">
        <v>3122</v>
      </c>
      <c r="B56" s="49">
        <v>45691</v>
      </c>
      <c r="C56" s="177" t="s">
        <v>3123</v>
      </c>
      <c r="D56" s="48" t="s">
        <v>3130</v>
      </c>
      <c r="E56" s="48"/>
      <c r="F56" s="48" t="s">
        <v>3131</v>
      </c>
      <c r="G56" s="48">
        <v>1</v>
      </c>
      <c r="H56" s="184">
        <v>3631.69</v>
      </c>
      <c r="I56" s="184">
        <f>Table3[[#This Row],[Unit Price]]*Table3[[#This Row],[QTY]]</f>
        <v>3631.69</v>
      </c>
      <c r="J56" s="48" t="s">
        <v>2987</v>
      </c>
      <c r="K56" s="48" t="s">
        <v>89</v>
      </c>
      <c r="L56" s="48" t="s">
        <v>2988</v>
      </c>
      <c r="M56" s="49">
        <v>45704</v>
      </c>
      <c r="N56" s="174">
        <v>45733</v>
      </c>
      <c r="O56" s="50">
        <v>108362</v>
      </c>
      <c r="P56" s="51" t="s">
        <v>3125</v>
      </c>
      <c r="Q56" s="57">
        <v>45740</v>
      </c>
      <c r="R56" s="52" t="s">
        <v>2990</v>
      </c>
    </row>
    <row r="57" spans="1:18" s="52" customFormat="1" hidden="1">
      <c r="A57" s="48" t="s">
        <v>3132</v>
      </c>
      <c r="B57" s="49">
        <v>45691</v>
      </c>
      <c r="C57" s="48" t="s">
        <v>3133</v>
      </c>
      <c r="D57" s="48" t="s">
        <v>1442</v>
      </c>
      <c r="E57" s="48"/>
      <c r="F57" s="48" t="s">
        <v>3134</v>
      </c>
      <c r="G57" s="48">
        <v>1</v>
      </c>
      <c r="H57" s="184">
        <v>41.55</v>
      </c>
      <c r="I57" s="184">
        <f>Table3[[#This Row],[Unit Price]]*Table3[[#This Row],[QTY]]</f>
        <v>41.55</v>
      </c>
      <c r="J57" s="48" t="s">
        <v>2987</v>
      </c>
      <c r="K57" s="48" t="s">
        <v>89</v>
      </c>
      <c r="L57" s="48" t="s">
        <v>3135</v>
      </c>
      <c r="M57" s="49">
        <v>45704</v>
      </c>
      <c r="N57" s="174">
        <v>45733</v>
      </c>
      <c r="O57" s="50">
        <v>108356</v>
      </c>
      <c r="P57" s="51"/>
      <c r="Q57" s="57"/>
    </row>
    <row r="58" spans="1:18" hidden="1">
      <c r="A58" s="6" t="s">
        <v>3136</v>
      </c>
      <c r="B58" s="7">
        <v>45692</v>
      </c>
      <c r="C58" s="6" t="s">
        <v>402</v>
      </c>
      <c r="D58" s="6" t="s">
        <v>1442</v>
      </c>
      <c r="E58" s="6"/>
      <c r="F58" s="6" t="s">
        <v>3134</v>
      </c>
      <c r="G58" s="6">
        <v>1</v>
      </c>
      <c r="H58" s="184">
        <v>111.05</v>
      </c>
      <c r="I58" s="184">
        <f>Table3[[#This Row],[Unit Price]]*Table3[[#This Row],[QTY]]</f>
        <v>111.05</v>
      </c>
      <c r="J58" s="6" t="s">
        <v>2987</v>
      </c>
      <c r="K58" s="6" t="s">
        <v>58</v>
      </c>
      <c r="L58" s="6"/>
      <c r="M58" s="7">
        <v>45704</v>
      </c>
      <c r="N58" s="175">
        <v>45733</v>
      </c>
    </row>
    <row r="59" spans="1:18" hidden="1">
      <c r="A59" s="6" t="s">
        <v>3137</v>
      </c>
      <c r="B59" s="7">
        <v>45692</v>
      </c>
      <c r="C59" s="6" t="s">
        <v>2132</v>
      </c>
      <c r="D59" s="6" t="s">
        <v>330</v>
      </c>
      <c r="E59" s="6"/>
      <c r="F59" s="6" t="s">
        <v>1163</v>
      </c>
      <c r="G59" s="6">
        <v>1</v>
      </c>
      <c r="H59" s="184">
        <v>35.19</v>
      </c>
      <c r="I59" s="184">
        <f>Table3[[#This Row],[Unit Price]]*Table3[[#This Row],[QTY]]</f>
        <v>35.19</v>
      </c>
      <c r="J59" s="6" t="s">
        <v>2987</v>
      </c>
      <c r="K59" s="6" t="s">
        <v>58</v>
      </c>
      <c r="L59" s="6"/>
      <c r="M59" s="7">
        <v>45704</v>
      </c>
      <c r="N59" s="175">
        <v>45733</v>
      </c>
    </row>
    <row r="60" spans="1:18" hidden="1">
      <c r="A60" s="6" t="s">
        <v>3138</v>
      </c>
      <c r="B60" s="7">
        <v>45693</v>
      </c>
      <c r="C60" s="6" t="s">
        <v>381</v>
      </c>
      <c r="D60" s="6" t="s">
        <v>335</v>
      </c>
      <c r="E60" s="6"/>
      <c r="F60" s="6" t="s">
        <v>2569</v>
      </c>
      <c r="G60" s="6">
        <v>2</v>
      </c>
      <c r="H60" s="184">
        <v>79.989999999999995</v>
      </c>
      <c r="I60" s="184">
        <f>Table3[[#This Row],[Unit Price]]*Table3[[#This Row],[QTY]]</f>
        <v>159.97999999999999</v>
      </c>
      <c r="J60" s="6" t="s">
        <v>2987</v>
      </c>
      <c r="K60" s="6" t="s">
        <v>58</v>
      </c>
      <c r="L60" s="6"/>
      <c r="M60" s="7">
        <v>45704</v>
      </c>
      <c r="N60" s="175">
        <v>45733</v>
      </c>
    </row>
    <row r="61" spans="1:18" hidden="1">
      <c r="A61" s="6" t="s">
        <v>3139</v>
      </c>
      <c r="B61" s="7">
        <v>45694</v>
      </c>
      <c r="C61" s="6" t="s">
        <v>3140</v>
      </c>
      <c r="D61" s="6" t="s">
        <v>335</v>
      </c>
      <c r="E61" s="6"/>
      <c r="F61" s="6" t="s">
        <v>2569</v>
      </c>
      <c r="G61" s="6">
        <v>1</v>
      </c>
      <c r="H61" s="184">
        <v>79.989999999999995</v>
      </c>
      <c r="I61" s="184">
        <f>Table3[[#This Row],[Unit Price]]*Table3[[#This Row],[QTY]]</f>
        <v>79.989999999999995</v>
      </c>
      <c r="J61" s="6" t="s">
        <v>2987</v>
      </c>
      <c r="K61" s="6" t="s">
        <v>58</v>
      </c>
      <c r="L61" s="6"/>
      <c r="M61" s="7">
        <v>45704</v>
      </c>
      <c r="N61" s="175">
        <v>45733</v>
      </c>
    </row>
    <row r="62" spans="1:18" s="52" customFormat="1" hidden="1">
      <c r="A62" s="177" t="s">
        <v>3141</v>
      </c>
      <c r="B62" s="49">
        <v>45694</v>
      </c>
      <c r="C62" s="177" t="s">
        <v>3142</v>
      </c>
      <c r="D62" s="48" t="s">
        <v>2985</v>
      </c>
      <c r="E62" s="48"/>
      <c r="F62" s="48" t="s">
        <v>2986</v>
      </c>
      <c r="G62" s="48">
        <v>1</v>
      </c>
      <c r="H62" s="184">
        <v>146.97999999999999</v>
      </c>
      <c r="I62" s="184">
        <f>Table3[[#This Row],[Unit Price]]*Table3[[#This Row],[QTY]]</f>
        <v>146.97999999999999</v>
      </c>
      <c r="J62" s="48" t="s">
        <v>2987</v>
      </c>
      <c r="K62" s="48" t="s">
        <v>89</v>
      </c>
      <c r="L62" s="48" t="s">
        <v>2988</v>
      </c>
      <c r="M62" s="49">
        <v>45704</v>
      </c>
      <c r="N62" s="174">
        <v>45733</v>
      </c>
      <c r="O62" s="50">
        <v>108391</v>
      </c>
      <c r="P62" s="51" t="s">
        <v>3143</v>
      </c>
      <c r="Q62" s="57">
        <v>45739</v>
      </c>
      <c r="R62" s="52" t="s">
        <v>2990</v>
      </c>
    </row>
    <row r="63" spans="1:18" hidden="1">
      <c r="A63" s="6" t="s">
        <v>3144</v>
      </c>
      <c r="B63" s="7">
        <v>45694</v>
      </c>
      <c r="C63" s="6" t="s">
        <v>3145</v>
      </c>
      <c r="D63" s="6" t="s">
        <v>3094</v>
      </c>
      <c r="E63" s="6"/>
      <c r="F63" s="6" t="s">
        <v>3146</v>
      </c>
      <c r="G63" s="6">
        <v>1</v>
      </c>
      <c r="H63" s="184">
        <v>64.03</v>
      </c>
      <c r="I63" s="184">
        <f>Table3[[#This Row],[Unit Price]]*Table3[[#This Row],[QTY]]</f>
        <v>64.03</v>
      </c>
      <c r="J63" s="6" t="s">
        <v>2987</v>
      </c>
      <c r="K63" s="6" t="s">
        <v>58</v>
      </c>
      <c r="L63" s="6"/>
      <c r="M63" s="7">
        <v>45704</v>
      </c>
      <c r="N63" s="175">
        <v>45733</v>
      </c>
    </row>
    <row r="64" spans="1:18" hidden="1">
      <c r="A64" s="6" t="s">
        <v>3144</v>
      </c>
      <c r="B64" s="7">
        <v>45694</v>
      </c>
      <c r="C64" s="6" t="s">
        <v>3145</v>
      </c>
      <c r="D64" s="6" t="s">
        <v>3147</v>
      </c>
      <c r="E64" s="6"/>
      <c r="F64" s="6" t="s">
        <v>3148</v>
      </c>
      <c r="G64" s="6">
        <v>2</v>
      </c>
      <c r="H64" s="184">
        <v>804.48</v>
      </c>
      <c r="I64" s="184">
        <f>Table3[[#This Row],[Unit Price]]*Table3[[#This Row],[QTY]]</f>
        <v>1608.96</v>
      </c>
      <c r="J64" s="6" t="s">
        <v>2987</v>
      </c>
      <c r="K64" s="6" t="s">
        <v>58</v>
      </c>
      <c r="L64" s="6"/>
      <c r="M64" s="7">
        <v>45704</v>
      </c>
      <c r="N64" s="175">
        <v>45733</v>
      </c>
    </row>
    <row r="65" spans="1:18" s="52" customFormat="1" hidden="1">
      <c r="A65" s="177" t="s">
        <v>3149</v>
      </c>
      <c r="B65" s="49">
        <v>45695</v>
      </c>
      <c r="C65" s="48" t="s">
        <v>3002</v>
      </c>
      <c r="D65" s="48" t="s">
        <v>605</v>
      </c>
      <c r="E65" s="48"/>
      <c r="F65" s="48" t="s">
        <v>3150</v>
      </c>
      <c r="G65" s="48">
        <v>1</v>
      </c>
      <c r="H65" s="184">
        <v>96.35</v>
      </c>
      <c r="I65" s="184">
        <f>Table3[[#This Row],[Unit Price]]*Table3[[#This Row],[QTY]]</f>
        <v>96.35</v>
      </c>
      <c r="J65" s="48" t="s">
        <v>2987</v>
      </c>
      <c r="K65" s="48" t="s">
        <v>89</v>
      </c>
      <c r="L65" s="48" t="s">
        <v>2988</v>
      </c>
      <c r="M65" s="49">
        <v>45704</v>
      </c>
      <c r="N65" s="174">
        <v>45733</v>
      </c>
      <c r="O65" s="50">
        <v>108400</v>
      </c>
      <c r="P65" s="51" t="s">
        <v>3151</v>
      </c>
      <c r="Q65" s="57">
        <v>45735</v>
      </c>
      <c r="R65" s="52" t="s">
        <v>2990</v>
      </c>
    </row>
    <row r="66" spans="1:18" hidden="1">
      <c r="A66" s="6" t="s">
        <v>3152</v>
      </c>
      <c r="B66" s="7">
        <v>45695</v>
      </c>
      <c r="C66" s="6" t="s">
        <v>3145</v>
      </c>
      <c r="D66" s="6" t="s">
        <v>3153</v>
      </c>
      <c r="E66" s="6"/>
      <c r="F66" s="6" t="s">
        <v>3154</v>
      </c>
      <c r="G66" s="6">
        <v>1</v>
      </c>
      <c r="H66" s="184">
        <v>38.380000000000003</v>
      </c>
      <c r="I66" s="184">
        <f>Table3[[#This Row],[Unit Price]]*Table3[[#This Row],[QTY]]</f>
        <v>38.380000000000003</v>
      </c>
      <c r="J66" s="6" t="s">
        <v>2987</v>
      </c>
      <c r="K66" s="6" t="s">
        <v>58</v>
      </c>
      <c r="L66" s="6"/>
      <c r="M66" s="7">
        <v>45714</v>
      </c>
      <c r="N66" s="175">
        <v>45733</v>
      </c>
    </row>
    <row r="67" spans="1:18" hidden="1">
      <c r="A67" s="6" t="s">
        <v>3152</v>
      </c>
      <c r="B67" s="7">
        <v>45695</v>
      </c>
      <c r="C67" s="6" t="s">
        <v>3145</v>
      </c>
      <c r="D67" s="6" t="s">
        <v>3155</v>
      </c>
      <c r="E67" s="6"/>
      <c r="F67" s="6" t="s">
        <v>3156</v>
      </c>
      <c r="G67" s="6">
        <v>1</v>
      </c>
      <c r="H67" s="184">
        <v>14.08</v>
      </c>
      <c r="I67" s="184">
        <f>Table3[[#This Row],[Unit Price]]*Table3[[#This Row],[QTY]]</f>
        <v>14.08</v>
      </c>
      <c r="J67" s="6" t="s">
        <v>3107</v>
      </c>
      <c r="K67" s="6" t="s">
        <v>58</v>
      </c>
      <c r="L67" s="6"/>
      <c r="M67" s="7">
        <v>45727</v>
      </c>
      <c r="N67" s="174">
        <v>45756</v>
      </c>
    </row>
    <row r="68" spans="1:18" hidden="1">
      <c r="A68" s="6" t="s">
        <v>3157</v>
      </c>
      <c r="B68" s="7">
        <v>45695</v>
      </c>
      <c r="C68" s="6" t="s">
        <v>381</v>
      </c>
      <c r="D68" s="6" t="s">
        <v>3158</v>
      </c>
      <c r="E68" s="6"/>
      <c r="F68" s="6" t="s">
        <v>3159</v>
      </c>
      <c r="G68" s="6">
        <v>1</v>
      </c>
      <c r="H68" s="184">
        <v>79.510000000000005</v>
      </c>
      <c r="I68" s="184">
        <f>Table3[[#This Row],[Unit Price]]*Table3[[#This Row],[QTY]]</f>
        <v>79.510000000000005</v>
      </c>
      <c r="J68" s="6" t="s">
        <v>2987</v>
      </c>
      <c r="K68" s="6" t="s">
        <v>58</v>
      </c>
      <c r="L68" s="6"/>
      <c r="M68" s="7">
        <v>45704</v>
      </c>
      <c r="N68" s="175">
        <v>45733</v>
      </c>
    </row>
    <row r="69" spans="1:18" hidden="1">
      <c r="A69" s="6" t="s">
        <v>3160</v>
      </c>
      <c r="B69" s="7">
        <v>45695</v>
      </c>
      <c r="C69" s="6" t="s">
        <v>3100</v>
      </c>
      <c r="D69" s="6" t="s">
        <v>130</v>
      </c>
      <c r="E69" s="6"/>
      <c r="F69" s="6" t="s">
        <v>3003</v>
      </c>
      <c r="G69" s="6">
        <v>2</v>
      </c>
      <c r="H69" s="184">
        <v>17.28</v>
      </c>
      <c r="I69" s="184">
        <f>Table3[[#This Row],[Unit Price]]*Table3[[#This Row],[QTY]]</f>
        <v>34.56</v>
      </c>
      <c r="J69" s="6" t="s">
        <v>2987</v>
      </c>
      <c r="K69" s="6" t="s">
        <v>58</v>
      </c>
      <c r="L69" s="6"/>
      <c r="M69" s="7">
        <v>45714</v>
      </c>
      <c r="N69" s="175">
        <v>45733</v>
      </c>
    </row>
    <row r="70" spans="1:18" s="52" customFormat="1" hidden="1">
      <c r="A70" s="177" t="s">
        <v>3161</v>
      </c>
      <c r="B70" s="49">
        <v>45698</v>
      </c>
      <c r="C70" s="177" t="s">
        <v>3100</v>
      </c>
      <c r="D70" s="48" t="s">
        <v>2991</v>
      </c>
      <c r="E70" s="48"/>
      <c r="F70" s="48" t="s">
        <v>2992</v>
      </c>
      <c r="G70" s="48">
        <v>2</v>
      </c>
      <c r="H70" s="184">
        <v>17.920000000000002</v>
      </c>
      <c r="I70" s="184">
        <f>Table3[[#This Row],[Unit Price]]*Table3[[#This Row],[QTY]]</f>
        <v>35.840000000000003</v>
      </c>
      <c r="J70" s="48" t="s">
        <v>2987</v>
      </c>
      <c r="K70" s="48" t="s">
        <v>89</v>
      </c>
      <c r="L70" s="48"/>
      <c r="M70" s="49">
        <v>45714</v>
      </c>
      <c r="N70" s="174">
        <v>45733</v>
      </c>
      <c r="O70" s="50">
        <v>108390</v>
      </c>
      <c r="P70" s="51" t="s">
        <v>3162</v>
      </c>
      <c r="Q70" s="57">
        <v>45739</v>
      </c>
      <c r="R70" s="52" t="s">
        <v>2990</v>
      </c>
    </row>
    <row r="71" spans="1:18" s="52" customFormat="1" hidden="1">
      <c r="A71" s="177" t="s">
        <v>3163</v>
      </c>
      <c r="B71" s="49">
        <v>45698</v>
      </c>
      <c r="C71" s="177" t="s">
        <v>3164</v>
      </c>
      <c r="D71" s="48" t="s">
        <v>56</v>
      </c>
      <c r="E71" s="48"/>
      <c r="F71" s="48" t="s">
        <v>57</v>
      </c>
      <c r="G71" s="48">
        <v>3</v>
      </c>
      <c r="H71" s="184">
        <v>15.68</v>
      </c>
      <c r="I71" s="184">
        <f>Table3[[#This Row],[Unit Price]]*Table3[[#This Row],[QTY]]</f>
        <v>47.04</v>
      </c>
      <c r="J71" s="48" t="s">
        <v>2987</v>
      </c>
      <c r="K71" s="48" t="s">
        <v>89</v>
      </c>
      <c r="L71" s="48" t="s">
        <v>2988</v>
      </c>
      <c r="M71" s="49">
        <v>45714</v>
      </c>
      <c r="N71" s="174">
        <v>45733</v>
      </c>
      <c r="O71" s="50">
        <v>108332</v>
      </c>
      <c r="P71" s="51" t="s">
        <v>3165</v>
      </c>
      <c r="Q71" s="57">
        <v>45740</v>
      </c>
      <c r="R71" s="52" t="s">
        <v>2990</v>
      </c>
    </row>
    <row r="72" spans="1:18" hidden="1">
      <c r="A72" s="6" t="s">
        <v>3166</v>
      </c>
      <c r="B72" s="7">
        <v>45698</v>
      </c>
      <c r="C72" s="6" t="s">
        <v>3164</v>
      </c>
      <c r="D72" s="6" t="s">
        <v>56</v>
      </c>
      <c r="E72" s="6"/>
      <c r="F72" s="6" t="s">
        <v>3167</v>
      </c>
      <c r="G72" s="6">
        <v>2</v>
      </c>
      <c r="H72" s="184">
        <v>15.68</v>
      </c>
      <c r="I72" s="184">
        <f>Table3[[#This Row],[Unit Price]]*Table3[[#This Row],[QTY]]</f>
        <v>31.36</v>
      </c>
      <c r="J72" s="6" t="s">
        <v>2987</v>
      </c>
      <c r="K72" s="6" t="s">
        <v>58</v>
      </c>
      <c r="L72" s="6"/>
      <c r="M72" s="7">
        <v>45714</v>
      </c>
      <c r="N72" s="175">
        <v>45733</v>
      </c>
    </row>
    <row r="73" spans="1:18" hidden="1">
      <c r="A73" s="6" t="s">
        <v>3168</v>
      </c>
      <c r="B73" s="7">
        <v>45698</v>
      </c>
      <c r="C73" s="6" t="s">
        <v>3169</v>
      </c>
      <c r="D73" s="6" t="s">
        <v>280</v>
      </c>
      <c r="E73" s="6"/>
      <c r="F73" s="6" t="s">
        <v>3170</v>
      </c>
      <c r="G73" s="6">
        <v>1</v>
      </c>
      <c r="H73" s="184">
        <v>431.82</v>
      </c>
      <c r="I73" s="184">
        <f>Table3[[#This Row],[Unit Price]]*Table3[[#This Row],[QTY]]</f>
        <v>431.82</v>
      </c>
      <c r="J73" s="6" t="s">
        <v>2987</v>
      </c>
      <c r="K73" s="6" t="s">
        <v>58</v>
      </c>
      <c r="L73" s="6"/>
      <c r="M73" s="7">
        <v>45714</v>
      </c>
      <c r="N73" s="175">
        <v>45733</v>
      </c>
    </row>
    <row r="74" spans="1:18" hidden="1">
      <c r="A74" s="31" t="s">
        <v>3171</v>
      </c>
      <c r="B74" s="7">
        <v>45698</v>
      </c>
      <c r="C74" s="6" t="s">
        <v>381</v>
      </c>
      <c r="D74" s="6" t="s">
        <v>158</v>
      </c>
      <c r="E74" s="6"/>
      <c r="F74" s="6" t="s">
        <v>159</v>
      </c>
      <c r="G74" s="6">
        <v>1</v>
      </c>
      <c r="H74" s="184">
        <v>475.51</v>
      </c>
      <c r="I74" s="184">
        <f>Table3[[#This Row],[Unit Price]]*Table3[[#This Row],[QTY]]</f>
        <v>475.51</v>
      </c>
      <c r="J74" s="6" t="s">
        <v>3107</v>
      </c>
      <c r="K74" s="6" t="s">
        <v>58</v>
      </c>
      <c r="L74" s="6" t="s">
        <v>3110</v>
      </c>
      <c r="M74" s="7">
        <v>45722</v>
      </c>
      <c r="N74" s="174">
        <v>45756</v>
      </c>
    </row>
    <row r="75" spans="1:18" hidden="1">
      <c r="A75" s="31" t="s">
        <v>3171</v>
      </c>
      <c r="B75" s="7">
        <v>45698</v>
      </c>
      <c r="C75" s="6" t="s">
        <v>381</v>
      </c>
      <c r="D75" s="6" t="s">
        <v>2082</v>
      </c>
      <c r="E75" s="6"/>
      <c r="F75" s="6" t="s">
        <v>3172</v>
      </c>
      <c r="G75" s="6">
        <v>2</v>
      </c>
      <c r="H75" s="184">
        <v>276.72000000000003</v>
      </c>
      <c r="I75" s="184">
        <f>Table3[[#This Row],[Unit Price]]*Table3[[#This Row],[QTY]]</f>
        <v>553.44000000000005</v>
      </c>
      <c r="J75" s="6" t="s">
        <v>2987</v>
      </c>
      <c r="K75" s="6" t="s">
        <v>58</v>
      </c>
      <c r="L75" s="6" t="s">
        <v>3114</v>
      </c>
      <c r="M75" s="7">
        <v>45714</v>
      </c>
      <c r="N75" s="175">
        <v>45733</v>
      </c>
    </row>
    <row r="76" spans="1:18" hidden="1">
      <c r="A76" s="31" t="s">
        <v>3171</v>
      </c>
      <c r="B76" s="7">
        <v>45698</v>
      </c>
      <c r="C76" s="6" t="s">
        <v>381</v>
      </c>
      <c r="D76" s="6" t="s">
        <v>3173</v>
      </c>
      <c r="E76" s="6"/>
      <c r="F76" s="6" t="s">
        <v>3174</v>
      </c>
      <c r="G76" s="6">
        <v>1</v>
      </c>
      <c r="H76" s="184">
        <v>244.96</v>
      </c>
      <c r="I76" s="184">
        <f>Table3[[#This Row],[Unit Price]]*Table3[[#This Row],[QTY]]</f>
        <v>244.96</v>
      </c>
      <c r="J76" s="6" t="s">
        <v>2987</v>
      </c>
      <c r="K76" s="6" t="s">
        <v>58</v>
      </c>
      <c r="L76" s="6" t="s">
        <v>3110</v>
      </c>
      <c r="M76" s="7">
        <v>45714</v>
      </c>
      <c r="N76" s="175">
        <v>45733</v>
      </c>
    </row>
    <row r="77" spans="1:18" hidden="1">
      <c r="A77" s="31" t="s">
        <v>3175</v>
      </c>
      <c r="B77" s="7">
        <v>45698</v>
      </c>
      <c r="C77" s="6" t="s">
        <v>2132</v>
      </c>
      <c r="D77" s="6" t="s">
        <v>134</v>
      </c>
      <c r="E77" s="6"/>
      <c r="F77" s="6" t="s">
        <v>1386</v>
      </c>
      <c r="G77" s="6">
        <v>1</v>
      </c>
      <c r="H77" s="184">
        <v>42.46</v>
      </c>
      <c r="I77" s="184">
        <f>Table3[[#This Row],[Unit Price]]*Table3[[#This Row],[QTY]]</f>
        <v>42.46</v>
      </c>
      <c r="J77" s="6" t="s">
        <v>2987</v>
      </c>
      <c r="K77" s="6" t="s">
        <v>58</v>
      </c>
      <c r="L77" s="6"/>
      <c r="M77" s="7">
        <v>45714</v>
      </c>
      <c r="N77" s="175">
        <v>45733</v>
      </c>
    </row>
    <row r="78" spans="1:18" hidden="1">
      <c r="A78" s="31" t="s">
        <v>3175</v>
      </c>
      <c r="B78" s="7">
        <v>45698</v>
      </c>
      <c r="C78" s="6" t="s">
        <v>2132</v>
      </c>
      <c r="D78" s="6" t="s">
        <v>136</v>
      </c>
      <c r="E78" s="6"/>
      <c r="F78" s="6" t="s">
        <v>137</v>
      </c>
      <c r="G78" s="6">
        <v>1</v>
      </c>
      <c r="H78" s="184">
        <v>19.600000000000001</v>
      </c>
      <c r="I78" s="184">
        <f>Table3[[#This Row],[Unit Price]]*Table3[[#This Row],[QTY]]</f>
        <v>19.600000000000001</v>
      </c>
      <c r="J78" s="6" t="s">
        <v>2987</v>
      </c>
      <c r="K78" s="6" t="s">
        <v>58</v>
      </c>
      <c r="L78" s="6" t="s">
        <v>3135</v>
      </c>
      <c r="M78" s="7">
        <v>45714</v>
      </c>
      <c r="N78" s="175">
        <v>45733</v>
      </c>
    </row>
    <row r="79" spans="1:18" hidden="1">
      <c r="A79" s="31" t="s">
        <v>3176</v>
      </c>
      <c r="B79" s="7">
        <v>45700</v>
      </c>
      <c r="C79" s="6" t="s">
        <v>3177</v>
      </c>
      <c r="D79" s="6" t="s">
        <v>3010</v>
      </c>
      <c r="E79" s="6"/>
      <c r="F79" s="6" t="s">
        <v>3011</v>
      </c>
      <c r="G79" s="6">
        <v>2</v>
      </c>
      <c r="H79" s="184">
        <v>16.2</v>
      </c>
      <c r="I79" s="184">
        <f>Table3[[#This Row],[Unit Price]]*Table3[[#This Row],[QTY]]</f>
        <v>32.4</v>
      </c>
      <c r="J79" s="6" t="s">
        <v>2987</v>
      </c>
      <c r="K79" s="6" t="s">
        <v>58</v>
      </c>
      <c r="L79" s="6"/>
      <c r="M79" s="7">
        <v>45714</v>
      </c>
      <c r="N79" s="175">
        <v>45733</v>
      </c>
    </row>
    <row r="80" spans="1:18" s="55" customFormat="1" hidden="1">
      <c r="A80" s="178" t="s">
        <v>3178</v>
      </c>
      <c r="B80" s="49">
        <v>45702</v>
      </c>
      <c r="C80" s="177" t="s">
        <v>3002</v>
      </c>
      <c r="D80" s="48" t="s">
        <v>405</v>
      </c>
      <c r="E80" s="48"/>
      <c r="F80" s="48" t="s">
        <v>3179</v>
      </c>
      <c r="G80" s="48">
        <v>1</v>
      </c>
      <c r="H80" s="184">
        <v>20</v>
      </c>
      <c r="I80" s="184">
        <f>Table3[[#This Row],[Unit Price]]*Table3[[#This Row],[QTY]]</f>
        <v>20</v>
      </c>
      <c r="J80" s="48" t="s">
        <v>2987</v>
      </c>
      <c r="K80" s="48" t="s">
        <v>89</v>
      </c>
      <c r="L80" s="48" t="s">
        <v>2988</v>
      </c>
      <c r="M80" s="49">
        <v>45714</v>
      </c>
      <c r="N80" s="174">
        <v>45733</v>
      </c>
      <c r="O80" s="50">
        <v>108408</v>
      </c>
      <c r="P80" s="51" t="s">
        <v>3180</v>
      </c>
      <c r="Q80" s="57">
        <v>45735</v>
      </c>
      <c r="R80" s="52" t="s">
        <v>2990</v>
      </c>
    </row>
    <row r="81" spans="1:18" hidden="1">
      <c r="A81" s="31" t="s">
        <v>3181</v>
      </c>
      <c r="B81" s="7">
        <v>45702</v>
      </c>
      <c r="C81" s="6" t="s">
        <v>695</v>
      </c>
      <c r="D81" s="6" t="s">
        <v>495</v>
      </c>
      <c r="E81" s="6"/>
      <c r="F81" s="6" t="s">
        <v>3182</v>
      </c>
      <c r="G81" s="6">
        <v>1</v>
      </c>
      <c r="H81" s="184">
        <v>7.35</v>
      </c>
      <c r="I81" s="184">
        <f>Table3[[#This Row],[Unit Price]]*Table3[[#This Row],[QTY]]</f>
        <v>7.35</v>
      </c>
      <c r="J81" s="6" t="s">
        <v>2987</v>
      </c>
      <c r="K81" s="6" t="s">
        <v>58</v>
      </c>
      <c r="L81" s="6"/>
      <c r="M81" s="7">
        <v>45714</v>
      </c>
      <c r="N81" s="175">
        <v>45733</v>
      </c>
    </row>
    <row r="82" spans="1:18" hidden="1">
      <c r="A82" s="31" t="s">
        <v>3183</v>
      </c>
      <c r="B82" s="7">
        <v>45706</v>
      </c>
      <c r="C82" s="6" t="s">
        <v>3184</v>
      </c>
      <c r="D82" s="6" t="s">
        <v>3185</v>
      </c>
      <c r="E82" s="6"/>
      <c r="F82" s="6" t="s">
        <v>3186</v>
      </c>
      <c r="G82" s="6">
        <v>1</v>
      </c>
      <c r="H82" s="184">
        <v>572.32000000000005</v>
      </c>
      <c r="I82" s="184">
        <f>Table3[[#This Row],[Unit Price]]*Table3[[#This Row],[QTY]]</f>
        <v>572.32000000000005</v>
      </c>
      <c r="J82" s="6" t="s">
        <v>3107</v>
      </c>
      <c r="K82" s="6" t="s">
        <v>58</v>
      </c>
      <c r="L82" s="6"/>
      <c r="M82" s="7">
        <v>45727</v>
      </c>
      <c r="N82" s="174">
        <v>45756</v>
      </c>
    </row>
    <row r="83" spans="1:18" s="52" customFormat="1" hidden="1">
      <c r="A83" s="178" t="s">
        <v>3187</v>
      </c>
      <c r="B83" s="49">
        <v>45707</v>
      </c>
      <c r="C83" s="177" t="s">
        <v>3188</v>
      </c>
      <c r="D83" s="48" t="s">
        <v>3189</v>
      </c>
      <c r="E83" s="48"/>
      <c r="F83" s="48" t="s">
        <v>3190</v>
      </c>
      <c r="G83" s="48">
        <v>1</v>
      </c>
      <c r="H83" s="184">
        <v>28.84</v>
      </c>
      <c r="I83" s="184">
        <f>Table3[[#This Row],[Unit Price]]*Table3[[#This Row],[QTY]]</f>
        <v>28.84</v>
      </c>
      <c r="J83" s="48" t="s">
        <v>3107</v>
      </c>
      <c r="K83" s="48" t="s">
        <v>89</v>
      </c>
      <c r="L83" s="48"/>
      <c r="M83" s="49">
        <v>45727</v>
      </c>
      <c r="N83" s="174">
        <v>45756</v>
      </c>
      <c r="O83" s="54">
        <v>108464</v>
      </c>
      <c r="P83" s="53">
        <v>71468</v>
      </c>
      <c r="Q83" s="57">
        <v>45783</v>
      </c>
      <c r="R83" s="52" t="s">
        <v>2990</v>
      </c>
    </row>
    <row r="84" spans="1:18" s="52" customFormat="1" hidden="1">
      <c r="A84" s="178" t="s">
        <v>3191</v>
      </c>
      <c r="B84" s="49">
        <v>45707</v>
      </c>
      <c r="C84" s="177" t="s">
        <v>3123</v>
      </c>
      <c r="D84" s="48" t="s">
        <v>3192</v>
      </c>
      <c r="E84" s="48"/>
      <c r="F84" s="48" t="s">
        <v>3193</v>
      </c>
      <c r="G84" s="48">
        <v>1</v>
      </c>
      <c r="H84" s="184">
        <v>72.69</v>
      </c>
      <c r="I84" s="184">
        <f>Table3[[#This Row],[Unit Price]]*Table3[[#This Row],[QTY]]</f>
        <v>72.69</v>
      </c>
      <c r="J84" s="48" t="s">
        <v>3107</v>
      </c>
      <c r="K84" s="48" t="s">
        <v>89</v>
      </c>
      <c r="L84" s="48" t="s">
        <v>3194</v>
      </c>
      <c r="M84" s="49">
        <v>45727</v>
      </c>
      <c r="N84" s="174">
        <v>45756</v>
      </c>
      <c r="O84" s="54">
        <v>108484</v>
      </c>
      <c r="P84" s="51" t="s">
        <v>3195</v>
      </c>
      <c r="Q84" s="57">
        <v>45777</v>
      </c>
      <c r="R84" s="52" t="s">
        <v>2990</v>
      </c>
    </row>
    <row r="85" spans="1:18" s="52" customFormat="1" hidden="1">
      <c r="A85" s="178" t="s">
        <v>3191</v>
      </c>
      <c r="B85" s="49">
        <v>45707</v>
      </c>
      <c r="C85" s="177" t="s">
        <v>3123</v>
      </c>
      <c r="D85" s="48" t="s">
        <v>56</v>
      </c>
      <c r="E85" s="48"/>
      <c r="F85" s="48" t="s">
        <v>57</v>
      </c>
      <c r="G85" s="48">
        <v>2</v>
      </c>
      <c r="H85" s="184">
        <v>15.68</v>
      </c>
      <c r="I85" s="184">
        <f>Table3[[#This Row],[Unit Price]]*Table3[[#This Row],[QTY]]</f>
        <v>31.36</v>
      </c>
      <c r="J85" s="48" t="s">
        <v>3107</v>
      </c>
      <c r="K85" s="48" t="s">
        <v>89</v>
      </c>
      <c r="L85" s="48" t="s">
        <v>3083</v>
      </c>
      <c r="M85" s="49">
        <v>45727</v>
      </c>
      <c r="N85" s="174">
        <v>45756</v>
      </c>
      <c r="O85" s="50">
        <v>108484</v>
      </c>
      <c r="P85" s="51" t="s">
        <v>3196</v>
      </c>
      <c r="Q85" s="57">
        <v>45740</v>
      </c>
      <c r="R85" s="52" t="s">
        <v>2990</v>
      </c>
    </row>
    <row r="86" spans="1:18" s="52" customFormat="1" hidden="1">
      <c r="A86" s="178" t="s">
        <v>3191</v>
      </c>
      <c r="B86" s="49">
        <v>45707</v>
      </c>
      <c r="C86" s="177" t="s">
        <v>3123</v>
      </c>
      <c r="D86" s="48" t="s">
        <v>312</v>
      </c>
      <c r="E86" s="48" t="s">
        <v>314</v>
      </c>
      <c r="F86" s="48" t="s">
        <v>3197</v>
      </c>
      <c r="G86" s="48">
        <v>1</v>
      </c>
      <c r="H86" s="184">
        <v>159.5</v>
      </c>
      <c r="I86" s="184">
        <f>Table3[[#This Row],[Unit Price]]*Table3[[#This Row],[QTY]]</f>
        <v>159.5</v>
      </c>
      <c r="J86" s="48" t="s">
        <v>3107</v>
      </c>
      <c r="K86" s="48" t="s">
        <v>89</v>
      </c>
      <c r="L86" s="48" t="s">
        <v>3194</v>
      </c>
      <c r="M86" s="49">
        <v>45727</v>
      </c>
      <c r="N86" s="174">
        <v>45756</v>
      </c>
      <c r="O86" s="54">
        <v>108484</v>
      </c>
      <c r="P86" s="51" t="s">
        <v>3195</v>
      </c>
      <c r="Q86" s="57">
        <v>45777</v>
      </c>
      <c r="R86" s="52" t="s">
        <v>2990</v>
      </c>
    </row>
    <row r="87" spans="1:18" s="52" customFormat="1" hidden="1">
      <c r="A87" s="178" t="s">
        <v>3191</v>
      </c>
      <c r="B87" s="49">
        <v>45707</v>
      </c>
      <c r="C87" s="177" t="s">
        <v>3198</v>
      </c>
      <c r="D87" s="48" t="s">
        <v>3199</v>
      </c>
      <c r="E87" s="48"/>
      <c r="F87" s="48" t="s">
        <v>3200</v>
      </c>
      <c r="G87" s="48">
        <v>1</v>
      </c>
      <c r="H87" s="184">
        <v>17.260000000000002</v>
      </c>
      <c r="I87" s="184">
        <f>Table3[[#This Row],[Unit Price]]*Table3[[#This Row],[QTY]]</f>
        <v>17.260000000000002</v>
      </c>
      <c r="J87" s="48" t="s">
        <v>3107</v>
      </c>
      <c r="K87" s="48" t="s">
        <v>89</v>
      </c>
      <c r="L87" s="48" t="s">
        <v>3194</v>
      </c>
      <c r="M87" s="49">
        <v>45727</v>
      </c>
      <c r="N87" s="174">
        <v>45756</v>
      </c>
      <c r="O87" s="54">
        <v>108484</v>
      </c>
      <c r="P87" s="51" t="s">
        <v>3195</v>
      </c>
      <c r="Q87" s="57">
        <v>45777</v>
      </c>
      <c r="R87" s="52" t="s">
        <v>2990</v>
      </c>
    </row>
    <row r="88" spans="1:18" s="52" customFormat="1" hidden="1">
      <c r="A88" s="178" t="s">
        <v>3201</v>
      </c>
      <c r="B88" s="49">
        <v>45708</v>
      </c>
      <c r="C88" s="177" t="s">
        <v>2132</v>
      </c>
      <c r="D88" s="48" t="s">
        <v>3202</v>
      </c>
      <c r="E88" s="48"/>
      <c r="F88" s="48" t="s">
        <v>3203</v>
      </c>
      <c r="G88" s="48">
        <v>1</v>
      </c>
      <c r="H88" s="184">
        <v>1034.23</v>
      </c>
      <c r="I88" s="184">
        <f>Table3[[#This Row],[Unit Price]]*Table3[[#This Row],[QTY]]</f>
        <v>1034.23</v>
      </c>
      <c r="J88" s="48" t="s">
        <v>2987</v>
      </c>
      <c r="K88" s="48" t="s">
        <v>89</v>
      </c>
      <c r="L88" s="48" t="s">
        <v>2988</v>
      </c>
      <c r="M88" s="49">
        <v>45715</v>
      </c>
      <c r="N88" s="174">
        <v>45733</v>
      </c>
      <c r="O88" s="50">
        <v>108441</v>
      </c>
      <c r="P88" s="51" t="s">
        <v>3204</v>
      </c>
      <c r="Q88" s="57">
        <v>45733</v>
      </c>
      <c r="R88" s="52" t="s">
        <v>2990</v>
      </c>
    </row>
    <row r="89" spans="1:18" s="52" customFormat="1" hidden="1">
      <c r="A89" s="178" t="s">
        <v>3201</v>
      </c>
      <c r="B89" s="49">
        <v>45708</v>
      </c>
      <c r="C89" s="177" t="s">
        <v>2132</v>
      </c>
      <c r="D89" s="48" t="s">
        <v>3205</v>
      </c>
      <c r="E89" s="48"/>
      <c r="F89" s="48" t="s">
        <v>3206</v>
      </c>
      <c r="G89" s="48">
        <v>1</v>
      </c>
      <c r="H89" s="184">
        <v>2404.3000000000002</v>
      </c>
      <c r="I89" s="184">
        <f>Table3[[#This Row],[Unit Price]]*Table3[[#This Row],[QTY]]</f>
        <v>2404.3000000000002</v>
      </c>
      <c r="J89" s="48" t="s">
        <v>2987</v>
      </c>
      <c r="K89" s="48" t="s">
        <v>89</v>
      </c>
      <c r="L89" s="48" t="s">
        <v>2988</v>
      </c>
      <c r="M89" s="49">
        <v>45715</v>
      </c>
      <c r="N89" s="174">
        <v>45733</v>
      </c>
      <c r="O89" s="50">
        <v>108441</v>
      </c>
      <c r="P89" s="51" t="s">
        <v>3204</v>
      </c>
      <c r="Q89" s="57">
        <v>45733</v>
      </c>
      <c r="R89" s="52" t="s">
        <v>2990</v>
      </c>
    </row>
    <row r="90" spans="1:18" hidden="1">
      <c r="A90" s="31" t="s">
        <v>3207</v>
      </c>
      <c r="B90" s="7">
        <v>45708</v>
      </c>
      <c r="C90" s="6" t="s">
        <v>3208</v>
      </c>
      <c r="D90" s="6" t="s">
        <v>3209</v>
      </c>
      <c r="E90" s="6" t="s">
        <v>511</v>
      </c>
      <c r="F90" s="6" t="s">
        <v>3210</v>
      </c>
      <c r="G90" s="6">
        <v>1</v>
      </c>
      <c r="H90" s="184">
        <v>1721.28</v>
      </c>
      <c r="I90" s="184">
        <f>Table3[[#This Row],[Unit Price]]*Table3[[#This Row],[QTY]]</f>
        <v>1721.28</v>
      </c>
      <c r="J90" s="6" t="s">
        <v>2987</v>
      </c>
      <c r="K90" s="6" t="s">
        <v>58</v>
      </c>
      <c r="L90" s="6"/>
      <c r="M90" s="7">
        <v>45715</v>
      </c>
      <c r="N90" s="175">
        <v>45733</v>
      </c>
    </row>
    <row r="91" spans="1:18" s="52" customFormat="1" hidden="1">
      <c r="A91" s="56" t="s">
        <v>3211</v>
      </c>
      <c r="B91" s="49">
        <v>45709</v>
      </c>
      <c r="C91" s="48" t="s">
        <v>381</v>
      </c>
      <c r="D91" s="48" t="s">
        <v>3212</v>
      </c>
      <c r="E91" s="48"/>
      <c r="F91" s="48" t="s">
        <v>3213</v>
      </c>
      <c r="G91" s="48">
        <v>2</v>
      </c>
      <c r="H91" s="184">
        <v>36.14</v>
      </c>
      <c r="I91" s="184">
        <f>Table3[[#This Row],[Unit Price]]*Table3[[#This Row],[QTY]]</f>
        <v>72.28</v>
      </c>
      <c r="J91" s="48" t="s">
        <v>2987</v>
      </c>
      <c r="K91" s="48" t="s">
        <v>89</v>
      </c>
      <c r="L91" s="48" t="s">
        <v>3214</v>
      </c>
      <c r="M91" s="49">
        <v>45715</v>
      </c>
      <c r="N91" s="174">
        <v>45733</v>
      </c>
      <c r="O91" s="54"/>
      <c r="P91" s="53"/>
      <c r="Q91" s="57"/>
    </row>
    <row r="92" spans="1:18" s="52" customFormat="1" hidden="1">
      <c r="A92" s="178" t="s">
        <v>3215</v>
      </c>
      <c r="B92" s="49">
        <v>45712</v>
      </c>
      <c r="C92" s="177" t="s">
        <v>3216</v>
      </c>
      <c r="D92" s="48" t="s">
        <v>3217</v>
      </c>
      <c r="E92" s="48"/>
      <c r="F92" s="48" t="s">
        <v>3218</v>
      </c>
      <c r="G92" s="48">
        <v>5</v>
      </c>
      <c r="H92" s="184">
        <v>24.5</v>
      </c>
      <c r="I92" s="184">
        <f>Table3[[#This Row],[Unit Price]]*Table3[[#This Row],[QTY]]</f>
        <v>122.5</v>
      </c>
      <c r="J92" s="48" t="s">
        <v>3219</v>
      </c>
      <c r="K92" s="48" t="s">
        <v>89</v>
      </c>
      <c r="L92" s="48"/>
      <c r="M92" s="49">
        <v>45749</v>
      </c>
      <c r="N92" s="176">
        <v>45796</v>
      </c>
      <c r="O92" s="54">
        <v>109083</v>
      </c>
      <c r="P92" s="51" t="s">
        <v>3220</v>
      </c>
      <c r="Q92" s="57">
        <v>45796</v>
      </c>
      <c r="R92" s="52" t="s">
        <v>2990</v>
      </c>
    </row>
    <row r="93" spans="1:18" s="52" customFormat="1" hidden="1">
      <c r="A93" s="178" t="s">
        <v>3215</v>
      </c>
      <c r="B93" s="49">
        <v>45712</v>
      </c>
      <c r="C93" s="177" t="s">
        <v>3216</v>
      </c>
      <c r="D93" s="48" t="s">
        <v>3221</v>
      </c>
      <c r="E93" s="48"/>
      <c r="F93" s="48" t="s">
        <v>3222</v>
      </c>
      <c r="G93" s="48">
        <v>2</v>
      </c>
      <c r="H93" s="184">
        <v>11.43</v>
      </c>
      <c r="I93" s="184">
        <f>Table3[[#This Row],[Unit Price]]*Table3[[#This Row],[QTY]]</f>
        <v>22.86</v>
      </c>
      <c r="J93" s="48" t="s">
        <v>3107</v>
      </c>
      <c r="K93" s="48" t="s">
        <v>89</v>
      </c>
      <c r="L93" s="48" t="s">
        <v>3223</v>
      </c>
      <c r="M93" s="49">
        <v>45727</v>
      </c>
      <c r="N93" s="174">
        <v>45756</v>
      </c>
      <c r="O93" s="54">
        <v>108497</v>
      </c>
      <c r="P93" s="51" t="s">
        <v>3224</v>
      </c>
      <c r="Q93" s="57">
        <v>45777</v>
      </c>
      <c r="R93" s="52" t="s">
        <v>2990</v>
      </c>
    </row>
    <row r="94" spans="1:18" s="52" customFormat="1" hidden="1">
      <c r="A94" s="178" t="s">
        <v>3215</v>
      </c>
      <c r="B94" s="49">
        <v>45712</v>
      </c>
      <c r="C94" s="177" t="s">
        <v>3216</v>
      </c>
      <c r="D94" s="48" t="s">
        <v>939</v>
      </c>
      <c r="E94" s="48"/>
      <c r="F94" s="48" t="s">
        <v>3225</v>
      </c>
      <c r="G94" s="48">
        <v>2</v>
      </c>
      <c r="H94" s="184">
        <v>16.329999999999998</v>
      </c>
      <c r="I94" s="184">
        <f>Table3[[#This Row],[Unit Price]]*Table3[[#This Row],[QTY]]</f>
        <v>32.659999999999997</v>
      </c>
      <c r="J94" s="48" t="s">
        <v>3107</v>
      </c>
      <c r="K94" s="48" t="s">
        <v>89</v>
      </c>
      <c r="L94" s="48" t="s">
        <v>3223</v>
      </c>
      <c r="M94" s="49">
        <v>45727</v>
      </c>
      <c r="N94" s="174">
        <v>45756</v>
      </c>
      <c r="O94" s="54">
        <v>108497</v>
      </c>
      <c r="P94" s="51" t="s">
        <v>3224</v>
      </c>
      <c r="Q94" s="173">
        <v>45777</v>
      </c>
      <c r="R94" s="52" t="s">
        <v>2990</v>
      </c>
    </row>
    <row r="95" spans="1:18" s="52" customFormat="1" hidden="1">
      <c r="A95" s="178" t="s">
        <v>3215</v>
      </c>
      <c r="B95" s="49">
        <v>45712</v>
      </c>
      <c r="C95" s="177" t="s">
        <v>3216</v>
      </c>
      <c r="D95" s="48" t="s">
        <v>3226</v>
      </c>
      <c r="E95" s="48"/>
      <c r="F95" s="48" t="s">
        <v>3227</v>
      </c>
      <c r="G95" s="48">
        <v>2</v>
      </c>
      <c r="H95" s="184">
        <v>5.29</v>
      </c>
      <c r="I95" s="184">
        <f>Table3[[#This Row],[Unit Price]]*Table3[[#This Row],[QTY]]</f>
        <v>10.58</v>
      </c>
      <c r="J95" s="48" t="s">
        <v>3107</v>
      </c>
      <c r="K95" s="48" t="s">
        <v>89</v>
      </c>
      <c r="L95" s="48" t="s">
        <v>3223</v>
      </c>
      <c r="M95" s="49">
        <v>45727</v>
      </c>
      <c r="N95" s="174">
        <v>45756</v>
      </c>
      <c r="O95" s="54">
        <v>108497</v>
      </c>
      <c r="P95" s="51" t="s">
        <v>3224</v>
      </c>
      <c r="Q95" s="57">
        <v>45777</v>
      </c>
      <c r="R95" s="52" t="s">
        <v>2990</v>
      </c>
    </row>
    <row r="96" spans="1:18" s="52" customFormat="1" hidden="1">
      <c r="A96" s="178" t="s">
        <v>3215</v>
      </c>
      <c r="B96" s="49">
        <v>45712</v>
      </c>
      <c r="C96" s="177" t="s">
        <v>3216</v>
      </c>
      <c r="D96" s="48" t="s">
        <v>3228</v>
      </c>
      <c r="E96" s="48"/>
      <c r="F96" s="48" t="s">
        <v>3229</v>
      </c>
      <c r="G96" s="48">
        <v>4</v>
      </c>
      <c r="H96" s="184">
        <v>13.06</v>
      </c>
      <c r="I96" s="184">
        <f>Table3[[#This Row],[Unit Price]]*Table3[[#This Row],[QTY]]</f>
        <v>52.24</v>
      </c>
      <c r="J96" s="48" t="s">
        <v>3107</v>
      </c>
      <c r="K96" s="48" t="s">
        <v>89</v>
      </c>
      <c r="L96" s="48" t="s">
        <v>3223</v>
      </c>
      <c r="M96" s="49">
        <v>45727</v>
      </c>
      <c r="N96" s="174">
        <v>45756</v>
      </c>
      <c r="O96" s="54">
        <v>108497</v>
      </c>
      <c r="P96" s="51" t="s">
        <v>3224</v>
      </c>
      <c r="Q96" s="57">
        <v>45777</v>
      </c>
      <c r="R96" s="52" t="s">
        <v>2990</v>
      </c>
    </row>
    <row r="97" spans="1:18" s="52" customFormat="1" hidden="1">
      <c r="A97" s="178" t="s">
        <v>3215</v>
      </c>
      <c r="B97" s="49">
        <v>45712</v>
      </c>
      <c r="C97" s="177" t="s">
        <v>3216</v>
      </c>
      <c r="D97" s="48" t="s">
        <v>3230</v>
      </c>
      <c r="E97" s="48"/>
      <c r="F97" s="48" t="s">
        <v>3231</v>
      </c>
      <c r="G97" s="48">
        <v>2</v>
      </c>
      <c r="H97" s="184">
        <v>35.93</v>
      </c>
      <c r="I97" s="184">
        <f>Table3[[#This Row],[Unit Price]]*Table3[[#This Row],[QTY]]</f>
        <v>71.86</v>
      </c>
      <c r="J97" s="48" t="s">
        <v>3107</v>
      </c>
      <c r="K97" s="48" t="s">
        <v>89</v>
      </c>
      <c r="L97" s="48" t="s">
        <v>3223</v>
      </c>
      <c r="M97" s="49">
        <v>45727</v>
      </c>
      <c r="N97" s="174">
        <v>45756</v>
      </c>
      <c r="O97" s="54">
        <v>108497</v>
      </c>
      <c r="P97" s="51" t="s">
        <v>3224</v>
      </c>
      <c r="Q97" s="57">
        <v>45777</v>
      </c>
      <c r="R97" s="52" t="s">
        <v>2990</v>
      </c>
    </row>
    <row r="98" spans="1:18" hidden="1">
      <c r="A98" s="31" t="s">
        <v>3232</v>
      </c>
      <c r="B98" s="7">
        <v>45712</v>
      </c>
      <c r="C98" s="6" t="s">
        <v>381</v>
      </c>
      <c r="D98" s="6" t="s">
        <v>1331</v>
      </c>
      <c r="E98" s="6"/>
      <c r="F98" s="6" t="s">
        <v>3233</v>
      </c>
      <c r="G98" s="6">
        <v>1</v>
      </c>
      <c r="H98" s="184">
        <v>886.36</v>
      </c>
      <c r="I98" s="184">
        <f>Table3[[#This Row],[Unit Price]]*Table3[[#This Row],[QTY]]</f>
        <v>886.36</v>
      </c>
      <c r="J98" s="6" t="s">
        <v>69</v>
      </c>
      <c r="K98" s="6" t="s">
        <v>58</v>
      </c>
      <c r="L98" s="6"/>
      <c r="M98" s="7">
        <v>45719</v>
      </c>
      <c r="N98" s="176">
        <v>45742</v>
      </c>
    </row>
    <row r="99" spans="1:18" hidden="1">
      <c r="A99" s="34" t="s">
        <v>3234</v>
      </c>
      <c r="B99" s="35">
        <v>45715</v>
      </c>
      <c r="C99" s="36" t="s">
        <v>2132</v>
      </c>
      <c r="D99" s="36" t="s">
        <v>629</v>
      </c>
      <c r="E99" s="36"/>
      <c r="F99" s="36" t="s">
        <v>3235</v>
      </c>
      <c r="G99" s="36">
        <v>1</v>
      </c>
      <c r="H99" s="185">
        <v>631.67999999999995</v>
      </c>
      <c r="I99" s="185">
        <f>Table3[[#This Row],[Unit Price]]*Table3[[#This Row],[QTY]]</f>
        <v>631.67999999999995</v>
      </c>
      <c r="J99" s="36" t="s">
        <v>3107</v>
      </c>
      <c r="K99" s="6" t="s">
        <v>58</v>
      </c>
      <c r="L99" s="36"/>
      <c r="M99" s="7">
        <v>45722</v>
      </c>
      <c r="N99" s="174">
        <v>45756</v>
      </c>
    </row>
    <row r="100" spans="1:18" s="52" customFormat="1" hidden="1">
      <c r="A100" s="58" t="s">
        <v>3234</v>
      </c>
      <c r="B100" s="59">
        <v>45715</v>
      </c>
      <c r="C100" s="187" t="s">
        <v>2132</v>
      </c>
      <c r="D100" s="48" t="s">
        <v>158</v>
      </c>
      <c r="E100" s="48" t="s">
        <v>222</v>
      </c>
      <c r="F100" s="48" t="s">
        <v>3236</v>
      </c>
      <c r="G100" s="48">
        <v>1</v>
      </c>
      <c r="H100" s="184">
        <v>898.2</v>
      </c>
      <c r="I100" s="184">
        <f>Table3[[#This Row],[Unit Price]]*Table3[[#This Row],[QTY]]</f>
        <v>898.2</v>
      </c>
      <c r="J100" s="48" t="s">
        <v>3219</v>
      </c>
      <c r="K100" s="48" t="s">
        <v>89</v>
      </c>
      <c r="L100" s="48"/>
      <c r="M100" s="49">
        <v>45757</v>
      </c>
      <c r="N100" s="176">
        <v>45796</v>
      </c>
      <c r="O100" s="54"/>
      <c r="P100" s="51"/>
      <c r="Q100" s="57"/>
    </row>
    <row r="101" spans="1:18" hidden="1">
      <c r="A101" s="34" t="s">
        <v>3234</v>
      </c>
      <c r="B101" s="35">
        <v>45715</v>
      </c>
      <c r="C101" s="36" t="s">
        <v>2132</v>
      </c>
      <c r="D101" s="6" t="s">
        <v>484</v>
      </c>
      <c r="E101" s="6"/>
      <c r="F101" s="6" t="s">
        <v>485</v>
      </c>
      <c r="G101" s="6">
        <v>1</v>
      </c>
      <c r="H101" s="184">
        <v>125.99</v>
      </c>
      <c r="I101" s="184">
        <f>Table3[[#This Row],[Unit Price]]*Table3[[#This Row],[QTY]]</f>
        <v>125.99</v>
      </c>
      <c r="J101" s="6" t="s">
        <v>3107</v>
      </c>
      <c r="K101" s="6" t="s">
        <v>58</v>
      </c>
      <c r="L101" s="6"/>
      <c r="M101" s="7">
        <v>45722</v>
      </c>
      <c r="N101" s="174">
        <v>45756</v>
      </c>
    </row>
    <row r="102" spans="1:18" s="52" customFormat="1" hidden="1">
      <c r="A102" s="179" t="s">
        <v>3234</v>
      </c>
      <c r="B102" s="59">
        <v>45715</v>
      </c>
      <c r="C102" s="188" t="s">
        <v>2132</v>
      </c>
      <c r="D102" s="48" t="s">
        <v>3237</v>
      </c>
      <c r="E102" s="48"/>
      <c r="F102" s="48" t="s">
        <v>3238</v>
      </c>
      <c r="G102" s="48">
        <v>5</v>
      </c>
      <c r="H102" s="184">
        <v>139.13999999999999</v>
      </c>
      <c r="I102" s="184">
        <f>Table3[[#This Row],[Unit Price]]*Table3[[#This Row],[QTY]]</f>
        <v>695.69999999999993</v>
      </c>
      <c r="J102" s="48" t="s">
        <v>3239</v>
      </c>
      <c r="K102" s="48" t="s">
        <v>89</v>
      </c>
      <c r="L102" s="48" t="s">
        <v>3240</v>
      </c>
      <c r="M102" s="49">
        <v>45750</v>
      </c>
      <c r="N102" s="176">
        <v>45796</v>
      </c>
      <c r="O102" s="54">
        <v>108416</v>
      </c>
      <c r="P102" s="51" t="s">
        <v>3241</v>
      </c>
      <c r="Q102" s="57">
        <v>45783</v>
      </c>
      <c r="R102" s="52" t="s">
        <v>2990</v>
      </c>
    </row>
    <row r="103" spans="1:18" s="52" customFormat="1" hidden="1">
      <c r="A103" s="179" t="s">
        <v>3234</v>
      </c>
      <c r="B103" s="59">
        <v>45715</v>
      </c>
      <c r="C103" s="188" t="s">
        <v>2132</v>
      </c>
      <c r="D103" s="48" t="s">
        <v>464</v>
      </c>
      <c r="E103" s="48"/>
      <c r="F103" s="48" t="s">
        <v>3242</v>
      </c>
      <c r="G103" s="48">
        <v>1</v>
      </c>
      <c r="H103" s="184">
        <v>359.28</v>
      </c>
      <c r="I103" s="184">
        <f>Table3[[#This Row],[Unit Price]]*Table3[[#This Row],[QTY]]</f>
        <v>359.28</v>
      </c>
      <c r="J103" s="48" t="s">
        <v>3107</v>
      </c>
      <c r="K103" s="48" t="s">
        <v>89</v>
      </c>
      <c r="L103" s="48" t="s">
        <v>3240</v>
      </c>
      <c r="M103" s="49">
        <v>45722</v>
      </c>
      <c r="N103" s="174">
        <v>45756</v>
      </c>
      <c r="O103" s="54">
        <v>108416</v>
      </c>
      <c r="P103" s="51" t="s">
        <v>3241</v>
      </c>
      <c r="Q103" s="57">
        <v>45783</v>
      </c>
      <c r="R103" s="52" t="s">
        <v>2990</v>
      </c>
    </row>
    <row r="104" spans="1:18" s="52" customFormat="1" hidden="1">
      <c r="A104" s="178" t="s">
        <v>3243</v>
      </c>
      <c r="B104" s="59">
        <v>45716</v>
      </c>
      <c r="C104" s="177" t="s">
        <v>3145</v>
      </c>
      <c r="D104" s="48" t="s">
        <v>3244</v>
      </c>
      <c r="E104" s="48"/>
      <c r="F104" s="48" t="s">
        <v>3245</v>
      </c>
      <c r="G104" s="48">
        <v>1</v>
      </c>
      <c r="H104" s="184">
        <v>124.39</v>
      </c>
      <c r="I104" s="184">
        <f>Table3[[#This Row],[Unit Price]]*Table3[[#This Row],[QTY]]</f>
        <v>124.39</v>
      </c>
      <c r="J104" s="48" t="s">
        <v>3107</v>
      </c>
      <c r="K104" s="48" t="s">
        <v>89</v>
      </c>
      <c r="L104" s="48"/>
      <c r="M104" s="49">
        <v>45734</v>
      </c>
      <c r="N104" s="174">
        <v>45756</v>
      </c>
      <c r="O104" s="54">
        <v>108593</v>
      </c>
      <c r="P104" s="53">
        <v>71480</v>
      </c>
      <c r="Q104" s="57">
        <v>45783</v>
      </c>
      <c r="R104" s="52" t="s">
        <v>2990</v>
      </c>
    </row>
    <row r="105" spans="1:18" hidden="1">
      <c r="A105" s="31" t="s">
        <v>3246</v>
      </c>
      <c r="B105" s="7">
        <v>45726</v>
      </c>
      <c r="C105" s="6" t="s">
        <v>381</v>
      </c>
      <c r="D105" s="6" t="s">
        <v>130</v>
      </c>
      <c r="E105" s="6"/>
      <c r="F105" s="6" t="s">
        <v>3003</v>
      </c>
      <c r="G105" s="6">
        <v>10</v>
      </c>
      <c r="H105" s="184">
        <v>17.28</v>
      </c>
      <c r="I105" s="184">
        <f>Table3[[#This Row],[Unit Price]]*Table3[[#This Row],[QTY]]</f>
        <v>172.8</v>
      </c>
      <c r="J105" s="6" t="s">
        <v>3107</v>
      </c>
      <c r="K105" s="6" t="s">
        <v>58</v>
      </c>
      <c r="L105" s="6"/>
      <c r="M105" s="7">
        <v>45734</v>
      </c>
      <c r="N105" s="174">
        <v>45756</v>
      </c>
    </row>
    <row r="106" spans="1:18" hidden="1">
      <c r="A106" s="31" t="s">
        <v>3247</v>
      </c>
      <c r="B106" s="7">
        <v>45726</v>
      </c>
      <c r="C106" s="6" t="s">
        <v>381</v>
      </c>
      <c r="D106" s="6" t="s">
        <v>766</v>
      </c>
      <c r="E106" s="6" t="s">
        <v>768</v>
      </c>
      <c r="F106" s="6" t="s">
        <v>3117</v>
      </c>
      <c r="G106" s="6">
        <v>2</v>
      </c>
      <c r="H106" s="184">
        <v>232.03</v>
      </c>
      <c r="I106" s="184">
        <f>Table3[[#This Row],[Unit Price]]*Table3[[#This Row],[QTY]]</f>
        <v>464.06</v>
      </c>
      <c r="J106" s="6" t="s">
        <v>3239</v>
      </c>
      <c r="K106" s="6" t="s">
        <v>58</v>
      </c>
      <c r="L106" s="6"/>
      <c r="M106" s="7">
        <v>45750</v>
      </c>
      <c r="N106" s="176">
        <v>45796</v>
      </c>
      <c r="P106" s="60"/>
    </row>
    <row r="107" spans="1:18" hidden="1">
      <c r="A107" s="31" t="s">
        <v>3248</v>
      </c>
      <c r="B107" s="7">
        <v>45726</v>
      </c>
      <c r="C107" s="6" t="s">
        <v>381</v>
      </c>
      <c r="D107" s="6" t="s">
        <v>335</v>
      </c>
      <c r="E107" s="6"/>
      <c r="F107" s="6" t="s">
        <v>2569</v>
      </c>
      <c r="G107" s="6">
        <v>1</v>
      </c>
      <c r="H107" s="184">
        <v>79.989999999999995</v>
      </c>
      <c r="I107" s="184">
        <f>Table3[[#This Row],[Unit Price]]*Table3[[#This Row],[QTY]]</f>
        <v>79.989999999999995</v>
      </c>
      <c r="J107" s="6" t="s">
        <v>3107</v>
      </c>
      <c r="K107" s="6" t="s">
        <v>58</v>
      </c>
      <c r="L107" s="6"/>
      <c r="M107" s="7">
        <v>45734</v>
      </c>
      <c r="N107" s="174">
        <v>45756</v>
      </c>
    </row>
    <row r="108" spans="1:18" hidden="1">
      <c r="A108" s="31" t="s">
        <v>3249</v>
      </c>
      <c r="B108" s="7">
        <v>45726</v>
      </c>
      <c r="C108" s="6" t="s">
        <v>381</v>
      </c>
      <c r="D108" s="6" t="s">
        <v>3250</v>
      </c>
      <c r="E108" s="6"/>
      <c r="F108" s="6" t="s">
        <v>1057</v>
      </c>
      <c r="G108" s="6">
        <v>1</v>
      </c>
      <c r="H108" s="184">
        <v>635.59</v>
      </c>
      <c r="I108" s="184">
        <f>Table3[[#This Row],[Unit Price]]*Table3[[#This Row],[QTY]]</f>
        <v>635.59</v>
      </c>
      <c r="J108" s="6" t="s">
        <v>3107</v>
      </c>
      <c r="K108" s="6" t="s">
        <v>58</v>
      </c>
      <c r="L108" s="6"/>
      <c r="M108" s="7">
        <v>45734</v>
      </c>
      <c r="N108" s="174">
        <v>45756</v>
      </c>
    </row>
    <row r="109" spans="1:18" hidden="1">
      <c r="A109" s="31" t="s">
        <v>3251</v>
      </c>
      <c r="B109" s="7">
        <v>45728</v>
      </c>
      <c r="C109" s="6" t="s">
        <v>3002</v>
      </c>
      <c r="D109" s="6" t="s">
        <v>3252</v>
      </c>
      <c r="E109" s="6"/>
      <c r="F109" s="6" t="s">
        <v>3253</v>
      </c>
      <c r="G109" s="6">
        <v>2</v>
      </c>
      <c r="H109" s="184">
        <v>173.11</v>
      </c>
      <c r="I109" s="184">
        <f>Table3[[#This Row],[Unit Price]]*Table3[[#This Row],[QTY]]</f>
        <v>346.22</v>
      </c>
      <c r="J109" s="6" t="s">
        <v>3107</v>
      </c>
      <c r="K109" s="6"/>
      <c r="L109" s="6"/>
      <c r="M109" s="7">
        <v>45734</v>
      </c>
      <c r="N109" s="174">
        <v>45756</v>
      </c>
    </row>
    <row r="110" spans="1:18" hidden="1">
      <c r="A110" s="31" t="s">
        <v>3254</v>
      </c>
      <c r="B110" s="7">
        <v>45728</v>
      </c>
      <c r="C110" s="6" t="s">
        <v>381</v>
      </c>
      <c r="D110" s="6" t="s">
        <v>3255</v>
      </c>
      <c r="E110" s="6"/>
      <c r="F110" s="6" t="s">
        <v>2148</v>
      </c>
      <c r="G110" s="6">
        <v>2</v>
      </c>
      <c r="H110" s="184">
        <v>502.4</v>
      </c>
      <c r="I110" s="184">
        <f>Table3[[#This Row],[Unit Price]]*Table3[[#This Row],[QTY]]</f>
        <v>1004.8</v>
      </c>
      <c r="J110" s="6" t="s">
        <v>3107</v>
      </c>
      <c r="K110" s="6" t="s">
        <v>58</v>
      </c>
      <c r="L110" s="6"/>
      <c r="M110" s="7">
        <v>45734</v>
      </c>
      <c r="N110" s="174">
        <v>45756</v>
      </c>
    </row>
    <row r="111" spans="1:18" hidden="1">
      <c r="A111" s="180" t="s">
        <v>3256</v>
      </c>
      <c r="B111" s="7">
        <v>45729</v>
      </c>
      <c r="C111" s="189" t="s">
        <v>3257</v>
      </c>
      <c r="D111" s="6" t="s">
        <v>3258</v>
      </c>
      <c r="E111" s="6"/>
      <c r="F111" s="6" t="s">
        <v>3259</v>
      </c>
      <c r="G111" s="6">
        <v>1</v>
      </c>
      <c r="H111" s="184">
        <v>106.9</v>
      </c>
      <c r="I111" s="184">
        <f>Table3[[#This Row],[Unit Price]]*Table3[[#This Row],[QTY]]</f>
        <v>106.9</v>
      </c>
      <c r="J111" s="6" t="s">
        <v>3121</v>
      </c>
      <c r="K111" s="6" t="s">
        <v>89</v>
      </c>
      <c r="L111" s="6"/>
      <c r="M111" s="7">
        <v>45804</v>
      </c>
      <c r="N111" s="174">
        <v>45838</v>
      </c>
      <c r="O111" s="4">
        <v>108673</v>
      </c>
      <c r="P111" s="4">
        <v>73145</v>
      </c>
      <c r="Q111" s="171">
        <v>45852</v>
      </c>
      <c r="R111" s="1" t="s">
        <v>2990</v>
      </c>
    </row>
    <row r="112" spans="1:18" hidden="1">
      <c r="A112" s="31" t="s">
        <v>3260</v>
      </c>
      <c r="B112" s="7">
        <v>45730</v>
      </c>
      <c r="C112" s="6" t="s">
        <v>793</v>
      </c>
      <c r="D112" s="6" t="s">
        <v>3261</v>
      </c>
      <c r="E112" s="6"/>
      <c r="F112" s="6" t="s">
        <v>3262</v>
      </c>
      <c r="G112" s="6">
        <v>1</v>
      </c>
      <c r="H112" s="184">
        <v>284.97000000000003</v>
      </c>
      <c r="I112" s="184">
        <f>Table3[[#This Row],[Unit Price]]*Table3[[#This Row],[QTY]]</f>
        <v>284.97000000000003</v>
      </c>
      <c r="J112" s="6" t="s">
        <v>3107</v>
      </c>
      <c r="K112" s="6"/>
      <c r="L112" s="6"/>
      <c r="M112" s="7">
        <v>45734</v>
      </c>
      <c r="N112" s="174">
        <v>45756</v>
      </c>
    </row>
    <row r="113" spans="1:18" hidden="1">
      <c r="A113" s="180" t="s">
        <v>3263</v>
      </c>
      <c r="B113" s="7">
        <v>45730</v>
      </c>
      <c r="C113" s="189" t="s">
        <v>3264</v>
      </c>
      <c r="D113" s="6" t="s">
        <v>3265</v>
      </c>
      <c r="E113" s="6"/>
      <c r="F113" s="6" t="s">
        <v>3266</v>
      </c>
      <c r="G113" s="6">
        <v>1</v>
      </c>
      <c r="H113" s="184">
        <v>375.61</v>
      </c>
      <c r="I113" s="184">
        <f>Table3[[#This Row],[Unit Price]]*Table3[[#This Row],[QTY]]</f>
        <v>375.61</v>
      </c>
      <c r="J113" s="6" t="s">
        <v>3121</v>
      </c>
      <c r="K113" s="6" t="s">
        <v>89</v>
      </c>
      <c r="L113" s="6"/>
      <c r="M113" s="7">
        <v>45804</v>
      </c>
      <c r="N113" s="174">
        <v>45838</v>
      </c>
      <c r="O113" s="4">
        <v>108634</v>
      </c>
      <c r="P113" s="4">
        <v>73150</v>
      </c>
      <c r="Q113" s="171">
        <v>45852</v>
      </c>
      <c r="R113" s="1" t="s">
        <v>2990</v>
      </c>
    </row>
    <row r="114" spans="1:18" hidden="1">
      <c r="A114" s="31" t="s">
        <v>3267</v>
      </c>
      <c r="B114" s="7">
        <v>45733</v>
      </c>
      <c r="C114" s="6" t="s">
        <v>515</v>
      </c>
      <c r="D114" s="6" t="s">
        <v>3268</v>
      </c>
      <c r="E114" s="6"/>
      <c r="F114" s="6" t="s">
        <v>3269</v>
      </c>
      <c r="G114" s="6">
        <v>1</v>
      </c>
      <c r="H114" s="184">
        <v>1572.67</v>
      </c>
      <c r="I114" s="184">
        <f>Table3[[#This Row],[Unit Price]]*Table3[[#This Row],[QTY]]</f>
        <v>1572.67</v>
      </c>
      <c r="J114" s="6" t="s">
        <v>3219</v>
      </c>
      <c r="K114" s="6"/>
      <c r="L114" s="6"/>
      <c r="M114" s="49">
        <v>45749</v>
      </c>
      <c r="N114" s="176">
        <v>45796</v>
      </c>
      <c r="P114" s="60" t="s">
        <v>3270</v>
      </c>
      <c r="Q114" s="171">
        <v>45796</v>
      </c>
    </row>
    <row r="115" spans="1:18" hidden="1">
      <c r="A115" s="31" t="s">
        <v>3271</v>
      </c>
      <c r="B115" s="7">
        <v>45740</v>
      </c>
      <c r="C115" s="6" t="s">
        <v>1339</v>
      </c>
      <c r="D115" s="6" t="s">
        <v>3272</v>
      </c>
      <c r="E115" s="6"/>
      <c r="F115" s="6" t="s">
        <v>3273</v>
      </c>
      <c r="G115" s="6">
        <v>1</v>
      </c>
      <c r="H115" s="184">
        <v>816.55</v>
      </c>
      <c r="I115" s="184">
        <f>Table3[[#This Row],[Unit Price]]*Table3[[#This Row],[QTY]]</f>
        <v>816.55</v>
      </c>
      <c r="J115" s="6" t="s">
        <v>3219</v>
      </c>
      <c r="K115" s="6" t="s">
        <v>58</v>
      </c>
      <c r="L115" s="6" t="s">
        <v>3274</v>
      </c>
      <c r="M115" s="7">
        <v>45750</v>
      </c>
      <c r="N115" s="176">
        <v>45796</v>
      </c>
      <c r="P115" s="60"/>
    </row>
    <row r="116" spans="1:18" hidden="1">
      <c r="A116" s="180" t="s">
        <v>3275</v>
      </c>
      <c r="B116" s="7">
        <v>45741</v>
      </c>
      <c r="C116" s="189" t="s">
        <v>3276</v>
      </c>
      <c r="D116" s="6" t="s">
        <v>642</v>
      </c>
      <c r="E116" s="6"/>
      <c r="F116" s="6" t="s">
        <v>3277</v>
      </c>
      <c r="G116" s="6">
        <v>4</v>
      </c>
      <c r="H116" s="184">
        <v>455.63</v>
      </c>
      <c r="I116" s="184">
        <f>Table3[[#This Row],[Unit Price]]*Table3[[#This Row],[QTY]]</f>
        <v>1822.52</v>
      </c>
      <c r="J116" s="6" t="s">
        <v>3219</v>
      </c>
      <c r="K116" s="6" t="s">
        <v>89</v>
      </c>
      <c r="L116" s="6"/>
      <c r="M116" s="7">
        <v>45750</v>
      </c>
      <c r="N116" s="176">
        <v>45796</v>
      </c>
      <c r="O116" s="4">
        <v>108385</v>
      </c>
      <c r="P116" s="60" t="s">
        <v>3220</v>
      </c>
      <c r="Q116" s="171">
        <v>45796</v>
      </c>
      <c r="R116" s="52" t="s">
        <v>2990</v>
      </c>
    </row>
    <row r="117" spans="1:18" hidden="1">
      <c r="A117" s="180" t="s">
        <v>3278</v>
      </c>
      <c r="B117" s="7">
        <v>45755</v>
      </c>
      <c r="C117" s="189" t="s">
        <v>3279</v>
      </c>
      <c r="D117" s="6" t="s">
        <v>130</v>
      </c>
      <c r="E117" s="6"/>
      <c r="F117" s="6" t="s">
        <v>3003</v>
      </c>
      <c r="G117" s="6">
        <v>2</v>
      </c>
      <c r="H117" s="184">
        <v>17.28</v>
      </c>
      <c r="I117" s="184">
        <f>Table3[[#This Row],[Unit Price]]*Table3[[#This Row],[QTY]]</f>
        <v>34.56</v>
      </c>
      <c r="J117" s="6" t="s">
        <v>3219</v>
      </c>
      <c r="K117" s="6" t="s">
        <v>89</v>
      </c>
      <c r="L117" s="6"/>
      <c r="M117" s="49">
        <v>45749</v>
      </c>
      <c r="N117" s="176">
        <v>45796</v>
      </c>
      <c r="O117" s="4">
        <v>108640</v>
      </c>
      <c r="P117" s="60" t="s">
        <v>3280</v>
      </c>
      <c r="Q117" s="171">
        <v>45796</v>
      </c>
      <c r="R117" s="52" t="s">
        <v>2990</v>
      </c>
    </row>
    <row r="118" spans="1:18" hidden="1">
      <c r="A118" s="180" t="s">
        <v>3278</v>
      </c>
      <c r="B118" s="7">
        <v>45755</v>
      </c>
      <c r="C118" s="189" t="s">
        <v>3279</v>
      </c>
      <c r="D118" s="6" t="s">
        <v>736</v>
      </c>
      <c r="E118" s="6"/>
      <c r="F118" s="6" t="s">
        <v>3281</v>
      </c>
      <c r="G118" s="6">
        <v>1</v>
      </c>
      <c r="H118" s="184">
        <v>180.46</v>
      </c>
      <c r="I118" s="184">
        <f>Table3[[#This Row],[Unit Price]]*Table3[[#This Row],[QTY]]</f>
        <v>180.46</v>
      </c>
      <c r="J118" s="6" t="s">
        <v>3219</v>
      </c>
      <c r="K118" s="6" t="s">
        <v>89</v>
      </c>
      <c r="L118" s="6"/>
      <c r="M118" s="49">
        <v>45749</v>
      </c>
      <c r="N118" s="176">
        <v>45796</v>
      </c>
      <c r="O118" s="4">
        <v>108640</v>
      </c>
      <c r="P118" s="60" t="s">
        <v>3280</v>
      </c>
      <c r="Q118" s="171">
        <v>45796</v>
      </c>
      <c r="R118" s="52" t="s">
        <v>2990</v>
      </c>
    </row>
    <row r="119" spans="1:18" hidden="1">
      <c r="A119" s="31" t="s">
        <v>3282</v>
      </c>
      <c r="B119" s="7">
        <v>45758</v>
      </c>
      <c r="C119" s="6" t="s">
        <v>381</v>
      </c>
      <c r="D119" s="6" t="s">
        <v>3283</v>
      </c>
      <c r="E119" s="6"/>
      <c r="F119" s="6" t="s">
        <v>3284</v>
      </c>
      <c r="G119" s="6">
        <v>6</v>
      </c>
      <c r="H119" s="184">
        <v>89.82</v>
      </c>
      <c r="I119" s="184">
        <f>Table3[[#This Row],[Unit Price]]*Table3[[#This Row],[QTY]]</f>
        <v>538.91999999999996</v>
      </c>
      <c r="J119" s="6" t="s">
        <v>3285</v>
      </c>
      <c r="K119" s="6" t="s">
        <v>58</v>
      </c>
      <c r="L119" s="6"/>
      <c r="M119" s="7">
        <v>45792</v>
      </c>
      <c r="N119" s="174">
        <v>45897</v>
      </c>
      <c r="P119" s="60"/>
    </row>
    <row r="120" spans="1:18" hidden="1">
      <c r="A120" s="31" t="s">
        <v>3286</v>
      </c>
      <c r="B120" s="7">
        <v>45758</v>
      </c>
      <c r="C120" s="6" t="s">
        <v>3287</v>
      </c>
      <c r="D120" s="6" t="s">
        <v>3288</v>
      </c>
      <c r="E120" s="6"/>
      <c r="F120" s="6" t="s">
        <v>3289</v>
      </c>
      <c r="G120" s="6">
        <v>2</v>
      </c>
      <c r="H120" s="184">
        <v>558.78</v>
      </c>
      <c r="I120" s="184">
        <f>Table3[[#This Row],[Unit Price]]*Table3[[#This Row],[QTY]]</f>
        <v>1117.56</v>
      </c>
      <c r="J120" s="6" t="s">
        <v>3121</v>
      </c>
      <c r="K120" s="6" t="s">
        <v>58</v>
      </c>
      <c r="L120" s="6"/>
      <c r="M120" s="7">
        <v>45792</v>
      </c>
      <c r="N120" s="174">
        <v>45838</v>
      </c>
    </row>
    <row r="121" spans="1:18" hidden="1">
      <c r="A121" s="31" t="s">
        <v>3290</v>
      </c>
      <c r="B121" s="7">
        <v>45761</v>
      </c>
      <c r="C121" s="6" t="s">
        <v>3291</v>
      </c>
      <c r="D121" s="6" t="s">
        <v>3292</v>
      </c>
      <c r="E121" s="6"/>
      <c r="F121" s="6" t="s">
        <v>3293</v>
      </c>
      <c r="G121" s="6">
        <v>1</v>
      </c>
      <c r="H121" s="184">
        <v>600.98</v>
      </c>
      <c r="I121" s="184">
        <f>Table3[[#This Row],[Unit Price]]*Table3[[#This Row],[QTY]]</f>
        <v>600.98</v>
      </c>
      <c r="J121" s="6" t="s">
        <v>3219</v>
      </c>
      <c r="K121" s="6" t="s">
        <v>58</v>
      </c>
      <c r="L121" s="6" t="s">
        <v>3274</v>
      </c>
      <c r="M121" s="49">
        <v>45749</v>
      </c>
      <c r="N121" s="176">
        <v>45796</v>
      </c>
      <c r="P121" s="60"/>
    </row>
    <row r="122" spans="1:18" hidden="1">
      <c r="A122" s="31" t="s">
        <v>3294</v>
      </c>
      <c r="B122" s="7">
        <v>45761</v>
      </c>
      <c r="C122" s="6" t="s">
        <v>3123</v>
      </c>
      <c r="D122" s="6" t="s">
        <v>3295</v>
      </c>
      <c r="E122" s="6"/>
      <c r="F122" s="6" t="s">
        <v>3296</v>
      </c>
      <c r="G122" s="6">
        <v>1</v>
      </c>
      <c r="H122" s="184">
        <v>67.64</v>
      </c>
      <c r="I122" s="184">
        <f>Table3[[#This Row],[Unit Price]]*Table3[[#This Row],[QTY]]</f>
        <v>67.64</v>
      </c>
      <c r="J122" s="6" t="s">
        <v>3219</v>
      </c>
      <c r="K122" s="6" t="s">
        <v>58</v>
      </c>
      <c r="L122" s="6" t="s">
        <v>3274</v>
      </c>
      <c r="M122" s="49">
        <v>45749</v>
      </c>
      <c r="N122" s="176">
        <v>45796</v>
      </c>
      <c r="P122" s="60"/>
    </row>
    <row r="123" spans="1:18" hidden="1">
      <c r="A123" s="31" t="s">
        <v>3297</v>
      </c>
      <c r="B123" s="7">
        <v>45762</v>
      </c>
      <c r="C123" s="6" t="s">
        <v>381</v>
      </c>
      <c r="D123" s="6" t="s">
        <v>3298</v>
      </c>
      <c r="E123" s="6"/>
      <c r="F123" s="6" t="s">
        <v>3299</v>
      </c>
      <c r="G123" s="6">
        <v>1</v>
      </c>
      <c r="H123" s="184">
        <v>1262.3800000000001</v>
      </c>
      <c r="I123" s="184">
        <f>Table3[[#This Row],[Unit Price]]*Table3[[#This Row],[QTY]]</f>
        <v>1262.3800000000001</v>
      </c>
      <c r="J123" s="6" t="s">
        <v>3219</v>
      </c>
      <c r="K123" s="6" t="s">
        <v>58</v>
      </c>
      <c r="L123" s="6" t="s">
        <v>3274</v>
      </c>
      <c r="M123" s="49">
        <v>45749</v>
      </c>
      <c r="N123" s="176">
        <v>45796</v>
      </c>
      <c r="P123" s="60"/>
    </row>
    <row r="124" spans="1:18">
      <c r="A124" s="31" t="s">
        <v>3300</v>
      </c>
      <c r="B124" s="7">
        <v>45762</v>
      </c>
      <c r="C124" s="6" t="s">
        <v>2437</v>
      </c>
      <c r="D124" s="6" t="s">
        <v>3301</v>
      </c>
      <c r="E124" s="6"/>
      <c r="F124" s="6" t="s">
        <v>3302</v>
      </c>
      <c r="G124" s="6">
        <v>1</v>
      </c>
      <c r="H124" s="184">
        <v>611.42999999999995</v>
      </c>
      <c r="I124" s="184">
        <f>Table3[[#This Row],[Unit Price]]*Table3[[#This Row],[QTY]]</f>
        <v>611.42999999999995</v>
      </c>
      <c r="J124" s="6" t="s">
        <v>3219</v>
      </c>
      <c r="K124" s="6"/>
      <c r="L124" s="6"/>
      <c r="M124" s="49">
        <v>45749</v>
      </c>
      <c r="N124" s="176">
        <v>45796</v>
      </c>
      <c r="P124" s="60"/>
    </row>
    <row r="125" spans="1:18" hidden="1">
      <c r="A125" s="31" t="s">
        <v>3303</v>
      </c>
      <c r="B125" s="7">
        <v>45764</v>
      </c>
      <c r="C125" s="6" t="s">
        <v>3304</v>
      </c>
      <c r="D125" s="6" t="s">
        <v>3305</v>
      </c>
      <c r="E125" s="6"/>
      <c r="F125" s="6" t="s">
        <v>3306</v>
      </c>
      <c r="G125" s="6">
        <v>1</v>
      </c>
      <c r="H125" s="184">
        <v>118.04</v>
      </c>
      <c r="I125" s="184">
        <f>Table3[[#This Row],[Unit Price]]*Table3[[#This Row],[QTY]]</f>
        <v>118.04</v>
      </c>
      <c r="J125" s="6" t="s">
        <v>3219</v>
      </c>
      <c r="K125" s="6" t="s">
        <v>58</v>
      </c>
      <c r="L125" s="6" t="s">
        <v>3307</v>
      </c>
      <c r="M125" s="7">
        <v>45764</v>
      </c>
      <c r="N125" s="176">
        <v>45796</v>
      </c>
      <c r="O125" s="4">
        <v>108998</v>
      </c>
      <c r="P125" s="60"/>
    </row>
    <row r="126" spans="1:18" hidden="1">
      <c r="A126" s="31" t="s">
        <v>3303</v>
      </c>
      <c r="B126" s="7">
        <v>45764</v>
      </c>
      <c r="C126" s="6" t="s">
        <v>3304</v>
      </c>
      <c r="D126" s="6" t="s">
        <v>3308</v>
      </c>
      <c r="E126" s="6"/>
      <c r="F126" s="6" t="s">
        <v>3309</v>
      </c>
      <c r="G126" s="6">
        <v>1</v>
      </c>
      <c r="H126" s="184">
        <v>36.270000000000003</v>
      </c>
      <c r="I126" s="184">
        <f>Table3[[#This Row],[Unit Price]]*Table3[[#This Row],[QTY]]</f>
        <v>36.270000000000003</v>
      </c>
      <c r="J126" s="6" t="s">
        <v>3219</v>
      </c>
      <c r="K126" s="6" t="s">
        <v>58</v>
      </c>
      <c r="L126" s="6" t="s">
        <v>3307</v>
      </c>
      <c r="M126" s="7">
        <v>45764</v>
      </c>
      <c r="N126" s="176">
        <v>45796</v>
      </c>
      <c r="O126" s="4">
        <v>108998</v>
      </c>
      <c r="P126" s="60"/>
    </row>
    <row r="127" spans="1:18" hidden="1">
      <c r="A127" s="31" t="s">
        <v>3310</v>
      </c>
      <c r="B127" s="7">
        <v>45764</v>
      </c>
      <c r="C127" s="6" t="s">
        <v>3311</v>
      </c>
      <c r="D127" s="6" t="s">
        <v>3312</v>
      </c>
      <c r="E127" s="6"/>
      <c r="F127" s="6" t="s">
        <v>3313</v>
      </c>
      <c r="G127" s="6">
        <v>1</v>
      </c>
      <c r="H127" s="184">
        <v>147.61000000000001</v>
      </c>
      <c r="I127" s="184">
        <f>Table3[[#This Row],[Unit Price]]*Table3[[#This Row],[QTY]]</f>
        <v>147.61000000000001</v>
      </c>
      <c r="J127" s="6" t="s">
        <v>3121</v>
      </c>
      <c r="K127" s="6"/>
      <c r="L127" s="6"/>
      <c r="M127" s="7">
        <v>45820</v>
      </c>
      <c r="N127" s="174">
        <v>45838</v>
      </c>
    </row>
    <row r="128" spans="1:18" hidden="1">
      <c r="A128" s="31" t="s">
        <v>3310</v>
      </c>
      <c r="B128" s="7">
        <v>45764</v>
      </c>
      <c r="C128" s="6" t="s">
        <v>3311</v>
      </c>
      <c r="D128" s="6" t="s">
        <v>3314</v>
      </c>
      <c r="E128" s="6"/>
      <c r="F128" s="6" t="s">
        <v>3315</v>
      </c>
      <c r="G128" s="6">
        <v>1</v>
      </c>
      <c r="H128" s="184">
        <v>1041.3399999999999</v>
      </c>
      <c r="I128" s="184">
        <f>Table3[[#This Row],[Unit Price]]*Table3[[#This Row],[QTY]]</f>
        <v>1041.3399999999999</v>
      </c>
      <c r="J128" s="6" t="s">
        <v>3219</v>
      </c>
      <c r="K128" s="6"/>
      <c r="L128" s="6"/>
      <c r="M128" s="49">
        <v>45749</v>
      </c>
      <c r="N128" s="176">
        <v>45796</v>
      </c>
      <c r="P128" s="60"/>
    </row>
    <row r="129" spans="1:18" hidden="1">
      <c r="A129" s="31" t="s">
        <v>3310</v>
      </c>
      <c r="B129" s="7">
        <v>45764</v>
      </c>
      <c r="C129" s="6" t="s">
        <v>3311</v>
      </c>
      <c r="D129" s="6" t="s">
        <v>3316</v>
      </c>
      <c r="E129" s="6"/>
      <c r="F129" s="6" t="s">
        <v>3317</v>
      </c>
      <c r="G129" s="6">
        <v>1</v>
      </c>
      <c r="H129" s="184">
        <v>26.12</v>
      </c>
      <c r="I129" s="184">
        <f>Table3[[#This Row],[Unit Price]]*Table3[[#This Row],[QTY]]</f>
        <v>26.12</v>
      </c>
      <c r="J129" s="6" t="s">
        <v>3318</v>
      </c>
      <c r="K129" s="6"/>
      <c r="L129" s="6"/>
      <c r="M129" s="7">
        <v>46006</v>
      </c>
      <c r="N129" s="347">
        <v>46056</v>
      </c>
    </row>
    <row r="130" spans="1:18" hidden="1">
      <c r="A130" s="31" t="s">
        <v>3319</v>
      </c>
      <c r="B130" s="7">
        <v>45769</v>
      </c>
      <c r="C130" s="6" t="s">
        <v>381</v>
      </c>
      <c r="D130" s="6" t="s">
        <v>3320</v>
      </c>
      <c r="E130" s="6"/>
      <c r="F130" s="6" t="s">
        <v>3321</v>
      </c>
      <c r="G130" s="6">
        <v>2</v>
      </c>
      <c r="H130" s="184">
        <v>28.9</v>
      </c>
      <c r="I130" s="184">
        <f>Table3[[#This Row],[Unit Price]]*Table3[[#This Row],[QTY]]</f>
        <v>57.8</v>
      </c>
      <c r="J130" s="6" t="s">
        <v>3219</v>
      </c>
      <c r="K130" s="6" t="s">
        <v>58</v>
      </c>
      <c r="L130" s="6"/>
      <c r="M130" s="49">
        <v>45749</v>
      </c>
      <c r="N130" s="176">
        <v>45796</v>
      </c>
      <c r="P130" s="60"/>
    </row>
    <row r="131" spans="1:18" hidden="1">
      <c r="A131" s="31" t="s">
        <v>3322</v>
      </c>
      <c r="B131" s="7">
        <v>45769</v>
      </c>
      <c r="C131" s="6" t="s">
        <v>381</v>
      </c>
      <c r="D131" s="6" t="s">
        <v>3323</v>
      </c>
      <c r="E131" s="6"/>
      <c r="F131" s="6" t="s">
        <v>3148</v>
      </c>
      <c r="G131" s="6">
        <v>1</v>
      </c>
      <c r="H131" s="184">
        <v>804.48</v>
      </c>
      <c r="I131" s="184">
        <f>Table3[[#This Row],[Unit Price]]*Table3[[#This Row],[QTY]]</f>
        <v>804.48</v>
      </c>
      <c r="J131" s="6" t="s">
        <v>3219</v>
      </c>
      <c r="K131" s="6" t="s">
        <v>58</v>
      </c>
      <c r="L131" s="6"/>
      <c r="M131" s="49">
        <v>45749</v>
      </c>
      <c r="N131" s="176">
        <v>45796</v>
      </c>
      <c r="P131" s="60"/>
    </row>
    <row r="132" spans="1:18" hidden="1">
      <c r="A132" s="180" t="s">
        <v>3324</v>
      </c>
      <c r="B132" s="7">
        <v>45769</v>
      </c>
      <c r="C132" s="189" t="s">
        <v>3325</v>
      </c>
      <c r="D132" s="6" t="s">
        <v>1543</v>
      </c>
      <c r="E132" s="6"/>
      <c r="F132" s="6" t="s">
        <v>2323</v>
      </c>
      <c r="G132" s="6">
        <v>4</v>
      </c>
      <c r="H132" s="184">
        <v>17.28</v>
      </c>
      <c r="I132" s="184">
        <f>Table3[[#This Row],[Unit Price]]*Table3[[#This Row],[QTY]]</f>
        <v>69.12</v>
      </c>
      <c r="J132" s="6" t="s">
        <v>3219</v>
      </c>
      <c r="K132" s="6" t="s">
        <v>89</v>
      </c>
      <c r="L132" s="6"/>
      <c r="M132" s="49">
        <v>45749</v>
      </c>
      <c r="N132" s="176">
        <v>45796</v>
      </c>
      <c r="O132" s="4">
        <v>109002</v>
      </c>
      <c r="P132" s="60" t="s">
        <v>3326</v>
      </c>
      <c r="Q132" s="171">
        <v>45796</v>
      </c>
      <c r="R132" s="52" t="s">
        <v>2990</v>
      </c>
    </row>
    <row r="133" spans="1:18" hidden="1">
      <c r="A133" s="180" t="s">
        <v>3327</v>
      </c>
      <c r="B133" s="7">
        <v>45769</v>
      </c>
      <c r="C133" s="189" t="s">
        <v>3264</v>
      </c>
      <c r="D133" s="6" t="s">
        <v>3328</v>
      </c>
      <c r="E133" s="6"/>
      <c r="F133" s="6" t="s">
        <v>3329</v>
      </c>
      <c r="G133" s="6">
        <v>1</v>
      </c>
      <c r="H133" s="184">
        <v>3727.5</v>
      </c>
      <c r="I133" s="184">
        <f>Table3[[#This Row],[Unit Price]]*Table3[[#This Row],[QTY]]</f>
        <v>3727.5</v>
      </c>
      <c r="J133" s="6" t="s">
        <v>3121</v>
      </c>
      <c r="K133" s="6" t="s">
        <v>89</v>
      </c>
      <c r="L133" s="6"/>
      <c r="M133" s="7">
        <v>45792</v>
      </c>
      <c r="N133" s="174">
        <v>45838</v>
      </c>
      <c r="O133" s="4">
        <v>108519</v>
      </c>
      <c r="P133" s="4">
        <v>73151</v>
      </c>
      <c r="Q133" s="171">
        <v>45852</v>
      </c>
      <c r="R133" s="1" t="s">
        <v>2990</v>
      </c>
    </row>
    <row r="134" spans="1:18" hidden="1">
      <c r="A134" s="31" t="s">
        <v>3330</v>
      </c>
      <c r="B134" s="7">
        <v>45770</v>
      </c>
      <c r="C134" s="6" t="s">
        <v>3331</v>
      </c>
      <c r="D134" s="6" t="s">
        <v>3332</v>
      </c>
      <c r="E134" s="6"/>
      <c r="F134" s="6" t="s">
        <v>3333</v>
      </c>
      <c r="G134" s="6">
        <v>2</v>
      </c>
      <c r="H134" s="184">
        <v>34.299999999999997</v>
      </c>
      <c r="I134" s="184">
        <f>Table3[[#This Row],[Unit Price]]*Table3[[#This Row],[QTY]]</f>
        <v>68.599999999999994</v>
      </c>
      <c r="J134" s="6" t="s">
        <v>3219</v>
      </c>
      <c r="K134" s="6" t="s">
        <v>58</v>
      </c>
      <c r="L134" s="6"/>
      <c r="M134" s="49">
        <v>45749</v>
      </c>
      <c r="N134" s="176">
        <v>45796</v>
      </c>
      <c r="O134" s="4">
        <v>108988</v>
      </c>
    </row>
    <row r="135" spans="1:18" hidden="1">
      <c r="A135" s="31" t="s">
        <v>3334</v>
      </c>
      <c r="B135" s="7">
        <v>45775</v>
      </c>
      <c r="C135" s="6" t="s">
        <v>381</v>
      </c>
      <c r="D135" s="6" t="s">
        <v>3335</v>
      </c>
      <c r="E135" s="6" t="s">
        <v>335</v>
      </c>
      <c r="F135" s="6" t="s">
        <v>441</v>
      </c>
      <c r="G135" s="6">
        <v>1</v>
      </c>
      <c r="H135" s="184">
        <v>79.989999999999995</v>
      </c>
      <c r="I135" s="184">
        <f>Table3[[#This Row],[Unit Price]]*Table3[[#This Row],[QTY]]</f>
        <v>79.989999999999995</v>
      </c>
      <c r="J135" s="6" t="s">
        <v>3121</v>
      </c>
      <c r="K135" s="6" t="s">
        <v>58</v>
      </c>
      <c r="L135" s="6"/>
      <c r="M135" s="7">
        <v>45792</v>
      </c>
      <c r="N135" s="174">
        <v>45838</v>
      </c>
    </row>
    <row r="136" spans="1:18" hidden="1">
      <c r="A136" s="180" t="s">
        <v>3336</v>
      </c>
      <c r="B136" s="7">
        <v>45776</v>
      </c>
      <c r="C136" s="189" t="s">
        <v>982</v>
      </c>
      <c r="D136" s="6" t="s">
        <v>3337</v>
      </c>
      <c r="E136" s="6" t="s">
        <v>98</v>
      </c>
      <c r="F136" s="6" t="s">
        <v>3338</v>
      </c>
      <c r="G136" s="6">
        <v>2</v>
      </c>
      <c r="H136" s="184">
        <v>285.29000000000002</v>
      </c>
      <c r="I136" s="184">
        <f>Table3[[#This Row],[Unit Price]]*Table3[[#This Row],[QTY]]</f>
        <v>570.58000000000004</v>
      </c>
      <c r="J136" s="6" t="s">
        <v>3121</v>
      </c>
      <c r="K136" s="6" t="s">
        <v>89</v>
      </c>
      <c r="L136" s="6"/>
      <c r="M136" s="7">
        <v>45804</v>
      </c>
      <c r="N136" s="174">
        <v>45838</v>
      </c>
      <c r="O136" s="4">
        <v>108980</v>
      </c>
      <c r="P136" s="4">
        <v>73141</v>
      </c>
      <c r="Q136" s="171">
        <v>45852</v>
      </c>
      <c r="R136" s="1" t="s">
        <v>2990</v>
      </c>
    </row>
    <row r="137" spans="1:18" hidden="1">
      <c r="A137" s="182" t="s">
        <v>3339</v>
      </c>
      <c r="B137" s="7">
        <v>45782</v>
      </c>
      <c r="C137" s="183" t="s">
        <v>3002</v>
      </c>
      <c r="D137" s="6" t="s">
        <v>3340</v>
      </c>
      <c r="E137" s="6"/>
      <c r="F137" s="6" t="s">
        <v>3341</v>
      </c>
      <c r="G137" s="6">
        <v>1</v>
      </c>
      <c r="H137" s="184">
        <v>25.31</v>
      </c>
      <c r="I137" s="184">
        <f>Table3[[#This Row],[Unit Price]]*Table3[[#This Row],[QTY]]</f>
        <v>25.31</v>
      </c>
      <c r="J137" s="6" t="s">
        <v>3121</v>
      </c>
      <c r="K137" s="6" t="s">
        <v>58</v>
      </c>
      <c r="L137" s="6"/>
      <c r="M137" s="7">
        <v>45826</v>
      </c>
      <c r="N137" s="174">
        <v>45838</v>
      </c>
      <c r="O137" s="4">
        <v>109056</v>
      </c>
      <c r="R137" s="1" t="s">
        <v>3342</v>
      </c>
    </row>
    <row r="138" spans="1:18" hidden="1">
      <c r="A138" s="182" t="s">
        <v>3339</v>
      </c>
      <c r="B138" s="7">
        <v>45782</v>
      </c>
      <c r="C138" s="183" t="s">
        <v>3002</v>
      </c>
      <c r="D138" s="6" t="s">
        <v>130</v>
      </c>
      <c r="E138" s="6"/>
      <c r="F138" s="6" t="s">
        <v>3003</v>
      </c>
      <c r="G138" s="6">
        <v>1</v>
      </c>
      <c r="H138" s="184">
        <v>17.28</v>
      </c>
      <c r="I138" s="184">
        <f>Table3[[#This Row],[Unit Price]]*Table3[[#This Row],[QTY]]</f>
        <v>17.28</v>
      </c>
      <c r="J138" s="6" t="s">
        <v>3121</v>
      </c>
      <c r="K138" s="6" t="s">
        <v>58</v>
      </c>
      <c r="L138" s="6"/>
      <c r="M138" s="7">
        <v>45792</v>
      </c>
      <c r="N138" s="174">
        <v>45838</v>
      </c>
      <c r="O138" s="4">
        <v>109056</v>
      </c>
      <c r="R138" s="1" t="s">
        <v>3342</v>
      </c>
    </row>
    <row r="139" spans="1:18" hidden="1">
      <c r="A139" s="180" t="s">
        <v>3343</v>
      </c>
      <c r="B139" s="7">
        <v>45782</v>
      </c>
      <c r="C139" s="189" t="s">
        <v>3140</v>
      </c>
      <c r="D139" s="6" t="s">
        <v>3344</v>
      </c>
      <c r="E139" s="6"/>
      <c r="F139" s="6" t="s">
        <v>3345</v>
      </c>
      <c r="G139" s="6">
        <v>1</v>
      </c>
      <c r="H139" s="184">
        <v>21.23</v>
      </c>
      <c r="I139" s="184">
        <f>Table3[[#This Row],[Unit Price]]*Table3[[#This Row],[QTY]]</f>
        <v>21.23</v>
      </c>
      <c r="J139" s="6" t="s">
        <v>3121</v>
      </c>
      <c r="K139" s="6" t="s">
        <v>89</v>
      </c>
      <c r="L139" s="6"/>
      <c r="M139" s="7">
        <v>45792</v>
      </c>
      <c r="N139" s="174">
        <v>45838</v>
      </c>
      <c r="O139" s="4">
        <v>109064</v>
      </c>
      <c r="P139" s="4">
        <v>73146</v>
      </c>
      <c r="Q139" s="171">
        <v>45852</v>
      </c>
      <c r="R139" s="1" t="s">
        <v>2990</v>
      </c>
    </row>
    <row r="140" spans="1:18" hidden="1">
      <c r="A140" s="180" t="s">
        <v>3343</v>
      </c>
      <c r="B140" s="7">
        <v>45782</v>
      </c>
      <c r="C140" s="189" t="s">
        <v>3140</v>
      </c>
      <c r="D140" s="6" t="s">
        <v>3346</v>
      </c>
      <c r="E140" s="6"/>
      <c r="F140" s="6" t="s">
        <v>3347</v>
      </c>
      <c r="G140" s="6">
        <v>1</v>
      </c>
      <c r="H140" s="184">
        <v>14.75</v>
      </c>
      <c r="I140" s="184">
        <f>Table3[[#This Row],[Unit Price]]*Table3[[#This Row],[QTY]]</f>
        <v>14.75</v>
      </c>
      <c r="J140" s="6" t="s">
        <v>3121</v>
      </c>
      <c r="K140" s="6" t="s">
        <v>89</v>
      </c>
      <c r="L140" s="6"/>
      <c r="M140" s="7">
        <v>45792</v>
      </c>
      <c r="N140" s="174">
        <v>45838</v>
      </c>
      <c r="O140" s="4">
        <v>109064</v>
      </c>
      <c r="P140" s="4">
        <v>73146</v>
      </c>
      <c r="Q140" s="171">
        <v>45852</v>
      </c>
      <c r="R140" s="1" t="s">
        <v>2990</v>
      </c>
    </row>
    <row r="141" spans="1:18" hidden="1">
      <c r="A141" s="180" t="s">
        <v>3343</v>
      </c>
      <c r="B141" s="7">
        <v>45782</v>
      </c>
      <c r="C141" s="189" t="s">
        <v>3140</v>
      </c>
      <c r="D141" s="6" t="s">
        <v>2570</v>
      </c>
      <c r="E141" s="6"/>
      <c r="F141" s="6" t="s">
        <v>3348</v>
      </c>
      <c r="G141" s="6">
        <v>2</v>
      </c>
      <c r="H141" s="184">
        <v>16.329999999999998</v>
      </c>
      <c r="I141" s="184">
        <f>Table3[[#This Row],[Unit Price]]*Table3[[#This Row],[QTY]]</f>
        <v>32.659999999999997</v>
      </c>
      <c r="J141" s="6" t="s">
        <v>3121</v>
      </c>
      <c r="K141" s="6" t="s">
        <v>89</v>
      </c>
      <c r="L141" s="6"/>
      <c r="M141" s="7">
        <v>45792</v>
      </c>
      <c r="N141" s="174">
        <v>45838</v>
      </c>
      <c r="O141" s="4">
        <v>109064</v>
      </c>
      <c r="P141" s="4">
        <v>73146</v>
      </c>
      <c r="Q141" s="171">
        <v>45852</v>
      </c>
      <c r="R141" s="1" t="s">
        <v>2990</v>
      </c>
    </row>
    <row r="142" spans="1:18" hidden="1">
      <c r="A142" s="31" t="s">
        <v>3349</v>
      </c>
      <c r="B142" s="7">
        <v>45783</v>
      </c>
      <c r="C142" s="6" t="s">
        <v>381</v>
      </c>
      <c r="D142" s="6" t="s">
        <v>1000</v>
      </c>
      <c r="E142" s="6"/>
      <c r="F142" s="6" t="s">
        <v>3350</v>
      </c>
      <c r="G142" s="6">
        <v>2</v>
      </c>
      <c r="H142" s="184">
        <v>129.01</v>
      </c>
      <c r="I142" s="184">
        <f>Table3[[#This Row],[Unit Price]]*Table3[[#This Row],[QTY]]</f>
        <v>258.02</v>
      </c>
      <c r="J142" s="6" t="s">
        <v>3121</v>
      </c>
      <c r="K142" s="6" t="s">
        <v>58</v>
      </c>
      <c r="L142" s="6"/>
      <c r="M142" s="7">
        <v>45792</v>
      </c>
      <c r="N142" s="174">
        <v>45838</v>
      </c>
    </row>
    <row r="143" spans="1:18" hidden="1">
      <c r="A143" s="31" t="s">
        <v>3349</v>
      </c>
      <c r="B143" s="7">
        <v>45783</v>
      </c>
      <c r="C143" s="6" t="s">
        <v>381</v>
      </c>
      <c r="D143" s="6" t="s">
        <v>820</v>
      </c>
      <c r="E143" s="6"/>
      <c r="F143" s="6" t="s">
        <v>3351</v>
      </c>
      <c r="G143" s="6">
        <v>8</v>
      </c>
      <c r="H143" s="184">
        <v>24.99</v>
      </c>
      <c r="I143" s="184">
        <f>Table3[[#This Row],[Unit Price]]*Table3[[#This Row],[QTY]]</f>
        <v>199.92</v>
      </c>
      <c r="J143" s="6" t="s">
        <v>3121</v>
      </c>
      <c r="K143" s="6" t="s">
        <v>58</v>
      </c>
      <c r="L143" s="6"/>
      <c r="M143" s="7">
        <v>45792</v>
      </c>
      <c r="N143" s="174">
        <v>45838</v>
      </c>
    </row>
    <row r="144" spans="1:18" hidden="1">
      <c r="A144" s="182" t="s">
        <v>3352</v>
      </c>
      <c r="B144" s="7">
        <v>45784</v>
      </c>
      <c r="C144" s="183" t="s">
        <v>2132</v>
      </c>
      <c r="D144" s="6" t="s">
        <v>3353</v>
      </c>
      <c r="E144" s="6"/>
      <c r="F144" s="6" t="s">
        <v>3351</v>
      </c>
      <c r="G144" s="6">
        <v>4</v>
      </c>
      <c r="H144" s="184">
        <v>24.99</v>
      </c>
      <c r="I144" s="184">
        <f>Table3[[#This Row],[Unit Price]]*Table3[[#This Row],[QTY]]</f>
        <v>99.96</v>
      </c>
      <c r="J144" s="6" t="s">
        <v>3121</v>
      </c>
      <c r="K144" s="6" t="s">
        <v>58</v>
      </c>
      <c r="L144" s="6"/>
      <c r="M144" s="7">
        <v>45792</v>
      </c>
      <c r="N144" s="174">
        <v>45838</v>
      </c>
      <c r="O144" s="4">
        <v>109115</v>
      </c>
      <c r="R144" s="1" t="s">
        <v>3342</v>
      </c>
    </row>
    <row r="145" spans="1:18" hidden="1">
      <c r="A145" s="31" t="s">
        <v>3354</v>
      </c>
      <c r="B145" s="7">
        <v>45784</v>
      </c>
      <c r="C145" s="6" t="s">
        <v>381</v>
      </c>
      <c r="D145" s="6" t="s">
        <v>3355</v>
      </c>
      <c r="E145" s="6" t="s">
        <v>1223</v>
      </c>
      <c r="F145" s="6" t="s">
        <v>3356</v>
      </c>
      <c r="G145" s="6">
        <v>1</v>
      </c>
      <c r="H145" s="184">
        <v>427.1</v>
      </c>
      <c r="I145" s="184">
        <f>Table3[[#This Row],[Unit Price]]*Table3[[#This Row],[QTY]]</f>
        <v>427.1</v>
      </c>
      <c r="J145" s="6" t="s">
        <v>3121</v>
      </c>
      <c r="K145" s="6" t="s">
        <v>58</v>
      </c>
      <c r="L145" s="6"/>
      <c r="M145" s="7">
        <v>45804</v>
      </c>
      <c r="N145" s="174">
        <v>45838</v>
      </c>
    </row>
    <row r="146" spans="1:18" hidden="1">
      <c r="A146" s="182" t="s">
        <v>3357</v>
      </c>
      <c r="B146" s="7">
        <v>45784</v>
      </c>
      <c r="C146" s="183" t="s">
        <v>982</v>
      </c>
      <c r="D146" s="6" t="s">
        <v>3358</v>
      </c>
      <c r="E146" s="6"/>
      <c r="F146" s="6" t="s">
        <v>3359</v>
      </c>
      <c r="G146" s="6">
        <v>1</v>
      </c>
      <c r="H146" s="184">
        <v>169.4</v>
      </c>
      <c r="I146" s="184">
        <f>Table3[[#This Row],[Unit Price]]*Table3[[#This Row],[QTY]]</f>
        <v>169.4</v>
      </c>
      <c r="J146" s="6" t="s">
        <v>3121</v>
      </c>
      <c r="K146" s="6" t="s">
        <v>58</v>
      </c>
      <c r="L146" s="6"/>
      <c r="M146" s="7">
        <v>45792</v>
      </c>
      <c r="N146" s="174">
        <v>45838</v>
      </c>
      <c r="O146" s="4">
        <v>109104</v>
      </c>
      <c r="R146" s="1" t="s">
        <v>3342</v>
      </c>
    </row>
    <row r="147" spans="1:18" hidden="1">
      <c r="A147" s="180" t="s">
        <v>3357</v>
      </c>
      <c r="B147" s="7">
        <v>45784</v>
      </c>
      <c r="C147" s="189" t="s">
        <v>982</v>
      </c>
      <c r="D147" s="6" t="s">
        <v>1997</v>
      </c>
      <c r="E147" s="6"/>
      <c r="F147" s="6" t="s">
        <v>3360</v>
      </c>
      <c r="G147" s="6">
        <v>1</v>
      </c>
      <c r="H147" s="184">
        <v>179.64</v>
      </c>
      <c r="I147" s="184">
        <f>Table3[[#This Row],[Unit Price]]*Table3[[#This Row],[QTY]]</f>
        <v>179.64</v>
      </c>
      <c r="J147" s="6" t="s">
        <v>3121</v>
      </c>
      <c r="K147" s="6" t="s">
        <v>89</v>
      </c>
      <c r="L147" s="6"/>
      <c r="M147" s="7">
        <v>45792</v>
      </c>
      <c r="N147" s="174">
        <v>45838</v>
      </c>
      <c r="O147" s="4">
        <v>109106</v>
      </c>
      <c r="P147" s="4">
        <v>73140</v>
      </c>
      <c r="Q147" s="171">
        <v>45852</v>
      </c>
      <c r="R147" s="1" t="s">
        <v>2990</v>
      </c>
    </row>
    <row r="148" spans="1:18" hidden="1">
      <c r="A148" s="180" t="s">
        <v>3357</v>
      </c>
      <c r="B148" s="7">
        <v>45784</v>
      </c>
      <c r="C148" s="189" t="s">
        <v>982</v>
      </c>
      <c r="D148" s="6" t="s">
        <v>3361</v>
      </c>
      <c r="E148" s="6"/>
      <c r="F148" s="6" t="s">
        <v>3362</v>
      </c>
      <c r="G148" s="6">
        <v>1</v>
      </c>
      <c r="H148" s="184">
        <v>140.30000000000001</v>
      </c>
      <c r="I148" s="184">
        <f>Table3[[#This Row],[Unit Price]]*Table3[[#This Row],[QTY]]</f>
        <v>140.30000000000001</v>
      </c>
      <c r="J148" s="6" t="s">
        <v>3121</v>
      </c>
      <c r="K148" s="6" t="s">
        <v>89</v>
      </c>
      <c r="L148" s="6"/>
      <c r="M148" s="7">
        <v>45792</v>
      </c>
      <c r="N148" s="174">
        <v>45838</v>
      </c>
      <c r="O148" s="4">
        <v>109106</v>
      </c>
      <c r="P148" s="4">
        <v>73140</v>
      </c>
      <c r="Q148" s="171">
        <v>45852</v>
      </c>
      <c r="R148" s="1" t="s">
        <v>2990</v>
      </c>
    </row>
    <row r="149" spans="1:18" hidden="1">
      <c r="A149" s="182" t="s">
        <v>3357</v>
      </c>
      <c r="B149" s="7">
        <v>45784</v>
      </c>
      <c r="C149" s="183" t="s">
        <v>982</v>
      </c>
      <c r="D149" s="6" t="s">
        <v>134</v>
      </c>
      <c r="E149" s="6"/>
      <c r="F149" s="6" t="s">
        <v>1386</v>
      </c>
      <c r="G149" s="6">
        <v>1</v>
      </c>
      <c r="H149" s="184">
        <v>42.46</v>
      </c>
      <c r="I149" s="184">
        <f>Table3[[#This Row],[Unit Price]]*Table3[[#This Row],[QTY]]</f>
        <v>42.46</v>
      </c>
      <c r="J149" s="6" t="s">
        <v>3121</v>
      </c>
      <c r="K149" s="6" t="s">
        <v>58</v>
      </c>
      <c r="L149" s="6"/>
      <c r="M149" s="7">
        <v>45792</v>
      </c>
      <c r="N149" s="174">
        <v>45838</v>
      </c>
      <c r="O149" s="4">
        <v>109104</v>
      </c>
      <c r="R149" s="1" t="s">
        <v>3342</v>
      </c>
    </row>
    <row r="150" spans="1:18" hidden="1">
      <c r="A150" s="182" t="s">
        <v>3357</v>
      </c>
      <c r="B150" s="7">
        <v>45784</v>
      </c>
      <c r="C150" s="183" t="s">
        <v>982</v>
      </c>
      <c r="D150" s="6" t="s">
        <v>136</v>
      </c>
      <c r="E150" s="6"/>
      <c r="F150" s="6" t="s">
        <v>137</v>
      </c>
      <c r="G150" s="6">
        <v>1</v>
      </c>
      <c r="H150" s="184">
        <v>19.600000000000001</v>
      </c>
      <c r="I150" s="184">
        <f>Table3[[#This Row],[Unit Price]]*Table3[[#This Row],[QTY]]</f>
        <v>19.600000000000001</v>
      </c>
      <c r="J150" s="6" t="s">
        <v>3121</v>
      </c>
      <c r="K150" s="6" t="s">
        <v>58</v>
      </c>
      <c r="L150" s="6"/>
      <c r="M150" s="7">
        <v>45792</v>
      </c>
      <c r="N150" s="174">
        <v>45838</v>
      </c>
      <c r="O150" s="4">
        <v>109104</v>
      </c>
      <c r="R150" s="1" t="s">
        <v>3342</v>
      </c>
    </row>
    <row r="151" spans="1:18" hidden="1">
      <c r="A151" s="182" t="s">
        <v>3357</v>
      </c>
      <c r="B151" s="7">
        <v>45784</v>
      </c>
      <c r="C151" s="183" t="s">
        <v>982</v>
      </c>
      <c r="D151" s="6" t="s">
        <v>2800</v>
      </c>
      <c r="E151" s="6"/>
      <c r="F151" s="6" t="s">
        <v>3363</v>
      </c>
      <c r="G151" s="6">
        <v>2</v>
      </c>
      <c r="H151" s="184">
        <v>112</v>
      </c>
      <c r="I151" s="184">
        <f>Table3[[#This Row],[Unit Price]]*Table3[[#This Row],[QTY]]</f>
        <v>224</v>
      </c>
      <c r="J151" s="6" t="s">
        <v>3121</v>
      </c>
      <c r="K151" s="6" t="s">
        <v>58</v>
      </c>
      <c r="L151" s="6"/>
      <c r="M151" s="7">
        <v>45792</v>
      </c>
      <c r="N151" s="174">
        <v>45838</v>
      </c>
      <c r="O151" s="4">
        <v>109104</v>
      </c>
      <c r="R151" s="1" t="s">
        <v>3342</v>
      </c>
    </row>
    <row r="152" spans="1:18" hidden="1">
      <c r="A152" s="180" t="s">
        <v>3364</v>
      </c>
      <c r="B152" s="7">
        <v>45785</v>
      </c>
      <c r="C152" s="189" t="s">
        <v>2132</v>
      </c>
      <c r="D152" s="6" t="s">
        <v>3365</v>
      </c>
      <c r="E152" s="6"/>
      <c r="F152" s="6" t="s">
        <v>1238</v>
      </c>
      <c r="G152" s="6">
        <v>4</v>
      </c>
      <c r="H152" s="184">
        <v>60.75</v>
      </c>
      <c r="I152" s="184">
        <f>Table3[[#This Row],[Unit Price]]*Table3[[#This Row],[QTY]]</f>
        <v>243</v>
      </c>
      <c r="J152" s="6" t="s">
        <v>3121</v>
      </c>
      <c r="K152" s="6" t="s">
        <v>58</v>
      </c>
      <c r="L152" s="6"/>
      <c r="M152" s="7">
        <v>45804</v>
      </c>
      <c r="N152" s="174">
        <v>45838</v>
      </c>
      <c r="O152" s="4">
        <v>109115</v>
      </c>
      <c r="P152" s="4">
        <v>73143</v>
      </c>
      <c r="Q152" s="171">
        <v>45852</v>
      </c>
      <c r="R152" s="1" t="s">
        <v>2990</v>
      </c>
    </row>
    <row r="153" spans="1:18" hidden="1">
      <c r="A153" s="180" t="s">
        <v>3366</v>
      </c>
      <c r="B153" s="7">
        <v>45785</v>
      </c>
      <c r="C153" s="189" t="s">
        <v>3093</v>
      </c>
      <c r="D153" s="6" t="s">
        <v>3367</v>
      </c>
      <c r="E153" s="6"/>
      <c r="F153" s="6" t="s">
        <v>3091</v>
      </c>
      <c r="G153" s="6">
        <v>1</v>
      </c>
      <c r="H153" s="184">
        <v>89.16</v>
      </c>
      <c r="I153" s="184">
        <f>Table3[[#This Row],[Unit Price]]*Table3[[#This Row],[QTY]]</f>
        <v>89.16</v>
      </c>
      <c r="J153" s="6" t="s">
        <v>3121</v>
      </c>
      <c r="K153" s="6" t="s">
        <v>89</v>
      </c>
      <c r="L153" s="6"/>
      <c r="M153" s="7">
        <v>45792</v>
      </c>
      <c r="N153" s="174">
        <v>45838</v>
      </c>
      <c r="O153" s="4">
        <v>109147</v>
      </c>
      <c r="P153" s="4">
        <v>73139</v>
      </c>
      <c r="Q153" s="171">
        <v>45852</v>
      </c>
      <c r="R153" s="1" t="s">
        <v>2990</v>
      </c>
    </row>
    <row r="154" spans="1:18" hidden="1">
      <c r="A154" s="31" t="s">
        <v>3368</v>
      </c>
      <c r="B154" s="7">
        <v>45786</v>
      </c>
      <c r="C154" s="6" t="s">
        <v>381</v>
      </c>
      <c r="D154" s="6" t="s">
        <v>3369</v>
      </c>
      <c r="E154" s="6"/>
      <c r="F154" s="6" t="s">
        <v>3370</v>
      </c>
      <c r="G154" s="6">
        <v>1</v>
      </c>
      <c r="H154" s="184">
        <v>718.07</v>
      </c>
      <c r="I154" s="184">
        <f>Table3[[#This Row],[Unit Price]]*Table3[[#This Row],[QTY]]</f>
        <v>718.07</v>
      </c>
      <c r="J154" s="6" t="s">
        <v>3121</v>
      </c>
      <c r="K154" s="6" t="s">
        <v>58</v>
      </c>
      <c r="L154" s="6"/>
      <c r="M154" s="7">
        <v>45826</v>
      </c>
      <c r="N154" s="174">
        <v>45838</v>
      </c>
    </row>
    <row r="155" spans="1:18" hidden="1">
      <c r="A155" s="31" t="s">
        <v>3371</v>
      </c>
      <c r="B155" s="7">
        <v>45786</v>
      </c>
      <c r="C155" s="6" t="s">
        <v>381</v>
      </c>
      <c r="D155" s="6" t="s">
        <v>3372</v>
      </c>
      <c r="E155" s="6"/>
      <c r="F155" s="6" t="s">
        <v>3373</v>
      </c>
      <c r="G155" s="6">
        <v>1</v>
      </c>
      <c r="H155" s="184">
        <v>629.66</v>
      </c>
      <c r="I155" s="184">
        <f>Table3[[#This Row],[Unit Price]]*Table3[[#This Row],[QTY]]</f>
        <v>629.66</v>
      </c>
      <c r="J155" s="6" t="s">
        <v>3121</v>
      </c>
      <c r="K155" s="6" t="s">
        <v>58</v>
      </c>
      <c r="L155" s="6"/>
      <c r="M155" s="7">
        <v>45826</v>
      </c>
      <c r="N155" s="174">
        <v>45838</v>
      </c>
    </row>
    <row r="156" spans="1:18" hidden="1">
      <c r="A156" s="31" t="s">
        <v>3374</v>
      </c>
      <c r="B156" s="7">
        <v>45786</v>
      </c>
      <c r="C156" s="6" t="s">
        <v>381</v>
      </c>
      <c r="D156" s="6" t="s">
        <v>3375</v>
      </c>
      <c r="E156" s="6"/>
      <c r="F156" s="6" t="s">
        <v>3376</v>
      </c>
      <c r="G156" s="6">
        <v>3</v>
      </c>
      <c r="H156" s="184">
        <v>227.98</v>
      </c>
      <c r="I156" s="184">
        <f>Table3[[#This Row],[Unit Price]]*Table3[[#This Row],[QTY]]</f>
        <v>683.93999999999994</v>
      </c>
      <c r="J156" s="6" t="s">
        <v>3121</v>
      </c>
      <c r="K156" s="6" t="s">
        <v>58</v>
      </c>
      <c r="L156" s="6"/>
      <c r="M156" s="7">
        <v>45820</v>
      </c>
      <c r="N156" s="174">
        <v>45838</v>
      </c>
    </row>
    <row r="157" spans="1:18" hidden="1">
      <c r="A157" s="180" t="s">
        <v>3377</v>
      </c>
      <c r="B157" s="7">
        <v>45786</v>
      </c>
      <c r="C157" s="189" t="s">
        <v>3378</v>
      </c>
      <c r="D157" s="6" t="s">
        <v>2570</v>
      </c>
      <c r="E157" s="6"/>
      <c r="F157" s="6" t="s">
        <v>3348</v>
      </c>
      <c r="G157" s="6">
        <v>1</v>
      </c>
      <c r="H157" s="184">
        <v>16.329999999999998</v>
      </c>
      <c r="I157" s="184">
        <f>Table3[[#This Row],[Unit Price]]*Table3[[#This Row],[QTY]]</f>
        <v>16.329999999999998</v>
      </c>
      <c r="J157" s="6" t="s">
        <v>3121</v>
      </c>
      <c r="K157" s="6" t="s">
        <v>89</v>
      </c>
      <c r="L157" s="6"/>
      <c r="M157" s="7">
        <v>45826</v>
      </c>
      <c r="N157" s="174">
        <v>45838</v>
      </c>
      <c r="O157" s="4">
        <v>109149</v>
      </c>
      <c r="P157" s="4">
        <v>73144</v>
      </c>
      <c r="Q157" s="171">
        <v>45852</v>
      </c>
      <c r="R157" s="1" t="s">
        <v>2990</v>
      </c>
    </row>
    <row r="158" spans="1:18" hidden="1">
      <c r="A158" s="31" t="s">
        <v>3379</v>
      </c>
      <c r="B158" s="7">
        <v>45789</v>
      </c>
      <c r="C158" s="6" t="s">
        <v>381</v>
      </c>
      <c r="D158" s="6" t="s">
        <v>3380</v>
      </c>
      <c r="E158" s="6" t="s">
        <v>1902</v>
      </c>
      <c r="F158" s="6" t="s">
        <v>3381</v>
      </c>
      <c r="G158" s="6">
        <v>1</v>
      </c>
      <c r="H158" s="184">
        <v>1136.6300000000001</v>
      </c>
      <c r="I158" s="184">
        <f>Table3[[#This Row],[Unit Price]]*Table3[[#This Row],[QTY]]</f>
        <v>1136.6300000000001</v>
      </c>
      <c r="J158" s="6" t="s">
        <v>3121</v>
      </c>
      <c r="K158" s="6" t="s">
        <v>58</v>
      </c>
      <c r="L158" s="6"/>
      <c r="M158" s="7">
        <v>45826</v>
      </c>
      <c r="N158" s="174">
        <v>45838</v>
      </c>
    </row>
    <row r="159" spans="1:18" hidden="1">
      <c r="A159" s="182" t="s">
        <v>3382</v>
      </c>
      <c r="B159" s="7">
        <v>45790</v>
      </c>
      <c r="C159" s="183" t="s">
        <v>2132</v>
      </c>
      <c r="D159" s="6" t="s">
        <v>3365</v>
      </c>
      <c r="E159" s="6"/>
      <c r="F159" s="6" t="s">
        <v>1238</v>
      </c>
      <c r="G159" s="6">
        <v>4</v>
      </c>
      <c r="H159" s="184">
        <v>60.75</v>
      </c>
      <c r="I159" s="184">
        <f>Table3[[#This Row],[Unit Price]]*Table3[[#This Row],[QTY]]</f>
        <v>243</v>
      </c>
      <c r="J159" s="6" t="s">
        <v>3121</v>
      </c>
      <c r="K159" s="48" t="s">
        <v>89</v>
      </c>
      <c r="L159" s="6"/>
      <c r="M159" s="7">
        <v>45804</v>
      </c>
      <c r="N159" s="174">
        <v>45838</v>
      </c>
      <c r="R159" s="1" t="s">
        <v>3342</v>
      </c>
    </row>
    <row r="160" spans="1:18" hidden="1">
      <c r="A160" s="31" t="s">
        <v>3383</v>
      </c>
      <c r="B160" s="7">
        <v>45793</v>
      </c>
      <c r="C160" s="6" t="s">
        <v>381</v>
      </c>
      <c r="D160" s="6" t="s">
        <v>153</v>
      </c>
      <c r="E160" s="6"/>
      <c r="F160" s="6" t="s">
        <v>154</v>
      </c>
      <c r="G160" s="6">
        <v>1</v>
      </c>
      <c r="H160" s="184">
        <v>227.98</v>
      </c>
      <c r="I160" s="184">
        <f>Table3[[#This Row],[Unit Price]]*Table3[[#This Row],[QTY]]</f>
        <v>227.98</v>
      </c>
      <c r="J160" s="6" t="s">
        <v>3121</v>
      </c>
      <c r="K160" s="6" t="s">
        <v>58</v>
      </c>
      <c r="L160" s="6"/>
      <c r="M160" s="7">
        <v>45820</v>
      </c>
      <c r="N160" s="174">
        <v>45838</v>
      </c>
    </row>
    <row r="161" spans="1:18" hidden="1">
      <c r="A161" s="31" t="s">
        <v>3383</v>
      </c>
      <c r="B161" s="7">
        <v>45793</v>
      </c>
      <c r="C161" s="6" t="s">
        <v>381</v>
      </c>
      <c r="D161" s="6" t="s">
        <v>280</v>
      </c>
      <c r="E161" s="6"/>
      <c r="F161" s="6" t="s">
        <v>3053</v>
      </c>
      <c r="G161" s="6">
        <v>1</v>
      </c>
      <c r="H161" s="184">
        <v>431.82</v>
      </c>
      <c r="I161" s="184">
        <f>Table3[[#This Row],[Unit Price]]*Table3[[#This Row],[QTY]]</f>
        <v>431.82</v>
      </c>
      <c r="J161" s="6" t="s">
        <v>3121</v>
      </c>
      <c r="K161" s="6" t="s">
        <v>58</v>
      </c>
      <c r="L161" s="6"/>
      <c r="M161" s="7">
        <v>45813</v>
      </c>
      <c r="N161" s="174">
        <v>45838</v>
      </c>
    </row>
    <row r="162" spans="1:18" hidden="1">
      <c r="A162" s="182" t="s">
        <v>3384</v>
      </c>
      <c r="B162" s="7">
        <v>45797</v>
      </c>
      <c r="C162" s="183" t="s">
        <v>3169</v>
      </c>
      <c r="D162" s="6" t="s">
        <v>3385</v>
      </c>
      <c r="E162" s="6"/>
      <c r="F162" s="6" t="s">
        <v>3386</v>
      </c>
      <c r="G162" s="6">
        <v>1</v>
      </c>
      <c r="H162" s="184">
        <v>2.71</v>
      </c>
      <c r="I162" s="184">
        <f>Table3[[#This Row],[Unit Price]]*Table3[[#This Row],[QTY]]</f>
        <v>2.71</v>
      </c>
      <c r="J162" s="6" t="s">
        <v>3121</v>
      </c>
      <c r="K162" s="6" t="s">
        <v>58</v>
      </c>
      <c r="L162" s="6"/>
      <c r="M162" s="7">
        <v>45804</v>
      </c>
      <c r="N162" s="174">
        <v>45838</v>
      </c>
      <c r="O162" s="4">
        <v>109239</v>
      </c>
      <c r="R162" s="1" t="s">
        <v>3342</v>
      </c>
    </row>
    <row r="163" spans="1:18" hidden="1">
      <c r="A163" s="31" t="s">
        <v>3387</v>
      </c>
      <c r="B163" s="7">
        <v>45797</v>
      </c>
      <c r="C163" s="6" t="s">
        <v>982</v>
      </c>
      <c r="D163" s="6" t="s">
        <v>3388</v>
      </c>
      <c r="E163" s="6"/>
      <c r="F163" s="6" t="s">
        <v>3389</v>
      </c>
      <c r="G163" s="6">
        <v>4</v>
      </c>
      <c r="H163" s="184">
        <v>20.51</v>
      </c>
      <c r="I163" s="184">
        <f>Table3[[#This Row],[Unit Price]]*Table3[[#This Row],[QTY]]</f>
        <v>82.04</v>
      </c>
      <c r="J163" s="6" t="s">
        <v>3390</v>
      </c>
      <c r="K163" s="6" t="s">
        <v>89</v>
      </c>
      <c r="L163" s="6"/>
      <c r="M163" s="7">
        <v>45859</v>
      </c>
      <c r="N163" s="174">
        <v>45897</v>
      </c>
      <c r="O163" s="4">
        <v>109229</v>
      </c>
      <c r="P163" s="4">
        <v>74305</v>
      </c>
      <c r="Q163" s="171">
        <v>45901</v>
      </c>
      <c r="R163" s="1" t="s">
        <v>2990</v>
      </c>
    </row>
    <row r="164" spans="1:18" hidden="1">
      <c r="A164" s="31" t="s">
        <v>3391</v>
      </c>
      <c r="B164" s="7">
        <v>45799</v>
      </c>
      <c r="C164" s="6" t="s">
        <v>381</v>
      </c>
      <c r="D164" s="6" t="s">
        <v>1325</v>
      </c>
      <c r="E164" s="6"/>
      <c r="F164" s="6" t="s">
        <v>3392</v>
      </c>
      <c r="G164" s="6">
        <v>2</v>
      </c>
      <c r="H164" s="184">
        <v>138.81</v>
      </c>
      <c r="I164" s="184">
        <f>Table3[[#This Row],[Unit Price]]*Table3[[#This Row],[QTY]]</f>
        <v>277.62</v>
      </c>
      <c r="J164" s="6" t="s">
        <v>3121</v>
      </c>
      <c r="K164" s="6" t="s">
        <v>58</v>
      </c>
      <c r="L164" s="6"/>
      <c r="M164" s="7">
        <v>45804</v>
      </c>
      <c r="N164" s="174">
        <v>45838</v>
      </c>
    </row>
    <row r="165" spans="1:18" hidden="1">
      <c r="A165" s="180" t="s">
        <v>3393</v>
      </c>
      <c r="B165" s="7">
        <v>45799</v>
      </c>
      <c r="C165" s="189" t="s">
        <v>3276</v>
      </c>
      <c r="D165" s="6" t="s">
        <v>3375</v>
      </c>
      <c r="E165" s="6"/>
      <c r="F165" s="6" t="s">
        <v>3376</v>
      </c>
      <c r="G165" s="6">
        <v>4</v>
      </c>
      <c r="H165" s="184">
        <v>227.98</v>
      </c>
      <c r="I165" s="184">
        <f>Table3[[#This Row],[Unit Price]]*Table3[[#This Row],[QTY]]</f>
        <v>911.92</v>
      </c>
      <c r="J165" s="6" t="s">
        <v>3121</v>
      </c>
      <c r="K165" s="6" t="s">
        <v>89</v>
      </c>
      <c r="L165" s="6"/>
      <c r="M165" s="7">
        <v>45820</v>
      </c>
      <c r="N165" s="174">
        <v>45838</v>
      </c>
      <c r="O165" s="4">
        <v>108830</v>
      </c>
      <c r="P165" s="4">
        <v>73148</v>
      </c>
      <c r="Q165" s="171">
        <v>45852</v>
      </c>
      <c r="R165" s="1" t="s">
        <v>2990</v>
      </c>
    </row>
    <row r="166" spans="1:18" hidden="1">
      <c r="A166" s="180" t="s">
        <v>3394</v>
      </c>
      <c r="B166" s="7">
        <v>45800</v>
      </c>
      <c r="C166" s="189" t="s">
        <v>445</v>
      </c>
      <c r="D166" s="6" t="s">
        <v>3395</v>
      </c>
      <c r="E166" s="6" t="s">
        <v>3396</v>
      </c>
      <c r="F166" s="6" t="s">
        <v>3397</v>
      </c>
      <c r="G166" s="6">
        <v>1</v>
      </c>
      <c r="H166" s="184">
        <v>1076.94</v>
      </c>
      <c r="I166" s="184">
        <f>Table3[[#This Row],[Unit Price]]*Table3[[#This Row],[QTY]]</f>
        <v>1076.94</v>
      </c>
      <c r="J166" s="6" t="s">
        <v>3121</v>
      </c>
      <c r="K166" s="6" t="s">
        <v>89</v>
      </c>
      <c r="L166" s="6"/>
      <c r="M166" s="7">
        <v>45813</v>
      </c>
      <c r="N166" s="174">
        <v>45838</v>
      </c>
      <c r="O166" s="4" t="s">
        <v>41</v>
      </c>
      <c r="P166" s="4">
        <v>73147</v>
      </c>
      <c r="Q166" s="171">
        <v>45852</v>
      </c>
      <c r="R166" s="1" t="s">
        <v>2990</v>
      </c>
    </row>
    <row r="167" spans="1:18" hidden="1">
      <c r="A167" s="182" t="s">
        <v>3398</v>
      </c>
      <c r="B167" s="7">
        <v>45800</v>
      </c>
      <c r="C167" s="183" t="s">
        <v>3304</v>
      </c>
      <c r="D167" s="6" t="s">
        <v>3399</v>
      </c>
      <c r="E167" s="6"/>
      <c r="F167" s="6" t="s">
        <v>3400</v>
      </c>
      <c r="G167" s="6">
        <v>1</v>
      </c>
      <c r="H167" s="184">
        <v>416.44</v>
      </c>
      <c r="I167" s="184">
        <f>Table3[[#This Row],[Unit Price]]*Table3[[#This Row],[QTY]]</f>
        <v>416.44</v>
      </c>
      <c r="J167" s="6" t="s">
        <v>3121</v>
      </c>
      <c r="K167" s="6" t="s">
        <v>58</v>
      </c>
      <c r="L167" s="6"/>
      <c r="M167" s="7">
        <v>45813</v>
      </c>
      <c r="N167" s="174">
        <v>45838</v>
      </c>
      <c r="O167" s="4">
        <v>109284</v>
      </c>
      <c r="R167" s="181" t="s">
        <v>3342</v>
      </c>
    </row>
    <row r="168" spans="1:18" hidden="1">
      <c r="A168" s="180" t="s">
        <v>3401</v>
      </c>
      <c r="B168" s="7">
        <v>45805</v>
      </c>
      <c r="C168" s="189" t="s">
        <v>3145</v>
      </c>
      <c r="D168" s="6" t="s">
        <v>238</v>
      </c>
      <c r="E168" s="6"/>
      <c r="F168" s="6" t="s">
        <v>3077</v>
      </c>
      <c r="G168" s="6">
        <v>2</v>
      </c>
      <c r="H168" s="184">
        <v>271.08999999999997</v>
      </c>
      <c r="I168" s="184">
        <f>Table3[[#This Row],[Unit Price]]*Table3[[#This Row],[QTY]]</f>
        <v>542.17999999999995</v>
      </c>
      <c r="J168" s="6" t="s">
        <v>3121</v>
      </c>
      <c r="K168" s="6" t="s">
        <v>89</v>
      </c>
      <c r="L168" s="6"/>
      <c r="M168" s="7">
        <v>45813</v>
      </c>
      <c r="N168" s="174">
        <v>45838</v>
      </c>
      <c r="O168" s="4">
        <v>109308</v>
      </c>
      <c r="P168" s="4">
        <v>73142</v>
      </c>
      <c r="Q168" s="171">
        <v>45852</v>
      </c>
      <c r="R168" s="1" t="s">
        <v>2990</v>
      </c>
    </row>
    <row r="169" spans="1:18" hidden="1">
      <c r="A169" s="182" t="s">
        <v>3402</v>
      </c>
      <c r="B169" s="7">
        <v>45805</v>
      </c>
      <c r="C169" s="183" t="s">
        <v>3145</v>
      </c>
      <c r="D169" s="6" t="s">
        <v>2427</v>
      </c>
      <c r="E169" s="6"/>
      <c r="F169" s="6" t="s">
        <v>3403</v>
      </c>
      <c r="G169" s="6">
        <v>1</v>
      </c>
      <c r="H169" s="184">
        <v>77.010000000000005</v>
      </c>
      <c r="I169" s="184">
        <f>Table3[[#This Row],[Unit Price]]*Table3[[#This Row],[QTY]]</f>
        <v>77.010000000000005</v>
      </c>
      <c r="J169" s="6" t="s">
        <v>3121</v>
      </c>
      <c r="K169" s="6" t="s">
        <v>58</v>
      </c>
      <c r="L169" s="6"/>
      <c r="M169" s="7">
        <v>45813</v>
      </c>
      <c r="N169" s="174">
        <v>45838</v>
      </c>
      <c r="O169" s="4">
        <v>109306</v>
      </c>
      <c r="R169" s="1" t="s">
        <v>3342</v>
      </c>
    </row>
    <row r="170" spans="1:18" hidden="1">
      <c r="A170" s="182" t="s">
        <v>3404</v>
      </c>
      <c r="B170" s="7">
        <v>45805</v>
      </c>
      <c r="C170" s="183" t="s">
        <v>3405</v>
      </c>
      <c r="D170" s="6" t="s">
        <v>134</v>
      </c>
      <c r="E170" s="6"/>
      <c r="F170" s="6" t="s">
        <v>1386</v>
      </c>
      <c r="G170" s="6">
        <v>1</v>
      </c>
      <c r="H170" s="184">
        <v>42.46</v>
      </c>
      <c r="I170" s="184">
        <f>Table3[[#This Row],[Unit Price]]*Table3[[#This Row],[QTY]]</f>
        <v>42.46</v>
      </c>
      <c r="J170" s="6" t="s">
        <v>3121</v>
      </c>
      <c r="K170" s="6" t="s">
        <v>58</v>
      </c>
      <c r="L170" s="6"/>
      <c r="M170" s="7">
        <v>45813</v>
      </c>
      <c r="N170" s="174">
        <v>45838</v>
      </c>
      <c r="O170" s="4">
        <v>109222</v>
      </c>
      <c r="R170" s="1" t="s">
        <v>3342</v>
      </c>
    </row>
    <row r="171" spans="1:18" hidden="1">
      <c r="A171" s="182" t="s">
        <v>3406</v>
      </c>
      <c r="B171" s="7">
        <v>45807</v>
      </c>
      <c r="C171" s="183" t="s">
        <v>3216</v>
      </c>
      <c r="D171" s="6" t="s">
        <v>856</v>
      </c>
      <c r="E171" s="6"/>
      <c r="F171" s="6" t="s">
        <v>1877</v>
      </c>
      <c r="G171" s="6">
        <v>2</v>
      </c>
      <c r="H171" s="184">
        <v>274.36</v>
      </c>
      <c r="I171" s="184">
        <f>Table3[[#This Row],[Unit Price]]*Table3[[#This Row],[QTY]]</f>
        <v>548.72</v>
      </c>
      <c r="J171" s="6" t="s">
        <v>3121</v>
      </c>
      <c r="K171" s="6" t="s">
        <v>58</v>
      </c>
      <c r="L171" s="6"/>
      <c r="M171" s="7">
        <v>45813</v>
      </c>
      <c r="N171" s="174">
        <v>45838</v>
      </c>
      <c r="R171" s="1" t="s">
        <v>3342</v>
      </c>
    </row>
    <row r="172" spans="1:18" hidden="1">
      <c r="A172" s="31" t="s">
        <v>3406</v>
      </c>
      <c r="B172" s="7">
        <v>45807</v>
      </c>
      <c r="C172" s="6" t="s">
        <v>3216</v>
      </c>
      <c r="D172" s="6" t="s">
        <v>3407</v>
      </c>
      <c r="E172" s="6"/>
      <c r="F172" s="6" t="s">
        <v>3408</v>
      </c>
      <c r="G172" s="6">
        <v>1</v>
      </c>
      <c r="H172" s="184">
        <v>328.25</v>
      </c>
      <c r="I172" s="184">
        <f>Table3[[#This Row],[Unit Price]]*Table3[[#This Row],[QTY]]</f>
        <v>328.25</v>
      </c>
      <c r="J172" s="6" t="s">
        <v>3390</v>
      </c>
      <c r="K172" s="6" t="s">
        <v>89</v>
      </c>
      <c r="L172" s="6"/>
      <c r="M172" s="7">
        <v>45869</v>
      </c>
      <c r="N172" s="174">
        <v>45897</v>
      </c>
      <c r="O172" s="4">
        <v>109299</v>
      </c>
      <c r="P172" s="4">
        <v>74292</v>
      </c>
      <c r="Q172" s="171">
        <v>45898</v>
      </c>
      <c r="R172" s="1" t="s">
        <v>2990</v>
      </c>
    </row>
    <row r="173" spans="1:18" hidden="1">
      <c r="A173" s="180" t="s">
        <v>3406</v>
      </c>
      <c r="B173" s="7">
        <v>45807</v>
      </c>
      <c r="C173" s="189" t="s">
        <v>3216</v>
      </c>
      <c r="D173" s="6" t="s">
        <v>736</v>
      </c>
      <c r="E173" s="6"/>
      <c r="F173" s="6" t="s">
        <v>3281</v>
      </c>
      <c r="G173" s="6">
        <v>2</v>
      </c>
      <c r="H173" s="184">
        <v>180.46</v>
      </c>
      <c r="I173" s="184">
        <f>Table3[[#This Row],[Unit Price]]*Table3[[#This Row],[QTY]]</f>
        <v>360.92</v>
      </c>
      <c r="J173" s="6" t="s">
        <v>3121</v>
      </c>
      <c r="K173" s="6" t="s">
        <v>3012</v>
      </c>
      <c r="L173" s="6"/>
      <c r="M173" s="7">
        <v>45813</v>
      </c>
      <c r="N173" s="174">
        <v>45838</v>
      </c>
      <c r="O173" s="4">
        <v>109299</v>
      </c>
      <c r="P173" s="4">
        <v>73149</v>
      </c>
      <c r="Q173" s="171">
        <v>45852</v>
      </c>
      <c r="R173" s="1" t="s">
        <v>2990</v>
      </c>
    </row>
    <row r="174" spans="1:18" hidden="1">
      <c r="A174" s="182" t="s">
        <v>3406</v>
      </c>
      <c r="B174" s="7">
        <v>45807</v>
      </c>
      <c r="C174" s="183" t="s">
        <v>3216</v>
      </c>
      <c r="D174" s="6" t="s">
        <v>130</v>
      </c>
      <c r="E174" s="6"/>
      <c r="F174" s="6" t="s">
        <v>3003</v>
      </c>
      <c r="G174" s="6">
        <v>6</v>
      </c>
      <c r="H174" s="184">
        <v>17.28</v>
      </c>
      <c r="I174" s="184">
        <f>Table3[[#This Row],[Unit Price]]*Table3[[#This Row],[QTY]]</f>
        <v>103.68</v>
      </c>
      <c r="J174" s="6" t="s">
        <v>3121</v>
      </c>
      <c r="K174" s="6" t="s">
        <v>58</v>
      </c>
      <c r="L174" s="6"/>
      <c r="M174" s="7">
        <v>45813</v>
      </c>
      <c r="N174" s="174">
        <v>45838</v>
      </c>
      <c r="R174" s="1" t="s">
        <v>3342</v>
      </c>
    </row>
    <row r="175" spans="1:18" hidden="1">
      <c r="A175" s="182" t="s">
        <v>3409</v>
      </c>
      <c r="B175" s="7">
        <v>45807</v>
      </c>
      <c r="C175" s="183" t="s">
        <v>3145</v>
      </c>
      <c r="D175" s="6" t="s">
        <v>3399</v>
      </c>
      <c r="E175" s="6"/>
      <c r="F175" s="6" t="s">
        <v>3400</v>
      </c>
      <c r="G175" s="6">
        <v>1</v>
      </c>
      <c r="H175" s="184">
        <v>416.44</v>
      </c>
      <c r="I175" s="184">
        <f>Table3[[#This Row],[Unit Price]]*Table3[[#This Row],[QTY]]</f>
        <v>416.44</v>
      </c>
      <c r="J175" s="6" t="s">
        <v>3121</v>
      </c>
      <c r="K175" s="6" t="s">
        <v>58</v>
      </c>
      <c r="L175" s="6"/>
      <c r="M175" s="7">
        <v>45813</v>
      </c>
      <c r="N175" s="174">
        <v>45838</v>
      </c>
      <c r="O175" s="4">
        <v>108922</v>
      </c>
      <c r="R175" s="1" t="s">
        <v>3342</v>
      </c>
    </row>
    <row r="176" spans="1:18" hidden="1">
      <c r="A176" s="182" t="s">
        <v>3410</v>
      </c>
      <c r="B176" s="7">
        <v>45810</v>
      </c>
      <c r="C176" s="183" t="s">
        <v>3145</v>
      </c>
      <c r="D176" s="6" t="s">
        <v>3411</v>
      </c>
      <c r="E176" s="6"/>
      <c r="F176" s="6" t="s">
        <v>3412</v>
      </c>
      <c r="G176" s="6">
        <v>1</v>
      </c>
      <c r="H176" s="184">
        <v>14</v>
      </c>
      <c r="I176" s="184">
        <f>Table3[[#This Row],[Unit Price]]*Table3[[#This Row],[QTY]]</f>
        <v>14</v>
      </c>
      <c r="J176" s="6" t="s">
        <v>3121</v>
      </c>
      <c r="K176" s="6" t="s">
        <v>58</v>
      </c>
      <c r="L176" s="6"/>
      <c r="M176" s="7">
        <v>45820</v>
      </c>
      <c r="N176" s="174">
        <v>45838</v>
      </c>
      <c r="O176" s="4">
        <v>109341</v>
      </c>
      <c r="R176" s="1" t="s">
        <v>3342</v>
      </c>
    </row>
    <row r="177" spans="1:18">
      <c r="A177" s="182" t="s">
        <v>3413</v>
      </c>
      <c r="B177" s="7">
        <v>45810</v>
      </c>
      <c r="C177" s="183" t="s">
        <v>2437</v>
      </c>
      <c r="D177" s="6" t="s">
        <v>3414</v>
      </c>
      <c r="E177" s="6" t="s">
        <v>570</v>
      </c>
      <c r="F177" s="6" t="s">
        <v>3415</v>
      </c>
      <c r="G177" s="6">
        <v>1</v>
      </c>
      <c r="H177" s="184">
        <v>1429.35</v>
      </c>
      <c r="I177" s="184">
        <f>Table3[[#This Row],[Unit Price]]*Table3[[#This Row],[QTY]]</f>
        <v>1429.35</v>
      </c>
      <c r="J177" s="6" t="s">
        <v>3121</v>
      </c>
      <c r="K177" s="6" t="s">
        <v>58</v>
      </c>
      <c r="L177" s="6"/>
      <c r="M177" s="7">
        <v>45820</v>
      </c>
      <c r="N177" s="174">
        <v>45838</v>
      </c>
      <c r="O177" s="4">
        <v>109347</v>
      </c>
      <c r="R177" s="1" t="s">
        <v>3342</v>
      </c>
    </row>
    <row r="178" spans="1:18" hidden="1">
      <c r="A178" s="31" t="s">
        <v>3416</v>
      </c>
      <c r="B178" s="7">
        <v>45812</v>
      </c>
      <c r="C178" s="6" t="s">
        <v>381</v>
      </c>
      <c r="D178" s="6" t="s">
        <v>3380</v>
      </c>
      <c r="E178" s="6" t="s">
        <v>1902</v>
      </c>
      <c r="F178" s="6" t="s">
        <v>3417</v>
      </c>
      <c r="G178" s="6">
        <v>1</v>
      </c>
      <c r="H178" s="184">
        <v>1136.6300000000001</v>
      </c>
      <c r="I178" s="184">
        <f>Table3[[#This Row],[Unit Price]]*Table3[[#This Row],[QTY]]</f>
        <v>1136.6300000000001</v>
      </c>
      <c r="J178" s="6" t="s">
        <v>3121</v>
      </c>
      <c r="K178" s="6" t="s">
        <v>58</v>
      </c>
      <c r="L178" s="6"/>
      <c r="M178" s="7">
        <v>45820</v>
      </c>
      <c r="N178" s="174">
        <v>45838</v>
      </c>
    </row>
    <row r="179" spans="1:18" hidden="1">
      <c r="A179" s="31" t="s">
        <v>3418</v>
      </c>
      <c r="B179" s="7">
        <v>45813</v>
      </c>
      <c r="C179" s="6" t="s">
        <v>381</v>
      </c>
      <c r="D179" s="6" t="s">
        <v>3419</v>
      </c>
      <c r="E179" s="6"/>
      <c r="F179" s="6" t="s">
        <v>3420</v>
      </c>
      <c r="G179" s="6">
        <v>4</v>
      </c>
      <c r="H179" s="184">
        <v>11.76</v>
      </c>
      <c r="I179" s="184">
        <f>Table3[[#This Row],[Unit Price]]*Table3[[#This Row],[QTY]]</f>
        <v>47.04</v>
      </c>
      <c r="J179" s="6" t="s">
        <v>3390</v>
      </c>
      <c r="K179" s="6" t="s">
        <v>58</v>
      </c>
      <c r="L179" s="6"/>
      <c r="M179" s="7">
        <v>45851</v>
      </c>
      <c r="N179" s="174">
        <v>45897</v>
      </c>
      <c r="R179" s="1" t="s">
        <v>3342</v>
      </c>
    </row>
    <row r="180" spans="1:18" hidden="1">
      <c r="A180" s="182" t="s">
        <v>3418</v>
      </c>
      <c r="B180" s="7">
        <v>45813</v>
      </c>
      <c r="C180" s="183" t="s">
        <v>3145</v>
      </c>
      <c r="D180" s="6" t="s">
        <v>1416</v>
      </c>
      <c r="E180" s="6"/>
      <c r="F180" s="6" t="s">
        <v>3421</v>
      </c>
      <c r="G180" s="6">
        <v>2</v>
      </c>
      <c r="H180" s="184">
        <v>83.71</v>
      </c>
      <c r="I180" s="184">
        <f>Table3[[#This Row],[Unit Price]]*Table3[[#This Row],[QTY]]</f>
        <v>167.42</v>
      </c>
      <c r="J180" s="6" t="s">
        <v>3121</v>
      </c>
      <c r="K180" s="6" t="s">
        <v>58</v>
      </c>
      <c r="L180" s="6"/>
      <c r="M180" s="7">
        <v>45820</v>
      </c>
      <c r="N180" s="174">
        <v>45838</v>
      </c>
      <c r="R180" s="1" t="s">
        <v>3342</v>
      </c>
    </row>
    <row r="181" spans="1:18" hidden="1">
      <c r="A181" s="182" t="s">
        <v>3418</v>
      </c>
      <c r="B181" s="7">
        <v>45813</v>
      </c>
      <c r="C181" s="183" t="s">
        <v>3145</v>
      </c>
      <c r="D181" s="6" t="s">
        <v>1418</v>
      </c>
      <c r="E181" s="6" t="s">
        <v>185</v>
      </c>
      <c r="F181" s="6" t="s">
        <v>3422</v>
      </c>
      <c r="G181" s="6">
        <v>1</v>
      </c>
      <c r="H181" s="184">
        <v>29.9</v>
      </c>
      <c r="I181" s="184">
        <f>Table3[[#This Row],[Unit Price]]*Table3[[#This Row],[QTY]]</f>
        <v>29.9</v>
      </c>
      <c r="J181" s="6" t="s">
        <v>3121</v>
      </c>
      <c r="K181" s="6" t="s">
        <v>58</v>
      </c>
      <c r="L181" s="6"/>
      <c r="M181" s="7">
        <v>45820</v>
      </c>
      <c r="N181" s="174">
        <v>45838</v>
      </c>
      <c r="R181" s="1" t="s">
        <v>3342</v>
      </c>
    </row>
    <row r="182" spans="1:18" hidden="1">
      <c r="A182" s="182" t="s">
        <v>3418</v>
      </c>
      <c r="B182" s="7">
        <v>45813</v>
      </c>
      <c r="C182" s="183" t="s">
        <v>3145</v>
      </c>
      <c r="D182" s="6" t="s">
        <v>245</v>
      </c>
      <c r="E182" s="6" t="s">
        <v>247</v>
      </c>
      <c r="F182" s="6" t="s">
        <v>3423</v>
      </c>
      <c r="G182" s="6">
        <v>1</v>
      </c>
      <c r="H182" s="184">
        <v>80.180000000000007</v>
      </c>
      <c r="I182" s="184">
        <f>Table3[[#This Row],[Unit Price]]*Table3[[#This Row],[QTY]]</f>
        <v>80.180000000000007</v>
      </c>
      <c r="J182" s="6" t="s">
        <v>3121</v>
      </c>
      <c r="K182" s="6" t="s">
        <v>58</v>
      </c>
      <c r="L182" s="6"/>
      <c r="M182" s="7">
        <v>45820</v>
      </c>
      <c r="N182" s="174">
        <v>45838</v>
      </c>
      <c r="R182" s="1" t="s">
        <v>3342</v>
      </c>
    </row>
    <row r="183" spans="1:18" hidden="1">
      <c r="A183" s="31" t="s">
        <v>3424</v>
      </c>
      <c r="B183" s="7">
        <v>45819</v>
      </c>
      <c r="C183" s="6" t="s">
        <v>3002</v>
      </c>
      <c r="D183" s="6" t="s">
        <v>3425</v>
      </c>
      <c r="E183" s="6"/>
      <c r="F183" s="6" t="s">
        <v>3426</v>
      </c>
      <c r="G183" s="6">
        <v>2</v>
      </c>
      <c r="H183" s="184">
        <v>97.79</v>
      </c>
      <c r="I183" s="184">
        <f>Table3[[#This Row],[Unit Price]]*Table3[[#This Row],[QTY]]</f>
        <v>195.58</v>
      </c>
      <c r="J183" s="6" t="s">
        <v>3427</v>
      </c>
      <c r="K183" s="6" t="s">
        <v>58</v>
      </c>
      <c r="L183" s="6"/>
      <c r="M183" s="7">
        <v>45837</v>
      </c>
      <c r="N183" s="174">
        <v>45897</v>
      </c>
      <c r="R183" s="1" t="s">
        <v>3342</v>
      </c>
    </row>
    <row r="184" spans="1:18" hidden="1">
      <c r="A184" s="31" t="s">
        <v>3428</v>
      </c>
      <c r="B184" s="7">
        <v>45819</v>
      </c>
      <c r="C184" s="6" t="s">
        <v>381</v>
      </c>
      <c r="D184" s="6" t="s">
        <v>3365</v>
      </c>
      <c r="E184" s="6"/>
      <c r="F184" s="6" t="s">
        <v>1238</v>
      </c>
      <c r="G184" s="6">
        <v>4</v>
      </c>
      <c r="H184" s="184">
        <v>60.75</v>
      </c>
      <c r="I184" s="184">
        <f>Table3[[#This Row],[Unit Price]]*Table3[[#This Row],[QTY]]</f>
        <v>243</v>
      </c>
      <c r="J184" s="6" t="s">
        <v>3390</v>
      </c>
      <c r="K184" s="6" t="s">
        <v>58</v>
      </c>
      <c r="L184" s="6"/>
      <c r="M184" s="7">
        <v>45837</v>
      </c>
      <c r="N184" s="174">
        <v>45897</v>
      </c>
      <c r="R184" s="1" t="s">
        <v>3342</v>
      </c>
    </row>
    <row r="185" spans="1:18" hidden="1">
      <c r="A185" s="31" t="s">
        <v>3429</v>
      </c>
      <c r="B185" s="7">
        <v>45820</v>
      </c>
      <c r="C185" s="6" t="s">
        <v>381</v>
      </c>
      <c r="D185" s="6" t="s">
        <v>3430</v>
      </c>
      <c r="E185" s="6" t="s">
        <v>3431</v>
      </c>
      <c r="F185" s="6" t="s">
        <v>3432</v>
      </c>
      <c r="G185" s="6">
        <v>1</v>
      </c>
      <c r="H185" s="184">
        <v>155.72999999999999</v>
      </c>
      <c r="I185" s="184">
        <f>Table3[[#This Row],[Unit Price]]*Table3[[#This Row],[QTY]]</f>
        <v>155.72999999999999</v>
      </c>
      <c r="J185" s="6" t="s">
        <v>3390</v>
      </c>
      <c r="K185" s="6" t="s">
        <v>58</v>
      </c>
      <c r="L185" s="6"/>
      <c r="M185" s="7">
        <v>45837</v>
      </c>
      <c r="N185" s="174">
        <v>45897</v>
      </c>
      <c r="R185" s="1" t="s">
        <v>3342</v>
      </c>
    </row>
    <row r="186" spans="1:18" hidden="1">
      <c r="A186" s="31" t="s">
        <v>3429</v>
      </c>
      <c r="B186" s="7">
        <v>45820</v>
      </c>
      <c r="C186" s="6" t="s">
        <v>381</v>
      </c>
      <c r="D186" s="6" t="s">
        <v>3430</v>
      </c>
      <c r="E186" s="6" t="s">
        <v>3433</v>
      </c>
      <c r="F186" s="6" t="s">
        <v>3432</v>
      </c>
      <c r="G186" s="6">
        <v>3</v>
      </c>
      <c r="H186" s="184">
        <v>530.75</v>
      </c>
      <c r="I186" s="184">
        <f>Table3[[#This Row],[Unit Price]]*Table3[[#This Row],[QTY]]</f>
        <v>1592.25</v>
      </c>
      <c r="J186" s="6" t="s">
        <v>3390</v>
      </c>
      <c r="K186" s="6" t="s">
        <v>58</v>
      </c>
      <c r="L186" s="6"/>
      <c r="M186" s="7">
        <v>45841</v>
      </c>
      <c r="N186" s="174">
        <v>45897</v>
      </c>
      <c r="R186" s="1" t="s">
        <v>3342</v>
      </c>
    </row>
    <row r="187" spans="1:18" hidden="1">
      <c r="A187" s="31" t="s">
        <v>3434</v>
      </c>
      <c r="B187" s="7">
        <v>45820</v>
      </c>
      <c r="C187" s="6" t="s">
        <v>381</v>
      </c>
      <c r="D187" s="6" t="s">
        <v>1135</v>
      </c>
      <c r="E187" s="6"/>
      <c r="F187" s="6" t="s">
        <v>2569</v>
      </c>
      <c r="G187" s="6">
        <v>1</v>
      </c>
      <c r="H187" s="184">
        <v>79.989999999999995</v>
      </c>
      <c r="I187" s="184">
        <f>Table3[[#This Row],[Unit Price]]*Table3[[#This Row],[QTY]]</f>
        <v>79.989999999999995</v>
      </c>
      <c r="J187" s="6" t="s">
        <v>3390</v>
      </c>
      <c r="K187" s="6" t="s">
        <v>58</v>
      </c>
      <c r="L187" s="6"/>
      <c r="M187" s="7">
        <v>45837</v>
      </c>
      <c r="N187" s="174">
        <v>45897</v>
      </c>
      <c r="R187" s="1" t="s">
        <v>3342</v>
      </c>
    </row>
    <row r="188" spans="1:18" hidden="1">
      <c r="A188" s="31" t="s">
        <v>3435</v>
      </c>
      <c r="B188" s="7">
        <v>45821</v>
      </c>
      <c r="C188" s="6" t="s">
        <v>381</v>
      </c>
      <c r="D188" s="6" t="s">
        <v>3436</v>
      </c>
      <c r="E188" s="6"/>
      <c r="F188" s="6" t="s">
        <v>1322</v>
      </c>
      <c r="G188" s="6">
        <v>4</v>
      </c>
      <c r="H188" s="184">
        <v>305.67</v>
      </c>
      <c r="I188" s="184">
        <f>Table3[[#This Row],[Unit Price]]*Table3[[#This Row],[QTY]]</f>
        <v>1222.68</v>
      </c>
      <c r="J188" s="6" t="s">
        <v>3390</v>
      </c>
      <c r="K188" s="6" t="s">
        <v>58</v>
      </c>
      <c r="L188" s="6"/>
      <c r="M188" s="7">
        <v>45837</v>
      </c>
      <c r="N188" s="174">
        <v>45897</v>
      </c>
      <c r="R188" s="1" t="s">
        <v>3342</v>
      </c>
    </row>
    <row r="189" spans="1:18" hidden="1">
      <c r="A189" s="31" t="s">
        <v>3437</v>
      </c>
      <c r="B189" s="7">
        <v>45825</v>
      </c>
      <c r="C189" s="6" t="s">
        <v>3177</v>
      </c>
      <c r="D189" s="6" t="s">
        <v>3438</v>
      </c>
      <c r="E189" s="6"/>
      <c r="F189" s="6" t="s">
        <v>3392</v>
      </c>
      <c r="G189" s="6">
        <v>1</v>
      </c>
      <c r="H189" s="184">
        <v>138.81</v>
      </c>
      <c r="I189" s="184">
        <f>Table3[[#This Row],[Unit Price]]*Table3[[#This Row],[QTY]]</f>
        <v>138.81</v>
      </c>
      <c r="J189" s="6" t="s">
        <v>3390</v>
      </c>
      <c r="K189" s="6" t="s">
        <v>89</v>
      </c>
      <c r="L189" s="6"/>
      <c r="M189" s="7">
        <v>45837</v>
      </c>
      <c r="N189" s="174">
        <v>45897</v>
      </c>
      <c r="O189" s="4">
        <v>109414</v>
      </c>
      <c r="P189" s="4">
        <v>74304</v>
      </c>
      <c r="Q189" s="171">
        <v>45901</v>
      </c>
      <c r="R189" s="1" t="s">
        <v>2990</v>
      </c>
    </row>
    <row r="190" spans="1:18" hidden="1">
      <c r="A190" s="31" t="s">
        <v>3439</v>
      </c>
      <c r="B190" s="7">
        <v>45825</v>
      </c>
      <c r="C190" s="6" t="s">
        <v>381</v>
      </c>
      <c r="D190" s="6" t="s">
        <v>3440</v>
      </c>
      <c r="E190" s="6"/>
      <c r="F190" s="6" t="s">
        <v>3441</v>
      </c>
      <c r="G190" s="6">
        <v>1</v>
      </c>
      <c r="H190" s="184">
        <v>130.65</v>
      </c>
      <c r="I190" s="184">
        <f>Table3[[#This Row],[Unit Price]]*Table3[[#This Row],[QTY]]</f>
        <v>130.65</v>
      </c>
      <c r="J190" s="6" t="s">
        <v>3390</v>
      </c>
      <c r="K190" s="6" t="s">
        <v>58</v>
      </c>
      <c r="L190" s="6"/>
      <c r="M190" s="7">
        <v>45837</v>
      </c>
      <c r="N190" s="174">
        <v>45897</v>
      </c>
      <c r="R190" s="1" t="s">
        <v>3342</v>
      </c>
    </row>
    <row r="191" spans="1:18" hidden="1">
      <c r="A191" s="31" t="s">
        <v>3442</v>
      </c>
      <c r="B191" s="7">
        <v>45826</v>
      </c>
      <c r="C191" s="6" t="s">
        <v>3287</v>
      </c>
      <c r="D191" s="6" t="s">
        <v>3443</v>
      </c>
      <c r="E191" s="6"/>
      <c r="F191" s="6" t="s">
        <v>3444</v>
      </c>
      <c r="G191" s="6">
        <v>1</v>
      </c>
      <c r="H191" s="184">
        <v>921.23</v>
      </c>
      <c r="I191" s="184">
        <f>Table3[[#This Row],[Unit Price]]*Table3[[#This Row],[QTY]]</f>
        <v>921.23</v>
      </c>
      <c r="J191" s="6" t="s">
        <v>3390</v>
      </c>
      <c r="K191" s="6" t="s">
        <v>58</v>
      </c>
      <c r="L191" s="6"/>
      <c r="M191" s="7">
        <v>45859</v>
      </c>
      <c r="N191" s="174">
        <v>45897</v>
      </c>
      <c r="R191" s="1" t="s">
        <v>3342</v>
      </c>
    </row>
    <row r="192" spans="1:18" hidden="1">
      <c r="A192" s="31" t="s">
        <v>3445</v>
      </c>
      <c r="B192" s="7">
        <v>45832</v>
      </c>
      <c r="C192" s="6" t="s">
        <v>3446</v>
      </c>
      <c r="D192" s="6" t="s">
        <v>3447</v>
      </c>
      <c r="E192" s="6"/>
      <c r="F192" s="6" t="s">
        <v>3448</v>
      </c>
      <c r="G192" s="6">
        <v>4</v>
      </c>
      <c r="H192" s="184">
        <v>98.36</v>
      </c>
      <c r="I192" s="184">
        <f>Table3[[#This Row],[Unit Price]]*Table3[[#This Row],[QTY]]</f>
        <v>393.44</v>
      </c>
      <c r="J192" s="6" t="s">
        <v>3390</v>
      </c>
      <c r="K192" s="6" t="s">
        <v>89</v>
      </c>
      <c r="L192" s="6"/>
      <c r="M192" s="7">
        <v>45841</v>
      </c>
      <c r="N192" s="174">
        <v>45897</v>
      </c>
      <c r="O192" s="4">
        <v>109513</v>
      </c>
      <c r="P192" s="4">
        <v>74310</v>
      </c>
      <c r="Q192" s="171">
        <v>45901</v>
      </c>
      <c r="R192" s="1" t="s">
        <v>2990</v>
      </c>
    </row>
    <row r="193" spans="1:18" hidden="1">
      <c r="A193" s="31" t="s">
        <v>3449</v>
      </c>
      <c r="B193" s="7">
        <v>45832</v>
      </c>
      <c r="C193" s="6" t="s">
        <v>3216</v>
      </c>
      <c r="D193" s="6" t="s">
        <v>3450</v>
      </c>
      <c r="E193" s="6" t="s">
        <v>1441</v>
      </c>
      <c r="F193" s="6" t="s">
        <v>3451</v>
      </c>
      <c r="G193" s="6">
        <v>4</v>
      </c>
      <c r="H193" s="184">
        <v>357.65</v>
      </c>
      <c r="I193" s="184">
        <f>Table3[[#This Row],[Unit Price]]*Table3[[#This Row],[QTY]]</f>
        <v>1430.6</v>
      </c>
      <c r="J193" s="6" t="s">
        <v>3390</v>
      </c>
      <c r="K193" s="6" t="s">
        <v>89</v>
      </c>
      <c r="L193" s="6"/>
      <c r="M193" s="7">
        <v>45841</v>
      </c>
      <c r="N193" s="174">
        <v>45897</v>
      </c>
      <c r="O193" s="4">
        <v>109501</v>
      </c>
      <c r="P193" s="4">
        <v>74292</v>
      </c>
      <c r="Q193" s="171">
        <v>45898</v>
      </c>
      <c r="R193" s="1" t="s">
        <v>2990</v>
      </c>
    </row>
    <row r="194" spans="1:18" hidden="1">
      <c r="A194" s="31" t="s">
        <v>3449</v>
      </c>
      <c r="B194" s="7">
        <v>45832</v>
      </c>
      <c r="C194" s="6" t="s">
        <v>3216</v>
      </c>
      <c r="D194" s="6" t="s">
        <v>3452</v>
      </c>
      <c r="E194" s="6"/>
      <c r="F194" s="6" t="s">
        <v>3453</v>
      </c>
      <c r="G194" s="6">
        <v>1</v>
      </c>
      <c r="H194" s="184">
        <v>697.33</v>
      </c>
      <c r="I194" s="184">
        <f>Table3[[#This Row],[Unit Price]]*Table3[[#This Row],[QTY]]</f>
        <v>697.33</v>
      </c>
      <c r="J194" s="6" t="s">
        <v>3390</v>
      </c>
      <c r="K194" s="6" t="s">
        <v>89</v>
      </c>
      <c r="L194" s="6"/>
      <c r="M194" s="7">
        <v>45841</v>
      </c>
      <c r="N194" s="174">
        <v>45897</v>
      </c>
      <c r="O194" s="4">
        <v>109501</v>
      </c>
      <c r="P194" s="4">
        <v>74292</v>
      </c>
      <c r="Q194" s="171">
        <v>45898</v>
      </c>
      <c r="R194" s="1" t="s">
        <v>2990</v>
      </c>
    </row>
    <row r="195" spans="1:18" hidden="1">
      <c r="A195" s="31" t="s">
        <v>3454</v>
      </c>
      <c r="B195" s="7">
        <v>45832</v>
      </c>
      <c r="C195" s="6" t="s">
        <v>2132</v>
      </c>
      <c r="D195" s="6" t="s">
        <v>3205</v>
      </c>
      <c r="E195" s="6"/>
      <c r="F195" s="6" t="s">
        <v>3455</v>
      </c>
      <c r="G195" s="6">
        <v>1</v>
      </c>
      <c r="H195" s="184">
        <v>2404.3000000000002</v>
      </c>
      <c r="I195" s="184">
        <f>Table3[[#This Row],[Unit Price]]*Table3[[#This Row],[QTY]]</f>
        <v>2404.3000000000002</v>
      </c>
      <c r="J195" s="6" t="s">
        <v>3454</v>
      </c>
      <c r="K195" s="48" t="s">
        <v>89</v>
      </c>
      <c r="L195" s="6"/>
      <c r="M195" s="7">
        <v>45837</v>
      </c>
      <c r="N195" s="172">
        <v>45845</v>
      </c>
    </row>
    <row r="196" spans="1:18" hidden="1">
      <c r="A196" s="31" t="s">
        <v>3456</v>
      </c>
      <c r="B196" s="7">
        <v>45832</v>
      </c>
      <c r="C196" s="6" t="s">
        <v>3457</v>
      </c>
      <c r="D196" s="6" t="s">
        <v>3450</v>
      </c>
      <c r="E196" s="6" t="s">
        <v>1441</v>
      </c>
      <c r="F196" s="6" t="s">
        <v>3451</v>
      </c>
      <c r="G196" s="6">
        <v>1</v>
      </c>
      <c r="H196" s="184">
        <v>357.65</v>
      </c>
      <c r="I196" s="184">
        <f>Table3[[#This Row],[Unit Price]]*Table3[[#This Row],[QTY]]</f>
        <v>357.65</v>
      </c>
      <c r="J196" s="6" t="s">
        <v>3390</v>
      </c>
      <c r="K196" s="6" t="s">
        <v>58</v>
      </c>
      <c r="L196" s="6"/>
      <c r="M196" s="7">
        <v>45841</v>
      </c>
      <c r="N196" s="174">
        <v>45897</v>
      </c>
      <c r="R196" s="1" t="s">
        <v>3342</v>
      </c>
    </row>
    <row r="197" spans="1:18" hidden="1">
      <c r="A197" s="31" t="s">
        <v>3458</v>
      </c>
      <c r="B197" s="7">
        <v>45833</v>
      </c>
      <c r="C197" s="6" t="s">
        <v>3287</v>
      </c>
      <c r="D197" s="6" t="s">
        <v>3459</v>
      </c>
      <c r="E197" s="6"/>
      <c r="F197" s="6" t="s">
        <v>3003</v>
      </c>
      <c r="G197" s="6">
        <v>10</v>
      </c>
      <c r="H197" s="184">
        <v>17.28</v>
      </c>
      <c r="I197" s="184">
        <f>Table3[[#This Row],[Unit Price]]*Table3[[#This Row],[QTY]]</f>
        <v>172.8</v>
      </c>
      <c r="J197" s="6" t="s">
        <v>3390</v>
      </c>
      <c r="K197" s="6" t="s">
        <v>58</v>
      </c>
      <c r="L197" s="6"/>
      <c r="M197" s="7">
        <v>45841</v>
      </c>
      <c r="N197" s="174">
        <v>45897</v>
      </c>
      <c r="R197" s="1" t="s">
        <v>3342</v>
      </c>
    </row>
    <row r="198" spans="1:18" hidden="1">
      <c r="A198" s="31" t="s">
        <v>3460</v>
      </c>
      <c r="B198" s="7">
        <v>45835</v>
      </c>
      <c r="C198" s="6" t="s">
        <v>3287</v>
      </c>
      <c r="D198" s="6" t="s">
        <v>2758</v>
      </c>
      <c r="E198" s="6"/>
      <c r="F198" s="6" t="s">
        <v>3403</v>
      </c>
      <c r="G198" s="6">
        <v>2</v>
      </c>
      <c r="H198" s="184">
        <v>77.010000000000005</v>
      </c>
      <c r="I198" s="184">
        <f>Table3[[#This Row],[Unit Price]]*Table3[[#This Row],[QTY]]</f>
        <v>154.02000000000001</v>
      </c>
      <c r="J198" s="6" t="s">
        <v>3390</v>
      </c>
      <c r="K198" s="6" t="s">
        <v>58</v>
      </c>
      <c r="L198" s="6"/>
      <c r="M198" s="7">
        <v>45851</v>
      </c>
      <c r="N198" s="174">
        <v>45897</v>
      </c>
      <c r="R198" s="1" t="s">
        <v>3342</v>
      </c>
    </row>
    <row r="199" spans="1:18" hidden="1">
      <c r="A199" s="31" t="s">
        <v>3461</v>
      </c>
      <c r="B199" s="7">
        <v>45835</v>
      </c>
      <c r="C199" s="6" t="s">
        <v>3287</v>
      </c>
      <c r="D199" s="6" t="s">
        <v>3462</v>
      </c>
      <c r="E199" s="6"/>
      <c r="F199" s="6" t="s">
        <v>3463</v>
      </c>
      <c r="G199" s="6">
        <v>1</v>
      </c>
      <c r="H199" s="184">
        <v>538.91999999999996</v>
      </c>
      <c r="I199" s="184">
        <f>Table3[[#This Row],[Unit Price]]*Table3[[#This Row],[QTY]]</f>
        <v>538.91999999999996</v>
      </c>
      <c r="J199" s="6" t="s">
        <v>3390</v>
      </c>
      <c r="K199" s="6" t="s">
        <v>58</v>
      </c>
      <c r="L199" s="6"/>
      <c r="M199" s="7">
        <v>45851</v>
      </c>
      <c r="N199" s="174">
        <v>45897</v>
      </c>
      <c r="R199" s="1" t="s">
        <v>3342</v>
      </c>
    </row>
    <row r="200" spans="1:18" hidden="1">
      <c r="A200" s="180" t="s">
        <v>3464</v>
      </c>
      <c r="B200" s="7">
        <v>45833</v>
      </c>
      <c r="C200" s="189" t="s">
        <v>2132</v>
      </c>
      <c r="D200" s="6" t="s">
        <v>3465</v>
      </c>
      <c r="E200" s="6"/>
      <c r="F200" s="6" t="s">
        <v>3466</v>
      </c>
      <c r="G200" s="6">
        <v>1</v>
      </c>
      <c r="H200" s="184">
        <v>451.96</v>
      </c>
      <c r="I200" s="184">
        <f>Table3[[#This Row],[Unit Price]]*Table3[[#This Row],[QTY]]</f>
        <v>451.96</v>
      </c>
      <c r="J200" s="6" t="s">
        <v>3464</v>
      </c>
      <c r="K200" s="6" t="s">
        <v>58</v>
      </c>
      <c r="L200" s="6"/>
      <c r="M200" s="7">
        <v>45848</v>
      </c>
      <c r="N200" s="172">
        <v>45852</v>
      </c>
      <c r="O200" s="4">
        <v>109800</v>
      </c>
      <c r="Q200" s="171">
        <v>45864</v>
      </c>
      <c r="R200" s="1" t="s">
        <v>2990</v>
      </c>
    </row>
    <row r="201" spans="1:18" hidden="1">
      <c r="A201" s="31" t="s">
        <v>3467</v>
      </c>
      <c r="B201" s="7">
        <v>45839</v>
      </c>
      <c r="C201" s="6" t="s">
        <v>3287</v>
      </c>
      <c r="D201" s="6" t="s">
        <v>3468</v>
      </c>
      <c r="E201" s="6"/>
      <c r="F201" s="6" t="s">
        <v>1166</v>
      </c>
      <c r="G201" s="6">
        <v>1</v>
      </c>
      <c r="H201" s="184">
        <v>1187.4100000000001</v>
      </c>
      <c r="I201" s="184">
        <f>Table3[[#This Row],[Unit Price]]*Table3[[#This Row],[QTY]]</f>
        <v>1187.4100000000001</v>
      </c>
      <c r="J201" s="6" t="s">
        <v>3469</v>
      </c>
      <c r="K201" s="6" t="s">
        <v>58</v>
      </c>
      <c r="L201" s="6"/>
      <c r="M201" s="7">
        <v>45888</v>
      </c>
      <c r="N201" s="172">
        <v>45945</v>
      </c>
    </row>
    <row r="202" spans="1:18" hidden="1">
      <c r="A202" s="31" t="s">
        <v>3470</v>
      </c>
      <c r="B202" s="7">
        <v>45839</v>
      </c>
      <c r="C202" s="6" t="s">
        <v>3471</v>
      </c>
      <c r="D202" s="6" t="s">
        <v>153</v>
      </c>
      <c r="E202" s="6"/>
      <c r="F202" s="6" t="s">
        <v>154</v>
      </c>
      <c r="G202" s="6">
        <v>1</v>
      </c>
      <c r="H202" s="184">
        <v>227.98</v>
      </c>
      <c r="I202" s="184">
        <f>Table3[[#This Row],[Unit Price]]*Table3[[#This Row],[QTY]]</f>
        <v>227.98</v>
      </c>
      <c r="J202" s="6" t="s">
        <v>3390</v>
      </c>
      <c r="K202" s="6" t="s">
        <v>89</v>
      </c>
      <c r="L202" s="6"/>
      <c r="M202" s="7">
        <v>45851</v>
      </c>
      <c r="N202" s="174">
        <v>45897</v>
      </c>
      <c r="O202" s="4">
        <v>109441</v>
      </c>
      <c r="P202" s="4">
        <v>74311</v>
      </c>
      <c r="Q202" s="171">
        <v>45901</v>
      </c>
      <c r="R202" s="1" t="s">
        <v>2990</v>
      </c>
    </row>
    <row r="203" spans="1:18" hidden="1">
      <c r="A203" s="31" t="s">
        <v>3470</v>
      </c>
      <c r="B203" s="7">
        <v>45839</v>
      </c>
      <c r="C203" s="6" t="s">
        <v>3471</v>
      </c>
      <c r="D203" s="6" t="s">
        <v>3472</v>
      </c>
      <c r="E203" s="6" t="s">
        <v>854</v>
      </c>
      <c r="F203" s="6" t="s">
        <v>3473</v>
      </c>
      <c r="G203" s="6">
        <v>2</v>
      </c>
      <c r="H203" s="184">
        <v>1208.49</v>
      </c>
      <c r="I203" s="184">
        <f>Table3[[#This Row],[Unit Price]]*Table3[[#This Row],[QTY]]</f>
        <v>2416.98</v>
      </c>
      <c r="J203" s="6" t="s">
        <v>3390</v>
      </c>
      <c r="K203" s="6" t="s">
        <v>89</v>
      </c>
      <c r="L203" s="6"/>
      <c r="M203" s="7">
        <v>45851</v>
      </c>
      <c r="N203" s="174">
        <v>45897</v>
      </c>
      <c r="O203" s="4">
        <v>109441</v>
      </c>
      <c r="P203" s="4">
        <v>74311</v>
      </c>
      <c r="Q203" s="171">
        <v>45901</v>
      </c>
      <c r="R203" s="1" t="s">
        <v>2990</v>
      </c>
    </row>
    <row r="204" spans="1:18" hidden="1">
      <c r="A204" s="31" t="s">
        <v>3470</v>
      </c>
      <c r="B204" s="7">
        <v>45839</v>
      </c>
      <c r="C204" s="6" t="s">
        <v>3471</v>
      </c>
      <c r="D204" s="6" t="s">
        <v>1000</v>
      </c>
      <c r="E204" s="6"/>
      <c r="F204" s="6" t="s">
        <v>3350</v>
      </c>
      <c r="G204" s="6">
        <v>2</v>
      </c>
      <c r="H204" s="184">
        <v>129.01</v>
      </c>
      <c r="I204" s="184">
        <f>Table3[[#This Row],[Unit Price]]*Table3[[#This Row],[QTY]]</f>
        <v>258.02</v>
      </c>
      <c r="J204" s="6" t="s">
        <v>3474</v>
      </c>
      <c r="K204" s="6" t="s">
        <v>89</v>
      </c>
      <c r="L204" s="6"/>
      <c r="M204" s="7">
        <v>45888</v>
      </c>
      <c r="N204" s="172">
        <v>45945</v>
      </c>
      <c r="O204" s="4">
        <v>109441</v>
      </c>
      <c r="P204" s="4">
        <v>74311</v>
      </c>
      <c r="Q204" s="171">
        <v>45901</v>
      </c>
      <c r="R204" s="1" t="s">
        <v>2990</v>
      </c>
    </row>
    <row r="205" spans="1:18" hidden="1">
      <c r="A205" s="31" t="s">
        <v>3470</v>
      </c>
      <c r="B205" s="7">
        <v>45839</v>
      </c>
      <c r="C205" s="6" t="s">
        <v>3471</v>
      </c>
      <c r="D205" s="6" t="s">
        <v>736</v>
      </c>
      <c r="E205" s="6"/>
      <c r="F205" s="6" t="s">
        <v>3281</v>
      </c>
      <c r="G205" s="6">
        <v>1</v>
      </c>
      <c r="H205" s="184">
        <v>180.46</v>
      </c>
      <c r="I205" s="184">
        <f>Table3[[#This Row],[Unit Price]]*Table3[[#This Row],[QTY]]</f>
        <v>180.46</v>
      </c>
      <c r="J205" s="6" t="s">
        <v>3390</v>
      </c>
      <c r="K205" s="6" t="s">
        <v>89</v>
      </c>
      <c r="L205" s="6"/>
      <c r="M205" s="7">
        <v>45851</v>
      </c>
      <c r="N205" s="174">
        <v>45897</v>
      </c>
      <c r="O205" s="4">
        <v>109441</v>
      </c>
      <c r="P205" s="4">
        <v>74311</v>
      </c>
      <c r="Q205" s="171">
        <v>45901</v>
      </c>
      <c r="R205" s="1" t="s">
        <v>2990</v>
      </c>
    </row>
    <row r="206" spans="1:18" hidden="1">
      <c r="A206" s="31" t="s">
        <v>3475</v>
      </c>
      <c r="B206" s="7">
        <v>45839</v>
      </c>
      <c r="C206" s="6" t="s">
        <v>381</v>
      </c>
      <c r="D206" s="6" t="s">
        <v>2758</v>
      </c>
      <c r="E206" s="6"/>
      <c r="F206" s="6" t="s">
        <v>3403</v>
      </c>
      <c r="G206" s="6">
        <v>1</v>
      </c>
      <c r="H206" s="184">
        <v>77.010000000000005</v>
      </c>
      <c r="I206" s="184">
        <f>Table3[[#This Row],[Unit Price]]*Table3[[#This Row],[QTY]]</f>
        <v>77.010000000000005</v>
      </c>
      <c r="J206" s="6" t="s">
        <v>3390</v>
      </c>
      <c r="K206" s="6" t="s">
        <v>58</v>
      </c>
      <c r="L206" s="6"/>
      <c r="M206" s="7">
        <v>45851</v>
      </c>
      <c r="N206" s="174">
        <v>45897</v>
      </c>
      <c r="O206" s="4">
        <v>109561</v>
      </c>
      <c r="Q206" s="171">
        <v>45901</v>
      </c>
      <c r="R206" s="1" t="s">
        <v>3342</v>
      </c>
    </row>
    <row r="207" spans="1:18" hidden="1">
      <c r="A207" s="31" t="s">
        <v>3476</v>
      </c>
      <c r="B207" s="7">
        <v>45841</v>
      </c>
      <c r="C207" s="6" t="s">
        <v>3477</v>
      </c>
      <c r="D207" s="6" t="s">
        <v>3478</v>
      </c>
      <c r="E207" s="6" t="s">
        <v>3479</v>
      </c>
      <c r="F207" s="6" t="s">
        <v>3480</v>
      </c>
      <c r="G207" s="6">
        <v>1</v>
      </c>
      <c r="H207" s="184">
        <v>228.63</v>
      </c>
      <c r="I207" s="184">
        <f>Table3[[#This Row],[Unit Price]]*Table3[[#This Row],[QTY]]</f>
        <v>228.63</v>
      </c>
      <c r="J207" s="6" t="s">
        <v>3390</v>
      </c>
      <c r="K207" s="6" t="s">
        <v>89</v>
      </c>
      <c r="L207" s="6"/>
      <c r="M207" s="7">
        <v>45851</v>
      </c>
      <c r="N207" s="174">
        <v>45897</v>
      </c>
      <c r="O207" s="4">
        <v>109608</v>
      </c>
      <c r="P207" s="4">
        <v>74318</v>
      </c>
      <c r="Q207" s="171">
        <v>45901</v>
      </c>
      <c r="R207" s="1" t="s">
        <v>2990</v>
      </c>
    </row>
    <row r="208" spans="1:18" hidden="1">
      <c r="A208" s="31" t="s">
        <v>3481</v>
      </c>
      <c r="B208" s="7">
        <v>45841</v>
      </c>
      <c r="C208" s="6" t="s">
        <v>3177</v>
      </c>
      <c r="D208" s="6" t="s">
        <v>335</v>
      </c>
      <c r="E208" s="6"/>
      <c r="F208" s="6" t="s">
        <v>2569</v>
      </c>
      <c r="G208" s="6">
        <v>1</v>
      </c>
      <c r="H208" s="184">
        <v>79.989999999999995</v>
      </c>
      <c r="I208" s="184">
        <f>Table3[[#This Row],[Unit Price]]*Table3[[#This Row],[QTY]]</f>
        <v>79.989999999999995</v>
      </c>
      <c r="J208" s="6" t="s">
        <v>3390</v>
      </c>
      <c r="K208" s="6" t="s">
        <v>89</v>
      </c>
      <c r="L208" s="6"/>
      <c r="M208" s="7">
        <v>45859</v>
      </c>
      <c r="N208" s="174">
        <v>45897</v>
      </c>
      <c r="O208" s="4">
        <v>109590</v>
      </c>
      <c r="P208" s="4">
        <v>74304</v>
      </c>
      <c r="Q208" s="171">
        <v>45901</v>
      </c>
      <c r="R208" s="1" t="s">
        <v>2990</v>
      </c>
    </row>
    <row r="209" spans="1:18" hidden="1">
      <c r="A209" s="31" t="s">
        <v>3481</v>
      </c>
      <c r="B209" s="7">
        <v>45841</v>
      </c>
      <c r="C209" s="6" t="s">
        <v>3177</v>
      </c>
      <c r="D209" s="6" t="s">
        <v>134</v>
      </c>
      <c r="E209" s="6"/>
      <c r="F209" s="6" t="s">
        <v>1386</v>
      </c>
      <c r="G209" s="6">
        <v>1</v>
      </c>
      <c r="H209" s="184">
        <v>42.46</v>
      </c>
      <c r="I209" s="184">
        <f>Table3[[#This Row],[Unit Price]]*Table3[[#This Row],[QTY]]</f>
        <v>42.46</v>
      </c>
      <c r="J209" s="6" t="s">
        <v>3390</v>
      </c>
      <c r="K209" s="6" t="s">
        <v>89</v>
      </c>
      <c r="L209" s="6"/>
      <c r="M209" s="7">
        <v>45869</v>
      </c>
      <c r="N209" s="174">
        <v>45897</v>
      </c>
      <c r="O209" s="4">
        <v>109590</v>
      </c>
      <c r="P209" s="4">
        <v>74304</v>
      </c>
      <c r="Q209" s="171">
        <v>45901</v>
      </c>
      <c r="R209" s="1" t="s">
        <v>2990</v>
      </c>
    </row>
    <row r="210" spans="1:18" hidden="1">
      <c r="A210" s="31" t="s">
        <v>3482</v>
      </c>
      <c r="B210" s="7">
        <v>45841</v>
      </c>
      <c r="C210" s="6" t="s">
        <v>3287</v>
      </c>
      <c r="D210" s="6" t="s">
        <v>2570</v>
      </c>
      <c r="E210" s="6"/>
      <c r="F210" s="6" t="s">
        <v>3348</v>
      </c>
      <c r="G210" s="6">
        <v>1</v>
      </c>
      <c r="H210" s="184">
        <v>16.329999999999998</v>
      </c>
      <c r="I210" s="184">
        <f>Table3[[#This Row],[Unit Price]]*Table3[[#This Row],[QTY]]</f>
        <v>16.329999999999998</v>
      </c>
      <c r="J210" s="6" t="s">
        <v>3390</v>
      </c>
      <c r="K210" s="6" t="s">
        <v>58</v>
      </c>
      <c r="L210" s="6"/>
      <c r="M210" s="7">
        <v>45851</v>
      </c>
      <c r="N210" s="174">
        <v>45897</v>
      </c>
      <c r="R210" s="1" t="s">
        <v>3342</v>
      </c>
    </row>
    <row r="211" spans="1:18" hidden="1">
      <c r="A211" s="31" t="s">
        <v>3482</v>
      </c>
      <c r="B211" s="7">
        <v>45841</v>
      </c>
      <c r="C211" s="6" t="s">
        <v>3287</v>
      </c>
      <c r="D211" s="6" t="s">
        <v>2125</v>
      </c>
      <c r="E211" s="6"/>
      <c r="F211" s="6" t="s">
        <v>3483</v>
      </c>
      <c r="G211" s="6">
        <v>1</v>
      </c>
      <c r="H211" s="184">
        <v>22.86</v>
      </c>
      <c r="I211" s="184">
        <f>Table3[[#This Row],[Unit Price]]*Table3[[#This Row],[QTY]]</f>
        <v>22.86</v>
      </c>
      <c r="J211" s="6" t="s">
        <v>3390</v>
      </c>
      <c r="K211" s="6" t="s">
        <v>58</v>
      </c>
      <c r="L211" s="6"/>
      <c r="M211" s="7">
        <v>45851</v>
      </c>
      <c r="N211" s="174">
        <v>45897</v>
      </c>
      <c r="R211" s="1" t="s">
        <v>3342</v>
      </c>
    </row>
    <row r="212" spans="1:18" hidden="1">
      <c r="A212" s="31" t="s">
        <v>3482</v>
      </c>
      <c r="B212" s="7">
        <v>45841</v>
      </c>
      <c r="C212" s="6" t="s">
        <v>3287</v>
      </c>
      <c r="D212" s="6" t="s">
        <v>280</v>
      </c>
      <c r="E212" s="6"/>
      <c r="F212" s="6" t="s">
        <v>3053</v>
      </c>
      <c r="G212" s="6">
        <v>1</v>
      </c>
      <c r="H212" s="184">
        <v>431.82</v>
      </c>
      <c r="I212" s="184">
        <f>Table3[[#This Row],[Unit Price]]*Table3[[#This Row],[QTY]]</f>
        <v>431.82</v>
      </c>
      <c r="J212" s="6" t="s">
        <v>3390</v>
      </c>
      <c r="K212" s="6" t="s">
        <v>58</v>
      </c>
      <c r="L212" s="6"/>
      <c r="M212" s="7">
        <v>45861</v>
      </c>
      <c r="N212" s="174">
        <v>45897</v>
      </c>
      <c r="R212" s="1" t="s">
        <v>3342</v>
      </c>
    </row>
    <row r="213" spans="1:18" hidden="1">
      <c r="A213" s="31" t="s">
        <v>3484</v>
      </c>
      <c r="B213" s="7">
        <v>45842</v>
      </c>
      <c r="C213" s="6" t="s">
        <v>3287</v>
      </c>
      <c r="D213" s="6" t="s">
        <v>683</v>
      </c>
      <c r="E213" s="6"/>
      <c r="F213" s="6" t="s">
        <v>3485</v>
      </c>
      <c r="G213" s="6">
        <v>3</v>
      </c>
      <c r="H213" s="184">
        <v>47.36</v>
      </c>
      <c r="I213" s="184">
        <f>Table3[[#This Row],[Unit Price]]*Table3[[#This Row],[QTY]]</f>
        <v>142.07999999999998</v>
      </c>
      <c r="J213" s="6" t="s">
        <v>3390</v>
      </c>
      <c r="K213" s="6" t="s">
        <v>58</v>
      </c>
      <c r="L213" s="6"/>
      <c r="M213" s="7">
        <v>45859</v>
      </c>
      <c r="N213" s="174">
        <v>45897</v>
      </c>
      <c r="R213" s="1" t="s">
        <v>3342</v>
      </c>
    </row>
    <row r="214" spans="1:18" hidden="1">
      <c r="A214" s="31" t="s">
        <v>3486</v>
      </c>
      <c r="B214" s="7">
        <v>45842</v>
      </c>
      <c r="C214" s="6" t="s">
        <v>3145</v>
      </c>
      <c r="D214" s="6" t="s">
        <v>2427</v>
      </c>
      <c r="E214" s="6" t="s">
        <v>2427</v>
      </c>
      <c r="F214" s="6" t="s">
        <v>2759</v>
      </c>
      <c r="G214" s="6">
        <v>2</v>
      </c>
      <c r="H214" s="184">
        <v>77.010000000000005</v>
      </c>
      <c r="I214" s="184">
        <f>Table3[[#This Row],[Unit Price]]*Table3[[#This Row],[QTY]]</f>
        <v>154.02000000000001</v>
      </c>
      <c r="J214" s="6" t="s">
        <v>3390</v>
      </c>
      <c r="K214" s="6" t="s">
        <v>89</v>
      </c>
      <c r="L214" s="6"/>
      <c r="M214" s="7">
        <v>45859</v>
      </c>
      <c r="N214" s="174">
        <v>45897</v>
      </c>
      <c r="O214" s="4">
        <v>109614</v>
      </c>
      <c r="P214" s="4">
        <v>74307</v>
      </c>
      <c r="Q214" s="171">
        <v>45901</v>
      </c>
      <c r="R214" s="1" t="s">
        <v>2990</v>
      </c>
    </row>
    <row r="215" spans="1:18" hidden="1">
      <c r="A215" s="31" t="s">
        <v>3487</v>
      </c>
      <c r="B215" s="7">
        <v>45846</v>
      </c>
      <c r="C215" s="6" t="s">
        <v>3287</v>
      </c>
      <c r="D215" s="6" t="s">
        <v>3488</v>
      </c>
      <c r="E215" s="6"/>
      <c r="F215" s="6" t="s">
        <v>3489</v>
      </c>
      <c r="G215" s="6">
        <v>3</v>
      </c>
      <c r="H215" s="184">
        <v>66.959999999999994</v>
      </c>
      <c r="I215" s="184">
        <f>Table3[[#This Row],[Unit Price]]*Table3[[#This Row],[QTY]]</f>
        <v>200.88</v>
      </c>
      <c r="J215" s="6" t="s">
        <v>3390</v>
      </c>
      <c r="K215" s="6" t="s">
        <v>58</v>
      </c>
      <c r="L215" s="6"/>
      <c r="M215" s="7">
        <v>45859</v>
      </c>
      <c r="N215" s="174">
        <v>45897</v>
      </c>
      <c r="R215" s="1" t="s">
        <v>3342</v>
      </c>
    </row>
    <row r="216" spans="1:18" hidden="1">
      <c r="A216" s="31" t="s">
        <v>3490</v>
      </c>
      <c r="B216" s="7">
        <v>45846</v>
      </c>
      <c r="C216" s="6" t="s">
        <v>63</v>
      </c>
      <c r="D216" s="6" t="s">
        <v>3491</v>
      </c>
      <c r="E216" s="6"/>
      <c r="F216" s="6" t="s">
        <v>3492</v>
      </c>
      <c r="G216" s="6">
        <v>2</v>
      </c>
      <c r="H216" s="184">
        <v>256</v>
      </c>
      <c r="I216" s="184">
        <f>Table3[[#This Row],[Unit Price]]*Table3[[#This Row],[QTY]]</f>
        <v>512</v>
      </c>
      <c r="J216" s="6" t="s">
        <v>3390</v>
      </c>
      <c r="K216" s="6" t="s">
        <v>89</v>
      </c>
      <c r="L216" s="6"/>
      <c r="M216" s="7">
        <v>45859</v>
      </c>
      <c r="N216" s="174">
        <v>45897</v>
      </c>
      <c r="O216" s="4">
        <v>109631</v>
      </c>
      <c r="P216" s="4">
        <v>74312</v>
      </c>
      <c r="Q216" s="171">
        <v>45901</v>
      </c>
      <c r="R216" s="1" t="s">
        <v>2990</v>
      </c>
    </row>
    <row r="217" spans="1:18" hidden="1">
      <c r="A217" s="31" t="s">
        <v>3493</v>
      </c>
      <c r="B217" s="7">
        <v>45849</v>
      </c>
      <c r="C217" s="6" t="s">
        <v>2132</v>
      </c>
      <c r="D217" s="6" t="s">
        <v>3494</v>
      </c>
      <c r="E217" s="6"/>
      <c r="F217" s="6" t="s">
        <v>3495</v>
      </c>
      <c r="G217" s="6">
        <v>6</v>
      </c>
      <c r="H217" s="184">
        <v>24.5</v>
      </c>
      <c r="I217" s="184">
        <f>Table3[[#This Row],[Unit Price]]*Table3[[#This Row],[QTY]]</f>
        <v>147</v>
      </c>
      <c r="J217" s="6" t="s">
        <v>3390</v>
      </c>
      <c r="K217" s="48" t="s">
        <v>89</v>
      </c>
      <c r="L217" s="6"/>
      <c r="M217" s="7">
        <v>45882</v>
      </c>
      <c r="N217" s="174">
        <v>45897</v>
      </c>
      <c r="O217" s="4">
        <v>109677</v>
      </c>
      <c r="P217" s="4">
        <v>74283</v>
      </c>
      <c r="Q217" s="171">
        <v>45898</v>
      </c>
      <c r="R217" s="1" t="s">
        <v>2990</v>
      </c>
    </row>
    <row r="218" spans="1:18" hidden="1">
      <c r="A218" s="31" t="s">
        <v>3493</v>
      </c>
      <c r="B218" s="7">
        <v>45849</v>
      </c>
      <c r="C218" s="6" t="s">
        <v>381</v>
      </c>
      <c r="D218" s="6" t="s">
        <v>134</v>
      </c>
      <c r="E218" s="6"/>
      <c r="F218" s="6" t="s">
        <v>1386</v>
      </c>
      <c r="G218" s="6">
        <v>1</v>
      </c>
      <c r="H218" s="184">
        <v>42.46</v>
      </c>
      <c r="I218" s="184">
        <f>Table3[[#This Row],[Unit Price]]*Table3[[#This Row],[QTY]]</f>
        <v>42.46</v>
      </c>
      <c r="J218" s="6" t="s">
        <v>3390</v>
      </c>
      <c r="K218" s="6" t="s">
        <v>58</v>
      </c>
      <c r="L218" s="6"/>
      <c r="M218" s="7">
        <v>45869</v>
      </c>
      <c r="N218" s="174">
        <v>45897</v>
      </c>
      <c r="R218" s="1" t="s">
        <v>3342</v>
      </c>
    </row>
    <row r="219" spans="1:18" hidden="1">
      <c r="A219" s="31" t="s">
        <v>3493</v>
      </c>
      <c r="B219" s="7">
        <v>45849</v>
      </c>
      <c r="C219" s="6" t="s">
        <v>2132</v>
      </c>
      <c r="D219" s="6" t="s">
        <v>464</v>
      </c>
      <c r="E219" s="6"/>
      <c r="F219" s="6" t="s">
        <v>3242</v>
      </c>
      <c r="G219" s="6">
        <v>2</v>
      </c>
      <c r="H219" s="184">
        <v>359.28</v>
      </c>
      <c r="I219" s="184">
        <f>Table3[[#This Row],[Unit Price]]*Table3[[#This Row],[QTY]]</f>
        <v>718.56</v>
      </c>
      <c r="J219" s="6" t="s">
        <v>3390</v>
      </c>
      <c r="K219" s="48" t="s">
        <v>89</v>
      </c>
      <c r="L219" s="6"/>
      <c r="M219" s="7">
        <v>45861</v>
      </c>
      <c r="N219" s="174">
        <v>45897</v>
      </c>
      <c r="O219" s="4">
        <v>109677</v>
      </c>
      <c r="P219" s="4">
        <v>74283</v>
      </c>
      <c r="Q219" s="171">
        <v>45898</v>
      </c>
      <c r="R219" s="1" t="s">
        <v>2990</v>
      </c>
    </row>
    <row r="220" spans="1:18" hidden="1">
      <c r="A220" s="31" t="s">
        <v>3493</v>
      </c>
      <c r="B220" s="7">
        <v>45849</v>
      </c>
      <c r="C220" s="6" t="s">
        <v>2132</v>
      </c>
      <c r="D220" s="6" t="s">
        <v>683</v>
      </c>
      <c r="E220" s="6"/>
      <c r="F220" s="6" t="s">
        <v>3485</v>
      </c>
      <c r="G220" s="6">
        <v>1</v>
      </c>
      <c r="H220" s="184">
        <v>47.36</v>
      </c>
      <c r="I220" s="184">
        <f>Table3[[#This Row],[Unit Price]]*Table3[[#This Row],[QTY]]</f>
        <v>47.36</v>
      </c>
      <c r="J220" s="6" t="s">
        <v>3390</v>
      </c>
      <c r="K220" s="6" t="s">
        <v>58</v>
      </c>
      <c r="L220" s="6"/>
      <c r="M220" s="7">
        <v>45861</v>
      </c>
      <c r="N220" s="174">
        <v>45897</v>
      </c>
      <c r="O220" s="4">
        <v>109677</v>
      </c>
      <c r="P220" s="4">
        <v>74283</v>
      </c>
      <c r="Q220" s="171">
        <v>45898</v>
      </c>
      <c r="R220" s="1" t="s">
        <v>2990</v>
      </c>
    </row>
    <row r="221" spans="1:18" hidden="1">
      <c r="A221" s="31" t="s">
        <v>3493</v>
      </c>
      <c r="B221" s="7">
        <v>45849</v>
      </c>
      <c r="C221" s="6" t="s">
        <v>381</v>
      </c>
      <c r="D221" s="6" t="s">
        <v>136</v>
      </c>
      <c r="E221" s="6"/>
      <c r="F221" s="6" t="s">
        <v>137</v>
      </c>
      <c r="G221" s="6">
        <v>1</v>
      </c>
      <c r="H221" s="184">
        <v>19.600000000000001</v>
      </c>
      <c r="I221" s="184">
        <f>Table3[[#This Row],[Unit Price]]*Table3[[#This Row],[QTY]]</f>
        <v>19.600000000000001</v>
      </c>
      <c r="J221" s="6" t="s">
        <v>3390</v>
      </c>
      <c r="K221" s="6" t="s">
        <v>58</v>
      </c>
      <c r="L221" s="6"/>
      <c r="M221" s="7">
        <v>45861</v>
      </c>
      <c r="N221" s="174">
        <v>45897</v>
      </c>
      <c r="R221" s="1" t="s">
        <v>3342</v>
      </c>
    </row>
    <row r="222" spans="1:18" hidden="1">
      <c r="A222" s="31" t="s">
        <v>3493</v>
      </c>
      <c r="B222" s="7">
        <v>45849</v>
      </c>
      <c r="C222" s="6" t="s">
        <v>2132</v>
      </c>
      <c r="D222" s="6" t="s">
        <v>3496</v>
      </c>
      <c r="E222" s="6"/>
      <c r="F222" s="6" t="s">
        <v>3497</v>
      </c>
      <c r="G222" s="6">
        <v>1</v>
      </c>
      <c r="H222" s="184">
        <v>12.46</v>
      </c>
      <c r="I222" s="184">
        <f>Table3[[#This Row],[Unit Price]]*Table3[[#This Row],[QTY]]</f>
        <v>12.46</v>
      </c>
      <c r="J222" s="6" t="s">
        <v>3469</v>
      </c>
      <c r="K222" s="6" t="s">
        <v>58</v>
      </c>
      <c r="L222" s="6"/>
      <c r="M222" s="7">
        <v>45888</v>
      </c>
      <c r="N222" s="172">
        <v>45945</v>
      </c>
    </row>
    <row r="223" spans="1:18" hidden="1">
      <c r="A223" s="31" t="s">
        <v>3498</v>
      </c>
      <c r="B223" s="7">
        <v>45850</v>
      </c>
      <c r="C223" s="6" t="s">
        <v>3216</v>
      </c>
      <c r="D223" s="6" t="s">
        <v>2125</v>
      </c>
      <c r="E223" s="6"/>
      <c r="F223" s="6" t="s">
        <v>3483</v>
      </c>
      <c r="G223" s="6">
        <v>3</v>
      </c>
      <c r="H223" s="184">
        <v>22.86</v>
      </c>
      <c r="I223" s="184">
        <f>Table3[[#This Row],[Unit Price]]*Table3[[#This Row],[QTY]]</f>
        <v>68.58</v>
      </c>
      <c r="J223" s="6" t="s">
        <v>3390</v>
      </c>
      <c r="K223" s="6" t="s">
        <v>89</v>
      </c>
      <c r="L223" s="6"/>
      <c r="M223" s="7">
        <v>45861</v>
      </c>
      <c r="N223" s="174">
        <v>45897</v>
      </c>
      <c r="O223" s="4">
        <v>109582</v>
      </c>
      <c r="P223" s="4">
        <v>74292</v>
      </c>
      <c r="Q223" s="171">
        <v>45898</v>
      </c>
      <c r="R223" s="1" t="s">
        <v>2990</v>
      </c>
    </row>
    <row r="224" spans="1:18" hidden="1">
      <c r="A224" s="31" t="s">
        <v>3498</v>
      </c>
      <c r="B224" s="7">
        <v>45850</v>
      </c>
      <c r="C224" s="6" t="s">
        <v>3216</v>
      </c>
      <c r="D224" s="6" t="s">
        <v>736</v>
      </c>
      <c r="E224" s="6"/>
      <c r="F224" s="6" t="s">
        <v>3281</v>
      </c>
      <c r="G224" s="6">
        <v>2</v>
      </c>
      <c r="H224" s="184">
        <v>180.46</v>
      </c>
      <c r="I224" s="184">
        <f>Table3[[#This Row],[Unit Price]]*Table3[[#This Row],[QTY]]</f>
        <v>360.92</v>
      </c>
      <c r="J224" s="6" t="s">
        <v>3390</v>
      </c>
      <c r="K224" s="6" t="s">
        <v>89</v>
      </c>
      <c r="L224" s="6"/>
      <c r="M224" s="7">
        <v>45861</v>
      </c>
      <c r="N224" s="174">
        <v>45897</v>
      </c>
      <c r="O224" s="4">
        <v>109582</v>
      </c>
      <c r="P224" s="4">
        <v>74292</v>
      </c>
      <c r="Q224" s="171">
        <v>45898</v>
      </c>
      <c r="R224" s="1" t="s">
        <v>2990</v>
      </c>
    </row>
    <row r="225" spans="1:18" hidden="1">
      <c r="A225" s="31" t="s">
        <v>3498</v>
      </c>
      <c r="B225" s="7">
        <v>45850</v>
      </c>
      <c r="C225" s="6" t="s">
        <v>3216</v>
      </c>
      <c r="D225" s="6" t="s">
        <v>3499</v>
      </c>
      <c r="E225" s="6"/>
      <c r="F225" s="6" t="s">
        <v>3500</v>
      </c>
      <c r="G225" s="6">
        <v>1</v>
      </c>
      <c r="H225" s="184">
        <v>319.76</v>
      </c>
      <c r="I225" s="184">
        <f>Table3[[#This Row],[Unit Price]]*Table3[[#This Row],[QTY]]</f>
        <v>319.76</v>
      </c>
      <c r="J225" s="6" t="s">
        <v>3390</v>
      </c>
      <c r="K225" s="6" t="s">
        <v>89</v>
      </c>
      <c r="L225" s="6"/>
      <c r="M225" s="7">
        <v>45861</v>
      </c>
      <c r="N225" s="174">
        <v>45897</v>
      </c>
      <c r="O225" s="4">
        <v>109582</v>
      </c>
      <c r="P225" s="4">
        <v>74292</v>
      </c>
      <c r="Q225" s="171">
        <v>45898</v>
      </c>
      <c r="R225" s="1" t="s">
        <v>2990</v>
      </c>
    </row>
    <row r="226" spans="1:18" hidden="1">
      <c r="A226" s="31" t="s">
        <v>3498</v>
      </c>
      <c r="B226" s="7">
        <v>45850</v>
      </c>
      <c r="C226" s="6" t="s">
        <v>3216</v>
      </c>
      <c r="D226" s="6" t="s">
        <v>3407</v>
      </c>
      <c r="E226" s="6"/>
      <c r="F226" s="6" t="s">
        <v>3408</v>
      </c>
      <c r="G226" s="6">
        <v>1</v>
      </c>
      <c r="H226" s="184">
        <v>328.25</v>
      </c>
      <c r="I226" s="184">
        <f>Table3[[#This Row],[Unit Price]]*Table3[[#This Row],[QTY]]</f>
        <v>328.25</v>
      </c>
      <c r="J226" s="6" t="s">
        <v>3390</v>
      </c>
      <c r="K226" s="6" t="s">
        <v>89</v>
      </c>
      <c r="L226" s="6"/>
      <c r="M226" s="7">
        <v>45869</v>
      </c>
      <c r="N226" s="174">
        <v>45897</v>
      </c>
      <c r="O226" s="4">
        <v>109582</v>
      </c>
      <c r="P226" s="4">
        <v>74292</v>
      </c>
      <c r="Q226" s="171">
        <v>45898</v>
      </c>
      <c r="R226" s="1" t="s">
        <v>2990</v>
      </c>
    </row>
    <row r="227" spans="1:18" hidden="1">
      <c r="A227" s="31" t="s">
        <v>3498</v>
      </c>
      <c r="B227" s="7">
        <v>45850</v>
      </c>
      <c r="C227" s="6" t="s">
        <v>3216</v>
      </c>
      <c r="D227" s="6" t="s">
        <v>3501</v>
      </c>
      <c r="E227" s="6"/>
      <c r="F227" s="6" t="s">
        <v>3502</v>
      </c>
      <c r="G227" s="6">
        <v>2</v>
      </c>
      <c r="H227" s="184">
        <v>289.06</v>
      </c>
      <c r="I227" s="184">
        <f>Table3[[#This Row],[Unit Price]]*Table3[[#This Row],[QTY]]</f>
        <v>578.12</v>
      </c>
      <c r="J227" s="6" t="s">
        <v>3390</v>
      </c>
      <c r="K227" s="6" t="s">
        <v>89</v>
      </c>
      <c r="L227" s="6"/>
      <c r="M227" s="7">
        <v>45861</v>
      </c>
      <c r="N227" s="174">
        <v>45897</v>
      </c>
      <c r="O227" s="4">
        <v>109582</v>
      </c>
      <c r="P227" s="4">
        <v>74292</v>
      </c>
      <c r="Q227" s="171">
        <v>45898</v>
      </c>
      <c r="R227" s="1" t="s">
        <v>2990</v>
      </c>
    </row>
    <row r="228" spans="1:18" hidden="1">
      <c r="A228" s="31" t="s">
        <v>3498</v>
      </c>
      <c r="B228" s="7">
        <v>45850</v>
      </c>
      <c r="C228" s="6" t="s">
        <v>3216</v>
      </c>
      <c r="D228" s="6" t="s">
        <v>1642</v>
      </c>
      <c r="E228" s="6"/>
      <c r="F228" s="6" t="s">
        <v>3503</v>
      </c>
      <c r="G228" s="6">
        <v>3</v>
      </c>
      <c r="H228" s="184">
        <v>22.86</v>
      </c>
      <c r="I228" s="184">
        <f>Table3[[#This Row],[Unit Price]]*Table3[[#This Row],[QTY]]</f>
        <v>68.58</v>
      </c>
      <c r="J228" s="6" t="s">
        <v>3390</v>
      </c>
      <c r="K228" s="6" t="s">
        <v>89</v>
      </c>
      <c r="L228" s="6"/>
      <c r="M228" s="7">
        <v>45861</v>
      </c>
      <c r="N228" s="174">
        <v>45897</v>
      </c>
      <c r="O228" s="4">
        <v>109582</v>
      </c>
      <c r="P228" s="4">
        <v>74292</v>
      </c>
      <c r="Q228" s="171">
        <v>45898</v>
      </c>
      <c r="R228" s="1" t="s">
        <v>2990</v>
      </c>
    </row>
    <row r="229" spans="1:18" hidden="1">
      <c r="A229" s="31" t="s">
        <v>3504</v>
      </c>
      <c r="B229" s="7">
        <v>45852</v>
      </c>
      <c r="C229" s="6" t="s">
        <v>3505</v>
      </c>
      <c r="D229" s="6" t="s">
        <v>3090</v>
      </c>
      <c r="E229" s="6"/>
      <c r="F229" s="6" t="s">
        <v>3091</v>
      </c>
      <c r="G229" s="6">
        <v>2</v>
      </c>
      <c r="H229" s="184">
        <v>89.16</v>
      </c>
      <c r="I229" s="184">
        <f>Table3[[#This Row],[Unit Price]]*Table3[[#This Row],[QTY]]</f>
        <v>178.32</v>
      </c>
      <c r="J229" s="6" t="s">
        <v>3390</v>
      </c>
      <c r="K229" s="6" t="s">
        <v>89</v>
      </c>
      <c r="L229" s="6"/>
      <c r="M229" s="7">
        <v>45861</v>
      </c>
      <c r="N229" s="174">
        <v>45897</v>
      </c>
      <c r="O229" s="4">
        <v>109672</v>
      </c>
      <c r="P229" s="4">
        <v>74309</v>
      </c>
      <c r="Q229" s="171">
        <v>45901</v>
      </c>
      <c r="R229" s="1" t="s">
        <v>2990</v>
      </c>
    </row>
    <row r="230" spans="1:18" hidden="1">
      <c r="A230" s="31" t="s">
        <v>3506</v>
      </c>
      <c r="B230" s="7">
        <v>45852</v>
      </c>
      <c r="C230" s="6" t="s">
        <v>181</v>
      </c>
      <c r="D230" s="6" t="s">
        <v>3507</v>
      </c>
      <c r="E230" s="6"/>
      <c r="F230" s="6" t="s">
        <v>3508</v>
      </c>
      <c r="G230" s="6">
        <v>1</v>
      </c>
      <c r="H230" s="184">
        <v>69.5</v>
      </c>
      <c r="I230" s="184">
        <f>Table3[[#This Row],[Unit Price]]*Table3[[#This Row],[QTY]]</f>
        <v>69.5</v>
      </c>
      <c r="J230" s="6" t="s">
        <v>3390</v>
      </c>
      <c r="K230" s="6" t="s">
        <v>89</v>
      </c>
      <c r="L230" s="6"/>
      <c r="M230" s="7">
        <v>45861</v>
      </c>
      <c r="N230" s="174">
        <v>45897</v>
      </c>
      <c r="P230" s="4">
        <v>74316</v>
      </c>
      <c r="Q230" s="171">
        <v>45901</v>
      </c>
      <c r="R230" s="1" t="s">
        <v>2990</v>
      </c>
    </row>
    <row r="231" spans="1:18" hidden="1">
      <c r="A231" s="31" t="s">
        <v>3506</v>
      </c>
      <c r="B231" s="7">
        <v>45852</v>
      </c>
      <c r="C231" s="6" t="s">
        <v>181</v>
      </c>
      <c r="D231" s="6" t="s">
        <v>3509</v>
      </c>
      <c r="E231" s="6"/>
      <c r="F231" s="6" t="s">
        <v>3510</v>
      </c>
      <c r="G231" s="6">
        <v>10</v>
      </c>
      <c r="H231" s="184">
        <v>1.25</v>
      </c>
      <c r="I231" s="184">
        <f>Table3[[#This Row],[Unit Price]]*Table3[[#This Row],[QTY]]</f>
        <v>12.5</v>
      </c>
      <c r="J231" s="6" t="s">
        <v>3390</v>
      </c>
      <c r="K231" s="6" t="s">
        <v>89</v>
      </c>
      <c r="L231" s="6"/>
      <c r="M231" s="7">
        <v>45861</v>
      </c>
      <c r="N231" s="174">
        <v>45897</v>
      </c>
      <c r="P231" s="4">
        <v>74316</v>
      </c>
      <c r="Q231" s="171">
        <v>45901</v>
      </c>
      <c r="R231" s="1" t="s">
        <v>2990</v>
      </c>
    </row>
    <row r="232" spans="1:18" hidden="1">
      <c r="A232" s="31" t="s">
        <v>3506</v>
      </c>
      <c r="B232" s="7">
        <v>45852</v>
      </c>
      <c r="C232" s="6" t="s">
        <v>181</v>
      </c>
      <c r="D232" s="6" t="s">
        <v>3511</v>
      </c>
      <c r="E232" s="6"/>
      <c r="F232" s="6" t="s">
        <v>3512</v>
      </c>
      <c r="G232" s="6">
        <v>5</v>
      </c>
      <c r="H232" s="184">
        <v>8.7899999999999991</v>
      </c>
      <c r="I232" s="184">
        <f>Table3[[#This Row],[Unit Price]]*Table3[[#This Row],[QTY]]</f>
        <v>43.949999999999996</v>
      </c>
      <c r="J232" s="6" t="s">
        <v>3390</v>
      </c>
      <c r="K232" s="6" t="s">
        <v>89</v>
      </c>
      <c r="L232" s="6"/>
      <c r="M232" s="7">
        <v>45861</v>
      </c>
      <c r="N232" s="174">
        <v>45897</v>
      </c>
      <c r="P232" s="4">
        <v>74316</v>
      </c>
      <c r="Q232" s="171">
        <v>45901</v>
      </c>
      <c r="R232" s="1" t="s">
        <v>2990</v>
      </c>
    </row>
    <row r="233" spans="1:18" hidden="1">
      <c r="A233" s="31" t="s">
        <v>3506</v>
      </c>
      <c r="B233" s="7">
        <v>45852</v>
      </c>
      <c r="C233" s="6" t="s">
        <v>181</v>
      </c>
      <c r="D233" s="6" t="s">
        <v>3513</v>
      </c>
      <c r="E233" s="6"/>
      <c r="F233" s="6" t="s">
        <v>3514</v>
      </c>
      <c r="G233" s="6">
        <v>2</v>
      </c>
      <c r="H233" s="184">
        <v>108.9</v>
      </c>
      <c r="I233" s="184">
        <f>Table3[[#This Row],[Unit Price]]*Table3[[#This Row],[QTY]]</f>
        <v>217.8</v>
      </c>
      <c r="J233" s="6" t="s">
        <v>3469</v>
      </c>
      <c r="K233" s="6" t="s">
        <v>89</v>
      </c>
      <c r="L233" s="6"/>
      <c r="M233" s="7">
        <v>45896</v>
      </c>
      <c r="N233" s="172">
        <v>45945</v>
      </c>
      <c r="P233" s="4">
        <v>75692</v>
      </c>
      <c r="Q233" s="171">
        <v>45950</v>
      </c>
      <c r="R233" s="1" t="s">
        <v>2990</v>
      </c>
    </row>
    <row r="234" spans="1:18" hidden="1">
      <c r="A234" s="31" t="s">
        <v>3515</v>
      </c>
      <c r="B234" s="7">
        <v>45853</v>
      </c>
      <c r="C234" s="6" t="s">
        <v>3216</v>
      </c>
      <c r="D234" s="6" t="s">
        <v>3051</v>
      </c>
      <c r="E234" s="6"/>
      <c r="F234" s="6" t="s">
        <v>3052</v>
      </c>
      <c r="G234" s="6">
        <v>1</v>
      </c>
      <c r="H234" s="184">
        <v>702.23</v>
      </c>
      <c r="I234" s="184">
        <f>Table3[[#This Row],[Unit Price]]*Table3[[#This Row],[QTY]]</f>
        <v>702.23</v>
      </c>
      <c r="J234" s="6" t="s">
        <v>3427</v>
      </c>
      <c r="K234" s="6"/>
      <c r="L234" s="6"/>
      <c r="M234" s="7">
        <v>45861</v>
      </c>
      <c r="N234" s="174">
        <v>45897</v>
      </c>
    </row>
    <row r="235" spans="1:18" hidden="1">
      <c r="A235" s="31" t="s">
        <v>3515</v>
      </c>
      <c r="B235" s="7">
        <v>45853</v>
      </c>
      <c r="C235" s="6" t="s">
        <v>3216</v>
      </c>
      <c r="D235" s="6" t="s">
        <v>326</v>
      </c>
      <c r="E235" s="6"/>
      <c r="F235" s="6" t="s">
        <v>3050</v>
      </c>
      <c r="G235" s="6">
        <v>1</v>
      </c>
      <c r="H235" s="184">
        <v>882.69</v>
      </c>
      <c r="I235" s="184">
        <f>Table3[[#This Row],[Unit Price]]*Table3[[#This Row],[QTY]]</f>
        <v>882.69</v>
      </c>
      <c r="J235" s="6" t="s">
        <v>3390</v>
      </c>
      <c r="K235" s="6" t="s">
        <v>89</v>
      </c>
      <c r="L235" s="6"/>
      <c r="M235" s="7">
        <v>45861</v>
      </c>
      <c r="N235" s="174">
        <v>45897</v>
      </c>
      <c r="O235" s="4">
        <v>109677</v>
      </c>
      <c r="P235" s="4">
        <v>74292</v>
      </c>
      <c r="Q235" s="171">
        <v>45898</v>
      </c>
      <c r="R235" s="1" t="s">
        <v>2990</v>
      </c>
    </row>
    <row r="236" spans="1:18" hidden="1">
      <c r="A236" s="31" t="s">
        <v>3516</v>
      </c>
      <c r="B236" s="7">
        <v>45853</v>
      </c>
      <c r="C236" s="6" t="s">
        <v>982</v>
      </c>
      <c r="D236" s="6" t="s">
        <v>1585</v>
      </c>
      <c r="E236" s="6"/>
      <c r="F236" s="6" t="s">
        <v>1586</v>
      </c>
      <c r="G236" s="6">
        <v>10</v>
      </c>
      <c r="H236" s="184">
        <v>32.79</v>
      </c>
      <c r="I236" s="184">
        <f>Table3[[#This Row],[Unit Price]]*Table3[[#This Row],[QTY]]</f>
        <v>327.9</v>
      </c>
      <c r="J236" s="6" t="s">
        <v>3390</v>
      </c>
      <c r="K236" s="6" t="s">
        <v>89</v>
      </c>
      <c r="L236" s="6"/>
      <c r="M236" s="7">
        <v>45861</v>
      </c>
      <c r="N236" s="174">
        <v>45897</v>
      </c>
      <c r="O236" s="4">
        <v>109681</v>
      </c>
      <c r="P236" s="4">
        <v>74306</v>
      </c>
      <c r="Q236" s="171">
        <v>45901</v>
      </c>
      <c r="R236" s="1" t="s">
        <v>2990</v>
      </c>
    </row>
    <row r="237" spans="1:18" hidden="1">
      <c r="A237" s="31" t="s">
        <v>3516</v>
      </c>
      <c r="B237" s="7">
        <v>45853</v>
      </c>
      <c r="C237" s="6" t="s">
        <v>982</v>
      </c>
      <c r="D237" s="6" t="s">
        <v>245</v>
      </c>
      <c r="E237" s="6" t="s">
        <v>247</v>
      </c>
      <c r="F237" s="6" t="s">
        <v>3423</v>
      </c>
      <c r="G237" s="6">
        <v>1</v>
      </c>
      <c r="H237" s="184">
        <v>80.180000000000007</v>
      </c>
      <c r="I237" s="184">
        <f>Table3[[#This Row],[Unit Price]]*Table3[[#This Row],[QTY]]</f>
        <v>80.180000000000007</v>
      </c>
      <c r="J237" s="6" t="s">
        <v>3390</v>
      </c>
      <c r="K237" s="6" t="s">
        <v>89</v>
      </c>
      <c r="L237" s="6"/>
      <c r="M237" s="7">
        <v>45861</v>
      </c>
      <c r="N237" s="174">
        <v>45897</v>
      </c>
      <c r="O237" s="4">
        <v>109681</v>
      </c>
      <c r="P237" s="4">
        <v>74306</v>
      </c>
      <c r="Q237" s="171">
        <v>45901</v>
      </c>
      <c r="R237" s="1" t="s">
        <v>2990</v>
      </c>
    </row>
    <row r="238" spans="1:18" hidden="1">
      <c r="A238" s="31" t="s">
        <v>3517</v>
      </c>
      <c r="B238" s="7">
        <v>45853</v>
      </c>
      <c r="C238" s="6" t="s">
        <v>3005</v>
      </c>
      <c r="D238" s="6" t="s">
        <v>3518</v>
      </c>
      <c r="E238" s="6"/>
      <c r="F238" s="6" t="s">
        <v>3519</v>
      </c>
      <c r="G238" s="6">
        <v>1</v>
      </c>
      <c r="H238" s="184">
        <v>36.299999999999997</v>
      </c>
      <c r="I238" s="184">
        <f>Table3[[#This Row],[Unit Price]]*Table3[[#This Row],[QTY]]</f>
        <v>36.299999999999997</v>
      </c>
      <c r="J238" s="6" t="s">
        <v>3390</v>
      </c>
      <c r="K238" s="6" t="s">
        <v>89</v>
      </c>
      <c r="L238" s="6"/>
      <c r="M238" s="7">
        <v>45869</v>
      </c>
      <c r="N238" s="174">
        <v>45897</v>
      </c>
      <c r="O238" s="4">
        <v>108737</v>
      </c>
      <c r="P238" s="4">
        <v>74317</v>
      </c>
      <c r="Q238" s="171">
        <v>45901</v>
      </c>
      <c r="R238" s="1" t="s">
        <v>2990</v>
      </c>
    </row>
    <row r="239" spans="1:18" hidden="1">
      <c r="A239" s="31" t="s">
        <v>3520</v>
      </c>
      <c r="B239" s="7">
        <v>45853</v>
      </c>
      <c r="C239" s="6" t="s">
        <v>3471</v>
      </c>
      <c r="D239" s="6" t="s">
        <v>736</v>
      </c>
      <c r="E239" s="6"/>
      <c r="F239" s="6" t="s">
        <v>3521</v>
      </c>
      <c r="G239" s="6">
        <v>1</v>
      </c>
      <c r="H239" s="184">
        <v>180.46</v>
      </c>
      <c r="I239" s="184">
        <f>Table3[[#This Row],[Unit Price]]*Table3[[#This Row],[QTY]]</f>
        <v>180.46</v>
      </c>
      <c r="J239" s="6" t="s">
        <v>3390</v>
      </c>
      <c r="K239" s="6" t="s">
        <v>89</v>
      </c>
      <c r="L239" s="6"/>
      <c r="M239" s="7">
        <v>45861</v>
      </c>
      <c r="N239" s="174">
        <v>45897</v>
      </c>
      <c r="O239" s="4">
        <v>109441</v>
      </c>
      <c r="P239" s="4">
        <v>74313</v>
      </c>
      <c r="Q239" s="171">
        <v>45901</v>
      </c>
      <c r="R239" s="1" t="s">
        <v>2990</v>
      </c>
    </row>
    <row r="240" spans="1:18" hidden="1">
      <c r="A240" s="31" t="s">
        <v>3520</v>
      </c>
      <c r="B240" s="7">
        <v>45853</v>
      </c>
      <c r="C240" s="6" t="s">
        <v>3471</v>
      </c>
      <c r="D240" s="6" t="s">
        <v>789</v>
      </c>
      <c r="E240" s="6"/>
      <c r="F240" s="6" t="s">
        <v>3522</v>
      </c>
      <c r="G240" s="6">
        <v>1</v>
      </c>
      <c r="H240" s="184">
        <v>297.22000000000003</v>
      </c>
      <c r="I240" s="184">
        <f>Table3[[#This Row],[Unit Price]]*Table3[[#This Row],[QTY]]</f>
        <v>297.22000000000003</v>
      </c>
      <c r="J240" s="6" t="s">
        <v>3390</v>
      </c>
      <c r="K240" s="6" t="s">
        <v>89</v>
      </c>
      <c r="L240" s="6"/>
      <c r="M240" s="7">
        <v>45882</v>
      </c>
      <c r="N240" s="174">
        <v>45897</v>
      </c>
      <c r="O240" s="4">
        <v>109441</v>
      </c>
      <c r="P240" s="4">
        <v>74313</v>
      </c>
      <c r="Q240" s="171">
        <v>45901</v>
      </c>
      <c r="R240" s="1" t="s">
        <v>2990</v>
      </c>
    </row>
    <row r="241" spans="1:18" hidden="1">
      <c r="A241" s="31" t="s">
        <v>3523</v>
      </c>
      <c r="B241" s="7">
        <v>45854</v>
      </c>
      <c r="C241" s="6" t="s">
        <v>3524</v>
      </c>
      <c r="D241" s="6" t="s">
        <v>326</v>
      </c>
      <c r="E241" s="6"/>
      <c r="F241" s="6" t="s">
        <v>3050</v>
      </c>
      <c r="G241" s="6">
        <v>1</v>
      </c>
      <c r="H241" s="184">
        <v>882.69</v>
      </c>
      <c r="I241" s="184">
        <f>Table3[[#This Row],[Unit Price]]*Table3[[#This Row],[QTY]]</f>
        <v>882.69</v>
      </c>
      <c r="J241" s="6" t="s">
        <v>3390</v>
      </c>
      <c r="K241" s="6" t="s">
        <v>89</v>
      </c>
      <c r="L241" s="6"/>
      <c r="M241" s="7">
        <v>45861</v>
      </c>
      <c r="N241" s="174">
        <v>45897</v>
      </c>
      <c r="O241" s="4">
        <v>109699</v>
      </c>
      <c r="P241" s="4">
        <v>74303</v>
      </c>
      <c r="Q241" s="171">
        <v>45901</v>
      </c>
      <c r="R241" s="1" t="s">
        <v>2990</v>
      </c>
    </row>
    <row r="242" spans="1:18" hidden="1">
      <c r="A242" s="31" t="s">
        <v>3525</v>
      </c>
      <c r="B242" s="7">
        <v>45854</v>
      </c>
      <c r="C242" s="6" t="s">
        <v>3177</v>
      </c>
      <c r="D242" s="6" t="s">
        <v>3526</v>
      </c>
      <c r="E242" s="6"/>
      <c r="F242" s="6" t="s">
        <v>3527</v>
      </c>
      <c r="G242" s="6">
        <v>1</v>
      </c>
      <c r="H242" s="184">
        <v>143.71</v>
      </c>
      <c r="I242" s="184">
        <f>Table3[[#This Row],[Unit Price]]*Table3[[#This Row],[QTY]]</f>
        <v>143.71</v>
      </c>
      <c r="J242" s="6" t="s">
        <v>3390</v>
      </c>
      <c r="K242" s="6" t="s">
        <v>89</v>
      </c>
      <c r="L242" s="6"/>
      <c r="M242" s="7">
        <v>45861</v>
      </c>
      <c r="N242" s="174">
        <v>45897</v>
      </c>
      <c r="O242" s="4">
        <v>109590</v>
      </c>
      <c r="P242" s="4">
        <v>74304</v>
      </c>
      <c r="Q242" s="171">
        <v>45901</v>
      </c>
      <c r="R242" s="1" t="s">
        <v>2990</v>
      </c>
    </row>
    <row r="243" spans="1:18" hidden="1">
      <c r="A243" s="31" t="s">
        <v>3528</v>
      </c>
      <c r="B243" s="7">
        <v>45855</v>
      </c>
      <c r="C243" s="6" t="s">
        <v>381</v>
      </c>
      <c r="D243" s="6" t="s">
        <v>3126</v>
      </c>
      <c r="E243" s="6"/>
      <c r="F243" s="6" t="s">
        <v>3127</v>
      </c>
      <c r="G243" s="6">
        <v>1</v>
      </c>
      <c r="H243" s="184">
        <v>13.15</v>
      </c>
      <c r="I243" s="184">
        <f>Table3[[#This Row],[Unit Price]]*Table3[[#This Row],[QTY]]</f>
        <v>13.15</v>
      </c>
      <c r="J243" s="6" t="s">
        <v>3390</v>
      </c>
      <c r="K243" s="6" t="s">
        <v>58</v>
      </c>
      <c r="L243" s="6"/>
      <c r="M243" s="7">
        <v>45861</v>
      </c>
      <c r="N243" s="174">
        <v>45897</v>
      </c>
      <c r="R243" s="1" t="s">
        <v>3342</v>
      </c>
    </row>
    <row r="244" spans="1:18" hidden="1">
      <c r="A244" s="31" t="s">
        <v>3529</v>
      </c>
      <c r="B244" s="7">
        <v>45856</v>
      </c>
      <c r="C244" s="6" t="s">
        <v>3287</v>
      </c>
      <c r="D244" s="6" t="s">
        <v>3158</v>
      </c>
      <c r="E244" s="6"/>
      <c r="F244" s="6" t="s">
        <v>3159</v>
      </c>
      <c r="G244" s="6">
        <v>3</v>
      </c>
      <c r="H244" s="184">
        <v>79.510000000000005</v>
      </c>
      <c r="I244" s="184">
        <f>Table3[[#This Row],[Unit Price]]*Table3[[#This Row],[QTY]]</f>
        <v>238.53000000000003</v>
      </c>
      <c r="J244" s="6" t="s">
        <v>3390</v>
      </c>
      <c r="K244" s="6" t="s">
        <v>58</v>
      </c>
      <c r="L244" s="6"/>
      <c r="M244" s="7">
        <v>45861</v>
      </c>
      <c r="N244" s="174">
        <v>45897</v>
      </c>
      <c r="R244" s="1" t="s">
        <v>3342</v>
      </c>
    </row>
    <row r="245" spans="1:18" hidden="1">
      <c r="A245" s="31" t="s">
        <v>3530</v>
      </c>
      <c r="B245" s="7">
        <v>45856</v>
      </c>
      <c r="C245" s="6" t="s">
        <v>3531</v>
      </c>
      <c r="D245" s="6" t="s">
        <v>3532</v>
      </c>
      <c r="E245" s="6"/>
      <c r="F245" s="6" t="s">
        <v>3533</v>
      </c>
      <c r="G245" s="6">
        <v>3</v>
      </c>
      <c r="H245" s="184">
        <v>13.88</v>
      </c>
      <c r="I245" s="184">
        <f>Table3[[#This Row],[Unit Price]]*Table3[[#This Row],[QTY]]</f>
        <v>41.64</v>
      </c>
      <c r="J245" s="6" t="s">
        <v>3390</v>
      </c>
      <c r="K245" s="6" t="s">
        <v>89</v>
      </c>
      <c r="L245" s="6"/>
      <c r="M245" s="7">
        <v>45861</v>
      </c>
      <c r="N245" s="174">
        <v>45897</v>
      </c>
      <c r="O245" s="4">
        <v>109568</v>
      </c>
      <c r="P245" s="4">
        <v>74308</v>
      </c>
      <c r="Q245" s="171">
        <v>45901</v>
      </c>
      <c r="R245" s="1" t="s">
        <v>2990</v>
      </c>
    </row>
    <row r="246" spans="1:18" hidden="1">
      <c r="A246" s="31" t="s">
        <v>3530</v>
      </c>
      <c r="B246" s="7">
        <v>45856</v>
      </c>
      <c r="C246" s="6" t="s">
        <v>3531</v>
      </c>
      <c r="D246" s="6" t="s">
        <v>3534</v>
      </c>
      <c r="E246" s="6"/>
      <c r="F246" s="6" t="s">
        <v>3535</v>
      </c>
      <c r="G246" s="6">
        <v>1</v>
      </c>
      <c r="H246" s="184">
        <v>3.27</v>
      </c>
      <c r="I246" s="184">
        <f>Table3[[#This Row],[Unit Price]]*Table3[[#This Row],[QTY]]</f>
        <v>3.27</v>
      </c>
      <c r="J246" s="6" t="s">
        <v>3390</v>
      </c>
      <c r="K246" s="6" t="s">
        <v>89</v>
      </c>
      <c r="L246" s="6"/>
      <c r="M246" s="7">
        <v>45861</v>
      </c>
      <c r="N246" s="174">
        <v>45897</v>
      </c>
      <c r="O246" s="4">
        <v>109568</v>
      </c>
      <c r="P246" s="4">
        <v>74308</v>
      </c>
      <c r="Q246" s="171">
        <v>45901</v>
      </c>
      <c r="R246" s="1" t="s">
        <v>2990</v>
      </c>
    </row>
    <row r="247" spans="1:18" hidden="1">
      <c r="A247" s="31" t="s">
        <v>3530</v>
      </c>
      <c r="B247" s="7">
        <v>45856</v>
      </c>
      <c r="C247" s="6" t="s">
        <v>3531</v>
      </c>
      <c r="D247" s="6" t="s">
        <v>3536</v>
      </c>
      <c r="E247" s="6"/>
      <c r="F247" s="6" t="s">
        <v>3537</v>
      </c>
      <c r="G247" s="6">
        <v>1</v>
      </c>
      <c r="H247" s="184">
        <v>114.32</v>
      </c>
      <c r="I247" s="184">
        <f>Table3[[#This Row],[Unit Price]]*Table3[[#This Row],[QTY]]</f>
        <v>114.32</v>
      </c>
      <c r="J247" s="6" t="s">
        <v>3390</v>
      </c>
      <c r="K247" s="6" t="s">
        <v>89</v>
      </c>
      <c r="L247" s="6"/>
      <c r="M247" s="7">
        <v>45861</v>
      </c>
      <c r="N247" s="174">
        <v>45897</v>
      </c>
      <c r="O247" s="4">
        <v>109568</v>
      </c>
      <c r="P247" s="4">
        <v>74308</v>
      </c>
      <c r="Q247" s="171">
        <v>45901</v>
      </c>
      <c r="R247" s="1" t="s">
        <v>2990</v>
      </c>
    </row>
    <row r="248" spans="1:18" hidden="1">
      <c r="A248" s="31" t="s">
        <v>3530</v>
      </c>
      <c r="B248" s="7">
        <v>45856</v>
      </c>
      <c r="C248" s="6" t="s">
        <v>3531</v>
      </c>
      <c r="D248" s="6" t="s">
        <v>642</v>
      </c>
      <c r="E248" s="6"/>
      <c r="F248" s="6" t="s">
        <v>3277</v>
      </c>
      <c r="G248" s="6">
        <v>1</v>
      </c>
      <c r="H248" s="184">
        <v>455.63</v>
      </c>
      <c r="I248" s="184">
        <f>Table3[[#This Row],[Unit Price]]*Table3[[#This Row],[QTY]]</f>
        <v>455.63</v>
      </c>
      <c r="J248" s="6" t="s">
        <v>3390</v>
      </c>
      <c r="K248" s="6" t="s">
        <v>89</v>
      </c>
      <c r="L248" s="6"/>
      <c r="M248" s="7">
        <v>45861</v>
      </c>
      <c r="N248" s="174">
        <v>45897</v>
      </c>
      <c r="O248" s="4">
        <v>109568</v>
      </c>
      <c r="P248" s="4">
        <v>74308</v>
      </c>
      <c r="Q248" s="171">
        <v>45901</v>
      </c>
      <c r="R248" s="1" t="s">
        <v>2990</v>
      </c>
    </row>
    <row r="249" spans="1:18" hidden="1">
      <c r="A249" s="31" t="s">
        <v>3530</v>
      </c>
      <c r="B249" s="7">
        <v>45856</v>
      </c>
      <c r="C249" s="6" t="s">
        <v>3531</v>
      </c>
      <c r="D249" s="6" t="s">
        <v>3538</v>
      </c>
      <c r="E249" s="6"/>
      <c r="F249" s="6" t="s">
        <v>3539</v>
      </c>
      <c r="G249" s="6">
        <v>1</v>
      </c>
      <c r="H249" s="184">
        <v>896.14</v>
      </c>
      <c r="I249" s="184">
        <f>Table3[[#This Row],[Unit Price]]*Table3[[#This Row],[QTY]]</f>
        <v>896.14</v>
      </c>
      <c r="J249" s="6" t="s">
        <v>3390</v>
      </c>
      <c r="K249" s="6" t="s">
        <v>89</v>
      </c>
      <c r="L249" s="6"/>
      <c r="M249" s="7">
        <v>45861</v>
      </c>
      <c r="N249" s="174">
        <v>45897</v>
      </c>
      <c r="O249" s="4">
        <v>109568</v>
      </c>
      <c r="P249" s="4">
        <v>74308</v>
      </c>
      <c r="Q249" s="171">
        <v>45901</v>
      </c>
      <c r="R249" s="1" t="s">
        <v>2990</v>
      </c>
    </row>
    <row r="250" spans="1:18" hidden="1">
      <c r="A250" s="31" t="s">
        <v>3530</v>
      </c>
      <c r="B250" s="7">
        <v>45856</v>
      </c>
      <c r="C250" s="6" t="s">
        <v>3531</v>
      </c>
      <c r="D250" s="6" t="s">
        <v>3540</v>
      </c>
      <c r="E250" s="6"/>
      <c r="F250" s="6" t="s">
        <v>3541</v>
      </c>
      <c r="G250" s="6">
        <v>1</v>
      </c>
      <c r="H250" s="184">
        <v>84.92</v>
      </c>
      <c r="I250" s="184">
        <f>Table3[[#This Row],[Unit Price]]*Table3[[#This Row],[QTY]]</f>
        <v>84.92</v>
      </c>
      <c r="J250" s="6" t="s">
        <v>3469</v>
      </c>
      <c r="K250" s="6" t="s">
        <v>89</v>
      </c>
      <c r="L250" s="6"/>
      <c r="M250" s="7">
        <v>45888</v>
      </c>
      <c r="N250" s="172">
        <v>45945</v>
      </c>
      <c r="P250" s="4">
        <v>75693</v>
      </c>
      <c r="Q250" s="171">
        <v>45950</v>
      </c>
      <c r="R250" s="1" t="s">
        <v>2990</v>
      </c>
    </row>
    <row r="251" spans="1:18" hidden="1">
      <c r="A251" s="31" t="s">
        <v>3542</v>
      </c>
      <c r="B251" s="7">
        <v>45856</v>
      </c>
      <c r="C251" s="6" t="s">
        <v>1074</v>
      </c>
      <c r="D251" s="6" t="s">
        <v>3543</v>
      </c>
      <c r="E251" s="6"/>
      <c r="F251" s="6" t="s">
        <v>3203</v>
      </c>
      <c r="G251" s="6">
        <v>1</v>
      </c>
      <c r="H251" s="184">
        <v>1034.23</v>
      </c>
      <c r="I251" s="184">
        <f>Table3[[#This Row],[Unit Price]]*Table3[[#This Row],[QTY]]</f>
        <v>1034.23</v>
      </c>
      <c r="J251" s="6" t="s">
        <v>69</v>
      </c>
      <c r="K251" s="6" t="s">
        <v>58</v>
      </c>
      <c r="L251" s="6"/>
      <c r="M251" s="7">
        <v>45858</v>
      </c>
      <c r="N251" s="172">
        <v>45862</v>
      </c>
    </row>
    <row r="252" spans="1:18" hidden="1">
      <c r="A252" s="31" t="s">
        <v>3544</v>
      </c>
      <c r="B252" s="7">
        <v>45856</v>
      </c>
      <c r="C252" s="6" t="s">
        <v>3545</v>
      </c>
      <c r="D252" s="6" t="s">
        <v>3546</v>
      </c>
      <c r="E252" s="6"/>
      <c r="F252" s="6" t="s">
        <v>3547</v>
      </c>
      <c r="G252" s="6">
        <v>1</v>
      </c>
      <c r="H252" s="184">
        <v>138.78</v>
      </c>
      <c r="I252" s="184">
        <f>Table3[[#This Row],[Unit Price]]*Table3[[#This Row],[QTY]]</f>
        <v>138.78</v>
      </c>
      <c r="J252" s="6" t="s">
        <v>3469</v>
      </c>
      <c r="K252" s="6" t="s">
        <v>89</v>
      </c>
      <c r="L252" s="6"/>
      <c r="M252" s="7">
        <v>45888</v>
      </c>
      <c r="N252" s="172">
        <v>45945</v>
      </c>
      <c r="O252" s="4">
        <v>109589</v>
      </c>
      <c r="P252" s="4">
        <v>75876</v>
      </c>
      <c r="Q252" s="171">
        <v>45954</v>
      </c>
      <c r="R252" s="1" t="s">
        <v>2990</v>
      </c>
    </row>
    <row r="253" spans="1:18" hidden="1">
      <c r="A253" s="31" t="s">
        <v>3548</v>
      </c>
      <c r="B253" s="7">
        <v>45856</v>
      </c>
      <c r="C253" s="6" t="s">
        <v>3257</v>
      </c>
      <c r="D253" s="6" t="s">
        <v>1886</v>
      </c>
      <c r="E253" s="6"/>
      <c r="F253" s="6" t="s">
        <v>3549</v>
      </c>
      <c r="G253" s="6">
        <v>5</v>
      </c>
      <c r="H253" s="184">
        <v>39.19</v>
      </c>
      <c r="I253" s="184">
        <f>Table3[[#This Row],[Unit Price]]*Table3[[#This Row],[QTY]]</f>
        <v>195.95</v>
      </c>
      <c r="J253" s="6" t="s">
        <v>3390</v>
      </c>
      <c r="K253" s="6" t="s">
        <v>58</v>
      </c>
      <c r="L253" s="6"/>
      <c r="M253" s="7">
        <v>45869</v>
      </c>
      <c r="N253" s="174">
        <v>45897</v>
      </c>
      <c r="R253" s="1" t="s">
        <v>3342</v>
      </c>
    </row>
    <row r="254" spans="1:18" hidden="1">
      <c r="A254" s="31" t="s">
        <v>3548</v>
      </c>
      <c r="B254" s="7">
        <v>45856</v>
      </c>
      <c r="C254" s="6" t="s">
        <v>3257</v>
      </c>
      <c r="D254" s="6" t="s">
        <v>134</v>
      </c>
      <c r="E254" s="6"/>
      <c r="F254" s="6" t="s">
        <v>1386</v>
      </c>
      <c r="G254" s="6">
        <v>5</v>
      </c>
      <c r="H254" s="184">
        <v>42.46</v>
      </c>
      <c r="I254" s="184">
        <f>Table3[[#This Row],[Unit Price]]*Table3[[#This Row],[QTY]]</f>
        <v>212.3</v>
      </c>
      <c r="J254" s="6" t="s">
        <v>3390</v>
      </c>
      <c r="K254" s="6" t="s">
        <v>58</v>
      </c>
      <c r="L254" s="6"/>
      <c r="M254" s="7">
        <v>45869</v>
      </c>
      <c r="N254" s="174">
        <v>45897</v>
      </c>
      <c r="R254" s="1" t="s">
        <v>3342</v>
      </c>
    </row>
    <row r="255" spans="1:18" hidden="1">
      <c r="A255" s="31" t="s">
        <v>3550</v>
      </c>
      <c r="B255" s="7">
        <v>45859</v>
      </c>
      <c r="C255" s="6" t="s">
        <v>3005</v>
      </c>
      <c r="D255" s="6" t="s">
        <v>3551</v>
      </c>
      <c r="E255" s="6"/>
      <c r="F255" s="6" t="s">
        <v>3552</v>
      </c>
      <c r="G255" s="6">
        <v>3</v>
      </c>
      <c r="H255" s="184">
        <v>83.29</v>
      </c>
      <c r="I255" s="184">
        <f>Table3[[#This Row],[Unit Price]]*Table3[[#This Row],[QTY]]</f>
        <v>249.87</v>
      </c>
      <c r="J255" s="6" t="s">
        <v>3390</v>
      </c>
      <c r="K255" s="6" t="s">
        <v>58</v>
      </c>
      <c r="L255" s="6"/>
      <c r="M255" s="7">
        <v>45869</v>
      </c>
      <c r="N255" s="174">
        <v>45897</v>
      </c>
      <c r="Q255" s="171">
        <v>45901</v>
      </c>
      <c r="R255" s="1" t="s">
        <v>3342</v>
      </c>
    </row>
    <row r="256" spans="1:18" hidden="1">
      <c r="A256" s="31" t="s">
        <v>3553</v>
      </c>
      <c r="B256" s="7">
        <v>45859</v>
      </c>
      <c r="C256" s="6" t="s">
        <v>3457</v>
      </c>
      <c r="D256" s="6" t="s">
        <v>3450</v>
      </c>
      <c r="E256" s="6"/>
      <c r="F256" s="6" t="s">
        <v>3554</v>
      </c>
      <c r="G256" s="6">
        <v>1</v>
      </c>
      <c r="H256" s="184">
        <v>303.75</v>
      </c>
      <c r="I256" s="184">
        <f>Table3[[#This Row],[Unit Price]]*Table3[[#This Row],[QTY]]</f>
        <v>303.75</v>
      </c>
      <c r="J256" s="6" t="s">
        <v>3390</v>
      </c>
      <c r="K256" s="6" t="s">
        <v>58</v>
      </c>
      <c r="L256" s="6"/>
      <c r="M256" s="7">
        <v>45869</v>
      </c>
      <c r="N256" s="174">
        <v>45897</v>
      </c>
      <c r="R256" s="1" t="s">
        <v>3342</v>
      </c>
    </row>
    <row r="257" spans="1:18" hidden="1">
      <c r="A257" s="31" t="s">
        <v>3555</v>
      </c>
      <c r="B257" s="7">
        <v>45861</v>
      </c>
      <c r="C257" s="6" t="s">
        <v>381</v>
      </c>
      <c r="D257" s="6" t="s">
        <v>3556</v>
      </c>
      <c r="E257" s="6" t="s">
        <v>1774</v>
      </c>
      <c r="F257" s="6" t="s">
        <v>3557</v>
      </c>
      <c r="G257" s="6">
        <v>2</v>
      </c>
      <c r="H257" s="184">
        <v>215.75</v>
      </c>
      <c r="I257" s="184">
        <f>Table3[[#This Row],[Unit Price]]*Table3[[#This Row],[QTY]]</f>
        <v>431.5</v>
      </c>
      <c r="J257" s="6" t="s">
        <v>3318</v>
      </c>
      <c r="K257" s="6" t="s">
        <v>58</v>
      </c>
      <c r="L257" s="6"/>
      <c r="M257" s="7">
        <v>46000</v>
      </c>
      <c r="N257" s="347">
        <v>46056</v>
      </c>
    </row>
    <row r="258" spans="1:18" hidden="1">
      <c r="A258" s="31" t="s">
        <v>3558</v>
      </c>
      <c r="B258" s="7">
        <v>45861</v>
      </c>
      <c r="C258" s="6" t="s">
        <v>381</v>
      </c>
      <c r="D258" s="6" t="s">
        <v>3559</v>
      </c>
      <c r="E258" s="6"/>
      <c r="F258" s="6" t="s">
        <v>3225</v>
      </c>
      <c r="G258" s="6">
        <v>5</v>
      </c>
      <c r="H258" s="184">
        <v>16.329999999999998</v>
      </c>
      <c r="I258" s="184">
        <f>Table3[[#This Row],[Unit Price]]*Table3[[#This Row],[QTY]]</f>
        <v>81.649999999999991</v>
      </c>
      <c r="J258" s="6" t="s">
        <v>3390</v>
      </c>
      <c r="K258" s="6" t="s">
        <v>58</v>
      </c>
      <c r="L258" s="6"/>
      <c r="M258" s="7">
        <v>45869</v>
      </c>
      <c r="N258" s="174">
        <v>45897</v>
      </c>
      <c r="R258" s="1" t="s">
        <v>3342</v>
      </c>
    </row>
    <row r="259" spans="1:18" hidden="1">
      <c r="A259" s="31" t="s">
        <v>3560</v>
      </c>
      <c r="B259" s="7">
        <v>45861</v>
      </c>
      <c r="C259" s="6" t="s">
        <v>3561</v>
      </c>
      <c r="D259" s="6" t="s">
        <v>3562</v>
      </c>
      <c r="E259" s="6"/>
      <c r="F259" s="6" t="s">
        <v>3563</v>
      </c>
      <c r="G259" s="6">
        <v>3</v>
      </c>
      <c r="H259" s="184">
        <v>11.27</v>
      </c>
      <c r="I259" s="184">
        <f>Table3[[#This Row],[Unit Price]]*Table3[[#This Row],[QTY]]</f>
        <v>33.81</v>
      </c>
      <c r="J259" s="6" t="s">
        <v>3469</v>
      </c>
      <c r="K259" s="6"/>
      <c r="L259" s="6"/>
      <c r="M259" s="7">
        <v>45896</v>
      </c>
      <c r="N259" s="172">
        <v>45945</v>
      </c>
      <c r="O259" s="4">
        <v>109763</v>
      </c>
    </row>
    <row r="260" spans="1:18" hidden="1">
      <c r="A260" s="31" t="s">
        <v>3560</v>
      </c>
      <c r="B260" s="7">
        <v>45861</v>
      </c>
      <c r="C260" s="6" t="s">
        <v>3561</v>
      </c>
      <c r="D260" s="6" t="s">
        <v>3564</v>
      </c>
      <c r="E260" s="6"/>
      <c r="F260" s="6" t="s">
        <v>3565</v>
      </c>
      <c r="G260" s="6">
        <v>3</v>
      </c>
      <c r="H260" s="184">
        <v>10.62</v>
      </c>
      <c r="I260" s="184">
        <f>Table3[[#This Row],[Unit Price]]*Table3[[#This Row],[QTY]]</f>
        <v>31.86</v>
      </c>
      <c r="J260" s="6" t="s">
        <v>3390</v>
      </c>
      <c r="K260" s="6" t="s">
        <v>89</v>
      </c>
      <c r="L260" s="6"/>
      <c r="M260" s="7">
        <v>45869</v>
      </c>
      <c r="N260" s="174">
        <v>45897</v>
      </c>
      <c r="O260" s="4">
        <v>109763</v>
      </c>
      <c r="P260" s="4">
        <v>74315</v>
      </c>
      <c r="Q260" s="171">
        <v>45901</v>
      </c>
      <c r="R260" s="1" t="s">
        <v>2990</v>
      </c>
    </row>
    <row r="261" spans="1:18" hidden="1">
      <c r="A261" s="31" t="s">
        <v>3560</v>
      </c>
      <c r="B261" s="7">
        <v>45861</v>
      </c>
      <c r="C261" s="6" t="s">
        <v>3561</v>
      </c>
      <c r="D261" s="6" t="s">
        <v>130</v>
      </c>
      <c r="E261" s="6"/>
      <c r="F261" s="6" t="s">
        <v>3003</v>
      </c>
      <c r="G261" s="6">
        <v>2</v>
      </c>
      <c r="H261" s="184">
        <v>17.28</v>
      </c>
      <c r="I261" s="184">
        <f>Table3[[#This Row],[Unit Price]]*Table3[[#This Row],[QTY]]</f>
        <v>34.56</v>
      </c>
      <c r="J261" s="6" t="s">
        <v>3390</v>
      </c>
      <c r="K261" s="6" t="s">
        <v>89</v>
      </c>
      <c r="L261" s="6"/>
      <c r="M261" s="7">
        <v>45869</v>
      </c>
      <c r="N261" s="174">
        <v>45897</v>
      </c>
      <c r="O261" s="4">
        <v>109763</v>
      </c>
      <c r="P261" s="4">
        <v>74315</v>
      </c>
      <c r="Q261" s="171">
        <v>45901</v>
      </c>
      <c r="R261" s="1" t="s">
        <v>2990</v>
      </c>
    </row>
    <row r="262" spans="1:18" hidden="1">
      <c r="A262" s="31" t="s">
        <v>3566</v>
      </c>
      <c r="B262" s="7">
        <v>45861</v>
      </c>
      <c r="C262" s="6" t="s">
        <v>381</v>
      </c>
      <c r="D262" s="6" t="s">
        <v>130</v>
      </c>
      <c r="E262" s="6"/>
      <c r="F262" s="6" t="s">
        <v>3003</v>
      </c>
      <c r="G262" s="6">
        <v>6</v>
      </c>
      <c r="H262" s="184">
        <v>17.28</v>
      </c>
      <c r="I262" s="184">
        <f>Table3[[#This Row],[Unit Price]]*Table3[[#This Row],[QTY]]</f>
        <v>103.68</v>
      </c>
      <c r="J262" s="6" t="s">
        <v>3390</v>
      </c>
      <c r="K262" s="6" t="s">
        <v>58</v>
      </c>
      <c r="L262" s="6"/>
      <c r="M262" s="7">
        <v>45869</v>
      </c>
      <c r="N262" s="174">
        <v>45897</v>
      </c>
      <c r="R262" s="1" t="s">
        <v>3342</v>
      </c>
    </row>
    <row r="263" spans="1:18" hidden="1">
      <c r="A263" s="31" t="s">
        <v>3567</v>
      </c>
      <c r="B263" s="7">
        <v>45862</v>
      </c>
      <c r="C263" s="6" t="s">
        <v>3276</v>
      </c>
      <c r="D263" s="6" t="s">
        <v>174</v>
      </c>
      <c r="E263" s="6"/>
      <c r="F263" s="6" t="s">
        <v>3568</v>
      </c>
      <c r="G263" s="6">
        <v>2</v>
      </c>
      <c r="H263" s="184">
        <v>130.65</v>
      </c>
      <c r="I263" s="184">
        <f>Table3[[#This Row],[Unit Price]]*Table3[[#This Row],[QTY]]</f>
        <v>261.3</v>
      </c>
      <c r="J263" s="6" t="s">
        <v>3390</v>
      </c>
      <c r="K263" s="6" t="s">
        <v>89</v>
      </c>
      <c r="L263" s="6"/>
      <c r="M263" s="7">
        <v>45869</v>
      </c>
      <c r="N263" s="174">
        <v>45897</v>
      </c>
      <c r="O263" s="4">
        <v>108299</v>
      </c>
      <c r="P263" s="4">
        <v>74292</v>
      </c>
      <c r="Q263" s="171">
        <v>45898</v>
      </c>
      <c r="R263" s="1" t="s">
        <v>2990</v>
      </c>
    </row>
    <row r="264" spans="1:18" hidden="1">
      <c r="A264" s="31" t="s">
        <v>3567</v>
      </c>
      <c r="B264" s="7">
        <v>45862</v>
      </c>
      <c r="C264" s="6" t="s">
        <v>3276</v>
      </c>
      <c r="D264" s="6" t="s">
        <v>280</v>
      </c>
      <c r="E264" s="6"/>
      <c r="F264" s="6" t="s">
        <v>3053</v>
      </c>
      <c r="G264" s="6">
        <v>3</v>
      </c>
      <c r="H264" s="184">
        <v>431.82</v>
      </c>
      <c r="I264" s="184">
        <f>Table3[[#This Row],[Unit Price]]*Table3[[#This Row],[QTY]]</f>
        <v>1295.46</v>
      </c>
      <c r="J264" s="6" t="s">
        <v>3390</v>
      </c>
      <c r="K264" s="6" t="s">
        <v>89</v>
      </c>
      <c r="L264" s="6"/>
      <c r="M264" s="7">
        <v>45869</v>
      </c>
      <c r="N264" s="174">
        <v>45897</v>
      </c>
      <c r="O264" s="4">
        <v>108299</v>
      </c>
      <c r="P264" s="4">
        <v>74292</v>
      </c>
      <c r="Q264" s="171">
        <v>45898</v>
      </c>
      <c r="R264" s="1" t="s">
        <v>2990</v>
      </c>
    </row>
    <row r="265" spans="1:18" hidden="1">
      <c r="A265" s="31" t="s">
        <v>3567</v>
      </c>
      <c r="B265" s="7">
        <v>45862</v>
      </c>
      <c r="C265" s="6" t="s">
        <v>3276</v>
      </c>
      <c r="D265" s="6" t="s">
        <v>369</v>
      </c>
      <c r="E265" s="6"/>
      <c r="F265" s="6" t="s">
        <v>3448</v>
      </c>
      <c r="G265" s="6">
        <v>4</v>
      </c>
      <c r="H265" s="184">
        <v>98.36</v>
      </c>
      <c r="I265" s="184">
        <f>Table3[[#This Row],[Unit Price]]*Table3[[#This Row],[QTY]]</f>
        <v>393.44</v>
      </c>
      <c r="J265" s="6" t="s">
        <v>3390</v>
      </c>
      <c r="K265" s="6" t="s">
        <v>89</v>
      </c>
      <c r="L265" s="6"/>
      <c r="M265" s="7">
        <v>45869</v>
      </c>
      <c r="N265" s="174">
        <v>45897</v>
      </c>
      <c r="O265" s="4">
        <v>108299</v>
      </c>
      <c r="P265" s="4">
        <v>74292</v>
      </c>
      <c r="Q265" s="171">
        <v>45898</v>
      </c>
      <c r="R265" s="1" t="s">
        <v>2990</v>
      </c>
    </row>
    <row r="266" spans="1:18" hidden="1">
      <c r="A266" s="31" t="s">
        <v>3569</v>
      </c>
      <c r="B266" s="7">
        <v>45862</v>
      </c>
      <c r="C266" s="6" t="s">
        <v>3287</v>
      </c>
      <c r="D266" s="6" t="s">
        <v>238</v>
      </c>
      <c r="E266" s="6"/>
      <c r="F266" s="6" t="s">
        <v>3077</v>
      </c>
      <c r="G266" s="6">
        <v>2</v>
      </c>
      <c r="H266" s="184">
        <v>271.08999999999997</v>
      </c>
      <c r="I266" s="184">
        <f>Table3[[#This Row],[Unit Price]]*Table3[[#This Row],[QTY]]</f>
        <v>542.17999999999995</v>
      </c>
      <c r="J266" s="6" t="s">
        <v>3390</v>
      </c>
      <c r="K266" s="6" t="s">
        <v>58</v>
      </c>
      <c r="L266" s="6"/>
      <c r="M266" s="7">
        <v>45869</v>
      </c>
      <c r="N266" s="174">
        <v>45897</v>
      </c>
      <c r="R266" s="1" t="s">
        <v>3342</v>
      </c>
    </row>
    <row r="267" spans="1:18" hidden="1">
      <c r="A267" s="31" t="s">
        <v>3569</v>
      </c>
      <c r="B267" s="7">
        <v>45862</v>
      </c>
      <c r="C267" s="6" t="s">
        <v>3287</v>
      </c>
      <c r="D267" s="6" t="s">
        <v>3570</v>
      </c>
      <c r="E267" s="6"/>
      <c r="F267" s="6" t="s">
        <v>3571</v>
      </c>
      <c r="G267" s="6">
        <v>4</v>
      </c>
      <c r="H267" s="184">
        <v>76.95</v>
      </c>
      <c r="I267" s="184">
        <f>Table3[[#This Row],[Unit Price]]*Table3[[#This Row],[QTY]]</f>
        <v>307.8</v>
      </c>
      <c r="J267" s="6" t="s">
        <v>3390</v>
      </c>
      <c r="K267" s="6" t="s">
        <v>58</v>
      </c>
      <c r="L267" s="6"/>
      <c r="M267" s="7">
        <v>45869</v>
      </c>
      <c r="N267" s="174">
        <v>45897</v>
      </c>
      <c r="R267" s="1" t="s">
        <v>3342</v>
      </c>
    </row>
    <row r="268" spans="1:18" hidden="1">
      <c r="A268" s="31" t="s">
        <v>3572</v>
      </c>
      <c r="B268" s="7">
        <v>45863</v>
      </c>
      <c r="C268" s="6" t="s">
        <v>3573</v>
      </c>
      <c r="D268" s="6" t="s">
        <v>943</v>
      </c>
      <c r="E268" s="6"/>
      <c r="F268" s="6" t="s">
        <v>3574</v>
      </c>
      <c r="G268" s="6">
        <v>1</v>
      </c>
      <c r="H268" s="184">
        <v>11.63</v>
      </c>
      <c r="I268" s="184">
        <f>Table3[[#This Row],[Unit Price]]*Table3[[#This Row],[QTY]]</f>
        <v>11.63</v>
      </c>
      <c r="J268" s="6" t="s">
        <v>3427</v>
      </c>
      <c r="K268" s="6"/>
      <c r="L268" s="6"/>
      <c r="M268" s="7">
        <v>45869</v>
      </c>
      <c r="N268" s="174">
        <v>45897</v>
      </c>
    </row>
    <row r="269" spans="1:18" hidden="1">
      <c r="A269" s="31" t="s">
        <v>3575</v>
      </c>
      <c r="B269" s="7">
        <v>45863</v>
      </c>
      <c r="C269" s="6" t="s">
        <v>3524</v>
      </c>
      <c r="D269" s="6" t="s">
        <v>238</v>
      </c>
      <c r="E269" s="6"/>
      <c r="F269" s="6" t="s">
        <v>3077</v>
      </c>
      <c r="G269" s="6">
        <v>1</v>
      </c>
      <c r="H269" s="184">
        <v>271.08999999999997</v>
      </c>
      <c r="I269" s="184">
        <f>Table3[[#This Row],[Unit Price]]*Table3[[#This Row],[QTY]]</f>
        <v>271.08999999999997</v>
      </c>
      <c r="J269" s="6" t="s">
        <v>3427</v>
      </c>
      <c r="K269" s="6"/>
      <c r="L269" s="6"/>
      <c r="M269" s="7">
        <v>45869</v>
      </c>
      <c r="N269" s="174">
        <v>45897</v>
      </c>
    </row>
    <row r="270" spans="1:18" hidden="1">
      <c r="A270" s="31" t="s">
        <v>3576</v>
      </c>
      <c r="B270" s="7">
        <v>45867</v>
      </c>
      <c r="C270" s="6" t="s">
        <v>3287</v>
      </c>
      <c r="D270" s="6" t="s">
        <v>114</v>
      </c>
      <c r="E270" s="6"/>
      <c r="F270" s="6" t="s">
        <v>3577</v>
      </c>
      <c r="G270" s="6">
        <v>3</v>
      </c>
      <c r="H270" s="184">
        <v>77.98</v>
      </c>
      <c r="I270" s="184">
        <f>Table3[[#This Row],[Unit Price]]*Table3[[#This Row],[QTY]]</f>
        <v>233.94</v>
      </c>
      <c r="J270" s="6" t="s">
        <v>3427</v>
      </c>
      <c r="K270" s="6" t="s">
        <v>58</v>
      </c>
      <c r="L270" s="6"/>
      <c r="M270" s="7">
        <v>45869</v>
      </c>
      <c r="N270" s="174">
        <v>45897</v>
      </c>
    </row>
    <row r="271" spans="1:18" hidden="1">
      <c r="A271" s="31" t="s">
        <v>3578</v>
      </c>
      <c r="B271" s="7">
        <v>45867</v>
      </c>
      <c r="C271" s="6" t="s">
        <v>3579</v>
      </c>
      <c r="D271" s="6" t="s">
        <v>3580</v>
      </c>
      <c r="E271" s="6"/>
      <c r="F271" s="6" t="s">
        <v>3581</v>
      </c>
      <c r="G271" s="6">
        <v>6</v>
      </c>
      <c r="H271" s="184">
        <v>8.16</v>
      </c>
      <c r="I271" s="184">
        <f>Table3[[#This Row],[Unit Price]]*Table3[[#This Row],[QTY]]</f>
        <v>48.96</v>
      </c>
      <c r="J271" s="6" t="s">
        <v>3427</v>
      </c>
      <c r="K271" s="6"/>
      <c r="L271" s="6"/>
      <c r="M271" s="7">
        <v>45869</v>
      </c>
      <c r="N271" s="174">
        <v>45897</v>
      </c>
    </row>
    <row r="272" spans="1:18" hidden="1">
      <c r="A272" s="31" t="s">
        <v>3582</v>
      </c>
      <c r="B272" s="7">
        <v>45868</v>
      </c>
      <c r="C272" s="6" t="s">
        <v>3583</v>
      </c>
      <c r="D272" s="6" t="s">
        <v>1373</v>
      </c>
      <c r="E272" s="6"/>
      <c r="F272" s="6" t="s">
        <v>3584</v>
      </c>
      <c r="G272" s="6">
        <v>2</v>
      </c>
      <c r="H272" s="184">
        <v>253.13</v>
      </c>
      <c r="I272" s="184">
        <f>Table3[[#This Row],[Unit Price]]*Table3[[#This Row],[QTY]]</f>
        <v>506.26</v>
      </c>
      <c r="J272" s="6" t="s">
        <v>3427</v>
      </c>
      <c r="K272" s="6"/>
      <c r="L272" s="6"/>
      <c r="M272" s="7">
        <v>45869</v>
      </c>
      <c r="N272" s="174">
        <v>45897</v>
      </c>
    </row>
    <row r="273" spans="1:18" hidden="1">
      <c r="A273" s="31" t="s">
        <v>3585</v>
      </c>
      <c r="B273" s="7">
        <v>45869</v>
      </c>
      <c r="C273" s="6" t="s">
        <v>3586</v>
      </c>
      <c r="D273" s="6" t="s">
        <v>3587</v>
      </c>
      <c r="E273" s="6" t="s">
        <v>877</v>
      </c>
      <c r="F273" s="6" t="s">
        <v>3588</v>
      </c>
      <c r="G273" s="6">
        <v>1</v>
      </c>
      <c r="H273" s="184">
        <v>262.11</v>
      </c>
      <c r="I273" s="184">
        <f>Table3[[#This Row],[Unit Price]]*Table3[[#This Row],[QTY]]</f>
        <v>262.11</v>
      </c>
      <c r="J273" s="6" t="s">
        <v>3427</v>
      </c>
      <c r="K273" s="6"/>
      <c r="L273" s="6"/>
      <c r="M273" s="7">
        <v>45869</v>
      </c>
      <c r="N273" s="174">
        <v>45897</v>
      </c>
    </row>
    <row r="274" spans="1:18" hidden="1">
      <c r="A274" s="31" t="s">
        <v>3589</v>
      </c>
      <c r="B274" s="7">
        <v>45870</v>
      </c>
      <c r="C274" s="6" t="s">
        <v>3287</v>
      </c>
      <c r="D274" s="6" t="s">
        <v>3590</v>
      </c>
      <c r="E274" s="6"/>
      <c r="F274" s="6" t="s">
        <v>3591</v>
      </c>
      <c r="G274" s="6">
        <v>3</v>
      </c>
      <c r="H274" s="184">
        <v>111.38</v>
      </c>
      <c r="I274" s="184">
        <f>Table3[[#This Row],[Unit Price]]*Table3[[#This Row],[QTY]]</f>
        <v>334.14</v>
      </c>
      <c r="J274" s="6" t="s">
        <v>3474</v>
      </c>
      <c r="K274" s="6" t="s">
        <v>58</v>
      </c>
      <c r="L274" s="6"/>
      <c r="M274" s="7">
        <v>45903</v>
      </c>
      <c r="N274" s="172">
        <v>45945</v>
      </c>
      <c r="R274" s="1" t="s">
        <v>3342</v>
      </c>
    </row>
    <row r="275" spans="1:18" hidden="1">
      <c r="A275" s="31" t="s">
        <v>3592</v>
      </c>
      <c r="B275" s="7">
        <v>45873</v>
      </c>
      <c r="C275" s="6" t="s">
        <v>3287</v>
      </c>
      <c r="D275" s="6" t="s">
        <v>3419</v>
      </c>
      <c r="E275" s="6"/>
      <c r="F275" s="6" t="s">
        <v>3420</v>
      </c>
      <c r="G275" s="6">
        <v>4</v>
      </c>
      <c r="H275" s="184">
        <v>11.76</v>
      </c>
      <c r="I275" s="184">
        <f>Table3[[#This Row],[Unit Price]]*Table3[[#This Row],[QTY]]</f>
        <v>47.04</v>
      </c>
      <c r="J275" s="6" t="s">
        <v>3474</v>
      </c>
      <c r="K275" s="6" t="s">
        <v>58</v>
      </c>
      <c r="L275" s="6"/>
      <c r="M275" s="7">
        <v>45896</v>
      </c>
      <c r="N275" s="172">
        <v>45945</v>
      </c>
      <c r="R275" s="1" t="s">
        <v>3342</v>
      </c>
    </row>
    <row r="276" spans="1:18" hidden="1">
      <c r="A276" s="31" t="s">
        <v>3593</v>
      </c>
      <c r="B276" s="7">
        <v>45873</v>
      </c>
      <c r="C276" s="6" t="s">
        <v>3287</v>
      </c>
      <c r="D276" s="6" t="s">
        <v>1936</v>
      </c>
      <c r="E276" s="6" t="s">
        <v>1306</v>
      </c>
      <c r="F276" s="6" t="s">
        <v>3594</v>
      </c>
      <c r="G276" s="6">
        <v>4</v>
      </c>
      <c r="H276" s="184">
        <v>73.489999999999995</v>
      </c>
      <c r="I276" s="184">
        <f>Table3[[#This Row],[Unit Price]]*Table3[[#This Row],[QTY]]</f>
        <v>293.95999999999998</v>
      </c>
      <c r="J276" s="6" t="s">
        <v>3427</v>
      </c>
      <c r="K276" s="6" t="s">
        <v>58</v>
      </c>
      <c r="L276" s="6"/>
      <c r="M276" s="7">
        <v>45882</v>
      </c>
      <c r="N276" s="174">
        <v>45897</v>
      </c>
      <c r="R276" s="1" t="s">
        <v>3342</v>
      </c>
    </row>
    <row r="277" spans="1:18" hidden="1">
      <c r="A277" s="31" t="s">
        <v>3595</v>
      </c>
      <c r="B277" s="7">
        <v>45873</v>
      </c>
      <c r="C277" s="6" t="s">
        <v>3287</v>
      </c>
      <c r="D277" s="6" t="s">
        <v>3596</v>
      </c>
      <c r="E277" s="6" t="s">
        <v>3237</v>
      </c>
      <c r="F277" s="6" t="s">
        <v>3238</v>
      </c>
      <c r="G277" s="6">
        <v>6</v>
      </c>
      <c r="H277" s="184">
        <v>139.13999999999999</v>
      </c>
      <c r="I277" s="184">
        <f>Table3[[#This Row],[Unit Price]]*Table3[[#This Row],[QTY]]</f>
        <v>834.83999999999992</v>
      </c>
      <c r="J277" s="6" t="s">
        <v>3469</v>
      </c>
      <c r="K277" s="6" t="s">
        <v>58</v>
      </c>
      <c r="L277" s="6"/>
      <c r="M277" s="7">
        <v>45896</v>
      </c>
      <c r="N277" s="172">
        <v>45945</v>
      </c>
    </row>
    <row r="278" spans="1:18" hidden="1">
      <c r="A278" s="31" t="s">
        <v>3597</v>
      </c>
      <c r="B278" s="7">
        <v>45874</v>
      </c>
      <c r="C278" s="6" t="s">
        <v>3287</v>
      </c>
      <c r="D278" s="6" t="s">
        <v>3598</v>
      </c>
      <c r="E278" s="6"/>
      <c r="F278" s="6" t="s">
        <v>3599</v>
      </c>
      <c r="G278" s="6">
        <v>1</v>
      </c>
      <c r="H278" s="184">
        <v>851.95</v>
      </c>
      <c r="I278" s="184">
        <f>Table3[[#This Row],[Unit Price]]*Table3[[#This Row],[QTY]]</f>
        <v>851.95</v>
      </c>
      <c r="J278" s="6" t="s">
        <v>3427</v>
      </c>
      <c r="K278" s="6" t="s">
        <v>58</v>
      </c>
      <c r="L278" s="6"/>
      <c r="M278" s="7">
        <v>45882</v>
      </c>
      <c r="N278" s="174">
        <v>45897</v>
      </c>
      <c r="R278" s="1" t="s">
        <v>3342</v>
      </c>
    </row>
    <row r="279" spans="1:18" hidden="1">
      <c r="A279" s="31" t="s">
        <v>3600</v>
      </c>
      <c r="B279" s="7">
        <v>45875</v>
      </c>
      <c r="C279" s="6" t="s">
        <v>3579</v>
      </c>
      <c r="D279" s="6" t="s">
        <v>3335</v>
      </c>
      <c r="E279" s="6" t="s">
        <v>335</v>
      </c>
      <c r="F279" s="6" t="s">
        <v>2569</v>
      </c>
      <c r="G279" s="6">
        <v>1</v>
      </c>
      <c r="H279" s="184">
        <v>79.989999999999995</v>
      </c>
      <c r="I279" s="184">
        <f>Table3[[#This Row],[Unit Price]]*Table3[[#This Row],[QTY]]</f>
        <v>79.989999999999995</v>
      </c>
      <c r="J279" s="6" t="s">
        <v>3427</v>
      </c>
      <c r="K279" s="6" t="s">
        <v>89</v>
      </c>
      <c r="L279" s="6"/>
      <c r="M279" s="7">
        <v>45882</v>
      </c>
      <c r="N279" s="174">
        <v>45897</v>
      </c>
      <c r="O279" s="4">
        <v>109855</v>
      </c>
      <c r="P279" s="4">
        <v>74314</v>
      </c>
      <c r="Q279" s="171">
        <v>45901</v>
      </c>
      <c r="R279" s="1" t="s">
        <v>2990</v>
      </c>
    </row>
    <row r="280" spans="1:18" hidden="1">
      <c r="A280" s="31" t="s">
        <v>3601</v>
      </c>
      <c r="B280" s="7">
        <v>45876</v>
      </c>
      <c r="C280" s="6" t="s">
        <v>3287</v>
      </c>
      <c r="D280" s="6" t="s">
        <v>3602</v>
      </c>
      <c r="E280" s="6" t="s">
        <v>340</v>
      </c>
      <c r="F280" s="6" t="s">
        <v>3603</v>
      </c>
      <c r="G280" s="6">
        <v>5</v>
      </c>
      <c r="H280" s="184">
        <v>37.229999999999997</v>
      </c>
      <c r="I280" s="184">
        <f>Table3[[#This Row],[Unit Price]]*Table3[[#This Row],[QTY]]</f>
        <v>186.14999999999998</v>
      </c>
      <c r="J280" s="6" t="s">
        <v>3427</v>
      </c>
      <c r="K280" s="6" t="s">
        <v>58</v>
      </c>
      <c r="L280" s="6"/>
      <c r="M280" s="7">
        <v>45882</v>
      </c>
      <c r="N280" s="174">
        <v>45897</v>
      </c>
      <c r="R280" s="1" t="s">
        <v>3342</v>
      </c>
    </row>
    <row r="281" spans="1:18" hidden="1">
      <c r="A281" s="31" t="s">
        <v>3604</v>
      </c>
      <c r="B281" s="7">
        <v>45876</v>
      </c>
      <c r="C281" s="6" t="s">
        <v>3287</v>
      </c>
      <c r="D281" s="6" t="s">
        <v>3605</v>
      </c>
      <c r="E281" s="6"/>
      <c r="F281" s="6" t="s">
        <v>3606</v>
      </c>
      <c r="G281" s="6">
        <v>10</v>
      </c>
      <c r="H281" s="184">
        <v>0.72</v>
      </c>
      <c r="I281" s="184">
        <f>Table3[[#This Row],[Unit Price]]*Table3[[#This Row],[QTY]]</f>
        <v>7.1999999999999993</v>
      </c>
      <c r="J281" s="6" t="s">
        <v>3427</v>
      </c>
      <c r="K281" s="6" t="s">
        <v>58</v>
      </c>
      <c r="L281" s="6"/>
      <c r="M281" s="7">
        <v>45882</v>
      </c>
      <c r="N281" s="174">
        <v>45897</v>
      </c>
      <c r="R281" s="1" t="s">
        <v>3342</v>
      </c>
    </row>
    <row r="282" spans="1:18" hidden="1">
      <c r="A282" s="31" t="s">
        <v>3607</v>
      </c>
      <c r="B282" s="7">
        <v>45880</v>
      </c>
      <c r="C282" s="6" t="s">
        <v>3287</v>
      </c>
      <c r="D282" s="6" t="s">
        <v>3608</v>
      </c>
      <c r="E282" s="6"/>
      <c r="F282" s="6" t="s">
        <v>3609</v>
      </c>
      <c r="G282" s="6">
        <v>1</v>
      </c>
      <c r="H282" s="184">
        <v>47.52</v>
      </c>
      <c r="I282" s="184">
        <f>Table3[[#This Row],[Unit Price]]*Table3[[#This Row],[QTY]]</f>
        <v>47.52</v>
      </c>
      <c r="J282" s="6" t="s">
        <v>3610</v>
      </c>
      <c r="K282" s="6" t="s">
        <v>58</v>
      </c>
      <c r="L282" s="6"/>
      <c r="M282" s="7">
        <v>46097</v>
      </c>
      <c r="N282" s="172"/>
    </row>
    <row r="283" spans="1:18" hidden="1">
      <c r="A283" s="31" t="s">
        <v>3607</v>
      </c>
      <c r="B283" s="7">
        <v>45880</v>
      </c>
      <c r="C283" s="6" t="s">
        <v>3287</v>
      </c>
      <c r="D283" s="6" t="s">
        <v>854</v>
      </c>
      <c r="E283" s="6"/>
      <c r="F283" s="6" t="s">
        <v>3473</v>
      </c>
      <c r="G283" s="6">
        <v>1</v>
      </c>
      <c r="H283" s="184">
        <v>1208.49</v>
      </c>
      <c r="I283" s="184">
        <f>Table3[[#This Row],[Unit Price]]*Table3[[#This Row],[QTY]]</f>
        <v>1208.49</v>
      </c>
      <c r="J283" s="6" t="s">
        <v>3469</v>
      </c>
      <c r="K283" s="6" t="s">
        <v>58</v>
      </c>
      <c r="L283" s="6"/>
      <c r="M283" s="7">
        <v>45888</v>
      </c>
      <c r="N283" s="172">
        <v>45945</v>
      </c>
    </row>
    <row r="284" spans="1:18" hidden="1">
      <c r="A284" s="31" t="s">
        <v>3607</v>
      </c>
      <c r="B284" s="7">
        <v>45880</v>
      </c>
      <c r="C284" s="6" t="s">
        <v>3287</v>
      </c>
      <c r="D284" s="6" t="s">
        <v>3611</v>
      </c>
      <c r="E284" s="6"/>
      <c r="F284" s="6" t="s">
        <v>3612</v>
      </c>
      <c r="G284" s="6">
        <v>1</v>
      </c>
      <c r="H284" s="184">
        <v>482.77</v>
      </c>
      <c r="I284" s="184">
        <f>Table3[[#This Row],[Unit Price]]*Table3[[#This Row],[QTY]]</f>
        <v>482.77</v>
      </c>
      <c r="J284" s="6" t="s">
        <v>3469</v>
      </c>
      <c r="K284" s="6" t="s">
        <v>58</v>
      </c>
      <c r="L284" s="6"/>
      <c r="M284" s="7">
        <v>45888</v>
      </c>
      <c r="N284" s="172">
        <v>45945</v>
      </c>
    </row>
    <row r="285" spans="1:18" hidden="1">
      <c r="A285" s="31" t="s">
        <v>3613</v>
      </c>
      <c r="B285" s="7">
        <v>45882</v>
      </c>
      <c r="C285" s="6" t="s">
        <v>381</v>
      </c>
      <c r="D285" s="6" t="s">
        <v>2634</v>
      </c>
      <c r="E285" s="6"/>
      <c r="F285" s="6" t="s">
        <v>3614</v>
      </c>
      <c r="G285" s="6">
        <v>1</v>
      </c>
      <c r="H285" s="184">
        <v>132.54</v>
      </c>
      <c r="I285" s="184">
        <f>Table3[[#This Row],[Unit Price]]*Table3[[#This Row],[QTY]]</f>
        <v>132.54</v>
      </c>
      <c r="J285" s="6" t="s">
        <v>3469</v>
      </c>
      <c r="K285" s="6" t="s">
        <v>58</v>
      </c>
      <c r="L285" s="6"/>
      <c r="M285" s="7">
        <v>45888</v>
      </c>
      <c r="N285" s="172">
        <v>45945</v>
      </c>
    </row>
    <row r="286" spans="1:18" hidden="1">
      <c r="A286" s="31" t="s">
        <v>3615</v>
      </c>
      <c r="B286" s="7">
        <v>45884</v>
      </c>
      <c r="C286" s="6" t="s">
        <v>3287</v>
      </c>
      <c r="D286" s="6" t="s">
        <v>3616</v>
      </c>
      <c r="E286" s="6"/>
      <c r="F286" s="6" t="s">
        <v>3617</v>
      </c>
      <c r="G286" s="6">
        <v>2</v>
      </c>
      <c r="H286" s="184">
        <v>694.06</v>
      </c>
      <c r="I286" s="184">
        <f>Table3[[#This Row],[Unit Price]]*Table3[[#This Row],[QTY]]</f>
        <v>1388.12</v>
      </c>
      <c r="J286" s="6" t="s">
        <v>3469</v>
      </c>
      <c r="K286" s="6" t="s">
        <v>58</v>
      </c>
      <c r="L286" s="6"/>
      <c r="M286" s="7">
        <v>45888</v>
      </c>
      <c r="N286" s="172">
        <v>45945</v>
      </c>
    </row>
    <row r="287" spans="1:18" hidden="1">
      <c r="A287" s="31" t="s">
        <v>3615</v>
      </c>
      <c r="B287" s="7">
        <v>45884</v>
      </c>
      <c r="C287" s="6" t="s">
        <v>3287</v>
      </c>
      <c r="D287" s="6" t="s">
        <v>2084</v>
      </c>
      <c r="E287" s="6"/>
      <c r="F287" s="6" t="s">
        <v>3118</v>
      </c>
      <c r="G287" s="6">
        <v>1</v>
      </c>
      <c r="H287" s="184">
        <v>104.32</v>
      </c>
      <c r="I287" s="184">
        <f>Table3[[#This Row],[Unit Price]]*Table3[[#This Row],[QTY]]</f>
        <v>104.32</v>
      </c>
      <c r="J287" s="6" t="s">
        <v>3469</v>
      </c>
      <c r="K287" s="6" t="s">
        <v>58</v>
      </c>
      <c r="L287" s="6"/>
      <c r="M287" s="7">
        <v>45888</v>
      </c>
      <c r="N287" s="172">
        <v>45945</v>
      </c>
    </row>
    <row r="288" spans="1:18" hidden="1">
      <c r="A288" s="31" t="s">
        <v>3618</v>
      </c>
      <c r="B288" s="7">
        <v>45884</v>
      </c>
      <c r="C288" s="6" t="s">
        <v>3619</v>
      </c>
      <c r="D288" s="6" t="s">
        <v>3620</v>
      </c>
      <c r="E288" s="6" t="s">
        <v>3621</v>
      </c>
      <c r="F288" s="6" t="s">
        <v>3622</v>
      </c>
      <c r="G288" s="6">
        <v>1</v>
      </c>
      <c r="H288" s="184">
        <v>93.12</v>
      </c>
      <c r="I288" s="184">
        <f>Table3[[#This Row],[Unit Price]]*Table3[[#This Row],[QTY]]</f>
        <v>93.12</v>
      </c>
      <c r="J288" s="6" t="s">
        <v>3469</v>
      </c>
      <c r="K288" s="6" t="s">
        <v>89</v>
      </c>
      <c r="L288" s="6"/>
      <c r="M288" s="7">
        <v>45888</v>
      </c>
      <c r="N288" s="172">
        <v>45945</v>
      </c>
      <c r="O288" s="4">
        <v>109926</v>
      </c>
      <c r="P288" s="4">
        <v>75699</v>
      </c>
      <c r="Q288" s="171">
        <v>45950</v>
      </c>
      <c r="R288" s="1" t="s">
        <v>2990</v>
      </c>
    </row>
    <row r="289" spans="1:18" hidden="1">
      <c r="A289" s="31" t="s">
        <v>3618</v>
      </c>
      <c r="B289" s="7">
        <v>45884</v>
      </c>
      <c r="C289" s="6" t="s">
        <v>381</v>
      </c>
      <c r="D289" s="6" t="s">
        <v>3623</v>
      </c>
      <c r="E289" s="6"/>
      <c r="F289" s="6" t="s">
        <v>3624</v>
      </c>
      <c r="G289" s="6">
        <v>3</v>
      </c>
      <c r="H289" s="184">
        <v>10.49</v>
      </c>
      <c r="I289" s="184">
        <f>Table3[[#This Row],[Unit Price]]*Table3[[#This Row],[QTY]]</f>
        <v>31.47</v>
      </c>
      <c r="J289" s="6" t="s">
        <v>3469</v>
      </c>
      <c r="K289" s="6" t="s">
        <v>58</v>
      </c>
      <c r="L289" s="6"/>
      <c r="M289" s="7">
        <v>45888</v>
      </c>
      <c r="N289" s="172">
        <v>45945</v>
      </c>
    </row>
    <row r="290" spans="1:18" hidden="1">
      <c r="A290" s="31" t="s">
        <v>3618</v>
      </c>
      <c r="B290" s="7">
        <v>45884</v>
      </c>
      <c r="C290" s="6" t="s">
        <v>381</v>
      </c>
      <c r="D290" s="6" t="s">
        <v>3625</v>
      </c>
      <c r="E290" s="6"/>
      <c r="F290" s="6" t="s">
        <v>3626</v>
      </c>
      <c r="G290" s="6">
        <v>2</v>
      </c>
      <c r="H290" s="184">
        <v>55.15</v>
      </c>
      <c r="I290" s="184">
        <f>Table3[[#This Row],[Unit Price]]*Table3[[#This Row],[QTY]]</f>
        <v>110.3</v>
      </c>
      <c r="J290" s="6" t="s">
        <v>3469</v>
      </c>
      <c r="K290" s="6" t="s">
        <v>58</v>
      </c>
      <c r="L290" s="6"/>
      <c r="M290" s="7">
        <v>45903</v>
      </c>
      <c r="N290" s="172">
        <v>45945</v>
      </c>
    </row>
    <row r="291" spans="1:18" hidden="1">
      <c r="A291" s="31" t="s">
        <v>3618</v>
      </c>
      <c r="B291" s="7">
        <v>45884</v>
      </c>
      <c r="C291" s="6" t="s">
        <v>3619</v>
      </c>
      <c r="D291" s="6" t="s">
        <v>3627</v>
      </c>
      <c r="E291" s="6"/>
      <c r="F291" s="6" t="s">
        <v>3628</v>
      </c>
      <c r="G291" s="6">
        <v>2</v>
      </c>
      <c r="H291" s="184">
        <v>19.600000000000001</v>
      </c>
      <c r="I291" s="184">
        <f>Table3[[#This Row],[Unit Price]]*Table3[[#This Row],[QTY]]</f>
        <v>39.200000000000003</v>
      </c>
      <c r="J291" s="6" t="s">
        <v>3469</v>
      </c>
      <c r="K291" s="6" t="s">
        <v>89</v>
      </c>
      <c r="L291" s="6"/>
      <c r="M291" s="7">
        <v>45888</v>
      </c>
      <c r="N291" s="172">
        <v>45945</v>
      </c>
      <c r="O291" s="4">
        <v>109926</v>
      </c>
      <c r="P291" s="4">
        <v>75699</v>
      </c>
      <c r="Q291" s="171">
        <v>45950</v>
      </c>
      <c r="R291" s="1" t="s">
        <v>2990</v>
      </c>
    </row>
    <row r="292" spans="1:18" hidden="1">
      <c r="A292" s="31" t="s">
        <v>3629</v>
      </c>
      <c r="B292" s="7">
        <v>45884</v>
      </c>
      <c r="C292" s="6" t="s">
        <v>381</v>
      </c>
      <c r="D292" s="6" t="s">
        <v>723</v>
      </c>
      <c r="E292" s="6"/>
      <c r="F292" s="6" t="s">
        <v>3313</v>
      </c>
      <c r="G292" s="6">
        <v>3</v>
      </c>
      <c r="H292" s="184">
        <v>147.61000000000001</v>
      </c>
      <c r="I292" s="184">
        <f>Table3[[#This Row],[Unit Price]]*Table3[[#This Row],[QTY]]</f>
        <v>442.83000000000004</v>
      </c>
      <c r="J292" s="6" t="s">
        <v>3469</v>
      </c>
      <c r="K292" s="6" t="s">
        <v>58</v>
      </c>
      <c r="L292" s="6"/>
      <c r="M292" s="7">
        <v>45888</v>
      </c>
      <c r="N292" s="172">
        <v>45945</v>
      </c>
    </row>
    <row r="293" spans="1:18" hidden="1">
      <c r="A293" s="31" t="s">
        <v>3630</v>
      </c>
      <c r="B293" s="7">
        <v>45884</v>
      </c>
      <c r="C293" s="6" t="s">
        <v>381</v>
      </c>
      <c r="D293" s="6" t="s">
        <v>335</v>
      </c>
      <c r="E293" s="6"/>
      <c r="F293" s="6" t="s">
        <v>2569</v>
      </c>
      <c r="G293" s="6">
        <v>4</v>
      </c>
      <c r="H293" s="184">
        <v>79.989999999999995</v>
      </c>
      <c r="I293" s="184">
        <f>Table3[[#This Row],[Unit Price]]*Table3[[#This Row],[QTY]]</f>
        <v>319.95999999999998</v>
      </c>
      <c r="J293" s="6" t="s">
        <v>3469</v>
      </c>
      <c r="K293" s="6" t="s">
        <v>58</v>
      </c>
      <c r="L293" s="6"/>
      <c r="M293" s="7">
        <v>45888</v>
      </c>
      <c r="N293" s="172">
        <v>45945</v>
      </c>
    </row>
    <row r="294" spans="1:18" hidden="1">
      <c r="A294" s="31" t="s">
        <v>3631</v>
      </c>
      <c r="B294" s="7">
        <v>45887</v>
      </c>
      <c r="C294" s="6" t="s">
        <v>3579</v>
      </c>
      <c r="D294" s="6" t="s">
        <v>1439</v>
      </c>
      <c r="E294" s="6"/>
      <c r="F294" s="6" t="s">
        <v>3554</v>
      </c>
      <c r="G294" s="6">
        <v>1</v>
      </c>
      <c r="H294" s="184">
        <v>303.75</v>
      </c>
      <c r="I294" s="184">
        <f>Table3[[#This Row],[Unit Price]]*Table3[[#This Row],[QTY]]</f>
        <v>303.75</v>
      </c>
      <c r="J294" s="6" t="s">
        <v>3469</v>
      </c>
      <c r="K294" s="6" t="s">
        <v>89</v>
      </c>
      <c r="L294" s="6"/>
      <c r="M294" s="7">
        <v>45896</v>
      </c>
      <c r="N294" s="172">
        <v>45945</v>
      </c>
      <c r="O294" s="4">
        <v>109937</v>
      </c>
      <c r="P294" s="4">
        <v>75705</v>
      </c>
      <c r="Q294" s="171">
        <v>45950</v>
      </c>
      <c r="R294" s="1" t="s">
        <v>2990</v>
      </c>
    </row>
    <row r="295" spans="1:18" hidden="1">
      <c r="A295" s="31" t="s">
        <v>3632</v>
      </c>
      <c r="B295" s="7">
        <v>45888</v>
      </c>
      <c r="C295" s="6" t="s">
        <v>3633</v>
      </c>
      <c r="D295" s="6" t="s">
        <v>3634</v>
      </c>
      <c r="E295" s="6"/>
      <c r="F295" s="6" t="s">
        <v>3635</v>
      </c>
      <c r="G295" s="6">
        <v>1</v>
      </c>
      <c r="H295" s="184">
        <v>3467.87</v>
      </c>
      <c r="I295" s="184">
        <f>Table3[[#This Row],[Unit Price]]*Table3[[#This Row],[QTY]]</f>
        <v>3467.87</v>
      </c>
      <c r="J295" s="6" t="s">
        <v>3469</v>
      </c>
      <c r="K295" s="6" t="s">
        <v>89</v>
      </c>
      <c r="L295" s="6"/>
      <c r="M295" s="7">
        <v>45896</v>
      </c>
      <c r="N295" s="172">
        <v>45945</v>
      </c>
      <c r="Q295" s="171">
        <v>45950</v>
      </c>
      <c r="R295" s="1" t="s">
        <v>2990</v>
      </c>
    </row>
    <row r="296" spans="1:18" hidden="1">
      <c r="A296" s="31" t="s">
        <v>3636</v>
      </c>
      <c r="B296" s="7">
        <v>45891</v>
      </c>
      <c r="C296" s="6" t="s">
        <v>3287</v>
      </c>
      <c r="D296" s="6" t="s">
        <v>1629</v>
      </c>
      <c r="E296" s="6"/>
      <c r="F296" s="6" t="s">
        <v>3637</v>
      </c>
      <c r="G296" s="6">
        <v>1</v>
      </c>
      <c r="H296" s="184">
        <v>167.85</v>
      </c>
      <c r="I296" s="184">
        <f>Table3[[#This Row],[Unit Price]]*Table3[[#This Row],[QTY]]</f>
        <v>167.85</v>
      </c>
      <c r="J296" s="6" t="s">
        <v>3469</v>
      </c>
      <c r="K296" s="6" t="s">
        <v>58</v>
      </c>
      <c r="L296" s="6"/>
      <c r="M296" s="7">
        <v>45896</v>
      </c>
      <c r="N296" s="172">
        <v>45945</v>
      </c>
    </row>
    <row r="297" spans="1:18" hidden="1">
      <c r="A297" s="31" t="s">
        <v>3638</v>
      </c>
      <c r="B297" s="7">
        <v>45891</v>
      </c>
      <c r="C297" s="6" t="s">
        <v>381</v>
      </c>
      <c r="D297" s="6" t="s">
        <v>2427</v>
      </c>
      <c r="E297" s="6"/>
      <c r="F297" s="6" t="s">
        <v>2759</v>
      </c>
      <c r="G297" s="6">
        <v>2</v>
      </c>
      <c r="H297" s="184">
        <v>77.010000000000005</v>
      </c>
      <c r="I297" s="184">
        <f>Table3[[#This Row],[Unit Price]]*Table3[[#This Row],[QTY]]</f>
        <v>154.02000000000001</v>
      </c>
      <c r="J297" s="6" t="s">
        <v>3469</v>
      </c>
      <c r="K297" s="6" t="s">
        <v>58</v>
      </c>
      <c r="L297" s="6"/>
      <c r="M297" s="7">
        <v>45896</v>
      </c>
      <c r="N297" s="172">
        <v>45945</v>
      </c>
    </row>
    <row r="298" spans="1:18" hidden="1">
      <c r="A298" s="31" t="s">
        <v>3639</v>
      </c>
      <c r="B298" s="7">
        <v>45890</v>
      </c>
      <c r="C298" s="6" t="s">
        <v>381</v>
      </c>
      <c r="D298" s="6" t="s">
        <v>856</v>
      </c>
      <c r="E298" s="6"/>
      <c r="F298" s="6" t="s">
        <v>1877</v>
      </c>
      <c r="G298" s="6">
        <v>1</v>
      </c>
      <c r="H298" s="184">
        <v>274.36</v>
      </c>
      <c r="I298" s="184">
        <f>Table3[[#This Row],[Unit Price]]*Table3[[#This Row],[QTY]]</f>
        <v>274.36</v>
      </c>
      <c r="J298" s="6" t="s">
        <v>3469</v>
      </c>
      <c r="K298" s="6" t="s">
        <v>58</v>
      </c>
      <c r="L298" s="6"/>
      <c r="M298" s="7">
        <v>45896</v>
      </c>
      <c r="N298" s="172">
        <v>45945</v>
      </c>
    </row>
    <row r="299" spans="1:18" hidden="1">
      <c r="A299" s="31" t="s">
        <v>3640</v>
      </c>
      <c r="B299" s="7">
        <v>45891</v>
      </c>
      <c r="C299" s="6" t="s">
        <v>381</v>
      </c>
      <c r="D299" s="6" t="s">
        <v>1629</v>
      </c>
      <c r="E299" s="6"/>
      <c r="F299" s="6" t="s">
        <v>3637</v>
      </c>
      <c r="G299" s="6">
        <v>1</v>
      </c>
      <c r="H299" s="184">
        <v>167.85</v>
      </c>
      <c r="I299" s="184">
        <f>Table3[[#This Row],[Unit Price]]*Table3[[#This Row],[QTY]]</f>
        <v>167.85</v>
      </c>
      <c r="J299" s="6" t="s">
        <v>3469</v>
      </c>
      <c r="K299" s="6" t="s">
        <v>58</v>
      </c>
      <c r="L299" s="6"/>
      <c r="M299" s="7">
        <v>45896</v>
      </c>
      <c r="N299" s="172">
        <v>45945</v>
      </c>
    </row>
    <row r="300" spans="1:18" hidden="1">
      <c r="A300" s="31" t="s">
        <v>3641</v>
      </c>
      <c r="B300" s="7">
        <v>45895</v>
      </c>
      <c r="C300" s="6" t="s">
        <v>3642</v>
      </c>
      <c r="D300" s="6" t="s">
        <v>3623</v>
      </c>
      <c r="E300" s="6"/>
      <c r="F300" s="6" t="s">
        <v>3624</v>
      </c>
      <c r="G300" s="6">
        <v>4</v>
      </c>
      <c r="H300" s="184">
        <v>10.49</v>
      </c>
      <c r="I300" s="184">
        <f>Table3[[#This Row],[Unit Price]]*Table3[[#This Row],[QTY]]</f>
        <v>41.96</v>
      </c>
      <c r="J300" s="6" t="s">
        <v>3469</v>
      </c>
      <c r="K300" s="6" t="s">
        <v>89</v>
      </c>
      <c r="L300" s="6"/>
      <c r="M300" s="7">
        <v>45903</v>
      </c>
      <c r="N300" s="172">
        <v>45945</v>
      </c>
      <c r="O300" s="4">
        <v>10028</v>
      </c>
      <c r="P300" s="4">
        <v>75710</v>
      </c>
      <c r="Q300" s="171">
        <v>45950</v>
      </c>
      <c r="R300" s="1" t="s">
        <v>2990</v>
      </c>
    </row>
    <row r="301" spans="1:18" hidden="1">
      <c r="A301" s="31" t="s">
        <v>3643</v>
      </c>
      <c r="B301" s="7">
        <v>45895</v>
      </c>
      <c r="C301" s="6" t="s">
        <v>58</v>
      </c>
      <c r="D301" s="6" t="s">
        <v>3644</v>
      </c>
      <c r="E301" s="6"/>
      <c r="F301" s="6" t="s">
        <v>3645</v>
      </c>
      <c r="G301" s="6">
        <v>1</v>
      </c>
      <c r="H301" s="184">
        <v>97.99</v>
      </c>
      <c r="I301" s="184">
        <f>Table3[[#This Row],[Unit Price]]*Table3[[#This Row],[QTY]]</f>
        <v>97.99</v>
      </c>
      <c r="J301" s="6" t="s">
        <v>3469</v>
      </c>
      <c r="K301" s="6"/>
      <c r="L301" s="6"/>
      <c r="M301" s="7">
        <v>45903</v>
      </c>
      <c r="N301" s="172">
        <v>45945</v>
      </c>
    </row>
    <row r="302" spans="1:18" hidden="1">
      <c r="A302" s="31" t="s">
        <v>3643</v>
      </c>
      <c r="B302" s="7">
        <v>45895</v>
      </c>
      <c r="C302" s="6" t="s">
        <v>3646</v>
      </c>
      <c r="D302" s="6" t="s">
        <v>943</v>
      </c>
      <c r="E302" s="6"/>
      <c r="F302" s="6" t="s">
        <v>3574</v>
      </c>
      <c r="G302" s="6">
        <v>3</v>
      </c>
      <c r="H302" s="184">
        <v>11.63</v>
      </c>
      <c r="I302" s="184">
        <f>Table3[[#This Row],[Unit Price]]*Table3[[#This Row],[QTY]]</f>
        <v>34.89</v>
      </c>
      <c r="J302" s="6" t="s">
        <v>3469</v>
      </c>
      <c r="K302" s="6" t="s">
        <v>89</v>
      </c>
      <c r="L302" s="6" t="s">
        <v>3647</v>
      </c>
      <c r="M302" s="7">
        <v>45903</v>
      </c>
      <c r="N302" s="172">
        <v>45945</v>
      </c>
      <c r="O302" s="4">
        <v>110011</v>
      </c>
      <c r="P302" s="4">
        <v>75712</v>
      </c>
      <c r="Q302" s="171">
        <v>45950</v>
      </c>
      <c r="R302" s="1" t="s">
        <v>2990</v>
      </c>
    </row>
    <row r="303" spans="1:18" hidden="1">
      <c r="A303" s="31" t="s">
        <v>3648</v>
      </c>
      <c r="B303" s="7">
        <v>45895</v>
      </c>
      <c r="C303" s="6" t="s">
        <v>58</v>
      </c>
      <c r="D303" s="6" t="s">
        <v>3649</v>
      </c>
      <c r="E303" s="6"/>
      <c r="F303" s="6" t="s">
        <v>3650</v>
      </c>
      <c r="G303" s="6">
        <v>1</v>
      </c>
      <c r="H303" s="184">
        <v>546.87</v>
      </c>
      <c r="I303" s="184">
        <f>Table3[[#This Row],[Unit Price]]*Table3[[#This Row],[QTY]]</f>
        <v>546.87</v>
      </c>
      <c r="J303" s="6" t="s">
        <v>3469</v>
      </c>
      <c r="K303" s="6"/>
      <c r="L303" s="6"/>
      <c r="M303" s="7">
        <v>45903</v>
      </c>
      <c r="N303" s="172">
        <v>45945</v>
      </c>
    </row>
    <row r="304" spans="1:18" hidden="1">
      <c r="A304" s="31" t="s">
        <v>3651</v>
      </c>
      <c r="B304" s="7">
        <v>45897</v>
      </c>
      <c r="C304" s="6" t="s">
        <v>54</v>
      </c>
      <c r="D304" s="6" t="s">
        <v>3652</v>
      </c>
      <c r="E304" s="6"/>
      <c r="F304" s="6" t="s">
        <v>3653</v>
      </c>
      <c r="G304" s="6">
        <v>1</v>
      </c>
      <c r="H304" s="184">
        <v>112.36</v>
      </c>
      <c r="I304" s="184">
        <f>Table3[[#This Row],[Unit Price]]*Table3[[#This Row],[QTY]]</f>
        <v>112.36</v>
      </c>
      <c r="J304" s="6" t="s">
        <v>3654</v>
      </c>
      <c r="K304" s="6"/>
      <c r="L304" s="6"/>
      <c r="M304" s="7">
        <v>45987</v>
      </c>
      <c r="N304" s="172">
        <v>46031</v>
      </c>
    </row>
    <row r="305" spans="1:18" hidden="1">
      <c r="A305" s="31" t="s">
        <v>3655</v>
      </c>
      <c r="B305" s="7">
        <v>45898</v>
      </c>
      <c r="C305" s="6" t="s">
        <v>3287</v>
      </c>
      <c r="D305" s="6" t="s">
        <v>335</v>
      </c>
      <c r="E305" s="6"/>
      <c r="F305" s="6" t="s">
        <v>2569</v>
      </c>
      <c r="G305" s="6">
        <v>1</v>
      </c>
      <c r="H305" s="184">
        <v>79.989999999999995</v>
      </c>
      <c r="I305" s="184">
        <f>Table3[[#This Row],[Unit Price]]*Table3[[#This Row],[QTY]]</f>
        <v>79.989999999999995</v>
      </c>
      <c r="J305" s="6" t="s">
        <v>3469</v>
      </c>
      <c r="K305" s="6" t="s">
        <v>58</v>
      </c>
      <c r="L305" s="6"/>
      <c r="M305" s="7">
        <v>45903</v>
      </c>
      <c r="N305" s="172">
        <v>45945</v>
      </c>
    </row>
    <row r="306" spans="1:18" hidden="1">
      <c r="A306" s="31" t="s">
        <v>3655</v>
      </c>
      <c r="B306" s="7">
        <v>45898</v>
      </c>
      <c r="C306" s="6" t="s">
        <v>3287</v>
      </c>
      <c r="D306" s="6" t="s">
        <v>2427</v>
      </c>
      <c r="E306" s="6"/>
      <c r="F306" s="6" t="s">
        <v>2759</v>
      </c>
      <c r="G306" s="6">
        <v>2</v>
      </c>
      <c r="H306" s="184">
        <v>77.010000000000005</v>
      </c>
      <c r="I306" s="184">
        <f>Table3[[#This Row],[Unit Price]]*Table3[[#This Row],[QTY]]</f>
        <v>154.02000000000001</v>
      </c>
      <c r="J306" s="6" t="s">
        <v>3469</v>
      </c>
      <c r="K306" s="6" t="s">
        <v>58</v>
      </c>
      <c r="L306" s="6"/>
      <c r="M306" s="7">
        <v>45903</v>
      </c>
      <c r="N306" s="172">
        <v>45945</v>
      </c>
    </row>
    <row r="307" spans="1:18" hidden="1">
      <c r="A307" s="31" t="s">
        <v>3655</v>
      </c>
      <c r="B307" s="7">
        <v>45898</v>
      </c>
      <c r="C307" s="6" t="s">
        <v>3287</v>
      </c>
      <c r="D307" s="6" t="s">
        <v>3656</v>
      </c>
      <c r="E307" s="6"/>
      <c r="F307" s="6" t="s">
        <v>3657</v>
      </c>
      <c r="G307" s="6">
        <v>2</v>
      </c>
      <c r="H307" s="184">
        <v>19.600000000000001</v>
      </c>
      <c r="I307" s="184">
        <f>Table3[[#This Row],[Unit Price]]*Table3[[#This Row],[QTY]]</f>
        <v>39.200000000000003</v>
      </c>
      <c r="J307" s="6" t="s">
        <v>3469</v>
      </c>
      <c r="K307" s="6" t="s">
        <v>58</v>
      </c>
      <c r="L307" s="6"/>
      <c r="M307" s="7">
        <v>45903</v>
      </c>
      <c r="N307" s="172">
        <v>45945</v>
      </c>
    </row>
    <row r="308" spans="1:18" hidden="1">
      <c r="A308" s="31" t="s">
        <v>3658</v>
      </c>
      <c r="B308" s="7">
        <v>45902</v>
      </c>
      <c r="C308" s="6" t="s">
        <v>3325</v>
      </c>
      <c r="D308" s="6" t="s">
        <v>75</v>
      </c>
      <c r="E308" s="6"/>
      <c r="F308" s="6" t="s">
        <v>1166</v>
      </c>
      <c r="G308" s="6">
        <v>1</v>
      </c>
      <c r="H308" s="184">
        <v>1147.4100000000001</v>
      </c>
      <c r="I308" s="184">
        <f>Table3[[#This Row],[Unit Price]]*Table3[[#This Row],[QTY]]</f>
        <v>1147.4100000000001</v>
      </c>
      <c r="J308" s="6" t="s">
        <v>3469</v>
      </c>
      <c r="K308" s="6"/>
      <c r="L308" s="6"/>
      <c r="M308" s="7">
        <v>45903</v>
      </c>
      <c r="N308" s="172">
        <v>45945</v>
      </c>
    </row>
    <row r="309" spans="1:18" hidden="1">
      <c r="A309" s="31" t="s">
        <v>3659</v>
      </c>
      <c r="B309" s="7">
        <v>45903</v>
      </c>
      <c r="C309" s="6" t="s">
        <v>381</v>
      </c>
      <c r="D309" s="6" t="s">
        <v>3660</v>
      </c>
      <c r="E309" s="6"/>
      <c r="F309" s="6" t="s">
        <v>3661</v>
      </c>
      <c r="G309" s="6">
        <v>1</v>
      </c>
      <c r="H309" s="184">
        <v>96.35</v>
      </c>
      <c r="I309" s="184">
        <f>Table3[[#This Row],[Unit Price]]*Table3[[#This Row],[QTY]]</f>
        <v>96.35</v>
      </c>
      <c r="J309" s="6" t="s">
        <v>3469</v>
      </c>
      <c r="K309" s="6" t="s">
        <v>58</v>
      </c>
      <c r="L309" s="6"/>
      <c r="M309" s="7">
        <v>45903</v>
      </c>
      <c r="N309" s="172">
        <v>45945</v>
      </c>
    </row>
    <row r="310" spans="1:18" hidden="1">
      <c r="A310" s="31" t="s">
        <v>3662</v>
      </c>
      <c r="B310" s="7">
        <v>45904</v>
      </c>
      <c r="C310" s="6" t="s">
        <v>3287</v>
      </c>
      <c r="D310" s="6" t="s">
        <v>3663</v>
      </c>
      <c r="E310" s="6"/>
      <c r="F310" s="6" t="s">
        <v>3664</v>
      </c>
      <c r="G310" s="6">
        <v>5</v>
      </c>
      <c r="H310" s="184">
        <v>30.32</v>
      </c>
      <c r="I310" s="184">
        <f>Table3[[#This Row],[Unit Price]]*Table3[[#This Row],[QTY]]</f>
        <v>151.6</v>
      </c>
      <c r="J310" s="6" t="s">
        <v>3665</v>
      </c>
      <c r="K310" s="6" t="s">
        <v>58</v>
      </c>
      <c r="L310" s="6"/>
      <c r="M310" s="7">
        <v>45935</v>
      </c>
      <c r="N310" s="172">
        <v>45993</v>
      </c>
    </row>
    <row r="311" spans="1:18" hidden="1">
      <c r="A311" s="31" t="s">
        <v>3666</v>
      </c>
      <c r="B311" s="7">
        <v>45904</v>
      </c>
      <c r="C311" s="6" t="s">
        <v>3287</v>
      </c>
      <c r="D311" s="6" t="s">
        <v>3660</v>
      </c>
      <c r="E311" s="6"/>
      <c r="F311" s="6" t="s">
        <v>3661</v>
      </c>
      <c r="G311" s="6">
        <v>3</v>
      </c>
      <c r="H311" s="184">
        <v>96.35</v>
      </c>
      <c r="I311" s="184">
        <f>Table3[[#This Row],[Unit Price]]*Table3[[#This Row],[QTY]]</f>
        <v>289.04999999999995</v>
      </c>
      <c r="J311" s="6" t="s">
        <v>3469</v>
      </c>
      <c r="K311" s="6" t="s">
        <v>58</v>
      </c>
      <c r="L311" s="6"/>
      <c r="M311" s="7">
        <v>45903</v>
      </c>
      <c r="N311" s="172">
        <v>45945</v>
      </c>
    </row>
    <row r="312" spans="1:18" hidden="1">
      <c r="A312" s="308" t="s">
        <v>3667</v>
      </c>
      <c r="B312" s="7">
        <v>45905</v>
      </c>
      <c r="C312" s="6" t="s">
        <v>3561</v>
      </c>
      <c r="D312" s="6" t="s">
        <v>3668</v>
      </c>
      <c r="E312" s="6"/>
      <c r="F312" s="6" t="s">
        <v>3669</v>
      </c>
      <c r="G312" s="6">
        <v>1</v>
      </c>
      <c r="H312" s="184">
        <v>23.68</v>
      </c>
      <c r="I312" s="184">
        <f>Table3[[#This Row],[Unit Price]]*Table3[[#This Row],[QTY]]</f>
        <v>23.68</v>
      </c>
      <c r="J312" s="6" t="s">
        <v>3665</v>
      </c>
      <c r="K312" s="6"/>
      <c r="L312" s="6"/>
      <c r="M312" s="7">
        <v>45945</v>
      </c>
      <c r="N312" s="172">
        <v>45993</v>
      </c>
      <c r="O312" s="234">
        <v>110106</v>
      </c>
      <c r="P312" s="4">
        <v>77312</v>
      </c>
      <c r="Q312" s="171">
        <v>46003</v>
      </c>
      <c r="R312" s="1" t="s">
        <v>2990</v>
      </c>
    </row>
    <row r="313" spans="1:18" hidden="1">
      <c r="A313" s="308" t="s">
        <v>3667</v>
      </c>
      <c r="B313" s="7">
        <v>45905</v>
      </c>
      <c r="C313" s="6" t="s">
        <v>3561</v>
      </c>
      <c r="D313" s="6" t="s">
        <v>1441</v>
      </c>
      <c r="E313" s="6" t="s">
        <v>1439</v>
      </c>
      <c r="F313" s="6" t="s">
        <v>3554</v>
      </c>
      <c r="G313" s="6">
        <v>1</v>
      </c>
      <c r="H313" s="184">
        <v>303.75</v>
      </c>
      <c r="I313" s="184">
        <f>Table3[[#This Row],[Unit Price]]*Table3[[#This Row],[QTY]]</f>
        <v>303.75</v>
      </c>
      <c r="J313" s="6" t="s">
        <v>3665</v>
      </c>
      <c r="K313" s="6"/>
      <c r="L313" s="6"/>
      <c r="M313" s="7">
        <v>45945</v>
      </c>
      <c r="N313" s="172">
        <v>45993</v>
      </c>
      <c r="O313" s="234">
        <v>110106</v>
      </c>
      <c r="P313" s="4">
        <v>77312</v>
      </c>
      <c r="Q313" s="171">
        <v>46003</v>
      </c>
      <c r="R313" s="1" t="s">
        <v>2990</v>
      </c>
    </row>
    <row r="314" spans="1:18" hidden="1">
      <c r="A314" s="31" t="s">
        <v>3670</v>
      </c>
      <c r="B314" s="7">
        <v>45905</v>
      </c>
      <c r="C314" s="6" t="s">
        <v>3287</v>
      </c>
      <c r="D314" s="6" t="s">
        <v>335</v>
      </c>
      <c r="E314" s="6"/>
      <c r="F314" s="6" t="s">
        <v>2569</v>
      </c>
      <c r="G314" s="6">
        <v>6</v>
      </c>
      <c r="H314" s="184">
        <v>79.989999999999995</v>
      </c>
      <c r="I314" s="184">
        <f>Table3[[#This Row],[Unit Price]]*Table3[[#This Row],[QTY]]</f>
        <v>479.93999999999994</v>
      </c>
      <c r="J314" s="6" t="s">
        <v>3665</v>
      </c>
      <c r="K314" s="6" t="s">
        <v>58</v>
      </c>
      <c r="L314" s="6"/>
      <c r="M314" s="7">
        <v>45945</v>
      </c>
      <c r="N314" s="172">
        <v>45993</v>
      </c>
    </row>
    <row r="315" spans="1:18" hidden="1">
      <c r="A315" s="31" t="s">
        <v>3670</v>
      </c>
      <c r="B315" s="7">
        <v>45905</v>
      </c>
      <c r="C315" s="6" t="s">
        <v>3287</v>
      </c>
      <c r="D315" s="6" t="s">
        <v>3671</v>
      </c>
      <c r="E315" s="6"/>
      <c r="F315" s="6" t="s">
        <v>3672</v>
      </c>
      <c r="G315" s="6">
        <v>1</v>
      </c>
      <c r="H315" s="184">
        <v>150.80000000000001</v>
      </c>
      <c r="I315" s="184">
        <f>Table3[[#This Row],[Unit Price]]*Table3[[#This Row],[QTY]]</f>
        <v>150.80000000000001</v>
      </c>
      <c r="J315" s="6" t="s">
        <v>3673</v>
      </c>
      <c r="K315" s="6" t="s">
        <v>58</v>
      </c>
      <c r="L315" s="6"/>
      <c r="M315" s="7">
        <v>46035</v>
      </c>
      <c r="N315" s="174">
        <v>46071</v>
      </c>
    </row>
    <row r="316" spans="1:18" hidden="1">
      <c r="A316" s="31" t="s">
        <v>3674</v>
      </c>
      <c r="B316" s="7">
        <v>45905</v>
      </c>
      <c r="C316" s="6" t="s">
        <v>3145</v>
      </c>
      <c r="D316" s="6" t="s">
        <v>723</v>
      </c>
      <c r="E316" s="6"/>
      <c r="F316" s="6" t="s">
        <v>3313</v>
      </c>
      <c r="G316" s="6">
        <v>1</v>
      </c>
      <c r="H316" s="184">
        <v>147.61000000000001</v>
      </c>
      <c r="I316" s="184">
        <f>Table3[[#This Row],[Unit Price]]*Table3[[#This Row],[QTY]]</f>
        <v>147.61000000000001</v>
      </c>
      <c r="J316" s="6" t="s">
        <v>3654</v>
      </c>
      <c r="K316" s="6"/>
      <c r="L316" s="6"/>
      <c r="M316" s="7">
        <v>45972</v>
      </c>
      <c r="N316" s="172">
        <v>46031</v>
      </c>
    </row>
    <row r="317" spans="1:18" hidden="1">
      <c r="A317" s="31" t="s">
        <v>3675</v>
      </c>
      <c r="B317" s="7">
        <v>45905</v>
      </c>
      <c r="C317" s="6" t="s">
        <v>3287</v>
      </c>
      <c r="D317" s="6" t="s">
        <v>545</v>
      </c>
      <c r="E317" s="6"/>
      <c r="F317" s="6" t="s">
        <v>3236</v>
      </c>
      <c r="G317" s="6">
        <v>2</v>
      </c>
      <c r="H317" s="184">
        <v>898.2</v>
      </c>
      <c r="I317" s="184">
        <f>Table3[[#This Row],[Unit Price]]*Table3[[#This Row],[QTY]]</f>
        <v>1796.4</v>
      </c>
      <c r="J317" s="6" t="s">
        <v>3665</v>
      </c>
      <c r="K317" s="6" t="s">
        <v>58</v>
      </c>
      <c r="L317" s="6"/>
      <c r="M317" s="7">
        <v>45945</v>
      </c>
      <c r="N317" s="172">
        <v>45993</v>
      </c>
    </row>
    <row r="318" spans="1:18" hidden="1">
      <c r="A318" s="31" t="s">
        <v>3675</v>
      </c>
      <c r="B318" s="7">
        <v>45905</v>
      </c>
      <c r="C318" s="6" t="s">
        <v>3287</v>
      </c>
      <c r="D318" s="6" t="s">
        <v>3676</v>
      </c>
      <c r="E318" s="6"/>
      <c r="F318" s="6" t="s">
        <v>3677</v>
      </c>
      <c r="G318" s="6">
        <v>1</v>
      </c>
      <c r="H318" s="184">
        <v>78.59</v>
      </c>
      <c r="I318" s="184">
        <f>Table3[[#This Row],[Unit Price]]*Table3[[#This Row],[QTY]]</f>
        <v>78.59</v>
      </c>
      <c r="J318" s="6" t="s">
        <v>3665</v>
      </c>
      <c r="K318" s="6" t="s">
        <v>58</v>
      </c>
      <c r="L318" s="6"/>
      <c r="M318" s="7">
        <v>45945</v>
      </c>
      <c r="N318" s="172">
        <v>45993</v>
      </c>
    </row>
    <row r="319" spans="1:18" hidden="1">
      <c r="A319" s="31" t="s">
        <v>3675</v>
      </c>
      <c r="B319" s="7">
        <v>45905</v>
      </c>
      <c r="C319" s="6" t="s">
        <v>3287</v>
      </c>
      <c r="D319" s="6" t="s">
        <v>3678</v>
      </c>
      <c r="E319" s="6"/>
      <c r="F319" s="6" t="s">
        <v>3679</v>
      </c>
      <c r="G319" s="6">
        <v>1</v>
      </c>
      <c r="H319" s="184">
        <v>73.680000000000007</v>
      </c>
      <c r="I319" s="184">
        <f>Table3[[#This Row],[Unit Price]]*Table3[[#This Row],[QTY]]</f>
        <v>73.680000000000007</v>
      </c>
      <c r="J319" s="6" t="s">
        <v>3654</v>
      </c>
      <c r="K319" s="6" t="s">
        <v>58</v>
      </c>
      <c r="L319" s="6"/>
      <c r="M319" s="7">
        <v>45972</v>
      </c>
      <c r="N319" s="172">
        <v>46031</v>
      </c>
    </row>
    <row r="320" spans="1:18" hidden="1">
      <c r="A320" s="31" t="s">
        <v>3675</v>
      </c>
      <c r="B320" s="7">
        <v>45905</v>
      </c>
      <c r="C320" s="6" t="s">
        <v>3287</v>
      </c>
      <c r="D320" s="6" t="s">
        <v>292</v>
      </c>
      <c r="E320" s="6"/>
      <c r="F320" s="6" t="s">
        <v>3426</v>
      </c>
      <c r="G320" s="6">
        <v>2</v>
      </c>
      <c r="H320" s="184">
        <v>97.79</v>
      </c>
      <c r="I320" s="184">
        <f>Table3[[#This Row],[Unit Price]]*Table3[[#This Row],[QTY]]</f>
        <v>195.58</v>
      </c>
      <c r="J320" s="6" t="s">
        <v>3680</v>
      </c>
      <c r="K320" s="6" t="s">
        <v>58</v>
      </c>
      <c r="L320" s="6"/>
      <c r="M320" s="7">
        <v>46051</v>
      </c>
      <c r="N320" s="172">
        <v>46077</v>
      </c>
    </row>
    <row r="321" spans="1:18" hidden="1">
      <c r="A321" s="31" t="s">
        <v>3681</v>
      </c>
      <c r="B321" s="7">
        <v>45910</v>
      </c>
      <c r="C321" s="6" t="s">
        <v>3287</v>
      </c>
      <c r="D321" s="6" t="s">
        <v>3682</v>
      </c>
      <c r="E321" s="6"/>
      <c r="F321" s="6" t="s">
        <v>3683</v>
      </c>
      <c r="G321" s="6">
        <v>4</v>
      </c>
      <c r="H321" s="184">
        <v>18.29</v>
      </c>
      <c r="I321" s="184">
        <f>Table3[[#This Row],[Unit Price]]*Table3[[#This Row],[QTY]]</f>
        <v>73.16</v>
      </c>
      <c r="J321" s="6" t="s">
        <v>3665</v>
      </c>
      <c r="K321" s="6" t="s">
        <v>58</v>
      </c>
      <c r="L321" s="6"/>
      <c r="M321" s="7">
        <v>45945</v>
      </c>
      <c r="N321" s="172">
        <v>45993</v>
      </c>
    </row>
    <row r="322" spans="1:18" hidden="1">
      <c r="A322" s="31" t="s">
        <v>3684</v>
      </c>
      <c r="B322" s="7">
        <v>45909</v>
      </c>
      <c r="C322" s="6" t="s">
        <v>3287</v>
      </c>
      <c r="D322" s="6" t="s">
        <v>3685</v>
      </c>
      <c r="E322" s="6" t="s">
        <v>1150</v>
      </c>
      <c r="F322" s="6" t="s">
        <v>3686</v>
      </c>
      <c r="G322" s="6">
        <v>2</v>
      </c>
      <c r="H322" s="184">
        <v>639.37</v>
      </c>
      <c r="I322" s="184">
        <f>Table3[[#This Row],[Unit Price]]*Table3[[#This Row],[QTY]]</f>
        <v>1278.74</v>
      </c>
      <c r="J322" s="6" t="s">
        <v>3665</v>
      </c>
      <c r="K322" s="6" t="s">
        <v>58</v>
      </c>
      <c r="L322" s="6"/>
      <c r="M322" s="7">
        <v>45945</v>
      </c>
      <c r="N322" s="172">
        <v>45993</v>
      </c>
    </row>
    <row r="323" spans="1:18" hidden="1">
      <c r="A323" s="31" t="s">
        <v>3687</v>
      </c>
      <c r="B323" s="7">
        <v>45911</v>
      </c>
      <c r="C323" s="6" t="s">
        <v>3287</v>
      </c>
      <c r="D323" s="6" t="s">
        <v>130</v>
      </c>
      <c r="E323" s="6"/>
      <c r="F323" s="6" t="s">
        <v>3003</v>
      </c>
      <c r="G323" s="6">
        <v>2</v>
      </c>
      <c r="H323" s="184">
        <v>17.28</v>
      </c>
      <c r="I323" s="184">
        <f>Table3[[#This Row],[Unit Price]]*Table3[[#This Row],[QTY]]</f>
        <v>34.56</v>
      </c>
      <c r="J323" s="6" t="s">
        <v>3665</v>
      </c>
      <c r="K323" s="6" t="s">
        <v>58</v>
      </c>
      <c r="L323" s="6"/>
      <c r="M323" s="7">
        <v>45945</v>
      </c>
      <c r="N323" s="172">
        <v>45993</v>
      </c>
    </row>
    <row r="324" spans="1:18" hidden="1">
      <c r="A324" s="31" t="s">
        <v>3687</v>
      </c>
      <c r="B324" s="7">
        <v>45911</v>
      </c>
      <c r="C324" s="6" t="s">
        <v>3287</v>
      </c>
      <c r="D324" s="6" t="s">
        <v>1340</v>
      </c>
      <c r="E324" s="6"/>
      <c r="F324" s="6" t="s">
        <v>3688</v>
      </c>
      <c r="G324" s="6">
        <v>5</v>
      </c>
      <c r="H324" s="184">
        <v>8.98</v>
      </c>
      <c r="I324" s="184">
        <f>Table3[[#This Row],[Unit Price]]*Table3[[#This Row],[QTY]]</f>
        <v>44.900000000000006</v>
      </c>
      <c r="J324" s="6" t="s">
        <v>3665</v>
      </c>
      <c r="K324" s="6" t="s">
        <v>58</v>
      </c>
      <c r="L324" s="6"/>
      <c r="M324" s="7">
        <v>45945</v>
      </c>
      <c r="N324" s="172">
        <v>45993</v>
      </c>
    </row>
    <row r="325" spans="1:18" hidden="1">
      <c r="A325" s="31" t="s">
        <v>3689</v>
      </c>
      <c r="B325" s="7">
        <v>45911</v>
      </c>
      <c r="C325" s="6" t="s">
        <v>3690</v>
      </c>
      <c r="D325" s="6" t="s">
        <v>3691</v>
      </c>
      <c r="E325" s="6"/>
      <c r="F325" s="6" t="s">
        <v>3692</v>
      </c>
      <c r="G325" s="6">
        <v>3</v>
      </c>
      <c r="H325" s="184">
        <v>124.01</v>
      </c>
      <c r="I325" s="184">
        <f>Table3[[#This Row],[Unit Price]]*Table3[[#This Row],[QTY]]</f>
        <v>372.03000000000003</v>
      </c>
      <c r="J325" s="6" t="s">
        <v>3665</v>
      </c>
      <c r="K325" s="6" t="s">
        <v>58</v>
      </c>
      <c r="L325" s="6"/>
      <c r="M325" s="7">
        <v>45935</v>
      </c>
      <c r="N325" s="172">
        <v>45993</v>
      </c>
      <c r="R325" s="1" t="s">
        <v>3342</v>
      </c>
    </row>
    <row r="326" spans="1:18" hidden="1">
      <c r="A326" s="31" t="s">
        <v>3693</v>
      </c>
      <c r="B326" s="7">
        <v>45912</v>
      </c>
      <c r="C326" s="6" t="s">
        <v>3103</v>
      </c>
      <c r="D326" s="6" t="s">
        <v>3073</v>
      </c>
      <c r="E326" s="6"/>
      <c r="F326" s="6" t="s">
        <v>3074</v>
      </c>
      <c r="G326" s="6">
        <v>2</v>
      </c>
      <c r="H326" s="184">
        <v>45.73</v>
      </c>
      <c r="I326" s="184">
        <f>Table3[[#This Row],[Unit Price]]*Table3[[#This Row],[QTY]]</f>
        <v>91.46</v>
      </c>
      <c r="J326" s="6" t="s">
        <v>3665</v>
      </c>
      <c r="K326" s="6" t="s">
        <v>58</v>
      </c>
      <c r="L326" s="6"/>
      <c r="M326" s="7">
        <v>45938</v>
      </c>
      <c r="N326" s="172">
        <v>45993</v>
      </c>
      <c r="R326" s="1" t="s">
        <v>3342</v>
      </c>
    </row>
    <row r="327" spans="1:18" hidden="1">
      <c r="A327" s="31" t="s">
        <v>3694</v>
      </c>
      <c r="B327" s="7">
        <v>45912</v>
      </c>
      <c r="C327" s="6" t="s">
        <v>3103</v>
      </c>
      <c r="D327" s="6" t="s">
        <v>3367</v>
      </c>
      <c r="E327" s="6"/>
      <c r="F327" s="6" t="s">
        <v>3091</v>
      </c>
      <c r="G327" s="6">
        <v>1</v>
      </c>
      <c r="H327" s="184">
        <v>89.16</v>
      </c>
      <c r="I327" s="184">
        <f>Table3[[#This Row],[Unit Price]]*Table3[[#This Row],[QTY]]</f>
        <v>89.16</v>
      </c>
      <c r="J327" s="6" t="s">
        <v>3665</v>
      </c>
      <c r="K327" s="6" t="s">
        <v>58</v>
      </c>
      <c r="L327" s="6"/>
      <c r="M327" s="7">
        <v>45935</v>
      </c>
      <c r="N327" s="172">
        <v>45993</v>
      </c>
      <c r="R327" s="1" t="s">
        <v>3342</v>
      </c>
    </row>
    <row r="328" spans="1:18" hidden="1">
      <c r="A328" s="31" t="s">
        <v>3695</v>
      </c>
      <c r="B328" s="7">
        <v>45911</v>
      </c>
      <c r="C328" s="6" t="s">
        <v>3276</v>
      </c>
      <c r="D328" s="6" t="s">
        <v>3536</v>
      </c>
      <c r="E328" s="6"/>
      <c r="F328" s="6" t="s">
        <v>3537</v>
      </c>
      <c r="G328" s="6">
        <v>2</v>
      </c>
      <c r="H328" s="184">
        <v>114.32</v>
      </c>
      <c r="I328" s="184">
        <f>Table3[[#This Row],[Unit Price]]*Table3[[#This Row],[QTY]]</f>
        <v>228.64</v>
      </c>
      <c r="J328" s="6" t="s">
        <v>3665</v>
      </c>
      <c r="K328" s="6" t="s">
        <v>58</v>
      </c>
      <c r="L328" s="6"/>
      <c r="M328" s="7">
        <v>45935</v>
      </c>
      <c r="N328" s="172">
        <v>45993</v>
      </c>
      <c r="R328" s="1" t="s">
        <v>3342</v>
      </c>
    </row>
    <row r="329" spans="1:18" hidden="1">
      <c r="A329" s="31" t="s">
        <v>3695</v>
      </c>
      <c r="B329" s="7">
        <v>45911</v>
      </c>
      <c r="C329" s="6" t="s">
        <v>3276</v>
      </c>
      <c r="D329" s="6" t="s">
        <v>3696</v>
      </c>
      <c r="E329" s="6" t="s">
        <v>974</v>
      </c>
      <c r="F329" s="6" t="s">
        <v>3697</v>
      </c>
      <c r="G329" s="6">
        <v>3</v>
      </c>
      <c r="H329" s="184">
        <v>53.96</v>
      </c>
      <c r="I329" s="184">
        <f>Table3[[#This Row],[Unit Price]]*Table3[[#This Row],[QTY]]</f>
        <v>161.88</v>
      </c>
      <c r="J329" s="6" t="s">
        <v>3665</v>
      </c>
      <c r="K329" s="6" t="s">
        <v>58</v>
      </c>
      <c r="L329" s="6"/>
      <c r="M329" s="7">
        <v>45935</v>
      </c>
      <c r="N329" s="172">
        <v>45993</v>
      </c>
      <c r="R329" s="1" t="s">
        <v>3342</v>
      </c>
    </row>
    <row r="330" spans="1:18" hidden="1">
      <c r="A330" s="31" t="s">
        <v>3695</v>
      </c>
      <c r="B330" s="7">
        <v>45911</v>
      </c>
      <c r="C330" s="6" t="s">
        <v>3276</v>
      </c>
      <c r="D330" s="6" t="s">
        <v>3698</v>
      </c>
      <c r="E330" s="6"/>
      <c r="F330" s="6" t="s">
        <v>3699</v>
      </c>
      <c r="G330" s="6">
        <v>1</v>
      </c>
      <c r="H330" s="184">
        <v>427.2</v>
      </c>
      <c r="I330" s="184">
        <f>Table3[[#This Row],[Unit Price]]*Table3[[#This Row],[QTY]]</f>
        <v>427.2</v>
      </c>
      <c r="J330" s="6" t="s">
        <v>3665</v>
      </c>
      <c r="K330" s="6" t="s">
        <v>58</v>
      </c>
      <c r="L330" s="6"/>
      <c r="M330" s="7">
        <v>45935</v>
      </c>
      <c r="N330" s="172">
        <v>45993</v>
      </c>
      <c r="R330" s="1" t="s">
        <v>3342</v>
      </c>
    </row>
    <row r="331" spans="1:18" hidden="1">
      <c r="A331" s="31" t="s">
        <v>3700</v>
      </c>
      <c r="B331" s="7">
        <v>45912</v>
      </c>
      <c r="C331" s="6" t="s">
        <v>381</v>
      </c>
      <c r="D331" s="6" t="s">
        <v>3701</v>
      </c>
      <c r="E331" s="6"/>
      <c r="F331" s="6" t="s">
        <v>3702</v>
      </c>
      <c r="G331" s="6">
        <v>1</v>
      </c>
      <c r="H331" s="184">
        <v>1427.32</v>
      </c>
      <c r="I331" s="184">
        <f>Table3[[#This Row],[Unit Price]]*Table3[[#This Row],[QTY]]</f>
        <v>1427.32</v>
      </c>
      <c r="J331" s="6" t="s">
        <v>3665</v>
      </c>
      <c r="K331" s="6" t="s">
        <v>58</v>
      </c>
      <c r="L331" s="6"/>
      <c r="M331" s="7">
        <v>45935</v>
      </c>
      <c r="N331" s="172">
        <v>45993</v>
      </c>
    </row>
    <row r="332" spans="1:18" hidden="1">
      <c r="A332" s="31" t="s">
        <v>3703</v>
      </c>
      <c r="B332" s="7">
        <v>45912</v>
      </c>
      <c r="C332" s="6" t="s">
        <v>381</v>
      </c>
      <c r="D332" s="6" t="s">
        <v>3704</v>
      </c>
      <c r="E332" s="6"/>
      <c r="F332" s="6" t="s">
        <v>3179</v>
      </c>
      <c r="G332" s="6">
        <v>2</v>
      </c>
      <c r="H332" s="184">
        <v>20</v>
      </c>
      <c r="I332" s="184">
        <f>Table3[[#This Row],[Unit Price]]*Table3[[#This Row],[QTY]]</f>
        <v>40</v>
      </c>
      <c r="J332" s="6" t="s">
        <v>3665</v>
      </c>
      <c r="K332" s="6" t="s">
        <v>58</v>
      </c>
      <c r="L332" s="6"/>
      <c r="M332" s="7">
        <v>45935</v>
      </c>
      <c r="N332" s="172">
        <v>45993</v>
      </c>
    </row>
    <row r="333" spans="1:18" hidden="1">
      <c r="A333" s="31" t="s">
        <v>3705</v>
      </c>
      <c r="B333" s="7">
        <v>45915</v>
      </c>
      <c r="C333" s="6" t="s">
        <v>381</v>
      </c>
      <c r="D333" s="6" t="s">
        <v>3706</v>
      </c>
      <c r="E333" s="6"/>
      <c r="F333" s="6" t="s">
        <v>3707</v>
      </c>
      <c r="G333" s="6">
        <v>4</v>
      </c>
      <c r="H333" s="184">
        <v>57.16</v>
      </c>
      <c r="I333" s="184">
        <f>Table3[[#This Row],[Unit Price]]*Table3[[#This Row],[QTY]]</f>
        <v>228.64</v>
      </c>
      <c r="J333" s="6" t="s">
        <v>3665</v>
      </c>
      <c r="K333" s="6" t="s">
        <v>58</v>
      </c>
      <c r="L333" s="6"/>
      <c r="M333" s="7">
        <v>45938</v>
      </c>
      <c r="N333" s="172">
        <v>45993</v>
      </c>
    </row>
    <row r="334" spans="1:18" hidden="1">
      <c r="A334" s="31" t="s">
        <v>3708</v>
      </c>
      <c r="B334" s="7">
        <v>45916</v>
      </c>
      <c r="C334" s="6" t="s">
        <v>381</v>
      </c>
      <c r="D334" s="6" t="s">
        <v>2758</v>
      </c>
      <c r="E334" s="6"/>
      <c r="F334" s="6" t="s">
        <v>2759</v>
      </c>
      <c r="G334" s="6">
        <v>6</v>
      </c>
      <c r="H334" s="184">
        <v>77.010000000000005</v>
      </c>
      <c r="I334" s="184">
        <f>Table3[[#This Row],[Unit Price]]*Table3[[#This Row],[QTY]]</f>
        <v>462.06000000000006</v>
      </c>
      <c r="J334" s="6" t="s">
        <v>3665</v>
      </c>
      <c r="K334" s="6" t="s">
        <v>58</v>
      </c>
      <c r="L334" s="6"/>
      <c r="M334" s="7">
        <v>45935</v>
      </c>
      <c r="N334" s="172">
        <v>45993</v>
      </c>
    </row>
    <row r="335" spans="1:18" hidden="1">
      <c r="A335" s="31" t="s">
        <v>3709</v>
      </c>
      <c r="B335" s="7">
        <v>45917</v>
      </c>
      <c r="C335" s="6" t="s">
        <v>381</v>
      </c>
      <c r="D335" s="6" t="s">
        <v>3710</v>
      </c>
      <c r="E335" s="6" t="s">
        <v>1091</v>
      </c>
      <c r="F335" s="6" t="s">
        <v>3711</v>
      </c>
      <c r="G335" s="6">
        <v>4</v>
      </c>
      <c r="H335" s="184">
        <v>62.83</v>
      </c>
      <c r="I335" s="184">
        <f>Table3[[#This Row],[Unit Price]]*Table3[[#This Row],[QTY]]</f>
        <v>251.32</v>
      </c>
      <c r="J335" s="6" t="s">
        <v>3665</v>
      </c>
      <c r="K335" s="6" t="s">
        <v>58</v>
      </c>
      <c r="L335" s="6"/>
      <c r="M335" s="7">
        <v>45935</v>
      </c>
      <c r="N335" s="172">
        <v>45993</v>
      </c>
    </row>
    <row r="336" spans="1:18" hidden="1">
      <c r="A336" s="31" t="s">
        <v>3712</v>
      </c>
      <c r="B336" s="7">
        <v>45917</v>
      </c>
      <c r="C336" s="6" t="s">
        <v>381</v>
      </c>
      <c r="D336" s="6" t="s">
        <v>1680</v>
      </c>
      <c r="E336" s="6"/>
      <c r="F336" s="6" t="s">
        <v>3713</v>
      </c>
      <c r="G336" s="6">
        <v>1</v>
      </c>
      <c r="H336" s="184">
        <v>1291.5</v>
      </c>
      <c r="I336" s="184">
        <f>Table3[[#This Row],[Unit Price]]*Table3[[#This Row],[QTY]]</f>
        <v>1291.5</v>
      </c>
      <c r="J336" s="6" t="s">
        <v>3665</v>
      </c>
      <c r="K336" s="6" t="s">
        <v>58</v>
      </c>
      <c r="L336" s="6"/>
      <c r="M336" s="7">
        <v>45935</v>
      </c>
      <c r="N336" s="172">
        <v>45993</v>
      </c>
    </row>
    <row r="337" spans="1:18" hidden="1">
      <c r="A337" s="31" t="s">
        <v>3712</v>
      </c>
      <c r="B337" s="7">
        <v>45917</v>
      </c>
      <c r="C337" s="6" t="s">
        <v>381</v>
      </c>
      <c r="D337" s="6" t="s">
        <v>1683</v>
      </c>
      <c r="E337" s="6"/>
      <c r="F337" s="6" t="s">
        <v>3714</v>
      </c>
      <c r="G337" s="6">
        <v>1</v>
      </c>
      <c r="H337" s="184">
        <v>925.96</v>
      </c>
      <c r="I337" s="184">
        <f>Table3[[#This Row],[Unit Price]]*Table3[[#This Row],[QTY]]</f>
        <v>925.96</v>
      </c>
      <c r="J337" s="6" t="s">
        <v>3665</v>
      </c>
      <c r="K337" s="6" t="s">
        <v>58</v>
      </c>
      <c r="L337" s="6"/>
      <c r="M337" s="7">
        <v>45935</v>
      </c>
      <c r="N337" s="172">
        <v>45993</v>
      </c>
    </row>
    <row r="338" spans="1:18" hidden="1">
      <c r="A338" s="31" t="s">
        <v>3712</v>
      </c>
      <c r="B338" s="7">
        <v>45917</v>
      </c>
      <c r="C338" s="6" t="s">
        <v>381</v>
      </c>
      <c r="D338" s="6" t="s">
        <v>280</v>
      </c>
      <c r="E338" s="6"/>
      <c r="F338" s="6" t="s">
        <v>3053</v>
      </c>
      <c r="G338" s="6">
        <v>1</v>
      </c>
      <c r="H338" s="184">
        <v>431.82</v>
      </c>
      <c r="I338" s="184">
        <f>Table3[[#This Row],[Unit Price]]*Table3[[#This Row],[QTY]]</f>
        <v>431.82</v>
      </c>
      <c r="J338" s="6" t="s">
        <v>3665</v>
      </c>
      <c r="K338" s="6" t="s">
        <v>58</v>
      </c>
      <c r="L338" s="6"/>
      <c r="M338" s="7">
        <v>45935</v>
      </c>
      <c r="N338" s="172">
        <v>45993</v>
      </c>
    </row>
    <row r="339" spans="1:18" hidden="1">
      <c r="A339" s="31" t="s">
        <v>3715</v>
      </c>
      <c r="B339" s="7">
        <v>45917</v>
      </c>
      <c r="C339" s="6" t="s">
        <v>381</v>
      </c>
      <c r="D339" s="6" t="s">
        <v>2279</v>
      </c>
      <c r="E339" s="6"/>
      <c r="F339" s="6" t="s">
        <v>3716</v>
      </c>
      <c r="G339" s="6">
        <v>8</v>
      </c>
      <c r="H339" s="184">
        <v>47.91</v>
      </c>
      <c r="I339" s="184">
        <f>Table3[[#This Row],[Unit Price]]*Table3[[#This Row],[QTY]]</f>
        <v>383.28</v>
      </c>
      <c r="J339" s="6" t="s">
        <v>3665</v>
      </c>
      <c r="K339" s="6" t="s">
        <v>58</v>
      </c>
      <c r="L339" s="6"/>
      <c r="M339" s="7">
        <v>45935</v>
      </c>
      <c r="N339" s="172">
        <v>45993</v>
      </c>
    </row>
    <row r="340" spans="1:18" hidden="1">
      <c r="A340" s="31" t="s">
        <v>3717</v>
      </c>
      <c r="B340" s="7">
        <v>45918</v>
      </c>
      <c r="C340" s="6" t="s">
        <v>381</v>
      </c>
      <c r="D340" s="6" t="s">
        <v>3718</v>
      </c>
      <c r="E340" s="6" t="s">
        <v>2959</v>
      </c>
      <c r="F340" s="6" t="s">
        <v>3719</v>
      </c>
      <c r="G340" s="6">
        <v>1</v>
      </c>
      <c r="H340" s="184">
        <v>5552.51</v>
      </c>
      <c r="I340" s="184">
        <f>Table3[[#This Row],[Unit Price]]*Table3[[#This Row],[QTY]]</f>
        <v>5552.51</v>
      </c>
      <c r="J340" s="6" t="s">
        <v>3665</v>
      </c>
      <c r="K340" s="6" t="s">
        <v>58</v>
      </c>
      <c r="L340" s="6"/>
      <c r="M340" s="7"/>
      <c r="N340" s="172">
        <v>45993</v>
      </c>
    </row>
    <row r="341" spans="1:18" hidden="1">
      <c r="A341" s="31" t="s">
        <v>3720</v>
      </c>
      <c r="B341" s="7">
        <v>45922</v>
      </c>
      <c r="C341" s="6" t="s">
        <v>381</v>
      </c>
      <c r="D341" s="6" t="s">
        <v>2060</v>
      </c>
      <c r="E341" s="6"/>
      <c r="F341" s="6" t="s">
        <v>3721</v>
      </c>
      <c r="G341" s="6">
        <v>1</v>
      </c>
      <c r="H341" s="184">
        <v>2887.31</v>
      </c>
      <c r="I341" s="184">
        <f>Table3[[#This Row],[Unit Price]]*Table3[[#This Row],[QTY]]</f>
        <v>2887.31</v>
      </c>
      <c r="J341" s="6" t="s">
        <v>3720</v>
      </c>
      <c r="K341" s="6" t="s">
        <v>58</v>
      </c>
      <c r="L341" s="6"/>
      <c r="M341" s="7">
        <v>45925</v>
      </c>
      <c r="N341" s="172">
        <v>45943</v>
      </c>
    </row>
    <row r="342" spans="1:18" hidden="1">
      <c r="A342" s="308" t="s">
        <v>3722</v>
      </c>
      <c r="B342" s="7">
        <v>45931</v>
      </c>
      <c r="C342" s="6" t="s">
        <v>3633</v>
      </c>
      <c r="D342" s="6" t="s">
        <v>335</v>
      </c>
      <c r="E342" s="6"/>
      <c r="F342" s="6" t="s">
        <v>2569</v>
      </c>
      <c r="G342" s="6">
        <v>1</v>
      </c>
      <c r="H342" s="184">
        <v>79.989999999999995</v>
      </c>
      <c r="I342" s="184">
        <f>Table3[[#This Row],[Unit Price]]*Table3[[#This Row],[QTY]]</f>
        <v>79.989999999999995</v>
      </c>
      <c r="J342" s="6" t="s">
        <v>3665</v>
      </c>
      <c r="K342" s="6"/>
      <c r="L342" s="6"/>
      <c r="M342" s="7">
        <v>45938</v>
      </c>
      <c r="N342" s="172">
        <v>45993</v>
      </c>
      <c r="O342" s="4">
        <v>110236</v>
      </c>
      <c r="P342" s="4">
        <v>77319</v>
      </c>
      <c r="Q342" s="171">
        <v>46003</v>
      </c>
      <c r="R342" s="1" t="s">
        <v>2990</v>
      </c>
    </row>
    <row r="343" spans="1:18" hidden="1">
      <c r="A343" s="308" t="s">
        <v>3722</v>
      </c>
      <c r="B343" s="7">
        <v>45931</v>
      </c>
      <c r="C343" s="6" t="s">
        <v>3633</v>
      </c>
      <c r="D343" s="6" t="s">
        <v>3723</v>
      </c>
      <c r="E343" s="6"/>
      <c r="F343" s="6" t="s">
        <v>3724</v>
      </c>
      <c r="G343" s="6">
        <v>1</v>
      </c>
      <c r="H343" s="184">
        <v>213.94</v>
      </c>
      <c r="I343" s="184">
        <f>Table3[[#This Row],[Unit Price]]*Table3[[#This Row],[QTY]]</f>
        <v>213.94</v>
      </c>
      <c r="J343" s="6" t="s">
        <v>3665</v>
      </c>
      <c r="K343" s="6"/>
      <c r="L343" s="6"/>
      <c r="M343" s="7">
        <v>45938</v>
      </c>
      <c r="N343" s="172">
        <v>45993</v>
      </c>
      <c r="O343" s="4">
        <v>110236</v>
      </c>
      <c r="P343" s="4">
        <v>77319</v>
      </c>
      <c r="Q343" s="171">
        <v>46003</v>
      </c>
      <c r="R343" s="1" t="s">
        <v>2990</v>
      </c>
    </row>
    <row r="344" spans="1:18" hidden="1">
      <c r="A344" s="308" t="s">
        <v>3725</v>
      </c>
      <c r="B344" s="7">
        <v>45931</v>
      </c>
      <c r="C344" s="6" t="s">
        <v>3726</v>
      </c>
      <c r="D344" s="6" t="s">
        <v>2758</v>
      </c>
      <c r="E344" s="6"/>
      <c r="F344" s="6" t="s">
        <v>2759</v>
      </c>
      <c r="G344" s="6">
        <v>1</v>
      </c>
      <c r="H344" s="184">
        <v>77.010000000000005</v>
      </c>
      <c r="I344" s="184">
        <f>Table3[[#This Row],[Unit Price]]*Table3[[#This Row],[QTY]]</f>
        <v>77.010000000000005</v>
      </c>
      <c r="J344" s="6" t="s">
        <v>3665</v>
      </c>
      <c r="K344" s="6"/>
      <c r="L344" s="6"/>
      <c r="M344" s="7">
        <v>45938</v>
      </c>
      <c r="N344" s="172">
        <v>45993</v>
      </c>
      <c r="O344" s="4">
        <v>110258</v>
      </c>
      <c r="P344" s="4">
        <v>77310</v>
      </c>
      <c r="Q344" s="171">
        <v>46003</v>
      </c>
      <c r="R344" s="1" t="s">
        <v>2990</v>
      </c>
    </row>
    <row r="345" spans="1:18">
      <c r="A345" s="31" t="s">
        <v>3727</v>
      </c>
      <c r="B345" s="7">
        <v>45931</v>
      </c>
      <c r="C345" s="6" t="s">
        <v>2437</v>
      </c>
      <c r="D345" s="6" t="s">
        <v>3728</v>
      </c>
      <c r="E345" s="6"/>
      <c r="F345" s="6" t="s">
        <v>3483</v>
      </c>
      <c r="G345" s="6">
        <v>1</v>
      </c>
      <c r="H345" s="184">
        <v>22.86</v>
      </c>
      <c r="I345" s="184">
        <f>Table3[[#This Row],[Unit Price]]*Table3[[#This Row],[QTY]]</f>
        <v>22.86</v>
      </c>
      <c r="J345" s="6" t="s">
        <v>3665</v>
      </c>
      <c r="K345" s="6"/>
      <c r="L345" s="6"/>
      <c r="M345" s="7">
        <v>45938</v>
      </c>
      <c r="N345" s="172">
        <v>45993</v>
      </c>
      <c r="O345" s="4">
        <v>110263</v>
      </c>
      <c r="P345" s="4">
        <v>77318</v>
      </c>
      <c r="Q345" s="171">
        <v>46003</v>
      </c>
      <c r="R345" s="1" t="s">
        <v>2990</v>
      </c>
    </row>
    <row r="346" spans="1:18" hidden="1">
      <c r="A346" s="31" t="s">
        <v>3729</v>
      </c>
      <c r="B346" s="7">
        <v>45931</v>
      </c>
      <c r="C346" s="6" t="s">
        <v>3287</v>
      </c>
      <c r="D346" s="6" t="s">
        <v>3730</v>
      </c>
      <c r="E346" s="6"/>
      <c r="F346" s="6" t="s">
        <v>3731</v>
      </c>
      <c r="G346" s="6">
        <v>2</v>
      </c>
      <c r="H346" s="184">
        <v>65.319999999999993</v>
      </c>
      <c r="I346" s="184">
        <f>Table3[[#This Row],[Unit Price]]*Table3[[#This Row],[QTY]]</f>
        <v>130.63999999999999</v>
      </c>
      <c r="J346" s="6" t="s">
        <v>3665</v>
      </c>
      <c r="K346" s="6" t="s">
        <v>58</v>
      </c>
      <c r="L346" s="6"/>
      <c r="M346" s="7">
        <v>45938</v>
      </c>
      <c r="N346" s="172">
        <v>45993</v>
      </c>
    </row>
    <row r="347" spans="1:18" hidden="1">
      <c r="A347" s="31" t="s">
        <v>3732</v>
      </c>
      <c r="B347" s="7">
        <v>45931</v>
      </c>
      <c r="C347" s="6" t="s">
        <v>3561</v>
      </c>
      <c r="D347" s="6" t="s">
        <v>856</v>
      </c>
      <c r="E347" s="6"/>
      <c r="F347" s="6" t="s">
        <v>1877</v>
      </c>
      <c r="G347" s="6">
        <v>2</v>
      </c>
      <c r="H347" s="184">
        <v>274.36</v>
      </c>
      <c r="I347" s="184">
        <f>Table3[[#This Row],[Unit Price]]*Table3[[#This Row],[QTY]]</f>
        <v>548.72</v>
      </c>
      <c r="J347" s="6" t="s">
        <v>3665</v>
      </c>
      <c r="K347" s="6" t="s">
        <v>58</v>
      </c>
      <c r="L347" s="6"/>
      <c r="M347" s="7">
        <v>45938</v>
      </c>
      <c r="N347" s="172">
        <v>45993</v>
      </c>
      <c r="R347" s="1" t="s">
        <v>3342</v>
      </c>
    </row>
    <row r="348" spans="1:18" hidden="1">
      <c r="A348" s="31" t="s">
        <v>3733</v>
      </c>
      <c r="B348" s="7">
        <v>45931</v>
      </c>
      <c r="C348" s="6" t="s">
        <v>3287</v>
      </c>
      <c r="D348" s="6" t="s">
        <v>3734</v>
      </c>
      <c r="E348" s="6"/>
      <c r="F348" s="6" t="s">
        <v>2333</v>
      </c>
      <c r="G348" s="6">
        <v>10</v>
      </c>
      <c r="H348" s="184">
        <v>12.41</v>
      </c>
      <c r="I348" s="184">
        <f>Table3[[#This Row],[Unit Price]]*Table3[[#This Row],[QTY]]</f>
        <v>124.1</v>
      </c>
      <c r="J348" s="6" t="s">
        <v>3318</v>
      </c>
      <c r="K348" s="6" t="s">
        <v>58</v>
      </c>
      <c r="L348" s="6"/>
      <c r="M348" s="7">
        <v>46030</v>
      </c>
      <c r="N348" s="347">
        <v>46056</v>
      </c>
    </row>
    <row r="349" spans="1:18" hidden="1">
      <c r="A349" s="31" t="s">
        <v>3735</v>
      </c>
      <c r="B349" s="7">
        <v>45931</v>
      </c>
      <c r="C349" s="6" t="s">
        <v>3177</v>
      </c>
      <c r="D349" s="6" t="s">
        <v>3736</v>
      </c>
      <c r="E349" s="6"/>
      <c r="F349" s="6" t="s">
        <v>3737</v>
      </c>
      <c r="G349" s="6">
        <v>1</v>
      </c>
      <c r="H349" s="184">
        <v>482.17</v>
      </c>
      <c r="I349" s="184">
        <f>Table3[[#This Row],[Unit Price]]*Table3[[#This Row],[QTY]]</f>
        <v>482.17</v>
      </c>
      <c r="J349" s="6" t="s">
        <v>3665</v>
      </c>
      <c r="K349" s="6"/>
      <c r="L349" s="6"/>
      <c r="M349" s="7">
        <v>45938</v>
      </c>
      <c r="N349" s="172">
        <v>45993</v>
      </c>
      <c r="O349" s="4">
        <v>110243</v>
      </c>
      <c r="P349" s="4">
        <v>77308</v>
      </c>
      <c r="Q349" s="171">
        <v>46003</v>
      </c>
      <c r="R349" s="1" t="s">
        <v>2990</v>
      </c>
    </row>
    <row r="350" spans="1:18" hidden="1">
      <c r="A350" s="31" t="s">
        <v>3738</v>
      </c>
      <c r="B350" s="7">
        <v>45931</v>
      </c>
      <c r="C350" s="6" t="s">
        <v>3287</v>
      </c>
      <c r="D350" s="6" t="s">
        <v>1135</v>
      </c>
      <c r="E350" s="6"/>
      <c r="F350" s="6" t="s">
        <v>2569</v>
      </c>
      <c r="G350" s="6">
        <v>5</v>
      </c>
      <c r="H350" s="184">
        <v>79.989999999999995</v>
      </c>
      <c r="I350" s="184">
        <f>Table3[[#This Row],[Unit Price]]*Table3[[#This Row],[QTY]]</f>
        <v>399.95</v>
      </c>
      <c r="J350" s="6" t="s">
        <v>3665</v>
      </c>
      <c r="K350" s="6" t="s">
        <v>58</v>
      </c>
      <c r="L350" s="6"/>
      <c r="M350" s="7">
        <v>45938</v>
      </c>
      <c r="N350" s="172">
        <v>45993</v>
      </c>
    </row>
    <row r="351" spans="1:18" hidden="1">
      <c r="A351" s="31" t="s">
        <v>3739</v>
      </c>
      <c r="B351" s="7">
        <v>45931</v>
      </c>
      <c r="C351" s="6" t="s">
        <v>3287</v>
      </c>
      <c r="D351" s="6" t="s">
        <v>2125</v>
      </c>
      <c r="E351" s="6"/>
      <c r="F351" s="6" t="s">
        <v>3483</v>
      </c>
      <c r="G351" s="6">
        <v>5</v>
      </c>
      <c r="H351" s="184">
        <v>22.86</v>
      </c>
      <c r="I351" s="184">
        <f>Table3[[#This Row],[Unit Price]]*Table3[[#This Row],[QTY]]</f>
        <v>114.3</v>
      </c>
      <c r="J351" s="6" t="s">
        <v>3665</v>
      </c>
      <c r="K351" s="6" t="s">
        <v>58</v>
      </c>
      <c r="L351" s="6"/>
      <c r="M351" s="7">
        <v>45938</v>
      </c>
      <c r="N351" s="172">
        <v>45993</v>
      </c>
    </row>
    <row r="352" spans="1:18" hidden="1">
      <c r="A352" s="31" t="s">
        <v>3739</v>
      </c>
      <c r="B352" s="7">
        <v>45931</v>
      </c>
      <c r="C352" s="6" t="s">
        <v>3287</v>
      </c>
      <c r="D352" s="6" t="s">
        <v>1642</v>
      </c>
      <c r="E352" s="6"/>
      <c r="F352" s="6" t="s">
        <v>3503</v>
      </c>
      <c r="G352" s="6">
        <v>5</v>
      </c>
      <c r="H352" s="184">
        <v>22.86</v>
      </c>
      <c r="I352" s="184">
        <f>Table3[[#This Row],[Unit Price]]*Table3[[#This Row],[QTY]]</f>
        <v>114.3</v>
      </c>
      <c r="J352" s="6" t="s">
        <v>3665</v>
      </c>
      <c r="K352" s="6" t="s">
        <v>58</v>
      </c>
      <c r="L352" s="6"/>
      <c r="M352" s="7">
        <v>45938</v>
      </c>
      <c r="N352" s="172">
        <v>45993</v>
      </c>
    </row>
    <row r="353" spans="1:18" hidden="1">
      <c r="A353" s="31" t="s">
        <v>3740</v>
      </c>
      <c r="B353" s="7">
        <v>45931</v>
      </c>
      <c r="C353" s="6" t="s">
        <v>3287</v>
      </c>
      <c r="D353" s="6" t="s">
        <v>3741</v>
      </c>
      <c r="E353" s="6" t="s">
        <v>247</v>
      </c>
      <c r="F353" s="6" t="s">
        <v>3423</v>
      </c>
      <c r="G353" s="6">
        <v>6</v>
      </c>
      <c r="H353" s="184">
        <v>80.180000000000007</v>
      </c>
      <c r="I353" s="184">
        <f>Table3[[#This Row],[Unit Price]]*Table3[[#This Row],[QTY]]</f>
        <v>481.08000000000004</v>
      </c>
      <c r="J353" s="6" t="s">
        <v>3665</v>
      </c>
      <c r="K353" s="6" t="s">
        <v>58</v>
      </c>
      <c r="L353" s="6"/>
      <c r="M353" s="7">
        <v>45938</v>
      </c>
      <c r="N353" s="172">
        <v>45993</v>
      </c>
    </row>
    <row r="354" spans="1:18" hidden="1">
      <c r="A354" s="31" t="s">
        <v>3742</v>
      </c>
      <c r="B354" s="7">
        <v>45931</v>
      </c>
      <c r="C354" s="6" t="s">
        <v>3287</v>
      </c>
      <c r="D354" s="6" t="s">
        <v>3743</v>
      </c>
      <c r="E354" s="6" t="s">
        <v>218</v>
      </c>
      <c r="F354" s="6" t="s">
        <v>3744</v>
      </c>
      <c r="G354" s="6">
        <v>4</v>
      </c>
      <c r="H354" s="184">
        <v>22.54</v>
      </c>
      <c r="I354" s="184">
        <f>Table3[[#This Row],[Unit Price]]*Table3[[#This Row],[QTY]]</f>
        <v>90.16</v>
      </c>
      <c r="J354" s="6" t="s">
        <v>3318</v>
      </c>
      <c r="K354" s="6" t="s">
        <v>58</v>
      </c>
      <c r="L354" s="6"/>
      <c r="M354" s="7">
        <v>46015</v>
      </c>
      <c r="N354" s="347">
        <v>46056</v>
      </c>
    </row>
    <row r="355" spans="1:18" hidden="1">
      <c r="A355" s="31" t="s">
        <v>3745</v>
      </c>
      <c r="B355" s="7">
        <v>45931</v>
      </c>
      <c r="C355" s="6" t="s">
        <v>3287</v>
      </c>
      <c r="D355" s="6" t="s">
        <v>3746</v>
      </c>
      <c r="E355" s="6"/>
      <c r="F355" s="6" t="s">
        <v>3747</v>
      </c>
      <c r="G355" s="6">
        <v>1</v>
      </c>
      <c r="H355" s="184">
        <v>1207.54</v>
      </c>
      <c r="I355" s="184">
        <f>Table3[[#This Row],[Unit Price]]*Table3[[#This Row],[QTY]]</f>
        <v>1207.54</v>
      </c>
      <c r="J355" s="6" t="s">
        <v>3665</v>
      </c>
      <c r="K355" s="6" t="s">
        <v>58</v>
      </c>
      <c r="L355" s="6"/>
      <c r="M355" s="7">
        <v>45938</v>
      </c>
      <c r="N355" s="172">
        <v>45993</v>
      </c>
    </row>
    <row r="356" spans="1:18" hidden="1">
      <c r="A356" s="31" t="s">
        <v>3748</v>
      </c>
      <c r="B356" s="7">
        <v>45931</v>
      </c>
      <c r="C356" s="6" t="s">
        <v>3287</v>
      </c>
      <c r="D356" s="6" t="s">
        <v>3749</v>
      </c>
      <c r="E356" s="6"/>
      <c r="F356" s="6" t="s">
        <v>3750</v>
      </c>
      <c r="G356" s="6">
        <v>1</v>
      </c>
      <c r="H356" s="184">
        <v>761.97</v>
      </c>
      <c r="I356" s="184">
        <f>Table3[[#This Row],[Unit Price]]*Table3[[#This Row],[QTY]]</f>
        <v>761.97</v>
      </c>
      <c r="J356" s="6" t="s">
        <v>3665</v>
      </c>
      <c r="K356" s="6" t="s">
        <v>58</v>
      </c>
      <c r="L356" s="6"/>
      <c r="M356" s="7">
        <v>45938</v>
      </c>
      <c r="N356" s="172">
        <v>45993</v>
      </c>
    </row>
    <row r="357" spans="1:18" hidden="1">
      <c r="A357" s="31" t="s">
        <v>3751</v>
      </c>
      <c r="B357" s="7">
        <v>45933</v>
      </c>
      <c r="C357" s="6" t="s">
        <v>3145</v>
      </c>
      <c r="D357" s="6" t="s">
        <v>3752</v>
      </c>
      <c r="E357" s="6"/>
      <c r="F357" s="6" t="s">
        <v>3753</v>
      </c>
      <c r="G357" s="6">
        <v>1</v>
      </c>
      <c r="H357" s="184">
        <v>824.71</v>
      </c>
      <c r="I357" s="184">
        <f>Table3[[#This Row],[Unit Price]]*Table3[[#This Row],[QTY]]</f>
        <v>824.71</v>
      </c>
      <c r="J357" s="6" t="s">
        <v>3665</v>
      </c>
      <c r="K357" s="6" t="s">
        <v>58</v>
      </c>
      <c r="L357" s="6"/>
      <c r="M357" s="7">
        <v>45945</v>
      </c>
      <c r="N357" s="172">
        <v>45993</v>
      </c>
      <c r="R357" s="1" t="s">
        <v>3342</v>
      </c>
    </row>
    <row r="358" spans="1:18" hidden="1">
      <c r="A358" s="31" t="s">
        <v>3754</v>
      </c>
      <c r="B358" s="7">
        <v>45933</v>
      </c>
      <c r="C358" s="6" t="s">
        <v>3005</v>
      </c>
      <c r="D358" s="6" t="s">
        <v>3755</v>
      </c>
      <c r="E358" s="6"/>
      <c r="F358" s="6" t="s">
        <v>3756</v>
      </c>
      <c r="G358" s="6">
        <v>3</v>
      </c>
      <c r="H358" s="184">
        <v>91.76</v>
      </c>
      <c r="I358" s="184">
        <f>Table3[[#This Row],[Unit Price]]*Table3[[#This Row],[QTY]]</f>
        <v>275.28000000000003</v>
      </c>
      <c r="J358" s="6" t="s">
        <v>3665</v>
      </c>
      <c r="K358" s="6" t="s">
        <v>58</v>
      </c>
      <c r="L358" s="6"/>
      <c r="M358" s="7">
        <v>45945</v>
      </c>
      <c r="N358" s="172">
        <v>45993</v>
      </c>
      <c r="R358" s="1" t="s">
        <v>3342</v>
      </c>
    </row>
    <row r="359" spans="1:18">
      <c r="A359" s="31" t="s">
        <v>3757</v>
      </c>
      <c r="B359" s="7">
        <v>45933</v>
      </c>
      <c r="C359" s="6" t="s">
        <v>3758</v>
      </c>
      <c r="D359" s="6" t="s">
        <v>3759</v>
      </c>
      <c r="E359" s="6"/>
      <c r="F359" s="6" t="s">
        <v>3053</v>
      </c>
      <c r="G359" s="6">
        <v>1</v>
      </c>
      <c r="H359" s="184">
        <v>431.82</v>
      </c>
      <c r="I359" s="184">
        <f>Table3[[#This Row],[Unit Price]]*Table3[[#This Row],[QTY]]</f>
        <v>431.82</v>
      </c>
      <c r="J359" s="6" t="s">
        <v>3665</v>
      </c>
      <c r="K359" s="6" t="s">
        <v>58</v>
      </c>
      <c r="L359" s="6"/>
      <c r="M359" s="7">
        <v>45945</v>
      </c>
      <c r="N359" s="172">
        <v>45993</v>
      </c>
      <c r="R359" s="1" t="s">
        <v>3342</v>
      </c>
    </row>
    <row r="360" spans="1:18" hidden="1">
      <c r="A360" s="308" t="s">
        <v>3760</v>
      </c>
      <c r="B360" s="7">
        <v>45937</v>
      </c>
      <c r="C360" s="6" t="s">
        <v>3761</v>
      </c>
      <c r="D360" s="6" t="s">
        <v>174</v>
      </c>
      <c r="E360" s="6"/>
      <c r="F360" s="6" t="s">
        <v>3762</v>
      </c>
      <c r="G360" s="6">
        <v>1</v>
      </c>
      <c r="H360" s="184">
        <v>622.13</v>
      </c>
      <c r="I360" s="184">
        <f>Table3[[#This Row],[Unit Price]]*Table3[[#This Row],[QTY]]</f>
        <v>622.13</v>
      </c>
      <c r="J360" s="6" t="s">
        <v>3665</v>
      </c>
      <c r="K360" s="6"/>
      <c r="L360" s="6"/>
      <c r="M360" s="7">
        <v>45945</v>
      </c>
      <c r="N360" s="172">
        <v>45993</v>
      </c>
      <c r="O360" s="4">
        <v>110356</v>
      </c>
      <c r="P360" s="4">
        <v>77306</v>
      </c>
      <c r="Q360" s="171">
        <v>46003</v>
      </c>
      <c r="R360" s="1" t="s">
        <v>3763</v>
      </c>
    </row>
    <row r="361" spans="1:18" hidden="1">
      <c r="A361" s="308" t="s">
        <v>3760</v>
      </c>
      <c r="B361" s="7">
        <v>45937</v>
      </c>
      <c r="C361" s="6" t="s">
        <v>3761</v>
      </c>
      <c r="D361" s="6" t="s">
        <v>335</v>
      </c>
      <c r="E361" s="6"/>
      <c r="F361" s="6" t="s">
        <v>2569</v>
      </c>
      <c r="G361" s="6">
        <v>1</v>
      </c>
      <c r="H361" s="184">
        <v>380.91</v>
      </c>
      <c r="I361" s="184">
        <f>Table3[[#This Row],[Unit Price]]*Table3[[#This Row],[QTY]]</f>
        <v>380.91</v>
      </c>
      <c r="J361" s="6" t="s">
        <v>3665</v>
      </c>
      <c r="K361" s="6"/>
      <c r="L361" s="6"/>
      <c r="M361" s="7">
        <v>45945</v>
      </c>
      <c r="N361" s="172">
        <v>45993</v>
      </c>
      <c r="O361" s="4">
        <v>110356</v>
      </c>
      <c r="P361" s="4">
        <v>77306</v>
      </c>
      <c r="Q361" s="171">
        <v>46003</v>
      </c>
      <c r="R361" s="1" t="s">
        <v>3763</v>
      </c>
    </row>
    <row r="362" spans="1:18" hidden="1">
      <c r="A362" s="308" t="s">
        <v>3760</v>
      </c>
      <c r="B362" s="7">
        <v>45937</v>
      </c>
      <c r="C362" s="6" t="s">
        <v>3761</v>
      </c>
      <c r="D362" s="6" t="s">
        <v>326</v>
      </c>
      <c r="E362" s="6"/>
      <c r="F362" s="6" t="s">
        <v>3050</v>
      </c>
      <c r="G362" s="6">
        <v>1</v>
      </c>
      <c r="H362" s="184">
        <v>882.69</v>
      </c>
      <c r="I362" s="184">
        <f>Table3[[#This Row],[Unit Price]]*Table3[[#This Row],[QTY]]</f>
        <v>882.69</v>
      </c>
      <c r="J362" s="6" t="s">
        <v>3665</v>
      </c>
      <c r="K362" s="6"/>
      <c r="L362" s="6"/>
      <c r="M362" s="7">
        <v>45945</v>
      </c>
      <c r="N362" s="172">
        <v>45993</v>
      </c>
      <c r="O362" s="4">
        <v>110356</v>
      </c>
      <c r="P362" s="4">
        <v>77306</v>
      </c>
      <c r="Q362" s="171">
        <v>46003</v>
      </c>
      <c r="R362" s="1" t="s">
        <v>3763</v>
      </c>
    </row>
    <row r="363" spans="1:18" hidden="1">
      <c r="A363" s="31" t="s">
        <v>3760</v>
      </c>
      <c r="B363" s="7">
        <v>45937</v>
      </c>
      <c r="C363" s="6" t="s">
        <v>3761</v>
      </c>
      <c r="D363" s="6" t="s">
        <v>3051</v>
      </c>
      <c r="E363" s="6"/>
      <c r="F363" s="6" t="s">
        <v>3052</v>
      </c>
      <c r="G363" s="6">
        <v>1</v>
      </c>
      <c r="H363" s="184">
        <v>702.23</v>
      </c>
      <c r="I363" s="184">
        <f>Table3[[#This Row],[Unit Price]]*Table3[[#This Row],[QTY]]</f>
        <v>702.23</v>
      </c>
      <c r="J363" s="6" t="s">
        <v>3654</v>
      </c>
      <c r="K363" s="6"/>
      <c r="L363" s="6"/>
      <c r="M363" s="7">
        <v>45972</v>
      </c>
      <c r="N363" s="172">
        <v>46031</v>
      </c>
    </row>
    <row r="364" spans="1:18" hidden="1">
      <c r="A364" s="31" t="s">
        <v>3764</v>
      </c>
      <c r="B364" s="7">
        <v>45937</v>
      </c>
      <c r="C364" s="6" t="s">
        <v>3287</v>
      </c>
      <c r="D364" s="6" t="s">
        <v>3258</v>
      </c>
      <c r="E364" s="6"/>
      <c r="F364" s="6" t="s">
        <v>3259</v>
      </c>
      <c r="G364" s="6">
        <v>3</v>
      </c>
      <c r="H364" s="184">
        <v>110.15</v>
      </c>
      <c r="I364" s="184">
        <f>Table3[[#This Row],[Unit Price]]*Table3[[#This Row],[QTY]]</f>
        <v>330.45000000000005</v>
      </c>
      <c r="J364" s="6" t="s">
        <v>3665</v>
      </c>
      <c r="K364" s="6" t="s">
        <v>58</v>
      </c>
      <c r="L364" s="6"/>
      <c r="M364" s="7">
        <v>45945</v>
      </c>
      <c r="N364" s="172">
        <v>45993</v>
      </c>
    </row>
    <row r="365" spans="1:18" hidden="1">
      <c r="A365" s="31" t="s">
        <v>3765</v>
      </c>
      <c r="B365" s="7">
        <v>45937</v>
      </c>
      <c r="C365" s="6" t="s">
        <v>3216</v>
      </c>
      <c r="D365" s="6" t="s">
        <v>3766</v>
      </c>
      <c r="E365" s="6"/>
      <c r="F365" s="6" t="s">
        <v>3767</v>
      </c>
      <c r="G365" s="6">
        <v>6</v>
      </c>
      <c r="H365" s="184">
        <v>14.21</v>
      </c>
      <c r="I365" s="184">
        <f>Table3[[#This Row],[Unit Price]]*Table3[[#This Row],[QTY]]</f>
        <v>85.26</v>
      </c>
      <c r="J365" s="6" t="s">
        <v>3665</v>
      </c>
      <c r="K365" s="6" t="s">
        <v>58</v>
      </c>
      <c r="L365" s="6"/>
      <c r="M365" s="7">
        <v>45945</v>
      </c>
      <c r="N365" s="172">
        <v>45993</v>
      </c>
      <c r="R365" s="1" t="s">
        <v>3342</v>
      </c>
    </row>
    <row r="366" spans="1:18" hidden="1">
      <c r="A366" s="31" t="s">
        <v>3768</v>
      </c>
      <c r="B366" s="7">
        <v>45937</v>
      </c>
      <c r="C366" s="6" t="s">
        <v>3208</v>
      </c>
      <c r="D366" s="6" t="s">
        <v>750</v>
      </c>
      <c r="E366" s="6"/>
      <c r="F366" s="6" t="s">
        <v>2449</v>
      </c>
      <c r="G366" s="6">
        <v>1</v>
      </c>
      <c r="H366" s="184">
        <v>1057.75</v>
      </c>
      <c r="I366" s="184">
        <f>Table3[[#This Row],[Unit Price]]*Table3[[#This Row],[QTY]]</f>
        <v>1057.75</v>
      </c>
      <c r="J366" s="6" t="s">
        <v>3665</v>
      </c>
      <c r="K366" s="6" t="s">
        <v>58</v>
      </c>
      <c r="L366" s="6"/>
      <c r="M366" s="7">
        <v>45945</v>
      </c>
      <c r="N366" s="172">
        <v>45993</v>
      </c>
      <c r="R366" s="1" t="s">
        <v>3342</v>
      </c>
    </row>
    <row r="367" spans="1:18" hidden="1">
      <c r="A367" s="31" t="s">
        <v>3769</v>
      </c>
      <c r="B367" s="7">
        <v>45940</v>
      </c>
      <c r="C367" s="6" t="s">
        <v>381</v>
      </c>
      <c r="D367" s="6" t="s">
        <v>3367</v>
      </c>
      <c r="E367" s="6"/>
      <c r="F367" s="6" t="s">
        <v>3091</v>
      </c>
      <c r="G367" s="6">
        <v>1</v>
      </c>
      <c r="H367" s="184">
        <v>89.16</v>
      </c>
      <c r="I367" s="184">
        <f>Table3[[#This Row],[Unit Price]]*Table3[[#This Row],[QTY]]</f>
        <v>89.16</v>
      </c>
      <c r="J367" s="6" t="s">
        <v>3665</v>
      </c>
      <c r="K367" s="6" t="s">
        <v>58</v>
      </c>
      <c r="L367" s="6"/>
      <c r="M367" s="7">
        <v>45945</v>
      </c>
      <c r="N367" s="172">
        <v>45993</v>
      </c>
    </row>
    <row r="368" spans="1:18" hidden="1">
      <c r="A368" s="31" t="s">
        <v>3770</v>
      </c>
      <c r="B368" s="7">
        <v>45943</v>
      </c>
      <c r="C368" s="6" t="s">
        <v>3771</v>
      </c>
      <c r="D368" s="6" t="s">
        <v>3292</v>
      </c>
      <c r="E368" s="6"/>
      <c r="F368" s="6" t="s">
        <v>3772</v>
      </c>
      <c r="G368" s="6">
        <v>1</v>
      </c>
      <c r="H368" s="184">
        <v>600.98</v>
      </c>
      <c r="I368" s="184">
        <f>Table3[[#This Row],[Unit Price]]*Table3[[#This Row],[QTY]]</f>
        <v>600.98</v>
      </c>
      <c r="J368" s="6" t="s">
        <v>3318</v>
      </c>
      <c r="K368" s="6"/>
      <c r="L368" s="6"/>
      <c r="M368" s="7">
        <v>46006</v>
      </c>
      <c r="N368" s="347">
        <v>46056</v>
      </c>
    </row>
    <row r="369" spans="1:14" hidden="1">
      <c r="A369" s="31" t="s">
        <v>3773</v>
      </c>
      <c r="B369" s="7">
        <v>45943</v>
      </c>
      <c r="C369" s="6" t="s">
        <v>3378</v>
      </c>
      <c r="D369" s="6" t="s">
        <v>3774</v>
      </c>
      <c r="E369" s="6"/>
      <c r="F369" s="6" t="s">
        <v>3775</v>
      </c>
      <c r="G369" s="6">
        <v>3</v>
      </c>
      <c r="H369" s="184">
        <v>0.43</v>
      </c>
      <c r="I369" s="184">
        <f>Table3[[#This Row],[Unit Price]]*Table3[[#This Row],[QTY]]</f>
        <v>1.29</v>
      </c>
      <c r="J369" s="6" t="s">
        <v>3654</v>
      </c>
      <c r="K369" s="6"/>
      <c r="L369" s="6"/>
      <c r="M369" s="7">
        <v>45972</v>
      </c>
      <c r="N369" s="172">
        <v>46031</v>
      </c>
    </row>
    <row r="370" spans="1:14" hidden="1">
      <c r="A370" s="31" t="s">
        <v>3773</v>
      </c>
      <c r="B370" s="7">
        <v>45943</v>
      </c>
      <c r="C370" s="6" t="s">
        <v>3378</v>
      </c>
      <c r="D370" s="6" t="s">
        <v>335</v>
      </c>
      <c r="E370" s="6"/>
      <c r="F370" s="6" t="s">
        <v>2569</v>
      </c>
      <c r="G370" s="6">
        <v>1</v>
      </c>
      <c r="H370" s="184">
        <v>79.989999999999995</v>
      </c>
      <c r="I370" s="184">
        <f>Table3[[#This Row],[Unit Price]]*Table3[[#This Row],[QTY]]</f>
        <v>79.989999999999995</v>
      </c>
      <c r="J370" s="6" t="s">
        <v>3654</v>
      </c>
      <c r="K370" s="6"/>
      <c r="L370" s="6"/>
      <c r="M370" s="7">
        <v>45972</v>
      </c>
      <c r="N370" s="172">
        <v>46031</v>
      </c>
    </row>
    <row r="371" spans="1:14" hidden="1">
      <c r="A371" s="31" t="s">
        <v>3776</v>
      </c>
      <c r="B371" s="7">
        <v>45945</v>
      </c>
      <c r="C371" s="6" t="s">
        <v>3777</v>
      </c>
      <c r="D371" s="6" t="s">
        <v>3367</v>
      </c>
      <c r="E371" s="6"/>
      <c r="F371" s="6" t="s">
        <v>3091</v>
      </c>
      <c r="G371" s="6">
        <v>1</v>
      </c>
      <c r="H371" s="184">
        <v>89.16</v>
      </c>
      <c r="I371" s="184">
        <f>Table3[[#This Row],[Unit Price]]*Table3[[#This Row],[QTY]]</f>
        <v>89.16</v>
      </c>
      <c r="J371" s="6" t="s">
        <v>3654</v>
      </c>
      <c r="K371" s="6"/>
      <c r="L371" s="6"/>
      <c r="M371" s="7">
        <v>45972</v>
      </c>
      <c r="N371" s="172">
        <v>46031</v>
      </c>
    </row>
    <row r="372" spans="1:14" hidden="1">
      <c r="A372" s="31" t="s">
        <v>3778</v>
      </c>
      <c r="B372" s="7">
        <v>45947</v>
      </c>
      <c r="C372" s="6" t="s">
        <v>982</v>
      </c>
      <c r="D372" s="6" t="s">
        <v>114</v>
      </c>
      <c r="E372" s="6"/>
      <c r="F372" s="6" t="s">
        <v>3577</v>
      </c>
      <c r="G372" s="6">
        <v>1</v>
      </c>
      <c r="H372" s="184">
        <v>77.98</v>
      </c>
      <c r="I372" s="184">
        <f>Table3[[#This Row],[Unit Price]]*Table3[[#This Row],[QTY]]</f>
        <v>77.98</v>
      </c>
      <c r="J372" s="6" t="s">
        <v>3654</v>
      </c>
      <c r="K372" s="6"/>
      <c r="L372" s="6"/>
      <c r="M372" s="7">
        <v>45972</v>
      </c>
      <c r="N372" s="172">
        <v>46031</v>
      </c>
    </row>
    <row r="373" spans="1:14" hidden="1">
      <c r="A373" s="31" t="s">
        <v>3778</v>
      </c>
      <c r="B373" s="7">
        <v>45947</v>
      </c>
      <c r="C373" s="6" t="s">
        <v>982</v>
      </c>
      <c r="D373" s="6" t="s">
        <v>484</v>
      </c>
      <c r="E373" s="6"/>
      <c r="F373" s="6" t="s">
        <v>485</v>
      </c>
      <c r="G373" s="6">
        <v>1</v>
      </c>
      <c r="H373" s="184">
        <v>125.99</v>
      </c>
      <c r="I373" s="184">
        <f>Table3[[#This Row],[Unit Price]]*Table3[[#This Row],[QTY]]</f>
        <v>125.99</v>
      </c>
      <c r="J373" s="6" t="s">
        <v>3654</v>
      </c>
      <c r="K373" s="6"/>
      <c r="L373" s="6"/>
      <c r="M373" s="7">
        <v>45972</v>
      </c>
      <c r="N373" s="172">
        <v>46031</v>
      </c>
    </row>
    <row r="374" spans="1:14" hidden="1">
      <c r="A374" s="31" t="s">
        <v>3778</v>
      </c>
      <c r="B374" s="7">
        <v>45947</v>
      </c>
      <c r="C374" s="6" t="s">
        <v>982</v>
      </c>
      <c r="D374" s="6" t="s">
        <v>829</v>
      </c>
      <c r="E374" s="6"/>
      <c r="F374" s="6" t="s">
        <v>3779</v>
      </c>
      <c r="G374" s="6">
        <v>1</v>
      </c>
      <c r="H374" s="184">
        <v>333.15</v>
      </c>
      <c r="I374" s="184">
        <f>Table3[[#This Row],[Unit Price]]*Table3[[#This Row],[QTY]]</f>
        <v>333.15</v>
      </c>
      <c r="J374" s="6" t="s">
        <v>3318</v>
      </c>
      <c r="K374" s="6"/>
      <c r="L374" s="6"/>
      <c r="M374" s="7">
        <v>46006</v>
      </c>
      <c r="N374" s="347">
        <v>46056</v>
      </c>
    </row>
    <row r="375" spans="1:14" hidden="1">
      <c r="A375" s="31" t="s">
        <v>3780</v>
      </c>
      <c r="B375" s="7">
        <v>45947</v>
      </c>
      <c r="C375" s="6" t="s">
        <v>3325</v>
      </c>
      <c r="D375" s="6" t="s">
        <v>3781</v>
      </c>
      <c r="E375" s="6"/>
      <c r="F375" s="6" t="s">
        <v>3782</v>
      </c>
      <c r="G375" s="6">
        <v>1</v>
      </c>
      <c r="H375" s="184">
        <v>14.7</v>
      </c>
      <c r="I375" s="184">
        <f>Table3[[#This Row],[Unit Price]]*Table3[[#This Row],[QTY]]</f>
        <v>14.7</v>
      </c>
      <c r="J375" s="6" t="s">
        <v>3654</v>
      </c>
      <c r="K375" s="6"/>
      <c r="L375" s="6"/>
      <c r="M375" s="7">
        <v>45972</v>
      </c>
      <c r="N375" s="172">
        <v>46031</v>
      </c>
    </row>
    <row r="376" spans="1:14" hidden="1">
      <c r="A376" s="31" t="s">
        <v>3780</v>
      </c>
      <c r="B376" s="7">
        <v>45947</v>
      </c>
      <c r="C376" s="6" t="s">
        <v>3325</v>
      </c>
      <c r="D376" s="6" t="s">
        <v>3783</v>
      </c>
      <c r="E376" s="6"/>
      <c r="F376" s="6" t="s">
        <v>3784</v>
      </c>
      <c r="G376" s="6">
        <v>1</v>
      </c>
      <c r="H376" s="184">
        <v>34.299999999999997</v>
      </c>
      <c r="I376" s="184">
        <f>Table3[[#This Row],[Unit Price]]*Table3[[#This Row],[QTY]]</f>
        <v>34.299999999999997</v>
      </c>
      <c r="J376" s="6" t="s">
        <v>3654</v>
      </c>
      <c r="K376" s="6"/>
      <c r="L376" s="6"/>
      <c r="M376" s="7">
        <v>45972</v>
      </c>
      <c r="N376" s="172">
        <v>46031</v>
      </c>
    </row>
    <row r="377" spans="1:14" hidden="1">
      <c r="A377" s="31" t="s">
        <v>3780</v>
      </c>
      <c r="B377" s="7">
        <v>45947</v>
      </c>
      <c r="C377" s="6" t="s">
        <v>3325</v>
      </c>
      <c r="D377" s="6" t="s">
        <v>3785</v>
      </c>
      <c r="E377" s="6"/>
      <c r="F377" s="6" t="s">
        <v>3786</v>
      </c>
      <c r="G377" s="6">
        <v>1</v>
      </c>
      <c r="H377" s="184">
        <v>66.959999999999994</v>
      </c>
      <c r="I377" s="184">
        <f>Table3[[#This Row],[Unit Price]]*Table3[[#This Row],[QTY]]</f>
        <v>66.959999999999994</v>
      </c>
      <c r="J377" s="6" t="s">
        <v>3654</v>
      </c>
      <c r="K377" s="6"/>
      <c r="L377" s="6"/>
      <c r="M377" s="7">
        <v>45972</v>
      </c>
      <c r="N377" s="172">
        <v>46031</v>
      </c>
    </row>
    <row r="378" spans="1:14" hidden="1">
      <c r="A378" s="31" t="s">
        <v>3787</v>
      </c>
      <c r="B378" s="7">
        <v>45953</v>
      </c>
      <c r="C378" s="6" t="s">
        <v>3145</v>
      </c>
      <c r="D378" s="6" t="s">
        <v>1764</v>
      </c>
      <c r="E378" s="6" t="s">
        <v>2672</v>
      </c>
      <c r="F378" s="6" t="s">
        <v>3788</v>
      </c>
      <c r="G378" s="6">
        <v>1</v>
      </c>
      <c r="H378" s="184">
        <v>362.55</v>
      </c>
      <c r="I378" s="184">
        <f>Table3[[#This Row],[Unit Price]]*Table3[[#This Row],[QTY]]</f>
        <v>362.55</v>
      </c>
      <c r="J378" s="6" t="s">
        <v>3654</v>
      </c>
      <c r="K378" s="6"/>
      <c r="L378" s="6"/>
      <c r="M378" s="7">
        <v>45972</v>
      </c>
      <c r="N378" s="172">
        <v>46031</v>
      </c>
    </row>
    <row r="379" spans="1:14" hidden="1">
      <c r="A379" s="31" t="s">
        <v>3789</v>
      </c>
      <c r="B379" s="7">
        <v>45954</v>
      </c>
      <c r="C379" s="6" t="s">
        <v>3287</v>
      </c>
      <c r="D379" s="6" t="s">
        <v>3790</v>
      </c>
      <c r="E379" s="6"/>
      <c r="F379" s="6" t="s">
        <v>3791</v>
      </c>
      <c r="G379" s="6">
        <v>1</v>
      </c>
      <c r="H379" s="184">
        <v>75.64</v>
      </c>
      <c r="I379" s="184">
        <f>Table3[[#This Row],[Unit Price]]*Table3[[#This Row],[QTY]]</f>
        <v>75.64</v>
      </c>
      <c r="J379" s="6" t="s">
        <v>3654</v>
      </c>
      <c r="K379" s="6" t="s">
        <v>58</v>
      </c>
      <c r="L379" s="6"/>
      <c r="M379" s="7">
        <v>45972</v>
      </c>
      <c r="N379" s="172">
        <v>46031</v>
      </c>
    </row>
    <row r="380" spans="1:14" hidden="1">
      <c r="A380" s="31" t="s">
        <v>3789</v>
      </c>
      <c r="B380" s="7">
        <v>45954</v>
      </c>
      <c r="C380" s="6" t="s">
        <v>3287</v>
      </c>
      <c r="D380" s="6" t="s">
        <v>3792</v>
      </c>
      <c r="E380" s="6" t="s">
        <v>3793</v>
      </c>
      <c r="F380" s="6" t="s">
        <v>3794</v>
      </c>
      <c r="G380" s="6">
        <v>1</v>
      </c>
      <c r="H380" s="184">
        <v>767.55</v>
      </c>
      <c r="I380" s="184">
        <f>Table3[[#This Row],[Unit Price]]*Table3[[#This Row],[QTY]]</f>
        <v>767.55</v>
      </c>
      <c r="J380" s="6" t="s">
        <v>3654</v>
      </c>
      <c r="K380" s="6" t="s">
        <v>58</v>
      </c>
      <c r="L380" s="6"/>
      <c r="M380" s="7">
        <v>45972</v>
      </c>
      <c r="N380" s="172">
        <v>46031</v>
      </c>
    </row>
    <row r="381" spans="1:14" hidden="1">
      <c r="A381" s="31" t="s">
        <v>3795</v>
      </c>
      <c r="B381" s="7">
        <v>45957</v>
      </c>
      <c r="C381" s="6" t="s">
        <v>3287</v>
      </c>
      <c r="D381" s="6" t="s">
        <v>854</v>
      </c>
      <c r="E381" s="6"/>
      <c r="F381" s="6" t="s">
        <v>3473</v>
      </c>
      <c r="G381" s="6">
        <v>1</v>
      </c>
      <c r="H381" s="184">
        <v>1208.49</v>
      </c>
      <c r="I381" s="184">
        <f>Table3[[#This Row],[Unit Price]]*Table3[[#This Row],[QTY]]</f>
        <v>1208.49</v>
      </c>
      <c r="J381" s="6" t="s">
        <v>3654</v>
      </c>
      <c r="K381" s="6" t="s">
        <v>58</v>
      </c>
      <c r="L381" s="6"/>
      <c r="M381" s="7">
        <v>45972</v>
      </c>
      <c r="N381" s="172">
        <v>46031</v>
      </c>
    </row>
    <row r="382" spans="1:14" hidden="1">
      <c r="A382" s="31" t="s">
        <v>3796</v>
      </c>
      <c r="B382" s="7">
        <v>45957</v>
      </c>
      <c r="C382" s="6" t="s">
        <v>3797</v>
      </c>
      <c r="D382" s="6" t="s">
        <v>280</v>
      </c>
      <c r="E382" s="6"/>
      <c r="F382" s="6" t="s">
        <v>3053</v>
      </c>
      <c r="G382" s="6">
        <v>2</v>
      </c>
      <c r="H382" s="184">
        <v>431.82</v>
      </c>
      <c r="I382" s="184">
        <f>Table3[[#This Row],[Unit Price]]*Table3[[#This Row],[QTY]]</f>
        <v>863.64</v>
      </c>
      <c r="J382" s="6" t="s">
        <v>3654</v>
      </c>
      <c r="K382" s="6"/>
      <c r="L382" s="6"/>
      <c r="M382" s="7">
        <v>45972</v>
      </c>
      <c r="N382" s="172">
        <v>46031</v>
      </c>
    </row>
    <row r="383" spans="1:14" hidden="1">
      <c r="A383" s="31" t="s">
        <v>3798</v>
      </c>
      <c r="B383" s="7">
        <v>45957</v>
      </c>
      <c r="C383" s="6" t="s">
        <v>3287</v>
      </c>
      <c r="D383" s="6" t="s">
        <v>3799</v>
      </c>
      <c r="E383" s="6"/>
      <c r="F383" s="6" t="s">
        <v>3707</v>
      </c>
      <c r="G383" s="6">
        <v>6</v>
      </c>
      <c r="H383" s="184">
        <v>71.86</v>
      </c>
      <c r="I383" s="184">
        <f>Table3[[#This Row],[Unit Price]]*Table3[[#This Row],[QTY]]</f>
        <v>431.15999999999997</v>
      </c>
      <c r="J383" s="6" t="s">
        <v>3800</v>
      </c>
      <c r="K383" s="6" t="s">
        <v>58</v>
      </c>
      <c r="L383" s="6"/>
      <c r="M383" s="7">
        <v>46006</v>
      </c>
      <c r="N383" s="347">
        <v>46056</v>
      </c>
    </row>
    <row r="384" spans="1:14" hidden="1">
      <c r="A384" s="31" t="s">
        <v>3801</v>
      </c>
      <c r="B384" s="7">
        <v>45958</v>
      </c>
      <c r="C384" s="6" t="s">
        <v>3287</v>
      </c>
      <c r="D384" s="6" t="s">
        <v>545</v>
      </c>
      <c r="E384" s="6"/>
      <c r="F384" s="6" t="s">
        <v>3236</v>
      </c>
      <c r="G384" s="6">
        <v>5</v>
      </c>
      <c r="H384" s="184">
        <v>898.2</v>
      </c>
      <c r="I384" s="184">
        <f>Table3[[#This Row],[Unit Price]]*Table3[[#This Row],[QTY]]</f>
        <v>4491</v>
      </c>
      <c r="J384" s="6" t="s">
        <v>69</v>
      </c>
      <c r="K384" s="6" t="s">
        <v>89</v>
      </c>
      <c r="L384" s="6"/>
      <c r="M384" s="7">
        <v>45963</v>
      </c>
      <c r="N384" s="172">
        <v>45986</v>
      </c>
    </row>
    <row r="385" spans="1:18" hidden="1">
      <c r="A385" s="31" t="s">
        <v>3802</v>
      </c>
      <c r="B385" s="7">
        <v>45958</v>
      </c>
      <c r="C385" s="6" t="s">
        <v>3803</v>
      </c>
      <c r="D385" s="6" t="s">
        <v>3804</v>
      </c>
      <c r="E385" s="6"/>
      <c r="F385" s="6" t="s">
        <v>3577</v>
      </c>
      <c r="G385" s="6">
        <v>4</v>
      </c>
      <c r="H385" s="184">
        <v>77.98</v>
      </c>
      <c r="I385" s="184">
        <f>Table3[[#This Row],[Unit Price]]*Table3[[#This Row],[QTY]]</f>
        <v>311.92</v>
      </c>
      <c r="J385" s="6" t="s">
        <v>3318</v>
      </c>
      <c r="K385" s="6"/>
      <c r="L385" s="6"/>
      <c r="M385" s="7">
        <v>46006</v>
      </c>
      <c r="N385" s="347">
        <v>46056</v>
      </c>
    </row>
    <row r="386" spans="1:18" hidden="1">
      <c r="A386" s="31" t="s">
        <v>3805</v>
      </c>
      <c r="B386" s="7">
        <v>45958</v>
      </c>
      <c r="C386" s="6" t="s">
        <v>3145</v>
      </c>
      <c r="D386" s="6" t="s">
        <v>838</v>
      </c>
      <c r="E386" s="6"/>
      <c r="F386" s="6" t="s">
        <v>3806</v>
      </c>
      <c r="G386" s="6">
        <v>4</v>
      </c>
      <c r="H386" s="184">
        <v>158.41</v>
      </c>
      <c r="I386" s="184">
        <f>Table3[[#This Row],[Unit Price]]*Table3[[#This Row],[QTY]]</f>
        <v>633.64</v>
      </c>
      <c r="J386" s="6" t="s">
        <v>3318</v>
      </c>
      <c r="K386" s="6"/>
      <c r="L386" s="6"/>
      <c r="M386" s="7">
        <v>46006</v>
      </c>
      <c r="N386" s="347">
        <v>46056</v>
      </c>
    </row>
    <row r="387" spans="1:18" hidden="1">
      <c r="A387" s="300" t="s">
        <v>3807</v>
      </c>
      <c r="B387" s="301">
        <v>45959</v>
      </c>
      <c r="C387" s="302" t="s">
        <v>381</v>
      </c>
      <c r="D387" s="302" t="s">
        <v>3452</v>
      </c>
      <c r="E387" s="302"/>
      <c r="F387" s="302" t="s">
        <v>3453</v>
      </c>
      <c r="G387" s="302">
        <v>1</v>
      </c>
      <c r="H387" s="303">
        <v>697.33</v>
      </c>
      <c r="I387" s="303">
        <f>Table3[[#This Row],[Unit Price]]*Table3[[#This Row],[QTY]]</f>
        <v>697.33</v>
      </c>
      <c r="J387" s="302" t="s">
        <v>3318</v>
      </c>
      <c r="K387" s="302"/>
      <c r="L387" s="302" t="s">
        <v>3808</v>
      </c>
      <c r="M387" s="301">
        <v>46006</v>
      </c>
      <c r="N387" s="301">
        <v>46056</v>
      </c>
      <c r="O387" s="304"/>
      <c r="P387" s="304"/>
      <c r="Q387" s="305"/>
      <c r="R387" s="306"/>
    </row>
    <row r="388" spans="1:18" hidden="1">
      <c r="A388" s="31" t="s">
        <v>3809</v>
      </c>
      <c r="B388" s="7">
        <v>45959</v>
      </c>
      <c r="C388" s="6" t="s">
        <v>3287</v>
      </c>
      <c r="D388" s="6" t="s">
        <v>3810</v>
      </c>
      <c r="E388" s="6"/>
      <c r="F388" s="6" t="s">
        <v>3811</v>
      </c>
      <c r="G388" s="6">
        <v>2</v>
      </c>
      <c r="H388" s="184">
        <v>147.47</v>
      </c>
      <c r="I388" s="184">
        <f>Table3[[#This Row],[Unit Price]]*Table3[[#This Row],[QTY]]</f>
        <v>294.94</v>
      </c>
      <c r="J388" s="6" t="s">
        <v>3654</v>
      </c>
      <c r="K388" s="6"/>
      <c r="L388" s="6"/>
      <c r="M388" s="7">
        <v>45987</v>
      </c>
      <c r="N388" s="172">
        <v>46031</v>
      </c>
    </row>
    <row r="389" spans="1:18" s="348" customFormat="1" hidden="1">
      <c r="A389" s="308" t="s">
        <v>3812</v>
      </c>
      <c r="B389" s="349">
        <v>45959</v>
      </c>
      <c r="C389" s="350" t="s">
        <v>3813</v>
      </c>
      <c r="D389" s="350" t="s">
        <v>3452</v>
      </c>
      <c r="E389" s="350"/>
      <c r="F389" s="350" t="s">
        <v>3453</v>
      </c>
      <c r="G389" s="350">
        <v>1</v>
      </c>
      <c r="H389" s="351">
        <v>697.33</v>
      </c>
      <c r="I389" s="351">
        <f>Table3[[#This Row],[Unit Price]]*Table3[[#This Row],[QTY]]</f>
        <v>697.33</v>
      </c>
      <c r="J389" s="350" t="s">
        <v>3318</v>
      </c>
      <c r="K389" s="350"/>
      <c r="L389" s="350"/>
      <c r="M389" s="349">
        <v>46006</v>
      </c>
      <c r="N389" s="352">
        <v>46056</v>
      </c>
      <c r="O389" s="353">
        <v>110975</v>
      </c>
      <c r="P389" s="353">
        <v>78646</v>
      </c>
      <c r="Q389" s="354">
        <v>46064</v>
      </c>
      <c r="R389" s="348" t="s">
        <v>2990</v>
      </c>
    </row>
    <row r="390" spans="1:18" hidden="1">
      <c r="A390" s="31" t="s">
        <v>3814</v>
      </c>
      <c r="B390" s="7">
        <v>45959</v>
      </c>
      <c r="C390" s="6" t="s">
        <v>3287</v>
      </c>
      <c r="D390" s="6" t="s">
        <v>3815</v>
      </c>
      <c r="E390" s="6" t="s">
        <v>2648</v>
      </c>
      <c r="F390" s="6" t="s">
        <v>3811</v>
      </c>
      <c r="G390" s="6">
        <v>3</v>
      </c>
      <c r="H390" s="184">
        <v>147.47</v>
      </c>
      <c r="I390" s="184">
        <f>Table3[[#This Row],[Unit Price]]*Table3[[#This Row],[QTY]]</f>
        <v>442.40999999999997</v>
      </c>
      <c r="J390" s="6" t="s">
        <v>3654</v>
      </c>
      <c r="K390" s="6"/>
      <c r="L390" s="6"/>
      <c r="M390" s="7">
        <v>45967</v>
      </c>
      <c r="N390" s="172">
        <v>46031</v>
      </c>
    </row>
    <row r="391" spans="1:18" hidden="1">
      <c r="A391" s="31" t="s">
        <v>3816</v>
      </c>
      <c r="B391" s="7">
        <v>45960</v>
      </c>
      <c r="C391" s="6" t="s">
        <v>3583</v>
      </c>
      <c r="D391" s="6" t="s">
        <v>1671</v>
      </c>
      <c r="E391" s="6"/>
      <c r="F391" s="6" t="s">
        <v>3756</v>
      </c>
      <c r="G391" s="6">
        <v>2</v>
      </c>
      <c r="H391" s="184">
        <v>91.76</v>
      </c>
      <c r="I391" s="184">
        <f>Table3[[#This Row],[Unit Price]]*Table3[[#This Row],[QTY]]</f>
        <v>183.52</v>
      </c>
      <c r="J391" s="6" t="s">
        <v>3318</v>
      </c>
      <c r="K391" s="6"/>
      <c r="L391" s="6"/>
      <c r="M391" s="7">
        <v>46006</v>
      </c>
      <c r="N391" s="347">
        <v>46056</v>
      </c>
    </row>
    <row r="392" spans="1:18" hidden="1">
      <c r="A392" s="31" t="s">
        <v>3817</v>
      </c>
      <c r="B392" s="7">
        <v>45960</v>
      </c>
      <c r="C392" s="6" t="s">
        <v>3287</v>
      </c>
      <c r="D392" s="6" t="s">
        <v>3818</v>
      </c>
      <c r="E392" s="6"/>
      <c r="F392" s="6" t="s">
        <v>3788</v>
      </c>
      <c r="G392" s="6">
        <v>2</v>
      </c>
      <c r="H392" s="184">
        <v>362.55</v>
      </c>
      <c r="I392" s="184">
        <f>Table3[[#This Row],[Unit Price]]*Table3[[#This Row],[QTY]]</f>
        <v>725.1</v>
      </c>
      <c r="J392" s="6" t="s">
        <v>3318</v>
      </c>
      <c r="K392" s="6"/>
      <c r="L392" s="6"/>
      <c r="M392" s="7">
        <v>46006</v>
      </c>
      <c r="N392" s="347">
        <v>46056</v>
      </c>
    </row>
    <row r="393" spans="1:18" hidden="1">
      <c r="A393" s="31" t="s">
        <v>3819</v>
      </c>
      <c r="B393" s="7">
        <v>45960</v>
      </c>
      <c r="C393" s="6" t="s">
        <v>3820</v>
      </c>
      <c r="D393" s="6" t="s">
        <v>1135</v>
      </c>
      <c r="E393" s="6"/>
      <c r="F393" s="6" t="s">
        <v>2569</v>
      </c>
      <c r="G393" s="6">
        <v>2</v>
      </c>
      <c r="H393" s="184">
        <v>79.989999999999995</v>
      </c>
      <c r="I393" s="184">
        <f>Table3[[#This Row],[Unit Price]]*Table3[[#This Row],[QTY]]</f>
        <v>159.97999999999999</v>
      </c>
      <c r="J393" s="6" t="s">
        <v>3318</v>
      </c>
      <c r="K393" s="6"/>
      <c r="L393" s="6"/>
      <c r="M393" s="7">
        <v>46006</v>
      </c>
      <c r="N393" s="347">
        <v>46056</v>
      </c>
    </row>
    <row r="394" spans="1:18" hidden="1">
      <c r="A394" s="31" t="s">
        <v>3821</v>
      </c>
      <c r="B394" s="7">
        <v>45961</v>
      </c>
      <c r="C394" s="6" t="s">
        <v>3822</v>
      </c>
      <c r="D394" s="6" t="s">
        <v>3261</v>
      </c>
      <c r="E394" s="6"/>
      <c r="F394" s="6" t="s">
        <v>3262</v>
      </c>
      <c r="G394" s="6">
        <v>1</v>
      </c>
      <c r="H394" s="184">
        <v>284.97000000000003</v>
      </c>
      <c r="I394" s="184">
        <f>Table3[[#This Row],[Unit Price]]*Table3[[#This Row],[QTY]]</f>
        <v>284.97000000000003</v>
      </c>
      <c r="J394" s="6" t="s">
        <v>3318</v>
      </c>
      <c r="K394" s="6"/>
      <c r="L394" s="6"/>
      <c r="M394" s="7">
        <v>46006</v>
      </c>
      <c r="N394" s="347">
        <v>46056</v>
      </c>
    </row>
    <row r="395" spans="1:18" hidden="1">
      <c r="A395" s="31" t="s">
        <v>3823</v>
      </c>
      <c r="B395" s="7">
        <v>45964</v>
      </c>
      <c r="C395" s="6" t="s">
        <v>982</v>
      </c>
      <c r="D395" s="6" t="s">
        <v>3824</v>
      </c>
      <c r="E395" s="6"/>
      <c r="F395" s="6" t="s">
        <v>3825</v>
      </c>
      <c r="G395" s="6">
        <v>3</v>
      </c>
      <c r="H395" s="184">
        <v>125.76</v>
      </c>
      <c r="I395" s="184">
        <f>Table3[[#This Row],[Unit Price]]*Table3[[#This Row],[QTY]]</f>
        <v>377.28000000000003</v>
      </c>
      <c r="J395" s="6" t="s">
        <v>3318</v>
      </c>
      <c r="K395" s="6"/>
      <c r="L395" s="6"/>
      <c r="M395" s="7">
        <v>46006</v>
      </c>
      <c r="N395" s="347">
        <v>46056</v>
      </c>
    </row>
    <row r="396" spans="1:18" hidden="1">
      <c r="A396" s="31" t="s">
        <v>3823</v>
      </c>
      <c r="B396" s="7">
        <v>45964</v>
      </c>
      <c r="C396" s="6" t="s">
        <v>982</v>
      </c>
      <c r="D396" s="6" t="s">
        <v>3826</v>
      </c>
      <c r="E396" s="6"/>
      <c r="F396" s="6" t="s">
        <v>3827</v>
      </c>
      <c r="G396" s="6">
        <v>3</v>
      </c>
      <c r="H396" s="184">
        <v>10.71</v>
      </c>
      <c r="I396" s="184">
        <f>Table3[[#This Row],[Unit Price]]*Table3[[#This Row],[QTY]]</f>
        <v>32.130000000000003</v>
      </c>
      <c r="J396" s="6" t="s">
        <v>3318</v>
      </c>
      <c r="K396" s="6"/>
      <c r="L396" s="6"/>
      <c r="M396" s="7">
        <v>46006</v>
      </c>
      <c r="N396" s="347">
        <v>46056</v>
      </c>
    </row>
    <row r="397" spans="1:18" hidden="1">
      <c r="A397" s="31" t="s">
        <v>3828</v>
      </c>
      <c r="B397" s="7">
        <v>45964</v>
      </c>
      <c r="C397" s="6" t="s">
        <v>3287</v>
      </c>
      <c r="D397" s="6" t="s">
        <v>3829</v>
      </c>
      <c r="E397" s="6"/>
      <c r="F397" s="6" t="s">
        <v>3547</v>
      </c>
      <c r="G397" s="6">
        <v>3</v>
      </c>
      <c r="H397" s="184">
        <v>138.78</v>
      </c>
      <c r="I397" s="184">
        <f>Table3[[#This Row],[Unit Price]]*Table3[[#This Row],[QTY]]</f>
        <v>416.34000000000003</v>
      </c>
      <c r="J397" s="6" t="s">
        <v>3610</v>
      </c>
      <c r="K397" s="6"/>
      <c r="L397" s="6"/>
      <c r="M397" s="7">
        <v>46107</v>
      </c>
      <c r="N397" s="172"/>
    </row>
    <row r="398" spans="1:18" hidden="1">
      <c r="A398" s="31" t="s">
        <v>3830</v>
      </c>
      <c r="B398" s="7">
        <v>45964</v>
      </c>
      <c r="C398" s="6" t="s">
        <v>3287</v>
      </c>
      <c r="D398" s="6" t="s">
        <v>1792</v>
      </c>
      <c r="E398" s="6" t="s">
        <v>314</v>
      </c>
      <c r="F398" s="6" t="s">
        <v>3197</v>
      </c>
      <c r="G398" s="6">
        <v>3</v>
      </c>
      <c r="H398" s="184">
        <v>159.59</v>
      </c>
      <c r="I398" s="184">
        <f>Table3[[#This Row],[Unit Price]]*Table3[[#This Row],[QTY]]</f>
        <v>478.77</v>
      </c>
      <c r="J398" s="6" t="s">
        <v>3318</v>
      </c>
      <c r="K398" s="6"/>
      <c r="L398" s="6"/>
      <c r="M398" s="7">
        <v>46006</v>
      </c>
      <c r="N398" s="347">
        <v>46056</v>
      </c>
    </row>
    <row r="399" spans="1:18" hidden="1">
      <c r="A399" s="31" t="s">
        <v>3831</v>
      </c>
      <c r="B399" s="7">
        <v>45964</v>
      </c>
      <c r="C399" s="6" t="s">
        <v>3803</v>
      </c>
      <c r="D399" s="6" t="s">
        <v>3832</v>
      </c>
      <c r="E399" s="6"/>
      <c r="F399" s="6" t="s">
        <v>3077</v>
      </c>
      <c r="G399" s="6">
        <v>1</v>
      </c>
      <c r="H399" s="184">
        <v>271.08999999999997</v>
      </c>
      <c r="I399" s="184">
        <f>Table3[[#This Row],[Unit Price]]*Table3[[#This Row],[QTY]]</f>
        <v>271.08999999999997</v>
      </c>
      <c r="J399" s="6" t="s">
        <v>3318</v>
      </c>
      <c r="K399" s="6"/>
      <c r="L399" s="6"/>
      <c r="M399" s="7">
        <v>46000</v>
      </c>
      <c r="N399" s="347">
        <v>46056</v>
      </c>
    </row>
    <row r="400" spans="1:18" hidden="1">
      <c r="A400" s="31" t="s">
        <v>3833</v>
      </c>
      <c r="B400" s="7">
        <v>45964</v>
      </c>
      <c r="C400" s="6" t="s">
        <v>3287</v>
      </c>
      <c r="D400" s="6" t="s">
        <v>1273</v>
      </c>
      <c r="E400" s="6"/>
      <c r="F400" s="6" t="s">
        <v>1274</v>
      </c>
      <c r="G400" s="6">
        <v>5</v>
      </c>
      <c r="H400" s="184">
        <v>20.25</v>
      </c>
      <c r="I400" s="184">
        <f>Table3[[#This Row],[Unit Price]]*Table3[[#This Row],[QTY]]</f>
        <v>101.25</v>
      </c>
      <c r="J400" s="6" t="s">
        <v>3318</v>
      </c>
      <c r="K400" s="6"/>
      <c r="L400" s="6"/>
      <c r="M400" s="7">
        <v>46006</v>
      </c>
      <c r="N400" s="347">
        <v>46056</v>
      </c>
    </row>
    <row r="401" spans="1:18" hidden="1">
      <c r="A401" s="31" t="s">
        <v>3833</v>
      </c>
      <c r="B401" s="7">
        <v>45964</v>
      </c>
      <c r="C401" s="6" t="s">
        <v>3287</v>
      </c>
      <c r="D401" s="6" t="s">
        <v>883</v>
      </c>
      <c r="E401" s="6"/>
      <c r="F401" s="6" t="s">
        <v>3834</v>
      </c>
      <c r="G401" s="6">
        <v>3</v>
      </c>
      <c r="H401" s="184">
        <v>140.62</v>
      </c>
      <c r="I401" s="184">
        <f>Table3[[#This Row],[Unit Price]]*Table3[[#This Row],[QTY]]</f>
        <v>421.86</v>
      </c>
      <c r="J401" s="6" t="s">
        <v>3318</v>
      </c>
      <c r="K401" s="6"/>
      <c r="L401" s="6"/>
      <c r="M401" s="7">
        <v>46006</v>
      </c>
      <c r="N401" s="347">
        <v>46056</v>
      </c>
    </row>
    <row r="402" spans="1:18" hidden="1">
      <c r="A402" s="31" t="s">
        <v>3833</v>
      </c>
      <c r="B402" s="7">
        <v>45964</v>
      </c>
      <c r="C402" s="6" t="s">
        <v>3287</v>
      </c>
      <c r="D402" s="6" t="s">
        <v>2800</v>
      </c>
      <c r="E402" s="6"/>
      <c r="F402" s="6" t="s">
        <v>3363</v>
      </c>
      <c r="G402" s="6">
        <v>4</v>
      </c>
      <c r="H402" s="184">
        <v>112</v>
      </c>
      <c r="I402" s="184">
        <f>Table3[[#This Row],[Unit Price]]*Table3[[#This Row],[QTY]]</f>
        <v>448</v>
      </c>
      <c r="J402" s="6" t="s">
        <v>3318</v>
      </c>
      <c r="K402" s="6"/>
      <c r="L402" s="6"/>
      <c r="M402" s="7">
        <v>46006</v>
      </c>
      <c r="N402" s="347">
        <v>46056</v>
      </c>
    </row>
    <row r="403" spans="1:18" hidden="1">
      <c r="A403" s="31" t="s">
        <v>3835</v>
      </c>
      <c r="B403" s="7">
        <v>45964</v>
      </c>
      <c r="C403" s="6" t="s">
        <v>3287</v>
      </c>
      <c r="D403" s="6" t="s">
        <v>3734</v>
      </c>
      <c r="E403" s="6"/>
      <c r="F403" s="6" t="s">
        <v>2333</v>
      </c>
      <c r="G403" s="6">
        <v>6</v>
      </c>
      <c r="H403" s="184">
        <v>12.41</v>
      </c>
      <c r="I403" s="184">
        <f>Table3[[#This Row],[Unit Price]]*Table3[[#This Row],[QTY]]</f>
        <v>74.460000000000008</v>
      </c>
      <c r="J403" s="6" t="s">
        <v>3318</v>
      </c>
      <c r="K403" s="6"/>
      <c r="L403" s="6"/>
      <c r="M403" s="7">
        <v>46030</v>
      </c>
      <c r="N403" s="347">
        <v>46056</v>
      </c>
    </row>
    <row r="404" spans="1:18" hidden="1">
      <c r="A404" s="31" t="s">
        <v>3836</v>
      </c>
      <c r="B404" s="7">
        <v>45964</v>
      </c>
      <c r="C404" s="6" t="s">
        <v>3287</v>
      </c>
      <c r="D404" s="6" t="s">
        <v>3837</v>
      </c>
      <c r="E404" s="6"/>
      <c r="F404" s="6" t="s">
        <v>137</v>
      </c>
      <c r="G404" s="6">
        <v>10</v>
      </c>
      <c r="H404" s="184">
        <v>19.600000000000001</v>
      </c>
      <c r="I404" s="184">
        <f>Table3[[#This Row],[Unit Price]]*Table3[[#This Row],[QTY]]</f>
        <v>196</v>
      </c>
      <c r="J404" s="6" t="s">
        <v>3318</v>
      </c>
      <c r="K404" s="6"/>
      <c r="L404" s="6"/>
      <c r="M404" s="7">
        <v>46006</v>
      </c>
      <c r="N404" s="347">
        <v>46056</v>
      </c>
    </row>
    <row r="405" spans="1:18" hidden="1">
      <c r="A405" s="31" t="s">
        <v>3838</v>
      </c>
      <c r="B405" s="7">
        <v>45964</v>
      </c>
      <c r="C405" s="6" t="s">
        <v>3839</v>
      </c>
      <c r="D405" s="6" t="s">
        <v>3840</v>
      </c>
      <c r="E405" s="6"/>
      <c r="F405" s="6" t="s">
        <v>3841</v>
      </c>
      <c r="G405" s="6">
        <v>1</v>
      </c>
      <c r="H405" s="184">
        <v>589.54999999999995</v>
      </c>
      <c r="I405" s="184">
        <f>Table3[[#This Row],[Unit Price]]*Table3[[#This Row],[QTY]]</f>
        <v>589.54999999999995</v>
      </c>
      <c r="J405" s="6" t="s">
        <v>69</v>
      </c>
      <c r="K405" s="6"/>
      <c r="L405" s="6"/>
      <c r="M405" s="7">
        <v>45966</v>
      </c>
      <c r="N405" s="172">
        <v>45974</v>
      </c>
    </row>
    <row r="406" spans="1:18" hidden="1">
      <c r="A406" s="31" t="s">
        <v>3842</v>
      </c>
      <c r="B406" s="7">
        <v>45965</v>
      </c>
      <c r="C406" s="6" t="s">
        <v>3287</v>
      </c>
      <c r="D406" s="6" t="s">
        <v>3843</v>
      </c>
      <c r="E406" s="6"/>
      <c r="F406" s="6" t="s">
        <v>3844</v>
      </c>
      <c r="G406" s="6">
        <v>1</v>
      </c>
      <c r="H406" s="184">
        <v>3084.91</v>
      </c>
      <c r="I406" s="184">
        <f>Table3[[#This Row],[Unit Price]]*Table3[[#This Row],[QTY]]</f>
        <v>3084.91</v>
      </c>
      <c r="J406" s="6" t="s">
        <v>3654</v>
      </c>
      <c r="K406" s="6"/>
      <c r="L406" s="6"/>
      <c r="M406" s="7">
        <v>45987</v>
      </c>
      <c r="N406" s="172">
        <v>46031</v>
      </c>
    </row>
    <row r="407" spans="1:18" hidden="1">
      <c r="A407" s="31" t="s">
        <v>3845</v>
      </c>
      <c r="B407" s="7">
        <v>45965</v>
      </c>
      <c r="C407" s="6" t="s">
        <v>3145</v>
      </c>
      <c r="D407" s="6" t="s">
        <v>3846</v>
      </c>
      <c r="E407" s="6"/>
      <c r="F407" s="6" t="s">
        <v>3847</v>
      </c>
      <c r="G407" s="6">
        <v>1</v>
      </c>
      <c r="H407" s="184">
        <v>639.04</v>
      </c>
      <c r="I407" s="184">
        <f>Table3[[#This Row],[Unit Price]]*Table3[[#This Row],[QTY]]</f>
        <v>639.04</v>
      </c>
      <c r="J407" s="6" t="s">
        <v>3318</v>
      </c>
      <c r="K407" s="6"/>
      <c r="L407" s="6"/>
      <c r="M407" s="7">
        <v>46006</v>
      </c>
      <c r="N407" s="347">
        <v>46056</v>
      </c>
    </row>
    <row r="408" spans="1:18" hidden="1">
      <c r="A408" s="31" t="s">
        <v>3848</v>
      </c>
      <c r="B408" s="7">
        <v>45965</v>
      </c>
      <c r="C408" s="6" t="s">
        <v>3287</v>
      </c>
      <c r="D408" s="6" t="s">
        <v>3372</v>
      </c>
      <c r="E408" s="6"/>
      <c r="F408" s="6" t="s">
        <v>3373</v>
      </c>
      <c r="G408" s="6">
        <v>2</v>
      </c>
      <c r="H408" s="184">
        <v>629.66</v>
      </c>
      <c r="I408" s="184">
        <f>Table3[[#This Row],[Unit Price]]*Table3[[#This Row],[QTY]]</f>
        <v>1259.32</v>
      </c>
      <c r="J408" s="6" t="s">
        <v>3318</v>
      </c>
      <c r="K408" s="6"/>
      <c r="L408" s="6"/>
      <c r="M408" s="7">
        <v>46006</v>
      </c>
      <c r="N408" s="347">
        <v>46056</v>
      </c>
    </row>
    <row r="409" spans="1:18" hidden="1">
      <c r="A409" s="31" t="s">
        <v>3849</v>
      </c>
      <c r="B409" s="7">
        <v>45966</v>
      </c>
      <c r="C409" s="6" t="s">
        <v>3850</v>
      </c>
      <c r="D409" s="6" t="s">
        <v>3367</v>
      </c>
      <c r="E409" s="6"/>
      <c r="F409" s="6" t="s">
        <v>3091</v>
      </c>
      <c r="G409" s="6">
        <v>1</v>
      </c>
      <c r="H409" s="184">
        <v>89.16</v>
      </c>
      <c r="I409" s="184">
        <f>Table3[[#This Row],[Unit Price]]*Table3[[#This Row],[QTY]]</f>
        <v>89.16</v>
      </c>
      <c r="J409" s="6" t="s">
        <v>3318</v>
      </c>
      <c r="K409" s="6"/>
      <c r="L409" s="6"/>
      <c r="M409" s="7">
        <v>46006</v>
      </c>
      <c r="N409" s="347">
        <v>46056</v>
      </c>
    </row>
    <row r="410" spans="1:18">
      <c r="A410" s="31" t="s">
        <v>3851</v>
      </c>
      <c r="B410" s="7">
        <v>45966</v>
      </c>
      <c r="C410" s="6" t="s">
        <v>3758</v>
      </c>
      <c r="D410" s="6" t="s">
        <v>3312</v>
      </c>
      <c r="E410" s="6"/>
      <c r="F410" s="6" t="s">
        <v>3313</v>
      </c>
      <c r="G410" s="6">
        <v>1</v>
      </c>
      <c r="H410" s="184">
        <v>147.61000000000001</v>
      </c>
      <c r="I410" s="184">
        <f>Table3[[#This Row],[Unit Price]]*Table3[[#This Row],[QTY]]</f>
        <v>147.61000000000001</v>
      </c>
      <c r="J410" s="6" t="s">
        <v>3318</v>
      </c>
      <c r="K410" s="6"/>
      <c r="L410" s="6"/>
      <c r="M410" s="7">
        <v>46006</v>
      </c>
      <c r="N410" s="347">
        <v>46056</v>
      </c>
    </row>
    <row r="411" spans="1:18" hidden="1">
      <c r="A411" s="31" t="s">
        <v>3852</v>
      </c>
      <c r="B411" s="7">
        <v>45966</v>
      </c>
      <c r="C411" s="6" t="s">
        <v>982</v>
      </c>
      <c r="D411" s="6" t="s">
        <v>3853</v>
      </c>
      <c r="E411" s="6"/>
      <c r="F411" s="6" t="s">
        <v>3854</v>
      </c>
      <c r="G411" s="6">
        <v>1</v>
      </c>
      <c r="H411" s="184">
        <v>16.329999999999998</v>
      </c>
      <c r="I411" s="184">
        <f>Table3[[#This Row],[Unit Price]]*Table3[[#This Row],[QTY]]</f>
        <v>16.329999999999998</v>
      </c>
      <c r="J411" s="6" t="s">
        <v>3318</v>
      </c>
      <c r="K411" s="6"/>
      <c r="L411" s="6"/>
      <c r="M411" s="7">
        <v>46006</v>
      </c>
      <c r="N411" s="347">
        <v>46056</v>
      </c>
    </row>
    <row r="412" spans="1:18" hidden="1">
      <c r="A412" s="31" t="s">
        <v>3855</v>
      </c>
      <c r="B412" s="7">
        <v>45972</v>
      </c>
      <c r="C412" s="6" t="s">
        <v>695</v>
      </c>
      <c r="D412" s="6" t="s">
        <v>3701</v>
      </c>
      <c r="E412" s="6"/>
      <c r="F412" s="6" t="s">
        <v>3702</v>
      </c>
      <c r="G412" s="6">
        <v>1</v>
      </c>
      <c r="H412" s="184">
        <v>1427.32</v>
      </c>
      <c r="I412" s="184">
        <f>Table3[[#This Row],[Unit Price]]*Table3[[#This Row],[QTY]]</f>
        <v>1427.32</v>
      </c>
      <c r="J412" s="6" t="s">
        <v>3318</v>
      </c>
      <c r="K412" s="6"/>
      <c r="L412" s="6"/>
      <c r="M412" s="7">
        <v>46006</v>
      </c>
      <c r="N412" s="347">
        <v>46056</v>
      </c>
    </row>
    <row r="413" spans="1:18" hidden="1">
      <c r="A413" s="31" t="s">
        <v>3856</v>
      </c>
      <c r="B413" s="7">
        <v>45972</v>
      </c>
      <c r="C413" s="6" t="s">
        <v>3287</v>
      </c>
      <c r="D413" s="6" t="s">
        <v>3857</v>
      </c>
      <c r="E413" s="6"/>
      <c r="F413" s="6" t="s">
        <v>3134</v>
      </c>
      <c r="G413" s="6">
        <v>4</v>
      </c>
      <c r="H413" s="184">
        <v>111.05</v>
      </c>
      <c r="I413" s="184">
        <f>Table3[[#This Row],[Unit Price]]*Table3[[#This Row],[QTY]]</f>
        <v>444.2</v>
      </c>
      <c r="J413" s="6" t="s">
        <v>3318</v>
      </c>
      <c r="K413" s="6"/>
      <c r="L413" s="6"/>
      <c r="M413" s="7">
        <v>46000</v>
      </c>
      <c r="N413" s="347">
        <v>46056</v>
      </c>
      <c r="O413" s="4">
        <v>109475</v>
      </c>
      <c r="P413" s="4">
        <v>78471</v>
      </c>
      <c r="Q413" s="171">
        <v>46058</v>
      </c>
      <c r="R413" s="1" t="s">
        <v>2990</v>
      </c>
    </row>
    <row r="414" spans="1:18" hidden="1">
      <c r="A414" s="31" t="s">
        <v>3858</v>
      </c>
      <c r="B414" s="7">
        <v>45973</v>
      </c>
      <c r="C414" s="6" t="s">
        <v>3005</v>
      </c>
      <c r="D414" s="6" t="s">
        <v>2782</v>
      </c>
      <c r="E414" s="6"/>
      <c r="F414" s="6" t="s">
        <v>3859</v>
      </c>
      <c r="G414" s="6">
        <v>1</v>
      </c>
      <c r="H414" s="184">
        <v>254.76</v>
      </c>
      <c r="I414" s="184">
        <f>Table3[[#This Row],[Unit Price]]*Table3[[#This Row],[QTY]]</f>
        <v>254.76</v>
      </c>
      <c r="J414" s="6" t="s">
        <v>3318</v>
      </c>
      <c r="K414" s="6"/>
      <c r="L414" s="6"/>
      <c r="M414" s="7">
        <v>46006</v>
      </c>
      <c r="N414" s="347">
        <v>46056</v>
      </c>
    </row>
    <row r="415" spans="1:18" hidden="1">
      <c r="A415" s="31" t="s">
        <v>3858</v>
      </c>
      <c r="B415" s="7">
        <v>45973</v>
      </c>
      <c r="C415" s="6" t="s">
        <v>3005</v>
      </c>
      <c r="D415" s="6" t="s">
        <v>2784</v>
      </c>
      <c r="E415" s="6"/>
      <c r="F415" s="6" t="s">
        <v>3860</v>
      </c>
      <c r="G415" s="6">
        <v>2</v>
      </c>
      <c r="H415" s="184">
        <v>78.39</v>
      </c>
      <c r="I415" s="184">
        <f>Table3[[#This Row],[Unit Price]]*Table3[[#This Row],[QTY]]</f>
        <v>156.78</v>
      </c>
      <c r="J415" s="6" t="s">
        <v>3318</v>
      </c>
      <c r="K415" s="6"/>
      <c r="L415" s="6"/>
      <c r="M415" s="7">
        <v>46006</v>
      </c>
      <c r="N415" s="347">
        <v>46056</v>
      </c>
    </row>
    <row r="416" spans="1:18" hidden="1">
      <c r="A416" s="31" t="s">
        <v>3861</v>
      </c>
      <c r="B416" s="7">
        <v>45973</v>
      </c>
      <c r="C416" s="6" t="s">
        <v>3287</v>
      </c>
      <c r="D416" s="6" t="s">
        <v>3862</v>
      </c>
      <c r="E416" s="6"/>
      <c r="F416" s="6" t="s">
        <v>3863</v>
      </c>
      <c r="G416" s="6">
        <v>6</v>
      </c>
      <c r="H416" s="184">
        <v>25.17</v>
      </c>
      <c r="I416" s="184">
        <f>Table3[[#This Row],[Unit Price]]*Table3[[#This Row],[QTY]]</f>
        <v>151.02000000000001</v>
      </c>
      <c r="J416" s="6" t="s">
        <v>3654</v>
      </c>
      <c r="K416" s="6"/>
      <c r="L416" s="6"/>
      <c r="M416" s="7">
        <v>45987</v>
      </c>
      <c r="N416" s="172">
        <v>46031</v>
      </c>
    </row>
    <row r="417" spans="1:14" hidden="1">
      <c r="A417" s="31" t="s">
        <v>3864</v>
      </c>
      <c r="B417" s="7">
        <v>45973</v>
      </c>
      <c r="C417" s="6" t="s">
        <v>3287</v>
      </c>
      <c r="D417" s="6" t="s">
        <v>238</v>
      </c>
      <c r="E417" s="6"/>
      <c r="F417" s="6" t="s">
        <v>3077</v>
      </c>
      <c r="G417" s="6">
        <v>2</v>
      </c>
      <c r="H417" s="184">
        <v>271.08999999999997</v>
      </c>
      <c r="I417" s="184">
        <f>Table3[[#This Row],[Unit Price]]*Table3[[#This Row],[QTY]]</f>
        <v>542.17999999999995</v>
      </c>
      <c r="J417" s="6" t="s">
        <v>3318</v>
      </c>
      <c r="K417" s="6"/>
      <c r="L417" s="6"/>
      <c r="M417" s="7">
        <v>46000</v>
      </c>
      <c r="N417" s="347">
        <v>46056</v>
      </c>
    </row>
    <row r="418" spans="1:14" hidden="1">
      <c r="A418" s="31" t="s">
        <v>3864</v>
      </c>
      <c r="B418" s="7">
        <v>45973</v>
      </c>
      <c r="C418" s="6" t="s">
        <v>3287</v>
      </c>
      <c r="D418" s="6" t="s">
        <v>3865</v>
      </c>
      <c r="E418" s="6"/>
      <c r="F418" s="6" t="s">
        <v>3866</v>
      </c>
      <c r="G418" s="6">
        <v>6</v>
      </c>
      <c r="H418" s="184">
        <v>40.83</v>
      </c>
      <c r="I418" s="184">
        <f>Table3[[#This Row],[Unit Price]]*Table3[[#This Row],[QTY]]</f>
        <v>244.98</v>
      </c>
      <c r="J418" s="6" t="s">
        <v>3318</v>
      </c>
      <c r="K418" s="6"/>
      <c r="L418" s="6"/>
      <c r="M418" s="7">
        <v>46006</v>
      </c>
      <c r="N418" s="347">
        <v>46056</v>
      </c>
    </row>
    <row r="419" spans="1:14" hidden="1">
      <c r="A419" s="31" t="s">
        <v>3867</v>
      </c>
      <c r="B419" s="7">
        <v>45974</v>
      </c>
      <c r="C419" s="6" t="s">
        <v>695</v>
      </c>
      <c r="D419" s="6" t="s">
        <v>3868</v>
      </c>
      <c r="E419" s="6"/>
      <c r="F419" s="6" t="s">
        <v>3869</v>
      </c>
      <c r="G419" s="6">
        <v>1</v>
      </c>
      <c r="H419" s="184">
        <v>145.35</v>
      </c>
      <c r="I419" s="184">
        <f>Table3[[#This Row],[Unit Price]]*Table3[[#This Row],[QTY]]</f>
        <v>145.35</v>
      </c>
      <c r="J419" s="6" t="s">
        <v>3318</v>
      </c>
      <c r="K419" s="6"/>
      <c r="L419" s="6"/>
      <c r="M419" s="7">
        <v>46006</v>
      </c>
      <c r="N419" s="347">
        <v>46056</v>
      </c>
    </row>
    <row r="420" spans="1:14" hidden="1">
      <c r="A420" s="31" t="s">
        <v>3870</v>
      </c>
      <c r="B420" s="7">
        <v>45974</v>
      </c>
      <c r="C420" s="6" t="s">
        <v>3839</v>
      </c>
      <c r="D420" s="6" t="s">
        <v>3871</v>
      </c>
      <c r="E420" s="6" t="s">
        <v>854</v>
      </c>
      <c r="F420" s="6" t="s">
        <v>3473</v>
      </c>
      <c r="G420" s="6">
        <v>1</v>
      </c>
      <c r="H420" s="184">
        <v>1208.49</v>
      </c>
      <c r="I420" s="184">
        <f>Table3[[#This Row],[Unit Price]]*Table3[[#This Row],[QTY]]</f>
        <v>1208.49</v>
      </c>
      <c r="J420" s="6" t="s">
        <v>69</v>
      </c>
      <c r="K420" s="6"/>
      <c r="L420" s="6"/>
      <c r="M420" s="7">
        <v>46345</v>
      </c>
      <c r="N420" s="172">
        <v>45985</v>
      </c>
    </row>
    <row r="421" spans="1:14" hidden="1">
      <c r="A421" s="31" t="s">
        <v>3872</v>
      </c>
      <c r="B421" s="7">
        <v>45974</v>
      </c>
      <c r="C421" s="6" t="s">
        <v>982</v>
      </c>
      <c r="D421" s="6" t="s">
        <v>3873</v>
      </c>
      <c r="E421" s="6"/>
      <c r="F421" s="6" t="s">
        <v>3874</v>
      </c>
      <c r="G421" s="6">
        <v>1</v>
      </c>
      <c r="H421" s="184">
        <v>705.42</v>
      </c>
      <c r="I421" s="184">
        <f>Table3[[#This Row],[Unit Price]]*Table3[[#This Row],[QTY]]</f>
        <v>705.42</v>
      </c>
      <c r="J421" s="6" t="s">
        <v>3318</v>
      </c>
      <c r="K421" s="6"/>
      <c r="L421" s="6"/>
      <c r="M421" s="7">
        <v>46006</v>
      </c>
      <c r="N421" s="347">
        <v>46056</v>
      </c>
    </row>
    <row r="422" spans="1:14" hidden="1">
      <c r="A422" s="31" t="s">
        <v>3875</v>
      </c>
      <c r="B422" s="7">
        <v>45975</v>
      </c>
      <c r="C422" s="6" t="s">
        <v>181</v>
      </c>
      <c r="D422" s="6" t="s">
        <v>545</v>
      </c>
      <c r="E422" s="6"/>
      <c r="F422" s="6" t="s">
        <v>3236</v>
      </c>
      <c r="G422" s="6">
        <v>1</v>
      </c>
      <c r="H422" s="184">
        <v>898.2</v>
      </c>
      <c r="I422" s="184">
        <f>Table3[[#This Row],[Unit Price]]*Table3[[#This Row],[QTY]]</f>
        <v>898.2</v>
      </c>
      <c r="J422" s="6" t="s">
        <v>3654</v>
      </c>
      <c r="K422" s="6"/>
      <c r="L422" s="6"/>
      <c r="M422" s="7">
        <v>45987</v>
      </c>
      <c r="N422" s="172">
        <v>46031</v>
      </c>
    </row>
    <row r="423" spans="1:14" hidden="1">
      <c r="A423" s="31" t="s">
        <v>3875</v>
      </c>
      <c r="B423" s="7">
        <v>45975</v>
      </c>
      <c r="C423" s="6" t="s">
        <v>181</v>
      </c>
      <c r="D423" s="6" t="s">
        <v>218</v>
      </c>
      <c r="E423" s="6"/>
      <c r="F423" s="6" t="s">
        <v>3744</v>
      </c>
      <c r="G423" s="6">
        <v>1</v>
      </c>
      <c r="H423" s="184">
        <v>22.54</v>
      </c>
      <c r="I423" s="184">
        <f>Table3[[#This Row],[Unit Price]]*Table3[[#This Row],[QTY]]</f>
        <v>22.54</v>
      </c>
      <c r="J423" s="6" t="s">
        <v>3318</v>
      </c>
      <c r="K423" s="6"/>
      <c r="L423" s="6"/>
      <c r="M423" s="7">
        <v>46015</v>
      </c>
      <c r="N423" s="347">
        <v>46056</v>
      </c>
    </row>
    <row r="424" spans="1:14" hidden="1">
      <c r="A424" s="31" t="s">
        <v>3875</v>
      </c>
      <c r="B424" s="7">
        <v>45975</v>
      </c>
      <c r="C424" s="6" t="s">
        <v>181</v>
      </c>
      <c r="D424" s="6" t="s">
        <v>1150</v>
      </c>
      <c r="E424" s="6"/>
      <c r="F424" s="6" t="s">
        <v>3686</v>
      </c>
      <c r="G424" s="6">
        <v>1</v>
      </c>
      <c r="H424" s="184">
        <v>639.37</v>
      </c>
      <c r="I424" s="184">
        <f>Table3[[#This Row],[Unit Price]]*Table3[[#This Row],[QTY]]</f>
        <v>639.37</v>
      </c>
      <c r="J424" s="6" t="s">
        <v>3318</v>
      </c>
      <c r="K424" s="6"/>
      <c r="L424" s="6"/>
      <c r="M424" s="7">
        <v>46014</v>
      </c>
      <c r="N424" s="347">
        <v>46056</v>
      </c>
    </row>
    <row r="425" spans="1:14" hidden="1">
      <c r="A425" s="31" t="s">
        <v>3875</v>
      </c>
      <c r="B425" s="7">
        <v>45975</v>
      </c>
      <c r="C425" s="6" t="s">
        <v>181</v>
      </c>
      <c r="D425" s="6" t="s">
        <v>3513</v>
      </c>
      <c r="E425" s="6"/>
      <c r="F425" s="6" t="s">
        <v>3514</v>
      </c>
      <c r="G425" s="6">
        <v>1</v>
      </c>
      <c r="H425" s="184">
        <v>108.9</v>
      </c>
      <c r="I425" s="184">
        <f>Table3[[#This Row],[Unit Price]]*Table3[[#This Row],[QTY]]</f>
        <v>108.9</v>
      </c>
      <c r="J425" s="6" t="s">
        <v>3318</v>
      </c>
      <c r="K425" s="6"/>
      <c r="L425" s="6"/>
      <c r="M425" s="7">
        <v>46014</v>
      </c>
      <c r="N425" s="347">
        <v>46056</v>
      </c>
    </row>
    <row r="426" spans="1:14" hidden="1">
      <c r="A426" s="31" t="s">
        <v>3875</v>
      </c>
      <c r="B426" s="7">
        <v>45975</v>
      </c>
      <c r="C426" s="6" t="s">
        <v>181</v>
      </c>
      <c r="D426" s="6" t="s">
        <v>1189</v>
      </c>
      <c r="E426" s="6"/>
      <c r="F426" s="6" t="s">
        <v>3876</v>
      </c>
      <c r="G426" s="6">
        <v>1</v>
      </c>
      <c r="H426" s="184">
        <v>16.329999999999998</v>
      </c>
      <c r="I426" s="184">
        <f>Table3[[#This Row],[Unit Price]]*Table3[[#This Row],[QTY]]</f>
        <v>16.329999999999998</v>
      </c>
      <c r="J426" s="6" t="s">
        <v>3654</v>
      </c>
      <c r="K426" s="6"/>
      <c r="L426" s="6"/>
      <c r="M426" s="7">
        <v>45987</v>
      </c>
      <c r="N426" s="172">
        <v>46031</v>
      </c>
    </row>
    <row r="427" spans="1:14" hidden="1">
      <c r="A427" s="31" t="s">
        <v>3875</v>
      </c>
      <c r="B427" s="7">
        <v>45975</v>
      </c>
      <c r="C427" s="6" t="s">
        <v>181</v>
      </c>
      <c r="D427" s="6" t="s">
        <v>3877</v>
      </c>
      <c r="E427" s="6"/>
      <c r="F427" s="6" t="s">
        <v>3878</v>
      </c>
      <c r="G427" s="6">
        <v>1</v>
      </c>
      <c r="H427" s="184">
        <v>6.94</v>
      </c>
      <c r="I427" s="184">
        <f>Table3[[#This Row],[Unit Price]]*Table3[[#This Row],[QTY]]</f>
        <v>6.94</v>
      </c>
      <c r="J427" s="6" t="s">
        <v>3318</v>
      </c>
      <c r="K427" s="6"/>
      <c r="L427" s="6"/>
      <c r="M427" s="7">
        <v>46000</v>
      </c>
      <c r="N427" s="347">
        <v>46056</v>
      </c>
    </row>
    <row r="428" spans="1:14" hidden="1">
      <c r="A428" s="31" t="s">
        <v>3875</v>
      </c>
      <c r="B428" s="7">
        <v>45975</v>
      </c>
      <c r="C428" s="6" t="s">
        <v>181</v>
      </c>
      <c r="D428" s="6" t="s">
        <v>1814</v>
      </c>
      <c r="E428" s="6"/>
      <c r="F428" s="6" t="s">
        <v>3879</v>
      </c>
      <c r="G428" s="6">
        <v>1</v>
      </c>
      <c r="H428" s="184">
        <v>1</v>
      </c>
      <c r="I428" s="184">
        <f>Table3[[#This Row],[Unit Price]]*Table3[[#This Row],[QTY]]</f>
        <v>1</v>
      </c>
      <c r="J428" s="6" t="s">
        <v>3654</v>
      </c>
      <c r="K428" s="6"/>
      <c r="L428" s="6"/>
      <c r="M428" s="7">
        <v>45987</v>
      </c>
      <c r="N428" s="172">
        <v>46031</v>
      </c>
    </row>
    <row r="429" spans="1:14" hidden="1">
      <c r="A429" s="31" t="s">
        <v>3875</v>
      </c>
      <c r="B429" s="7">
        <v>45975</v>
      </c>
      <c r="C429" s="6" t="s">
        <v>181</v>
      </c>
      <c r="D429" s="6" t="s">
        <v>3880</v>
      </c>
      <c r="E429" s="6"/>
      <c r="F429" s="6" t="s">
        <v>3881</v>
      </c>
      <c r="G429" s="6">
        <v>1</v>
      </c>
      <c r="H429" s="184">
        <v>4.9000000000000004</v>
      </c>
      <c r="I429" s="184">
        <f>Table3[[#This Row],[Unit Price]]*Table3[[#This Row],[QTY]]</f>
        <v>4.9000000000000004</v>
      </c>
      <c r="J429" s="6" t="s">
        <v>3654</v>
      </c>
      <c r="K429" s="6"/>
      <c r="L429" s="6"/>
      <c r="M429" s="7">
        <v>45987</v>
      </c>
      <c r="N429" s="172">
        <v>46031</v>
      </c>
    </row>
    <row r="430" spans="1:14" hidden="1">
      <c r="A430" s="31" t="s">
        <v>3882</v>
      </c>
      <c r="B430" s="7">
        <v>45975</v>
      </c>
      <c r="C430" s="6" t="s">
        <v>3813</v>
      </c>
      <c r="D430" s="6" t="s">
        <v>3883</v>
      </c>
      <c r="E430" s="6"/>
      <c r="F430" s="6" t="s">
        <v>3884</v>
      </c>
      <c r="G430" s="6">
        <v>4</v>
      </c>
      <c r="H430" s="184">
        <v>6.63</v>
      </c>
      <c r="I430" s="184">
        <f>Table3[[#This Row],[Unit Price]]*Table3[[#This Row],[QTY]]</f>
        <v>26.52</v>
      </c>
      <c r="J430" s="6" t="s">
        <v>3318</v>
      </c>
      <c r="K430" s="6"/>
      <c r="L430" s="6"/>
      <c r="M430" s="7">
        <v>46000</v>
      </c>
      <c r="N430" s="347">
        <v>46056</v>
      </c>
    </row>
    <row r="431" spans="1:14" hidden="1">
      <c r="A431" s="31" t="s">
        <v>3882</v>
      </c>
      <c r="B431" s="7">
        <v>45975</v>
      </c>
      <c r="C431" s="6" t="s">
        <v>3813</v>
      </c>
      <c r="D431" s="6" t="s">
        <v>1890</v>
      </c>
      <c r="E431" s="6"/>
      <c r="F431" s="6" t="s">
        <v>3885</v>
      </c>
      <c r="G431" s="6">
        <v>1</v>
      </c>
      <c r="H431" s="184">
        <v>1272.6400000000001</v>
      </c>
      <c r="I431" s="184">
        <f>Table3[[#This Row],[Unit Price]]*Table3[[#This Row],[QTY]]</f>
        <v>1272.6400000000001</v>
      </c>
      <c r="J431" s="6" t="s">
        <v>3673</v>
      </c>
      <c r="K431" s="6"/>
      <c r="L431" s="6"/>
      <c r="M431" s="7">
        <v>46006</v>
      </c>
      <c r="N431" s="174">
        <v>46071</v>
      </c>
    </row>
    <row r="432" spans="1:14" hidden="1">
      <c r="A432" s="31" t="s">
        <v>3882</v>
      </c>
      <c r="B432" s="7">
        <v>45975</v>
      </c>
      <c r="C432" s="6" t="s">
        <v>3813</v>
      </c>
      <c r="D432" s="6" t="s">
        <v>3886</v>
      </c>
      <c r="E432" s="6"/>
      <c r="F432" s="6" t="s">
        <v>3887</v>
      </c>
      <c r="G432" s="6">
        <v>2</v>
      </c>
      <c r="H432" s="184">
        <v>15.55</v>
      </c>
      <c r="I432" s="184">
        <f>Table3[[#This Row],[Unit Price]]*Table3[[#This Row],[QTY]]</f>
        <v>31.1</v>
      </c>
      <c r="J432" s="6" t="s">
        <v>3318</v>
      </c>
      <c r="K432" s="6"/>
      <c r="L432" s="6"/>
      <c r="M432" s="7">
        <v>46006</v>
      </c>
      <c r="N432" s="347">
        <v>46056</v>
      </c>
    </row>
    <row r="433" spans="1:14" hidden="1">
      <c r="A433" s="31" t="s">
        <v>3888</v>
      </c>
      <c r="B433" s="7">
        <v>45979</v>
      </c>
      <c r="C433" s="6" t="s">
        <v>3287</v>
      </c>
      <c r="D433" s="6" t="s">
        <v>3598</v>
      </c>
      <c r="E433" s="6" t="s">
        <v>1890</v>
      </c>
      <c r="F433" s="6" t="s">
        <v>3885</v>
      </c>
      <c r="G433" s="6">
        <v>2</v>
      </c>
      <c r="H433" s="184">
        <v>1272.6400000000001</v>
      </c>
      <c r="I433" s="184">
        <f>Table3[[#This Row],[Unit Price]]*Table3[[#This Row],[QTY]]</f>
        <v>2545.2800000000002</v>
      </c>
      <c r="J433" s="6" t="s">
        <v>3654</v>
      </c>
      <c r="K433" s="6"/>
      <c r="L433" s="6"/>
      <c r="M433" s="7">
        <v>45981</v>
      </c>
      <c r="N433" s="172">
        <v>46031</v>
      </c>
    </row>
    <row r="434" spans="1:14" hidden="1">
      <c r="A434" s="31" t="s">
        <v>3889</v>
      </c>
      <c r="B434" s="7">
        <v>45980</v>
      </c>
      <c r="C434" s="6" t="s">
        <v>3177</v>
      </c>
      <c r="D434" s="6" t="s">
        <v>3890</v>
      </c>
      <c r="E434" s="6"/>
      <c r="F434" s="6" t="s">
        <v>3891</v>
      </c>
      <c r="G434" s="6">
        <v>1</v>
      </c>
      <c r="H434" s="184">
        <v>310.62</v>
      </c>
      <c r="I434" s="184">
        <f>Table3[[#This Row],[Unit Price]]*Table3[[#This Row],[QTY]]</f>
        <v>310.62</v>
      </c>
      <c r="J434" s="6" t="s">
        <v>3654</v>
      </c>
      <c r="K434" s="6"/>
      <c r="L434" s="6"/>
      <c r="M434" s="7">
        <v>45987</v>
      </c>
      <c r="N434" s="172">
        <v>46031</v>
      </c>
    </row>
    <row r="435" spans="1:14" hidden="1">
      <c r="A435" s="31" t="s">
        <v>3892</v>
      </c>
      <c r="B435" s="7">
        <v>45980</v>
      </c>
      <c r="C435" s="6" t="s">
        <v>3177</v>
      </c>
      <c r="D435" s="6" t="s">
        <v>836</v>
      </c>
      <c r="E435" s="6"/>
      <c r="F435" s="6" t="s">
        <v>837</v>
      </c>
      <c r="G435" s="6">
        <v>4</v>
      </c>
      <c r="H435" s="184">
        <v>106.15</v>
      </c>
      <c r="I435" s="184">
        <f>Table3[[#This Row],[Unit Price]]*Table3[[#This Row],[QTY]]</f>
        <v>424.6</v>
      </c>
      <c r="J435" s="6" t="s">
        <v>3654</v>
      </c>
      <c r="K435" s="6"/>
      <c r="L435" s="6"/>
      <c r="M435" s="7">
        <v>45987</v>
      </c>
      <c r="N435" s="172">
        <v>46031</v>
      </c>
    </row>
    <row r="436" spans="1:14" hidden="1">
      <c r="A436" s="31" t="s">
        <v>3892</v>
      </c>
      <c r="B436" s="7">
        <v>45980</v>
      </c>
      <c r="C436" s="6" t="s">
        <v>3177</v>
      </c>
      <c r="D436" s="6" t="s">
        <v>3893</v>
      </c>
      <c r="E436" s="6"/>
      <c r="F436" s="6" t="s">
        <v>3894</v>
      </c>
      <c r="G436" s="6">
        <v>1</v>
      </c>
      <c r="H436" s="184">
        <v>1339.14</v>
      </c>
      <c r="I436" s="184">
        <f>Table3[[#This Row],[Unit Price]]*Table3[[#This Row],[QTY]]</f>
        <v>1339.14</v>
      </c>
      <c r="J436" s="6" t="s">
        <v>3654</v>
      </c>
      <c r="K436" s="6"/>
      <c r="L436" s="6"/>
      <c r="M436" s="7">
        <v>45987</v>
      </c>
      <c r="N436" s="172">
        <v>46031</v>
      </c>
    </row>
    <row r="437" spans="1:14" hidden="1">
      <c r="A437" s="31" t="s">
        <v>3895</v>
      </c>
      <c r="B437" s="7">
        <v>45986</v>
      </c>
      <c r="C437" s="6" t="s">
        <v>3642</v>
      </c>
      <c r="D437" s="6" t="s">
        <v>3335</v>
      </c>
      <c r="E437" s="6" t="s">
        <v>335</v>
      </c>
      <c r="F437" s="6" t="s">
        <v>2569</v>
      </c>
      <c r="G437" s="6">
        <v>1</v>
      </c>
      <c r="H437" s="184">
        <v>79.989999999999995</v>
      </c>
      <c r="I437" s="184">
        <f>Table3[[#This Row],[Unit Price]]*Table3[[#This Row],[QTY]]</f>
        <v>79.989999999999995</v>
      </c>
      <c r="J437" s="6" t="s">
        <v>3318</v>
      </c>
      <c r="K437" s="6"/>
      <c r="L437" s="6"/>
      <c r="M437" s="7">
        <v>46000</v>
      </c>
      <c r="N437" s="347">
        <v>46056</v>
      </c>
    </row>
    <row r="438" spans="1:14" hidden="1">
      <c r="A438" s="31" t="s">
        <v>3896</v>
      </c>
      <c r="B438" s="7">
        <v>45986</v>
      </c>
      <c r="C438" s="6" t="s">
        <v>3287</v>
      </c>
      <c r="D438" s="6" t="s">
        <v>3897</v>
      </c>
      <c r="E438" s="6"/>
      <c r="F438" s="6" t="s">
        <v>3898</v>
      </c>
      <c r="G438" s="6">
        <v>3</v>
      </c>
      <c r="H438" s="184">
        <v>189.6</v>
      </c>
      <c r="I438" s="184">
        <f>Table3[[#This Row],[Unit Price]]*Table3[[#This Row],[QTY]]</f>
        <v>568.79999999999995</v>
      </c>
      <c r="J438" s="6" t="s">
        <v>3318</v>
      </c>
      <c r="K438" s="6"/>
      <c r="L438" s="6"/>
      <c r="M438" s="7">
        <v>46000</v>
      </c>
      <c r="N438" s="347">
        <v>46056</v>
      </c>
    </row>
    <row r="439" spans="1:14" hidden="1">
      <c r="A439" s="31" t="s">
        <v>3899</v>
      </c>
      <c r="B439" s="7">
        <v>45986</v>
      </c>
      <c r="C439" s="6" t="s">
        <v>3287</v>
      </c>
      <c r="D439" s="6" t="s">
        <v>100</v>
      </c>
      <c r="E439" s="6" t="s">
        <v>98</v>
      </c>
      <c r="F439" s="6" t="s">
        <v>3900</v>
      </c>
      <c r="G439" s="6">
        <v>4</v>
      </c>
      <c r="H439" s="184">
        <v>255.99</v>
      </c>
      <c r="I439" s="184">
        <f>Table3[[#This Row],[Unit Price]]*Table3[[#This Row],[QTY]]</f>
        <v>1023.96</v>
      </c>
      <c r="J439" s="6" t="s">
        <v>3318</v>
      </c>
      <c r="K439" s="6"/>
      <c r="L439" s="6"/>
      <c r="M439" s="7">
        <v>46000</v>
      </c>
      <c r="N439" s="347">
        <v>46056</v>
      </c>
    </row>
    <row r="440" spans="1:14" hidden="1">
      <c r="A440" s="31" t="s">
        <v>3899</v>
      </c>
      <c r="B440" s="7">
        <v>45986</v>
      </c>
      <c r="C440" s="6" t="s">
        <v>3287</v>
      </c>
      <c r="D440" s="6" t="s">
        <v>2621</v>
      </c>
      <c r="E440" s="6" t="s">
        <v>2623</v>
      </c>
      <c r="F440" s="6" t="s">
        <v>3901</v>
      </c>
      <c r="G440" s="6">
        <v>3</v>
      </c>
      <c r="H440" s="184">
        <v>207.4</v>
      </c>
      <c r="I440" s="184">
        <f>Table3[[#This Row],[Unit Price]]*Table3[[#This Row],[QTY]]</f>
        <v>622.20000000000005</v>
      </c>
      <c r="J440" s="6" t="s">
        <v>3318</v>
      </c>
      <c r="K440" s="6"/>
      <c r="L440" s="6"/>
      <c r="M440" s="7">
        <v>46000</v>
      </c>
      <c r="N440" s="347">
        <v>46056</v>
      </c>
    </row>
    <row r="441" spans="1:14" hidden="1">
      <c r="A441" s="31" t="s">
        <v>3899</v>
      </c>
      <c r="B441" s="7">
        <v>45986</v>
      </c>
      <c r="C441" s="6" t="s">
        <v>3287</v>
      </c>
      <c r="D441" s="6" t="s">
        <v>875</v>
      </c>
      <c r="E441" s="6" t="s">
        <v>877</v>
      </c>
      <c r="F441" s="6" t="s">
        <v>3588</v>
      </c>
      <c r="G441" s="6">
        <v>6</v>
      </c>
      <c r="H441" s="184">
        <v>262.11</v>
      </c>
      <c r="I441" s="184">
        <f>Table3[[#This Row],[Unit Price]]*Table3[[#This Row],[QTY]]</f>
        <v>1572.66</v>
      </c>
      <c r="J441" s="6" t="s">
        <v>3318</v>
      </c>
      <c r="K441" s="6"/>
      <c r="L441" s="6"/>
      <c r="M441" s="7">
        <v>46000</v>
      </c>
      <c r="N441" s="347">
        <v>46056</v>
      </c>
    </row>
    <row r="442" spans="1:14" hidden="1">
      <c r="A442" s="31" t="s">
        <v>3902</v>
      </c>
      <c r="B442" s="7">
        <v>45987</v>
      </c>
      <c r="C442" s="6" t="s">
        <v>3257</v>
      </c>
      <c r="D442" s="6" t="s">
        <v>3903</v>
      </c>
      <c r="E442" s="6"/>
      <c r="F442" s="6" t="s">
        <v>3904</v>
      </c>
      <c r="G442" s="6">
        <v>1</v>
      </c>
      <c r="H442" s="184">
        <v>145.02000000000001</v>
      </c>
      <c r="I442" s="184">
        <f>Table3[[#This Row],[Unit Price]]*Table3[[#This Row],[QTY]]</f>
        <v>145.02000000000001</v>
      </c>
      <c r="J442" s="6" t="s">
        <v>3318</v>
      </c>
      <c r="K442" s="6"/>
      <c r="L442" s="6"/>
      <c r="M442" s="7">
        <v>46000</v>
      </c>
      <c r="N442" s="347">
        <v>46056</v>
      </c>
    </row>
    <row r="443" spans="1:14" hidden="1">
      <c r="A443" s="31" t="s">
        <v>3905</v>
      </c>
      <c r="B443" s="7">
        <v>45987</v>
      </c>
      <c r="C443" s="6" t="s">
        <v>3287</v>
      </c>
      <c r="D443" s="6" t="s">
        <v>2427</v>
      </c>
      <c r="E443" s="6"/>
      <c r="F443" s="6" t="s">
        <v>3403</v>
      </c>
      <c r="G443" s="6">
        <v>1</v>
      </c>
      <c r="H443" s="184">
        <v>77.010000000000005</v>
      </c>
      <c r="I443" s="184">
        <f>Table3[[#This Row],[Unit Price]]*Table3[[#This Row],[QTY]]</f>
        <v>77.010000000000005</v>
      </c>
      <c r="J443" s="6" t="s">
        <v>3318</v>
      </c>
      <c r="K443" s="6"/>
      <c r="L443" s="6"/>
      <c r="M443" s="7">
        <v>46000</v>
      </c>
      <c r="N443" s="347">
        <v>46056</v>
      </c>
    </row>
    <row r="444" spans="1:14" hidden="1">
      <c r="A444" s="31" t="s">
        <v>3905</v>
      </c>
      <c r="B444" s="7">
        <v>45987</v>
      </c>
      <c r="C444" s="6" t="s">
        <v>3287</v>
      </c>
      <c r="D444" s="6" t="s">
        <v>974</v>
      </c>
      <c r="E444" s="6" t="s">
        <v>3906</v>
      </c>
      <c r="F444" s="6" t="s">
        <v>3697</v>
      </c>
      <c r="G444" s="6">
        <v>1</v>
      </c>
      <c r="H444" s="184">
        <v>195.97</v>
      </c>
      <c r="I444" s="184">
        <f>Table3[[#This Row],[Unit Price]]*Table3[[#This Row],[QTY]]</f>
        <v>195.97</v>
      </c>
      <c r="J444" s="6" t="s">
        <v>3318</v>
      </c>
      <c r="K444" s="6"/>
      <c r="L444" s="6"/>
      <c r="M444" s="7">
        <v>46014</v>
      </c>
      <c r="N444" s="347">
        <v>46056</v>
      </c>
    </row>
    <row r="445" spans="1:14" hidden="1">
      <c r="A445" s="31" t="s">
        <v>3907</v>
      </c>
      <c r="B445" s="7">
        <v>45987</v>
      </c>
      <c r="C445" s="6" t="s">
        <v>982</v>
      </c>
      <c r="D445" s="6" t="s">
        <v>3908</v>
      </c>
      <c r="E445" s="6"/>
      <c r="F445" s="6" t="s">
        <v>3909</v>
      </c>
      <c r="G445" s="6">
        <v>1</v>
      </c>
      <c r="H445" s="184">
        <v>2.87</v>
      </c>
      <c r="I445" s="184">
        <f>Table3[[#This Row],[Unit Price]]*Table3[[#This Row],[QTY]]</f>
        <v>2.87</v>
      </c>
      <c r="J445" s="6" t="s">
        <v>3318</v>
      </c>
      <c r="K445" s="6"/>
      <c r="L445" s="6"/>
      <c r="M445" s="7">
        <v>46000</v>
      </c>
      <c r="N445" s="347">
        <v>46056</v>
      </c>
    </row>
    <row r="446" spans="1:14" hidden="1">
      <c r="A446" s="31" t="s">
        <v>3910</v>
      </c>
      <c r="B446" s="7">
        <v>45989</v>
      </c>
      <c r="C446" s="6" t="s">
        <v>3911</v>
      </c>
      <c r="D446" s="6" t="s">
        <v>3580</v>
      </c>
      <c r="E446" s="6"/>
      <c r="F446" s="6" t="s">
        <v>3581</v>
      </c>
      <c r="G446" s="6">
        <v>3</v>
      </c>
      <c r="H446" s="184">
        <v>8.16</v>
      </c>
      <c r="I446" s="184">
        <f>Table3[[#This Row],[Unit Price]]*Table3[[#This Row],[QTY]]</f>
        <v>24.48</v>
      </c>
      <c r="J446" s="6" t="s">
        <v>3318</v>
      </c>
      <c r="K446" s="6"/>
      <c r="L446" s="6"/>
      <c r="M446" s="7">
        <v>46030</v>
      </c>
      <c r="N446" s="347">
        <v>46056</v>
      </c>
    </row>
    <row r="447" spans="1:14" hidden="1">
      <c r="A447" s="31" t="s">
        <v>3910</v>
      </c>
      <c r="B447" s="7">
        <v>45989</v>
      </c>
      <c r="C447" s="6" t="s">
        <v>3911</v>
      </c>
      <c r="D447" s="6" t="s">
        <v>3912</v>
      </c>
      <c r="E447" s="6"/>
      <c r="F447" s="6" t="s">
        <v>3913</v>
      </c>
      <c r="G447" s="6">
        <v>1</v>
      </c>
      <c r="H447" s="184">
        <v>9.5500000000000007</v>
      </c>
      <c r="I447" s="184">
        <f>Table3[[#This Row],[Unit Price]]*Table3[[#This Row],[QTY]]</f>
        <v>9.5500000000000007</v>
      </c>
      <c r="J447" s="6" t="s">
        <v>3318</v>
      </c>
      <c r="K447" s="6"/>
      <c r="L447" s="6"/>
      <c r="M447" s="7">
        <v>46030</v>
      </c>
      <c r="N447" s="347">
        <v>46056</v>
      </c>
    </row>
    <row r="448" spans="1:14" hidden="1">
      <c r="A448" s="31" t="s">
        <v>3910</v>
      </c>
      <c r="B448" s="7">
        <v>45989</v>
      </c>
      <c r="C448" s="6" t="s">
        <v>3911</v>
      </c>
      <c r="D448" s="6" t="s">
        <v>3015</v>
      </c>
      <c r="E448" s="6"/>
      <c r="F448" s="6" t="s">
        <v>3016</v>
      </c>
      <c r="G448" s="6">
        <v>2</v>
      </c>
      <c r="H448" s="184">
        <v>16.559999999999999</v>
      </c>
      <c r="I448" s="184">
        <f>Table3[[#This Row],[Unit Price]]*Table3[[#This Row],[QTY]]</f>
        <v>33.119999999999997</v>
      </c>
      <c r="J448" s="6" t="s">
        <v>3318</v>
      </c>
      <c r="K448" s="6"/>
      <c r="L448" s="6"/>
      <c r="M448" s="7">
        <v>46030</v>
      </c>
      <c r="N448" s="347">
        <v>46056</v>
      </c>
    </row>
    <row r="449" spans="1:18" hidden="1">
      <c r="A449" s="31" t="s">
        <v>3910</v>
      </c>
      <c r="B449" s="7">
        <v>45989</v>
      </c>
      <c r="C449" s="6" t="s">
        <v>3911</v>
      </c>
      <c r="D449" s="6" t="s">
        <v>3914</v>
      </c>
      <c r="E449" s="6"/>
      <c r="F449" s="6" t="s">
        <v>3915</v>
      </c>
      <c r="G449" s="6">
        <v>1</v>
      </c>
      <c r="H449" s="184">
        <v>12.25</v>
      </c>
      <c r="I449" s="184">
        <f>Table3[[#This Row],[Unit Price]]*Table3[[#This Row],[QTY]]</f>
        <v>12.25</v>
      </c>
      <c r="J449" s="6" t="s">
        <v>3318</v>
      </c>
      <c r="K449" s="6"/>
      <c r="L449" s="6"/>
      <c r="M449" s="7">
        <v>46030</v>
      </c>
      <c r="N449" s="347">
        <v>46056</v>
      </c>
    </row>
    <row r="450" spans="1:18" hidden="1">
      <c r="A450" s="31" t="s">
        <v>3910</v>
      </c>
      <c r="B450" s="7">
        <v>45989</v>
      </c>
      <c r="C450" s="6" t="s">
        <v>3911</v>
      </c>
      <c r="D450" s="6" t="s">
        <v>3916</v>
      </c>
      <c r="E450" s="6" t="s">
        <v>369</v>
      </c>
      <c r="F450" s="6" t="s">
        <v>3448</v>
      </c>
      <c r="G450" s="6">
        <v>1</v>
      </c>
      <c r="H450" s="184">
        <v>98.36</v>
      </c>
      <c r="I450" s="184">
        <f>Table3[[#This Row],[Unit Price]]*Table3[[#This Row],[QTY]]</f>
        <v>98.36</v>
      </c>
      <c r="J450" s="6" t="s">
        <v>3318</v>
      </c>
      <c r="K450" s="6"/>
      <c r="L450" s="6"/>
      <c r="M450" s="7">
        <v>46030</v>
      </c>
      <c r="N450" s="347">
        <v>46056</v>
      </c>
    </row>
    <row r="451" spans="1:18" hidden="1">
      <c r="A451" s="31" t="s">
        <v>3910</v>
      </c>
      <c r="B451" s="7">
        <v>45989</v>
      </c>
      <c r="C451" s="6" t="s">
        <v>3911</v>
      </c>
      <c r="D451" s="6" t="s">
        <v>238</v>
      </c>
      <c r="E451" s="6"/>
      <c r="F451" s="6" t="s">
        <v>3077</v>
      </c>
      <c r="G451" s="6">
        <v>1</v>
      </c>
      <c r="H451" s="184">
        <v>271.08999999999997</v>
      </c>
      <c r="I451" s="184">
        <f>Table3[[#This Row],[Unit Price]]*Table3[[#This Row],[QTY]]</f>
        <v>271.08999999999997</v>
      </c>
      <c r="J451" s="6" t="s">
        <v>3318</v>
      </c>
      <c r="K451" s="6"/>
      <c r="L451" s="6"/>
      <c r="M451" s="7">
        <v>46030</v>
      </c>
      <c r="N451" s="347">
        <v>46056</v>
      </c>
    </row>
    <row r="452" spans="1:18" hidden="1">
      <c r="A452" s="31" t="s">
        <v>3910</v>
      </c>
      <c r="B452" s="7">
        <v>45989</v>
      </c>
      <c r="C452" s="6" t="s">
        <v>3911</v>
      </c>
      <c r="D452" s="6" t="s">
        <v>3917</v>
      </c>
      <c r="E452" s="6"/>
      <c r="F452" s="6" t="s">
        <v>3918</v>
      </c>
      <c r="G452" s="6">
        <v>1</v>
      </c>
      <c r="H452" s="184">
        <v>520.14</v>
      </c>
      <c r="I452" s="184">
        <f>Table3[[#This Row],[Unit Price]]*Table3[[#This Row],[QTY]]</f>
        <v>520.14</v>
      </c>
      <c r="J452" s="6" t="s">
        <v>3673</v>
      </c>
      <c r="K452" s="6"/>
      <c r="L452" s="6"/>
      <c r="M452" s="7">
        <v>46035</v>
      </c>
      <c r="N452" s="174">
        <v>46071</v>
      </c>
    </row>
    <row r="453" spans="1:18" hidden="1">
      <c r="A453" s="31" t="s">
        <v>3919</v>
      </c>
      <c r="B453" s="7">
        <v>45989</v>
      </c>
      <c r="C453" s="6" t="s">
        <v>3287</v>
      </c>
      <c r="D453" s="6" t="s">
        <v>2626</v>
      </c>
      <c r="E453" s="6"/>
      <c r="F453" s="6" t="s">
        <v>3920</v>
      </c>
      <c r="G453" s="6">
        <v>1</v>
      </c>
      <c r="H453" s="184">
        <v>54.06</v>
      </c>
      <c r="I453" s="184">
        <f>Table3[[#This Row],[Unit Price]]*Table3[[#This Row],[QTY]]</f>
        <v>54.06</v>
      </c>
      <c r="J453" s="6" t="s">
        <v>3318</v>
      </c>
      <c r="K453" s="6"/>
      <c r="L453" s="6"/>
      <c r="M453" s="7">
        <v>46030</v>
      </c>
      <c r="N453" s="347">
        <v>46056</v>
      </c>
    </row>
    <row r="454" spans="1:18" hidden="1">
      <c r="A454" s="31" t="s">
        <v>3921</v>
      </c>
      <c r="B454" s="7">
        <v>45992</v>
      </c>
      <c r="C454" s="6" t="s">
        <v>3378</v>
      </c>
      <c r="D454" s="6" t="s">
        <v>3922</v>
      </c>
      <c r="E454" s="6"/>
      <c r="F454" s="6" t="s">
        <v>3923</v>
      </c>
      <c r="G454" s="6">
        <v>1</v>
      </c>
      <c r="H454" s="184">
        <v>65.290000000000006</v>
      </c>
      <c r="I454" s="184">
        <f>Table3[[#This Row],[Unit Price]]*Table3[[#This Row],[QTY]]</f>
        <v>65.290000000000006</v>
      </c>
      <c r="J454" s="6" t="s">
        <v>3318</v>
      </c>
      <c r="K454" s="6"/>
      <c r="L454" s="6"/>
      <c r="M454" s="7">
        <v>46030</v>
      </c>
      <c r="N454" s="347">
        <v>46056</v>
      </c>
    </row>
    <row r="455" spans="1:18" hidden="1">
      <c r="A455" s="31" t="s">
        <v>3924</v>
      </c>
      <c r="B455" s="7">
        <v>45992</v>
      </c>
      <c r="C455" s="6" t="s">
        <v>3184</v>
      </c>
      <c r="D455" s="6" t="s">
        <v>3090</v>
      </c>
      <c r="E455" s="6"/>
      <c r="F455" s="6" t="s">
        <v>3091</v>
      </c>
      <c r="G455" s="6">
        <v>1</v>
      </c>
      <c r="H455" s="184">
        <v>89.16</v>
      </c>
      <c r="I455" s="184">
        <f>Table3[[#This Row],[Unit Price]]*Table3[[#This Row],[QTY]]</f>
        <v>89.16</v>
      </c>
      <c r="J455" s="6" t="s">
        <v>3318</v>
      </c>
      <c r="K455" s="6"/>
      <c r="L455" s="6"/>
      <c r="M455" s="7">
        <v>46030</v>
      </c>
      <c r="N455" s="347">
        <v>46056</v>
      </c>
    </row>
    <row r="456" spans="1:18" hidden="1">
      <c r="A456" s="31" t="s">
        <v>3925</v>
      </c>
      <c r="B456" s="7">
        <v>45996</v>
      </c>
      <c r="C456" s="6" t="s">
        <v>3926</v>
      </c>
      <c r="D456" s="6" t="s">
        <v>3927</v>
      </c>
      <c r="E456" s="6"/>
      <c r="F456" s="6" t="s">
        <v>3928</v>
      </c>
      <c r="G456" s="6">
        <v>1</v>
      </c>
      <c r="H456" s="184">
        <v>1661.69</v>
      </c>
      <c r="I456" s="184">
        <f>Table3[[#This Row],[Unit Price]]*Table3[[#This Row],[QTY]]</f>
        <v>1661.69</v>
      </c>
      <c r="J456" s="6" t="s">
        <v>3318</v>
      </c>
      <c r="K456" s="6"/>
      <c r="L456" s="6"/>
      <c r="M456" s="7">
        <v>46014</v>
      </c>
      <c r="N456" s="347">
        <v>46056</v>
      </c>
    </row>
    <row r="457" spans="1:18" s="348" customFormat="1" hidden="1">
      <c r="A457" s="308" t="s">
        <v>3929</v>
      </c>
      <c r="B457" s="349">
        <v>45992</v>
      </c>
      <c r="C457" s="350" t="s">
        <v>3761</v>
      </c>
      <c r="D457" s="350" t="s">
        <v>3070</v>
      </c>
      <c r="E457" s="350"/>
      <c r="F457" s="350" t="s">
        <v>3071</v>
      </c>
      <c r="G457" s="350">
        <v>1</v>
      </c>
      <c r="H457" s="351">
        <v>29.82</v>
      </c>
      <c r="I457" s="351">
        <f>Table3[[#This Row],[Unit Price]]*Table3[[#This Row],[QTY]]</f>
        <v>29.82</v>
      </c>
      <c r="J457" s="350" t="s">
        <v>3318</v>
      </c>
      <c r="K457" s="350"/>
      <c r="L457" s="350"/>
      <c r="M457" s="349">
        <v>46030</v>
      </c>
      <c r="N457" s="352">
        <v>46056</v>
      </c>
      <c r="O457" s="353">
        <v>110806</v>
      </c>
      <c r="P457" s="353">
        <v>78665</v>
      </c>
      <c r="Q457" s="354">
        <v>46064</v>
      </c>
      <c r="R457" s="348" t="s">
        <v>2990</v>
      </c>
    </row>
    <row r="458" spans="1:18" s="348" customFormat="1" hidden="1">
      <c r="A458" s="308" t="s">
        <v>3929</v>
      </c>
      <c r="B458" s="349">
        <v>45992</v>
      </c>
      <c r="C458" s="350" t="s">
        <v>3761</v>
      </c>
      <c r="D458" s="350" t="s">
        <v>3930</v>
      </c>
      <c r="E458" s="350"/>
      <c r="F458" s="350" t="s">
        <v>3931</v>
      </c>
      <c r="G458" s="350">
        <v>1</v>
      </c>
      <c r="H458" s="351">
        <v>2423.0500000000002</v>
      </c>
      <c r="I458" s="351">
        <f>Table3[[#This Row],[Unit Price]]*Table3[[#This Row],[QTY]]</f>
        <v>2423.0500000000002</v>
      </c>
      <c r="J458" s="350" t="s">
        <v>3318</v>
      </c>
      <c r="K458" s="350"/>
      <c r="L458" s="350"/>
      <c r="M458" s="349">
        <v>46030</v>
      </c>
      <c r="N458" s="352">
        <v>46056</v>
      </c>
      <c r="O458" s="353">
        <v>110806</v>
      </c>
      <c r="P458" s="353">
        <v>78665</v>
      </c>
      <c r="Q458" s="354">
        <v>46064</v>
      </c>
      <c r="R458" s="348" t="s">
        <v>2990</v>
      </c>
    </row>
    <row r="459" spans="1:18" hidden="1">
      <c r="A459" s="31" t="s">
        <v>3929</v>
      </c>
      <c r="B459" s="7">
        <v>45992</v>
      </c>
      <c r="C459" s="6" t="s">
        <v>3287</v>
      </c>
      <c r="D459" s="6" t="s">
        <v>3932</v>
      </c>
      <c r="E459" s="6"/>
      <c r="F459" s="6" t="s">
        <v>3933</v>
      </c>
      <c r="G459" s="6">
        <v>1</v>
      </c>
      <c r="H459" s="184">
        <v>64.25</v>
      </c>
      <c r="I459" s="184">
        <f>Table3[[#This Row],[Unit Price]]*Table3[[#This Row],[QTY]]</f>
        <v>64.25</v>
      </c>
      <c r="J459" s="6" t="s">
        <v>3318</v>
      </c>
      <c r="K459" s="6"/>
      <c r="L459" s="6"/>
      <c r="M459" s="7">
        <v>46030</v>
      </c>
      <c r="N459" s="347">
        <v>46056</v>
      </c>
    </row>
    <row r="460" spans="1:18" s="348" customFormat="1" hidden="1">
      <c r="A460" s="308" t="s">
        <v>3929</v>
      </c>
      <c r="B460" s="349">
        <v>45992</v>
      </c>
      <c r="C460" s="350" t="s">
        <v>3761</v>
      </c>
      <c r="D460" s="350" t="s">
        <v>3934</v>
      </c>
      <c r="E460" s="350"/>
      <c r="F460" s="350" t="s">
        <v>3935</v>
      </c>
      <c r="G460" s="350">
        <v>1</v>
      </c>
      <c r="H460" s="351">
        <v>3233.52</v>
      </c>
      <c r="I460" s="351">
        <f>Table3[[#This Row],[Unit Price]]*Table3[[#This Row],[QTY]]</f>
        <v>3233.52</v>
      </c>
      <c r="J460" s="350" t="s">
        <v>3318</v>
      </c>
      <c r="K460" s="350"/>
      <c r="L460" s="350"/>
      <c r="M460" s="349">
        <v>46030</v>
      </c>
      <c r="N460" s="352">
        <v>46056</v>
      </c>
      <c r="O460" s="353">
        <v>110806</v>
      </c>
      <c r="P460" s="353">
        <v>78665</v>
      </c>
      <c r="Q460" s="354">
        <v>46064</v>
      </c>
      <c r="R460" s="348" t="s">
        <v>2990</v>
      </c>
    </row>
    <row r="461" spans="1:18" s="348" customFormat="1" hidden="1">
      <c r="A461" s="308" t="s">
        <v>3929</v>
      </c>
      <c r="B461" s="349">
        <v>45992</v>
      </c>
      <c r="C461" s="350" t="s">
        <v>3761</v>
      </c>
      <c r="D461" s="350" t="s">
        <v>326</v>
      </c>
      <c r="E461" s="350"/>
      <c r="F461" s="350" t="s">
        <v>3050</v>
      </c>
      <c r="G461" s="350">
        <v>1</v>
      </c>
      <c r="H461" s="351">
        <v>882.69</v>
      </c>
      <c r="I461" s="351">
        <f>Table3[[#This Row],[Unit Price]]*Table3[[#This Row],[QTY]]</f>
        <v>882.69</v>
      </c>
      <c r="J461" s="350" t="s">
        <v>3318</v>
      </c>
      <c r="K461" s="350"/>
      <c r="L461" s="350"/>
      <c r="M461" s="349">
        <v>46030</v>
      </c>
      <c r="N461" s="352">
        <v>46056</v>
      </c>
      <c r="O461" s="353">
        <v>110806</v>
      </c>
      <c r="P461" s="353">
        <v>78665</v>
      </c>
      <c r="Q461" s="354">
        <v>46064</v>
      </c>
      <c r="R461" s="348" t="s">
        <v>2990</v>
      </c>
    </row>
    <row r="462" spans="1:18" hidden="1">
      <c r="A462" s="31" t="s">
        <v>3929</v>
      </c>
      <c r="B462" s="7">
        <v>45992</v>
      </c>
      <c r="C462" s="6" t="s">
        <v>3287</v>
      </c>
      <c r="D462" s="6" t="s">
        <v>3580</v>
      </c>
      <c r="E462" s="6"/>
      <c r="F462" s="6" t="s">
        <v>3581</v>
      </c>
      <c r="G462" s="6">
        <v>1</v>
      </c>
      <c r="H462" s="184">
        <v>8.16</v>
      </c>
      <c r="I462" s="184">
        <f>Table3[[#This Row],[Unit Price]]*Table3[[#This Row],[QTY]]</f>
        <v>8.16</v>
      </c>
      <c r="J462" s="6" t="s">
        <v>3318</v>
      </c>
      <c r="K462" s="6"/>
      <c r="L462" s="6"/>
      <c r="M462" s="7">
        <v>46030</v>
      </c>
      <c r="N462" s="347">
        <v>46056</v>
      </c>
    </row>
    <row r="463" spans="1:18" s="348" customFormat="1" hidden="1">
      <c r="A463" s="308" t="s">
        <v>3929</v>
      </c>
      <c r="B463" s="349">
        <v>45992</v>
      </c>
      <c r="C463" s="350" t="s">
        <v>3761</v>
      </c>
      <c r="D463" s="350" t="s">
        <v>3936</v>
      </c>
      <c r="E463" s="350" t="s">
        <v>3937</v>
      </c>
      <c r="F463" s="350" t="s">
        <v>3938</v>
      </c>
      <c r="G463" s="350">
        <v>1</v>
      </c>
      <c r="H463" s="351">
        <v>764.71</v>
      </c>
      <c r="I463" s="351">
        <f>Table3[[#This Row],[Unit Price]]*Table3[[#This Row],[QTY]]</f>
        <v>764.71</v>
      </c>
      <c r="J463" s="350" t="s">
        <v>3318</v>
      </c>
      <c r="K463" s="350"/>
      <c r="L463" s="350"/>
      <c r="M463" s="349">
        <v>46030</v>
      </c>
      <c r="N463" s="352">
        <v>46056</v>
      </c>
      <c r="O463" s="353">
        <v>110806</v>
      </c>
      <c r="P463" s="353">
        <v>78665</v>
      </c>
      <c r="Q463" s="354">
        <v>46064</v>
      </c>
      <c r="R463" s="348" t="s">
        <v>2990</v>
      </c>
    </row>
    <row r="464" spans="1:18" hidden="1">
      <c r="A464" s="31" t="s">
        <v>3929</v>
      </c>
      <c r="B464" s="7">
        <v>45992</v>
      </c>
      <c r="C464" s="6" t="s">
        <v>3287</v>
      </c>
      <c r="D464" s="6" t="s">
        <v>3623</v>
      </c>
      <c r="E464" s="6"/>
      <c r="F464" s="6" t="s">
        <v>3624</v>
      </c>
      <c r="G464" s="6">
        <v>1</v>
      </c>
      <c r="H464" s="184">
        <v>10.49</v>
      </c>
      <c r="I464" s="184">
        <f>Table3[[#This Row],[Unit Price]]*Table3[[#This Row],[QTY]]</f>
        <v>10.49</v>
      </c>
      <c r="J464" s="6" t="s">
        <v>3318</v>
      </c>
      <c r="K464" s="6"/>
      <c r="L464" s="6"/>
      <c r="M464" s="7">
        <v>46030</v>
      </c>
      <c r="N464" s="347">
        <v>46056</v>
      </c>
    </row>
    <row r="465" spans="1:18" hidden="1">
      <c r="A465" s="31" t="s">
        <v>3929</v>
      </c>
      <c r="B465" s="7">
        <v>45992</v>
      </c>
      <c r="C465" s="6" t="s">
        <v>3287</v>
      </c>
      <c r="D465" s="6" t="s">
        <v>134</v>
      </c>
      <c r="E465" s="6"/>
      <c r="F465" s="6" t="s">
        <v>1386</v>
      </c>
      <c r="G465" s="6">
        <v>1</v>
      </c>
      <c r="H465" s="184">
        <v>42.46</v>
      </c>
      <c r="I465" s="184">
        <f>Table3[[#This Row],[Unit Price]]*Table3[[#This Row],[QTY]]</f>
        <v>42.46</v>
      </c>
      <c r="J465" s="6" t="s">
        <v>3318</v>
      </c>
      <c r="K465" s="6"/>
      <c r="L465" s="6"/>
      <c r="M465" s="7">
        <v>46030</v>
      </c>
      <c r="N465" s="347">
        <v>46056</v>
      </c>
    </row>
    <row r="466" spans="1:18" hidden="1">
      <c r="A466" s="31" t="s">
        <v>3929</v>
      </c>
      <c r="B466" s="7">
        <v>45992</v>
      </c>
      <c r="C466" s="6" t="s">
        <v>3287</v>
      </c>
      <c r="D466" s="6" t="s">
        <v>3051</v>
      </c>
      <c r="E466" s="6"/>
      <c r="F466" s="6" t="s">
        <v>3052</v>
      </c>
      <c r="G466" s="6">
        <v>1</v>
      </c>
      <c r="H466" s="184">
        <v>702.23</v>
      </c>
      <c r="I466" s="184">
        <f>Table3[[#This Row],[Unit Price]]*Table3[[#This Row],[QTY]]</f>
        <v>702.23</v>
      </c>
      <c r="J466" s="6" t="s">
        <v>3318</v>
      </c>
      <c r="K466" s="6"/>
      <c r="L466" s="6"/>
      <c r="M466" s="7">
        <v>46030</v>
      </c>
      <c r="N466" s="347">
        <v>46056</v>
      </c>
    </row>
    <row r="467" spans="1:18" hidden="1">
      <c r="A467" s="31" t="s">
        <v>3929</v>
      </c>
      <c r="B467" s="7">
        <v>45992</v>
      </c>
      <c r="C467" s="6" t="s">
        <v>3287</v>
      </c>
      <c r="D467" s="6" t="s">
        <v>3939</v>
      </c>
      <c r="E467" s="6" t="s">
        <v>3940</v>
      </c>
      <c r="F467" s="6" t="s">
        <v>3941</v>
      </c>
      <c r="G467" s="6">
        <v>1</v>
      </c>
      <c r="H467" s="184">
        <v>1381.19</v>
      </c>
      <c r="I467" s="184">
        <f>Table3[[#This Row],[Unit Price]]*Table3[[#This Row],[QTY]]</f>
        <v>1381.19</v>
      </c>
      <c r="J467" s="6" t="s">
        <v>3318</v>
      </c>
      <c r="K467" s="6"/>
      <c r="L467" s="6"/>
      <c r="M467" s="7">
        <v>46014</v>
      </c>
      <c r="N467" s="347">
        <v>46056</v>
      </c>
    </row>
    <row r="468" spans="1:18" hidden="1">
      <c r="A468" s="31" t="s">
        <v>3942</v>
      </c>
      <c r="B468" s="7">
        <v>45994</v>
      </c>
      <c r="C468" s="6" t="s">
        <v>3287</v>
      </c>
      <c r="D468" s="6" t="s">
        <v>3943</v>
      </c>
      <c r="E468" s="6"/>
      <c r="F468" s="6" t="s">
        <v>3944</v>
      </c>
      <c r="G468" s="6">
        <v>1</v>
      </c>
      <c r="H468" s="184">
        <v>73.819999999999993</v>
      </c>
      <c r="I468" s="184">
        <f>Table3[[#This Row],[Unit Price]]*Table3[[#This Row],[QTY]]</f>
        <v>73.819999999999993</v>
      </c>
      <c r="J468" s="6" t="s">
        <v>3318</v>
      </c>
      <c r="K468" s="6"/>
      <c r="L468" s="6"/>
      <c r="M468" s="7">
        <v>46030</v>
      </c>
      <c r="N468" s="347">
        <v>46056</v>
      </c>
    </row>
    <row r="469" spans="1:18" s="348" customFormat="1" hidden="1">
      <c r="A469" s="308" t="s">
        <v>3942</v>
      </c>
      <c r="B469" s="349">
        <v>45994</v>
      </c>
      <c r="C469" s="350" t="s">
        <v>3761</v>
      </c>
      <c r="D469" s="350" t="s">
        <v>3945</v>
      </c>
      <c r="E469" s="350"/>
      <c r="F469" s="350" t="s">
        <v>3946</v>
      </c>
      <c r="G469" s="350">
        <v>1</v>
      </c>
      <c r="H469" s="351">
        <v>212.3</v>
      </c>
      <c r="I469" s="351">
        <f>Table3[[#This Row],[Unit Price]]*Table3[[#This Row],[QTY]]</f>
        <v>212.3</v>
      </c>
      <c r="J469" s="350" t="s">
        <v>3318</v>
      </c>
      <c r="K469" s="350"/>
      <c r="L469" s="350"/>
      <c r="M469" s="349">
        <v>46030</v>
      </c>
      <c r="N469" s="352">
        <v>46056</v>
      </c>
      <c r="O469" s="353">
        <v>110825</v>
      </c>
      <c r="P469" s="353">
        <v>78666</v>
      </c>
      <c r="Q469" s="354">
        <v>46064</v>
      </c>
      <c r="R469" s="348" t="s">
        <v>2990</v>
      </c>
    </row>
    <row r="470" spans="1:18" hidden="1">
      <c r="A470" s="31" t="s">
        <v>3942</v>
      </c>
      <c r="B470" s="7">
        <v>45994</v>
      </c>
      <c r="C470" s="6" t="s">
        <v>3287</v>
      </c>
      <c r="D470" s="6" t="s">
        <v>3947</v>
      </c>
      <c r="E470" s="6"/>
      <c r="F470" s="6" t="s">
        <v>3948</v>
      </c>
      <c r="G470" s="6">
        <v>1</v>
      </c>
      <c r="H470" s="184">
        <v>122.48</v>
      </c>
      <c r="I470" s="184">
        <f>Table3[[#This Row],[Unit Price]]*Table3[[#This Row],[QTY]]</f>
        <v>122.48</v>
      </c>
      <c r="J470" s="6" t="s">
        <v>3318</v>
      </c>
      <c r="K470" s="6"/>
      <c r="L470" s="6"/>
      <c r="M470" s="7">
        <v>46030</v>
      </c>
      <c r="N470" s="347">
        <v>46056</v>
      </c>
    </row>
    <row r="471" spans="1:18" hidden="1">
      <c r="A471" s="31" t="s">
        <v>3942</v>
      </c>
      <c r="B471" s="7">
        <v>45994</v>
      </c>
      <c r="C471" s="6" t="s">
        <v>3287</v>
      </c>
      <c r="D471" s="6" t="s">
        <v>238</v>
      </c>
      <c r="E471" s="6"/>
      <c r="F471" s="6" t="s">
        <v>3077</v>
      </c>
      <c r="G471" s="6">
        <v>1</v>
      </c>
      <c r="H471" s="184">
        <v>271.08999999999997</v>
      </c>
      <c r="I471" s="184">
        <f>Table3[[#This Row],[Unit Price]]*Table3[[#This Row],[QTY]]</f>
        <v>271.08999999999997</v>
      </c>
      <c r="J471" s="6" t="s">
        <v>3318</v>
      </c>
      <c r="K471" s="6"/>
      <c r="L471" s="6"/>
      <c r="M471" s="7">
        <v>46030</v>
      </c>
      <c r="N471" s="347">
        <v>46056</v>
      </c>
    </row>
    <row r="472" spans="1:18" hidden="1">
      <c r="A472" s="31" t="s">
        <v>3949</v>
      </c>
      <c r="B472" s="7">
        <v>45994</v>
      </c>
      <c r="C472" s="6" t="s">
        <v>3287</v>
      </c>
      <c r="D472" s="6" t="s">
        <v>1704</v>
      </c>
      <c r="E472" s="6" t="s">
        <v>314</v>
      </c>
      <c r="F472" s="6" t="s">
        <v>3197</v>
      </c>
      <c r="G472" s="6">
        <v>4</v>
      </c>
      <c r="H472" s="184">
        <v>159.5</v>
      </c>
      <c r="I472" s="184">
        <f>Table3[[#This Row],[Unit Price]]*Table3[[#This Row],[QTY]]</f>
        <v>638</v>
      </c>
      <c r="J472" s="6" t="s">
        <v>3318</v>
      </c>
      <c r="K472" s="6"/>
      <c r="L472" s="6"/>
      <c r="M472" s="7">
        <v>46030</v>
      </c>
      <c r="N472" s="347">
        <v>46056</v>
      </c>
    </row>
    <row r="473" spans="1:18" hidden="1">
      <c r="A473" s="31" t="s">
        <v>3950</v>
      </c>
      <c r="B473" s="7">
        <v>45994</v>
      </c>
      <c r="C473" s="6" t="s">
        <v>3287</v>
      </c>
      <c r="D473" s="6" t="s">
        <v>723</v>
      </c>
      <c r="E473" s="6"/>
      <c r="F473" s="6" t="s">
        <v>3313</v>
      </c>
      <c r="G473" s="6">
        <v>4</v>
      </c>
      <c r="H473" s="184">
        <v>147.61000000000001</v>
      </c>
      <c r="I473" s="184">
        <f>Table3[[#This Row],[Unit Price]]*Table3[[#This Row],[QTY]]</f>
        <v>590.44000000000005</v>
      </c>
      <c r="J473" s="6" t="s">
        <v>3318</v>
      </c>
      <c r="K473" s="6"/>
      <c r="L473" s="6"/>
      <c r="M473" s="7">
        <v>46030</v>
      </c>
      <c r="N473" s="347">
        <v>46056</v>
      </c>
    </row>
    <row r="474" spans="1:18" hidden="1">
      <c r="A474" s="31" t="s">
        <v>3951</v>
      </c>
      <c r="B474" s="7">
        <v>45994</v>
      </c>
      <c r="C474" s="6" t="s">
        <v>3287</v>
      </c>
      <c r="D474" s="6" t="s">
        <v>2626</v>
      </c>
      <c r="E474" s="6"/>
      <c r="F474" s="6" t="s">
        <v>3920</v>
      </c>
      <c r="G474" s="6">
        <v>4</v>
      </c>
      <c r="H474" s="184">
        <v>54.06</v>
      </c>
      <c r="I474" s="184">
        <f>Table3[[#This Row],[Unit Price]]*Table3[[#This Row],[QTY]]</f>
        <v>216.24</v>
      </c>
      <c r="J474" s="6" t="s">
        <v>3318</v>
      </c>
      <c r="K474" s="6"/>
      <c r="L474" s="6"/>
      <c r="M474" s="7">
        <v>46030</v>
      </c>
      <c r="N474" s="347">
        <v>46056</v>
      </c>
    </row>
    <row r="475" spans="1:18" hidden="1">
      <c r="A475" s="31" t="s">
        <v>3952</v>
      </c>
      <c r="B475" s="7">
        <v>45994</v>
      </c>
      <c r="C475" s="6" t="s">
        <v>3287</v>
      </c>
      <c r="D475" s="6" t="s">
        <v>335</v>
      </c>
      <c r="E475" s="6"/>
      <c r="F475" s="6" t="s">
        <v>2569</v>
      </c>
      <c r="G475" s="6">
        <v>1</v>
      </c>
      <c r="H475" s="184">
        <v>79.989999999999995</v>
      </c>
      <c r="I475" s="184">
        <f>Table3[[#This Row],[Unit Price]]*Table3[[#This Row],[QTY]]</f>
        <v>79.989999999999995</v>
      </c>
      <c r="J475" s="6" t="s">
        <v>3318</v>
      </c>
      <c r="K475" s="6"/>
      <c r="L475" s="6"/>
      <c r="M475" s="7">
        <v>46030</v>
      </c>
      <c r="N475" s="347">
        <v>46056</v>
      </c>
    </row>
    <row r="476" spans="1:18" hidden="1">
      <c r="A476" s="31" t="s">
        <v>3953</v>
      </c>
      <c r="B476" s="7">
        <v>45996</v>
      </c>
      <c r="C476" s="6" t="s">
        <v>3005</v>
      </c>
      <c r="D476" s="6" t="s">
        <v>3954</v>
      </c>
      <c r="E476" s="6" t="s">
        <v>3158</v>
      </c>
      <c r="F476" s="6" t="s">
        <v>3159</v>
      </c>
      <c r="G476" s="6">
        <v>1</v>
      </c>
      <c r="H476" s="184">
        <v>79.510000000000005</v>
      </c>
      <c r="I476" s="184">
        <f>Table3[[#This Row],[Unit Price]]*Table3[[#This Row],[QTY]]</f>
        <v>79.510000000000005</v>
      </c>
      <c r="J476" s="6" t="s">
        <v>3318</v>
      </c>
      <c r="K476" s="6"/>
      <c r="L476" s="6"/>
      <c r="M476" s="7">
        <v>46014</v>
      </c>
      <c r="N476" s="347">
        <v>46056</v>
      </c>
    </row>
    <row r="477" spans="1:18" hidden="1">
      <c r="A477" s="31" t="s">
        <v>3955</v>
      </c>
      <c r="B477" s="7">
        <v>46000</v>
      </c>
      <c r="C477" s="6" t="s">
        <v>3287</v>
      </c>
      <c r="D477" s="6" t="s">
        <v>736</v>
      </c>
      <c r="E477" s="6"/>
      <c r="F477" s="6" t="s">
        <v>3281</v>
      </c>
      <c r="G477" s="6">
        <v>4</v>
      </c>
      <c r="H477" s="184">
        <v>180.46</v>
      </c>
      <c r="I477" s="184">
        <f>Table3[[#This Row],[Unit Price]]*Table3[[#This Row],[QTY]]</f>
        <v>721.84</v>
      </c>
      <c r="J477" s="6" t="s">
        <v>3318</v>
      </c>
      <c r="K477" s="6"/>
      <c r="L477" s="6"/>
      <c r="M477" s="7">
        <v>46014</v>
      </c>
      <c r="N477" s="347">
        <v>46056</v>
      </c>
    </row>
    <row r="478" spans="1:18" hidden="1">
      <c r="A478" s="31" t="s">
        <v>3955</v>
      </c>
      <c r="B478" s="7">
        <v>46000</v>
      </c>
      <c r="C478" s="6" t="s">
        <v>3287</v>
      </c>
      <c r="D478" s="6" t="s">
        <v>3956</v>
      </c>
      <c r="E478" s="6" t="s">
        <v>314</v>
      </c>
      <c r="F478" s="6" t="s">
        <v>3197</v>
      </c>
      <c r="G478" s="6">
        <v>4</v>
      </c>
      <c r="H478" s="184">
        <v>159.5</v>
      </c>
      <c r="I478" s="184">
        <f>Table3[[#This Row],[Unit Price]]*Table3[[#This Row],[QTY]]</f>
        <v>638</v>
      </c>
      <c r="J478" s="6" t="s">
        <v>3318</v>
      </c>
      <c r="K478" s="6"/>
      <c r="L478" s="6"/>
      <c r="M478" s="7">
        <v>46014</v>
      </c>
      <c r="N478" s="347">
        <v>46056</v>
      </c>
    </row>
    <row r="479" spans="1:18" hidden="1">
      <c r="A479" s="31" t="s">
        <v>3955</v>
      </c>
      <c r="B479" s="7">
        <v>46000</v>
      </c>
      <c r="C479" s="6" t="s">
        <v>3287</v>
      </c>
      <c r="D479" s="6" t="s">
        <v>326</v>
      </c>
      <c r="E479" s="6"/>
      <c r="F479" s="6" t="s">
        <v>3050</v>
      </c>
      <c r="G479" s="6">
        <v>1</v>
      </c>
      <c r="H479" s="184">
        <v>882.69</v>
      </c>
      <c r="I479" s="184">
        <f>Table3[[#This Row],[Unit Price]]*Table3[[#This Row],[QTY]]</f>
        <v>882.69</v>
      </c>
      <c r="J479" s="6" t="s">
        <v>3318</v>
      </c>
      <c r="K479" s="6"/>
      <c r="L479" s="6"/>
      <c r="M479" s="7">
        <v>46015</v>
      </c>
      <c r="N479" s="347">
        <v>46056</v>
      </c>
    </row>
    <row r="480" spans="1:18" hidden="1">
      <c r="A480" s="31" t="s">
        <v>3957</v>
      </c>
      <c r="B480" s="7">
        <v>46000</v>
      </c>
      <c r="C480" s="6" t="s">
        <v>3287</v>
      </c>
      <c r="D480" s="6" t="s">
        <v>304</v>
      </c>
      <c r="E480" s="6"/>
      <c r="F480" s="6" t="s">
        <v>3958</v>
      </c>
      <c r="G480" s="6">
        <v>2</v>
      </c>
      <c r="H480" s="184">
        <v>697.33</v>
      </c>
      <c r="I480" s="184">
        <f>Table3[[#This Row],[Unit Price]]*Table3[[#This Row],[QTY]]</f>
        <v>1394.66</v>
      </c>
      <c r="J480" s="6" t="s">
        <v>3318</v>
      </c>
      <c r="K480" s="6"/>
      <c r="L480" s="6"/>
      <c r="M480" s="7">
        <v>46014</v>
      </c>
      <c r="N480" s="347">
        <v>46056</v>
      </c>
    </row>
    <row r="481" spans="1:14" hidden="1">
      <c r="A481" s="31" t="s">
        <v>3959</v>
      </c>
      <c r="B481" s="7">
        <v>46002</v>
      </c>
      <c r="C481" s="6" t="s">
        <v>3287</v>
      </c>
      <c r="D481" s="6" t="s">
        <v>1916</v>
      </c>
      <c r="E481" s="6"/>
      <c r="F481" s="6" t="s">
        <v>1917</v>
      </c>
      <c r="G481" s="6">
        <v>2</v>
      </c>
      <c r="H481" s="184">
        <v>381.36</v>
      </c>
      <c r="I481" s="184">
        <f>Table3[[#This Row],[Unit Price]]*Table3[[#This Row],[QTY]]</f>
        <v>762.72</v>
      </c>
      <c r="J481" s="6" t="s">
        <v>3318</v>
      </c>
      <c r="K481" s="6"/>
      <c r="L481" s="6"/>
      <c r="M481" s="7">
        <v>46015</v>
      </c>
      <c r="N481" s="347">
        <v>46056</v>
      </c>
    </row>
    <row r="482" spans="1:14" hidden="1">
      <c r="A482" s="31" t="s">
        <v>3960</v>
      </c>
      <c r="B482" s="7">
        <v>46003</v>
      </c>
      <c r="C482" s="6" t="s">
        <v>3287</v>
      </c>
      <c r="D482" s="6" t="s">
        <v>1585</v>
      </c>
      <c r="E482" s="6"/>
      <c r="F482" s="6" t="s">
        <v>1586</v>
      </c>
      <c r="G482" s="6">
        <v>14</v>
      </c>
      <c r="H482" s="184">
        <v>32.79</v>
      </c>
      <c r="I482" s="184">
        <f>Table3[[#This Row],[Unit Price]]*Table3[[#This Row],[QTY]]</f>
        <v>459.06</v>
      </c>
      <c r="J482" s="6" t="s">
        <v>3680</v>
      </c>
      <c r="K482" s="6"/>
      <c r="L482" s="6"/>
      <c r="M482" s="7">
        <v>46051</v>
      </c>
      <c r="N482" s="172">
        <v>46077</v>
      </c>
    </row>
    <row r="483" spans="1:14" hidden="1">
      <c r="A483" s="31" t="s">
        <v>3961</v>
      </c>
      <c r="B483" s="7">
        <v>46008</v>
      </c>
      <c r="C483" s="6" t="s">
        <v>3561</v>
      </c>
      <c r="D483" s="6" t="s">
        <v>3962</v>
      </c>
      <c r="E483" s="6"/>
      <c r="F483" s="6" t="s">
        <v>3963</v>
      </c>
      <c r="G483" s="6">
        <v>1</v>
      </c>
      <c r="H483" s="184">
        <v>538.1</v>
      </c>
      <c r="I483" s="184">
        <f>Table3[[#This Row],[Unit Price]]*Table3[[#This Row],[QTY]]</f>
        <v>538.1</v>
      </c>
      <c r="J483" s="6" t="s">
        <v>69</v>
      </c>
      <c r="K483" s="6"/>
      <c r="L483" s="6"/>
      <c r="M483" s="7"/>
      <c r="N483" s="172"/>
    </row>
    <row r="484" spans="1:14" hidden="1">
      <c r="A484" s="31"/>
      <c r="B484" s="7"/>
      <c r="C484" s="6"/>
      <c r="D484" s="6"/>
      <c r="E484" s="6"/>
      <c r="F484" s="6"/>
      <c r="G484" s="6"/>
      <c r="H484" s="184"/>
      <c r="I484" s="184"/>
      <c r="J484" s="6"/>
      <c r="K484" s="6"/>
      <c r="L484" s="6"/>
      <c r="M484" s="7"/>
      <c r="N484" s="172"/>
    </row>
  </sheetData>
  <phoneticPr fontId="5" type="noConversion"/>
  <conditionalFormatting sqref="O153">
    <cfRule type="containsText" dxfId="68" priority="4" operator="containsText" text="LIBERADO">
      <formula>NOT(ISERROR(SEARCH("LIBERADO",O153)))</formula>
    </cfRule>
  </conditionalFormatting>
  <conditionalFormatting sqref="R1:R497 R499:R1048576">
    <cfRule type="containsText" dxfId="67" priority="1" operator="containsText" text="REP. ESTOQUE">
      <formula>NOT(ISERROR(SEARCH("REP. ESTOQUE",R1)))</formula>
    </cfRule>
    <cfRule type="containsText" dxfId="66" priority="2" operator="containsText" text="LIBERADO">
      <formula>NOT(ISERROR(SEARCH("LIBERADO",R1)))</formula>
    </cfRule>
  </conditionalFormatting>
  <conditionalFormatting sqref="R153 A153">
    <cfRule type="containsText" dxfId="65" priority="3" operator="containsText" text="LIBERADO">
      <formula>NOT(ISERROR(SEARCH("LIBERADO",A153)))</formula>
    </cfRule>
  </conditionalFormatting>
  <dataValidations count="1">
    <dataValidation allowBlank="1" showInputMessage="1" showErrorMessage="1" sqref="U124 R499:R1048576 R1:R359 R363:R497" xr:uid="{4C3539BD-1EE5-4466-9BC5-DB6DD75718C7}"/>
  </dataValidations>
  <hyperlinks>
    <hyperlink ref="O85" r:id="rId1" display="108484" xr:uid="{82AADC5D-B2B7-4653-B2C0-B2B018828594}"/>
    <hyperlink ref="O71" r:id="rId2" display="108332" xr:uid="{AE9FFBDB-4533-48A9-A519-B9F15408D783}"/>
    <hyperlink ref="O2" r:id="rId3" display="108088" xr:uid="{71BE53A8-3E42-4C43-9949-90C352597DE8}"/>
    <hyperlink ref="O35" r:id="rId4" display="108249" xr:uid="{75EA359F-04FF-4F6B-B042-0C7F99DCCDF4}"/>
    <hyperlink ref="O38" r:id="rId5" display="108292" xr:uid="{FBB0FF2A-E06E-48E8-A4EA-76D2BBAEBE4A}"/>
    <hyperlink ref="O62" r:id="rId6" display="108391" xr:uid="{C6DEB806-70AE-4021-A8BF-CB5A33EE95CE}"/>
    <hyperlink ref="O33" r:id="rId7" display="108209" xr:uid="{1FA2133F-DCD7-410F-82FC-8E4E7E2BBB3B}"/>
    <hyperlink ref="O3" r:id="rId8" display="108088" xr:uid="{D1BDE034-5E96-4228-B1F0-5121837304EE}"/>
    <hyperlink ref="O31" r:id="rId9" display="108247" xr:uid="{0D055BC1-6569-460F-B96C-F5E22B32E6B7}"/>
    <hyperlink ref="O39" r:id="rId10" display="108287" xr:uid="{432F8F6C-B826-4809-8D69-7ED43EC9A76D}"/>
    <hyperlink ref="O40" r:id="rId11" display="108291" xr:uid="{6A383FF1-0045-4A36-BE26-6248252D5519}"/>
    <hyperlink ref="O42" r:id="rId12" display="108314" xr:uid="{8267C4DE-B579-4A5B-A23D-C41FADE33D24}"/>
    <hyperlink ref="O43" r:id="rId13" display="108324" xr:uid="{D3DD01FD-8BAA-4D5E-8537-A59DA7FCF38E}"/>
    <hyperlink ref="O44" r:id="rId14" display="108274" xr:uid="{ECEA47E8-2516-48C8-A8BD-22A90CD099E5}"/>
    <hyperlink ref="O56" r:id="rId15" display="108362" xr:uid="{FA448BB3-7BAF-4873-8760-84E6CE897ABD}"/>
    <hyperlink ref="O89" r:id="rId16" display="108441" xr:uid="{941A988C-1B31-48B8-B34E-E6B9541C3AE4}"/>
    <hyperlink ref="O32" r:id="rId17" display="108217" xr:uid="{ED842D7E-6877-40C8-AB75-379427FF8C3C}"/>
    <hyperlink ref="O21" r:id="rId18" display="108074" xr:uid="{98EAEA09-0102-437A-A402-4ECFEDAA3D06}"/>
    <hyperlink ref="O57" r:id="rId19" display="108356" xr:uid="{AE80C84E-4ADB-4E5F-A163-72E8E3590061}"/>
    <hyperlink ref="O80" r:id="rId20" display="108408" xr:uid="{CE083188-E375-450A-B973-C2AA1D8B0D99}"/>
    <hyperlink ref="O55" r:id="rId21" display="108362" xr:uid="{F0267BE6-486B-4F10-81C7-C16FB863915E}"/>
    <hyperlink ref="O7" r:id="rId22" display="108154" xr:uid="{5CEC432F-FF77-4CAA-812E-88C0C3AB53FD}"/>
    <hyperlink ref="O65" r:id="rId23" display="108400" xr:uid="{516E71A9-2FCF-424A-B7C1-0F11AFE150CE}"/>
    <hyperlink ref="O22" r:id="rId24" display="108416" xr:uid="{D3A68587-02F3-412F-8192-215C1C2D63D7}"/>
    <hyperlink ref="O54" r:id="rId25" display="108362" xr:uid="{1C5045C0-336F-49C4-83BF-CE273E6960CB}"/>
    <hyperlink ref="O34" r:id="rId26" display="108249" xr:uid="{0FFBFFB4-EB79-4A3F-90E1-55F5D71BF6B2}"/>
    <hyperlink ref="O53" r:id="rId27" display="108362" xr:uid="{42B050C2-AC61-46C6-AB9B-BF8A29076492}"/>
    <hyperlink ref="O70" r:id="rId28" display="108390" xr:uid="{414D5812-3E26-46BD-B520-34D56A324CD7}"/>
    <hyperlink ref="O88" r:id="rId29" display="108441" xr:uid="{BA5CEE73-5741-4204-B453-A6E417539222}"/>
    <hyperlink ref="O37" r:id="rId30" display="108292" xr:uid="{302CB003-E047-4A70-80DD-C8D569FC3BF2}"/>
  </hyperlinks>
  <pageMargins left="0.7" right="0.7" top="0.75" bottom="0.75" header="0.3" footer="0.3"/>
  <pageSetup paperSize="9" scale="10" orientation="landscape" r:id="rId31"/>
  <legacyDrawing r:id="rId32"/>
  <tableParts count="1">
    <tablePart r:id="rId3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C8CADA1-82F1-417C-AECA-B2DFC322AF88}">
          <x14:formula1>
            <xm:f>DB!$A$2:$A$5</xm:f>
          </x14:formula1>
          <xm:sqref>K59:K91 K2:K19 K21:K57</xm:sqref>
        </x14:dataValidation>
        <x14:dataValidation type="list" allowBlank="1" showInputMessage="1" showErrorMessage="1" xr:uid="{C5CCAC11-C222-4806-AD50-22814123F6B6}">
          <x14:formula1>
            <xm:f>DB!$A$2:$A$7</xm:f>
          </x14:formula1>
          <xm:sqref>K58 K20</xm:sqref>
        </x14:dataValidation>
        <x14:dataValidation type="list" allowBlank="1" showInputMessage="1" showErrorMessage="1" xr:uid="{BDB49965-BF85-460C-84B7-4980F88E90A1}">
          <x14:formula1>
            <xm:f>DB!$K$2:$K$3</xm:f>
          </x14:formula1>
          <xm:sqref>R360:R362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A30E-A0B7-437C-8070-4BC50CAC06F0}">
  <dimension ref="A1:K8"/>
  <sheetViews>
    <sheetView workbookViewId="0">
      <selection activeCell="M11" sqref="M10:M11"/>
    </sheetView>
  </sheetViews>
  <sheetFormatPr defaultRowHeight="14.45"/>
  <cols>
    <col min="1" max="1" width="24.7109375" customWidth="1"/>
    <col min="4" max="4" width="16.140625" customWidth="1"/>
    <col min="5" max="5" width="24.5703125" bestFit="1" customWidth="1"/>
    <col min="7" max="7" width="22.42578125" bestFit="1" customWidth="1"/>
    <col min="9" max="9" width="10.5703125" bestFit="1" customWidth="1"/>
    <col min="11" max="11" width="14.140625" bestFit="1" customWidth="1"/>
  </cols>
  <sheetData>
    <row r="1" spans="1:11">
      <c r="A1" s="2" t="s">
        <v>13</v>
      </c>
      <c r="B1" s="193" t="s">
        <v>3964</v>
      </c>
      <c r="C1" s="9" t="s">
        <v>3965</v>
      </c>
      <c r="D1" s="203" t="s">
        <v>12</v>
      </c>
      <c r="E1" s="9" t="s">
        <v>3966</v>
      </c>
      <c r="G1" s="9" t="s">
        <v>3967</v>
      </c>
    </row>
    <row r="2" spans="1:11">
      <c r="A2" t="s">
        <v>58</v>
      </c>
      <c r="B2" t="s">
        <v>67</v>
      </c>
      <c r="C2" t="s">
        <v>3968</v>
      </c>
      <c r="D2" t="s">
        <v>88</v>
      </c>
      <c r="E2" t="s">
        <v>3969</v>
      </c>
      <c r="G2" t="s">
        <v>647</v>
      </c>
      <c r="I2" s="211" t="s">
        <v>3970</v>
      </c>
      <c r="K2" t="s">
        <v>3763</v>
      </c>
    </row>
    <row r="3" spans="1:11">
      <c r="A3" t="s">
        <v>89</v>
      </c>
      <c r="B3" t="s">
        <v>37</v>
      </c>
      <c r="C3" t="s">
        <v>3971</v>
      </c>
      <c r="D3" t="s">
        <v>58</v>
      </c>
      <c r="E3" t="s">
        <v>3972</v>
      </c>
      <c r="G3" t="s">
        <v>3973</v>
      </c>
      <c r="I3" s="211" t="s">
        <v>3974</v>
      </c>
      <c r="K3" t="s">
        <v>3342</v>
      </c>
    </row>
    <row r="4" spans="1:11">
      <c r="A4" t="s">
        <v>3012</v>
      </c>
      <c r="G4" t="s">
        <v>3975</v>
      </c>
    </row>
    <row r="5" spans="1:11">
      <c r="A5" t="s">
        <v>39</v>
      </c>
      <c r="G5" t="s">
        <v>3976</v>
      </c>
    </row>
    <row r="6" spans="1:11">
      <c r="A6" t="s">
        <v>647</v>
      </c>
      <c r="G6" t="s">
        <v>3977</v>
      </c>
    </row>
    <row r="7" spans="1:11">
      <c r="A7" t="s">
        <v>384</v>
      </c>
    </row>
    <row r="8" spans="1:11">
      <c r="A8" t="s">
        <v>3978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L723"/>
  <sheetViews>
    <sheetView topLeftCell="A680" workbookViewId="0">
      <selection activeCell="E731" sqref="E731"/>
    </sheetView>
  </sheetViews>
  <sheetFormatPr defaultRowHeight="14.45"/>
  <cols>
    <col min="1" max="1" width="19.85546875" style="267" customWidth="1"/>
    <col min="2" max="2" width="15.140625" style="268" customWidth="1"/>
    <col min="3" max="3" width="20.5703125" style="234" customWidth="1"/>
    <col min="4" max="4" width="16.5703125" style="234" customWidth="1"/>
    <col min="5" max="5" width="59.5703125" style="234" customWidth="1"/>
    <col min="6" max="6" width="22" style="251" customWidth="1"/>
    <col min="7" max="7" width="24.85546875" style="251" customWidth="1"/>
    <col min="8" max="8" width="16.5703125" style="251" customWidth="1"/>
    <col min="9" max="9" width="17.7109375" style="10" customWidth="1"/>
    <col min="10" max="10" width="28.140625" style="251" customWidth="1"/>
    <col min="11" max="11" width="27.28515625" style="251" bestFit="1" customWidth="1"/>
    <col min="12" max="12" width="14" style="251" customWidth="1"/>
  </cols>
  <sheetData>
    <row r="1" spans="1:12">
      <c r="A1" s="11" t="s">
        <v>3979</v>
      </c>
      <c r="B1" s="11" t="s">
        <v>3980</v>
      </c>
      <c r="C1" s="12" t="s">
        <v>3981</v>
      </c>
      <c r="D1" s="12" t="s">
        <v>3982</v>
      </c>
      <c r="E1" s="12" t="s">
        <v>3983</v>
      </c>
      <c r="F1" s="250" t="s">
        <v>3984</v>
      </c>
      <c r="G1" s="250" t="s">
        <v>3985</v>
      </c>
      <c r="H1" s="250" t="s">
        <v>3986</v>
      </c>
      <c r="I1" s="11" t="s">
        <v>3987</v>
      </c>
      <c r="J1" s="250" t="s">
        <v>3988</v>
      </c>
      <c r="K1" s="250" t="s">
        <v>3989</v>
      </c>
      <c r="L1" s="264" t="s">
        <v>26</v>
      </c>
    </row>
    <row r="2" spans="1:12" hidden="1">
      <c r="A2" s="14">
        <v>50110193</v>
      </c>
      <c r="B2" s="13">
        <v>45667</v>
      </c>
      <c r="C2" s="14" t="s">
        <v>33</v>
      </c>
      <c r="D2" s="14" t="s">
        <v>46</v>
      </c>
      <c r="E2" s="14" t="s">
        <v>47</v>
      </c>
      <c r="F2" s="14">
        <v>1</v>
      </c>
      <c r="G2" s="15">
        <v>1</v>
      </c>
      <c r="H2" s="15" t="s">
        <v>3968</v>
      </c>
      <c r="I2" s="13"/>
      <c r="J2" s="15" t="s">
        <v>3972</v>
      </c>
      <c r="K2" s="64" t="s">
        <v>3990</v>
      </c>
      <c r="L2" s="16">
        <f>MONTH(Table4[[#This Row],[Order Date]])</f>
        <v>1</v>
      </c>
    </row>
    <row r="3" spans="1:12" hidden="1">
      <c r="A3" s="14">
        <v>50110193</v>
      </c>
      <c r="B3" s="13">
        <v>45667</v>
      </c>
      <c r="C3" s="14" t="s">
        <v>33</v>
      </c>
      <c r="D3" s="14" t="s">
        <v>50</v>
      </c>
      <c r="E3" s="14" t="s">
        <v>51</v>
      </c>
      <c r="F3" s="14">
        <v>1</v>
      </c>
      <c r="G3" s="15">
        <v>1</v>
      </c>
      <c r="H3" s="15" t="s">
        <v>3968</v>
      </c>
      <c r="I3" s="13"/>
      <c r="J3" s="15" t="s">
        <v>3972</v>
      </c>
      <c r="K3" s="64" t="s">
        <v>3990</v>
      </c>
      <c r="L3" s="16">
        <f>MONTH(Table4[[#This Row],[Order Date]])</f>
        <v>1</v>
      </c>
    </row>
    <row r="4" spans="1:12" hidden="1">
      <c r="A4" s="14">
        <v>44000216</v>
      </c>
      <c r="B4" s="13">
        <v>45667</v>
      </c>
      <c r="C4" s="14" t="s">
        <v>54</v>
      </c>
      <c r="D4" s="14" t="s">
        <v>56</v>
      </c>
      <c r="E4" s="14" t="s">
        <v>57</v>
      </c>
      <c r="F4" s="14">
        <v>1</v>
      </c>
      <c r="G4" s="15">
        <v>1</v>
      </c>
      <c r="H4" s="15" t="s">
        <v>3968</v>
      </c>
      <c r="I4" s="13">
        <v>45667</v>
      </c>
      <c r="J4" s="15" t="s">
        <v>3969</v>
      </c>
      <c r="K4" s="64" t="s">
        <v>3990</v>
      </c>
      <c r="L4" s="16">
        <f>MONTH(Table4[[#This Row],[Order Date]])</f>
        <v>1</v>
      </c>
    </row>
    <row r="5" spans="1:12" hidden="1">
      <c r="A5" s="14">
        <v>50000530</v>
      </c>
      <c r="B5" s="13">
        <v>45667</v>
      </c>
      <c r="C5" s="15" t="s">
        <v>63</v>
      </c>
      <c r="D5" s="14" t="s">
        <v>80</v>
      </c>
      <c r="E5" s="14" t="s">
        <v>81</v>
      </c>
      <c r="F5" s="14">
        <v>1</v>
      </c>
      <c r="G5" s="15">
        <v>1</v>
      </c>
      <c r="H5" s="15" t="s">
        <v>3968</v>
      </c>
      <c r="I5" s="13">
        <v>45667</v>
      </c>
      <c r="J5" s="15" t="s">
        <v>3969</v>
      </c>
      <c r="K5" s="64" t="s">
        <v>3990</v>
      </c>
      <c r="L5" s="16">
        <f>MONTH(Table4[[#This Row],[Order Date]])</f>
        <v>1</v>
      </c>
    </row>
    <row r="6" spans="1:12" hidden="1">
      <c r="A6" s="14">
        <v>50000260</v>
      </c>
      <c r="B6" s="13">
        <v>45667</v>
      </c>
      <c r="C6" s="14" t="s">
        <v>85</v>
      </c>
      <c r="D6" s="14" t="s">
        <v>86</v>
      </c>
      <c r="E6" s="14" t="s">
        <v>87</v>
      </c>
      <c r="F6" s="14">
        <v>1</v>
      </c>
      <c r="G6" s="15">
        <v>0</v>
      </c>
      <c r="H6" s="15" t="s">
        <v>3968</v>
      </c>
      <c r="I6" s="13"/>
      <c r="J6" s="15" t="s">
        <v>3969</v>
      </c>
      <c r="K6" s="64" t="s">
        <v>3990</v>
      </c>
      <c r="L6" s="16">
        <f>MONTH(Table4[[#This Row],[Order Date]])</f>
        <v>1</v>
      </c>
    </row>
    <row r="7" spans="1:12" hidden="1">
      <c r="A7" s="14">
        <v>50000202</v>
      </c>
      <c r="B7" s="13">
        <v>45670</v>
      </c>
      <c r="C7" s="17" t="s">
        <v>93</v>
      </c>
      <c r="D7" s="14" t="s">
        <v>94</v>
      </c>
      <c r="E7" s="14" t="s">
        <v>3991</v>
      </c>
      <c r="F7" s="14">
        <v>1</v>
      </c>
      <c r="G7" s="15">
        <v>1</v>
      </c>
      <c r="H7" s="15" t="s">
        <v>3968</v>
      </c>
      <c r="I7" s="13">
        <v>45670</v>
      </c>
      <c r="J7" s="15" t="s">
        <v>3969</v>
      </c>
      <c r="K7" s="64" t="s">
        <v>3990</v>
      </c>
      <c r="L7" s="16">
        <f>MONTH(Table4[[#This Row],[Order Date]])</f>
        <v>1</v>
      </c>
    </row>
    <row r="8" spans="1:12" hidden="1">
      <c r="A8" s="14">
        <v>50000202</v>
      </c>
      <c r="B8" s="13">
        <v>45670</v>
      </c>
      <c r="C8" s="14" t="s">
        <v>93</v>
      </c>
      <c r="D8" s="14" t="s">
        <v>98</v>
      </c>
      <c r="E8" s="14" t="s">
        <v>3992</v>
      </c>
      <c r="F8" s="14">
        <v>1</v>
      </c>
      <c r="G8" s="15">
        <v>1</v>
      </c>
      <c r="H8" s="15" t="s">
        <v>3968</v>
      </c>
      <c r="I8" s="13">
        <v>45670</v>
      </c>
      <c r="J8" s="15" t="s">
        <v>3969</v>
      </c>
      <c r="K8" s="64" t="s">
        <v>3990</v>
      </c>
      <c r="L8" s="16">
        <f>MONTH(Table4[[#This Row],[Order Date]])</f>
        <v>1</v>
      </c>
    </row>
    <row r="9" spans="1:12" hidden="1">
      <c r="A9" s="14">
        <v>48000432</v>
      </c>
      <c r="B9" s="13">
        <v>45673</v>
      </c>
      <c r="C9" s="14" t="s">
        <v>63</v>
      </c>
      <c r="D9" s="14" t="s">
        <v>65</v>
      </c>
      <c r="E9" s="14" t="s">
        <v>66</v>
      </c>
      <c r="F9" s="14">
        <v>1</v>
      </c>
      <c r="G9" s="15">
        <v>1</v>
      </c>
      <c r="H9" s="15" t="s">
        <v>3971</v>
      </c>
      <c r="I9" s="13">
        <v>45673</v>
      </c>
      <c r="J9" s="15" t="s">
        <v>3969</v>
      </c>
      <c r="K9" s="64" t="s">
        <v>3990</v>
      </c>
      <c r="L9" s="16">
        <f>MONTH(Table4[[#This Row],[Order Date]])</f>
        <v>1</v>
      </c>
    </row>
    <row r="10" spans="1:12" hidden="1">
      <c r="A10" s="14">
        <v>51000323</v>
      </c>
      <c r="B10" s="13">
        <v>45673</v>
      </c>
      <c r="C10" s="14" t="s">
        <v>103</v>
      </c>
      <c r="D10" s="14" t="s">
        <v>105</v>
      </c>
      <c r="E10" s="14" t="s">
        <v>106</v>
      </c>
      <c r="F10" s="14">
        <v>1</v>
      </c>
      <c r="G10" s="15">
        <v>0</v>
      </c>
      <c r="H10" s="15" t="s">
        <v>3968</v>
      </c>
      <c r="I10" s="13"/>
      <c r="J10" s="15" t="s">
        <v>3969</v>
      </c>
      <c r="K10" s="64" t="s">
        <v>3990</v>
      </c>
      <c r="L10" s="16">
        <f>MONTH(Table4[[#This Row],[Order Date]])</f>
        <v>1</v>
      </c>
    </row>
    <row r="11" spans="1:12" hidden="1">
      <c r="A11" s="14">
        <v>50110229</v>
      </c>
      <c r="B11" s="13">
        <v>45673</v>
      </c>
      <c r="C11" s="14" t="s">
        <v>109</v>
      </c>
      <c r="D11" s="14" t="s">
        <v>110</v>
      </c>
      <c r="E11" s="14" t="s">
        <v>111</v>
      </c>
      <c r="F11" s="14">
        <v>1</v>
      </c>
      <c r="G11" s="15">
        <v>1</v>
      </c>
      <c r="H11" s="15" t="s">
        <v>3968</v>
      </c>
      <c r="I11" s="13"/>
      <c r="J11" s="15" t="s">
        <v>3969</v>
      </c>
      <c r="K11" s="64" t="s">
        <v>3990</v>
      </c>
      <c r="L11" s="16">
        <f>MONTH(Table4[[#This Row],[Order Date]])</f>
        <v>1</v>
      </c>
    </row>
    <row r="12" spans="1:12" hidden="1">
      <c r="A12" s="14">
        <v>50000202</v>
      </c>
      <c r="B12" s="13">
        <v>45673</v>
      </c>
      <c r="C12" s="14" t="s">
        <v>93</v>
      </c>
      <c r="D12" s="14" t="s">
        <v>114</v>
      </c>
      <c r="E12" s="14" t="s">
        <v>115</v>
      </c>
      <c r="F12" s="14">
        <v>1</v>
      </c>
      <c r="G12" s="15">
        <v>1</v>
      </c>
      <c r="H12" s="15" t="s">
        <v>3968</v>
      </c>
      <c r="I12" s="13">
        <v>45673</v>
      </c>
      <c r="J12" s="15" t="s">
        <v>3969</v>
      </c>
      <c r="K12" s="64" t="s">
        <v>3990</v>
      </c>
      <c r="L12" s="16">
        <f>MONTH(Table4[[#This Row],[Order Date]])</f>
        <v>1</v>
      </c>
    </row>
    <row r="13" spans="1:12" hidden="1">
      <c r="A13" s="14">
        <v>48000044</v>
      </c>
      <c r="B13" s="13">
        <v>45673</v>
      </c>
      <c r="C13" s="14" t="s">
        <v>118</v>
      </c>
      <c r="D13" s="14" t="s">
        <v>119</v>
      </c>
      <c r="E13" s="14" t="s">
        <v>3993</v>
      </c>
      <c r="F13" s="14">
        <v>2</v>
      </c>
      <c r="G13" s="15">
        <v>2</v>
      </c>
      <c r="H13" s="15" t="s">
        <v>3968</v>
      </c>
      <c r="I13" s="13">
        <v>45673</v>
      </c>
      <c r="J13" s="15" t="s">
        <v>3969</v>
      </c>
      <c r="K13" s="64" t="s">
        <v>3990</v>
      </c>
      <c r="L13" s="16">
        <f>MONTH(Table4[[#This Row],[Order Date]])</f>
        <v>1</v>
      </c>
    </row>
    <row r="14" spans="1:12" hidden="1">
      <c r="A14" s="14">
        <v>50110229</v>
      </c>
      <c r="B14" s="13">
        <v>45673</v>
      </c>
      <c r="C14" s="14" t="s">
        <v>109</v>
      </c>
      <c r="D14" s="14" t="s">
        <v>124</v>
      </c>
      <c r="E14" s="14" t="s">
        <v>125</v>
      </c>
      <c r="F14" s="14">
        <v>1</v>
      </c>
      <c r="G14" s="15">
        <v>1</v>
      </c>
      <c r="H14" s="15" t="s">
        <v>3968</v>
      </c>
      <c r="I14" s="13"/>
      <c r="J14" s="15" t="s">
        <v>3972</v>
      </c>
      <c r="K14" s="64" t="s">
        <v>3990</v>
      </c>
      <c r="L14" s="16">
        <f>MONTH(Table4[[#This Row],[Order Date]])</f>
        <v>1</v>
      </c>
    </row>
    <row r="15" spans="1:12" hidden="1">
      <c r="A15" s="14">
        <v>50110229</v>
      </c>
      <c r="B15" s="13">
        <v>45673</v>
      </c>
      <c r="C15" s="14" t="s">
        <v>109</v>
      </c>
      <c r="D15" s="14" t="s">
        <v>126</v>
      </c>
      <c r="E15" s="14" t="s">
        <v>127</v>
      </c>
      <c r="F15" s="14">
        <v>1</v>
      </c>
      <c r="G15" s="15">
        <v>1</v>
      </c>
      <c r="H15" s="15" t="s">
        <v>3968</v>
      </c>
      <c r="I15" s="13"/>
      <c r="J15" s="15" t="s">
        <v>3972</v>
      </c>
      <c r="K15" s="64" t="s">
        <v>3990</v>
      </c>
      <c r="L15" s="16">
        <f>MONTH(Table4[[#This Row],[Order Date]])</f>
        <v>1</v>
      </c>
    </row>
    <row r="16" spans="1:12" hidden="1">
      <c r="A16" s="14">
        <v>44000059</v>
      </c>
      <c r="B16" s="13">
        <v>45673</v>
      </c>
      <c r="C16" s="14" t="s">
        <v>63</v>
      </c>
      <c r="D16" s="14" t="s">
        <v>130</v>
      </c>
      <c r="E16" s="14" t="s">
        <v>3994</v>
      </c>
      <c r="F16" s="14">
        <v>2</v>
      </c>
      <c r="G16" s="15">
        <v>2</v>
      </c>
      <c r="H16" s="15" t="s">
        <v>3968</v>
      </c>
      <c r="I16" s="13">
        <v>45673</v>
      </c>
      <c r="J16" s="15" t="s">
        <v>3969</v>
      </c>
      <c r="K16" s="64" t="s">
        <v>3990</v>
      </c>
      <c r="L16" s="16">
        <f>MONTH(Table4[[#This Row],[Order Date]])</f>
        <v>1</v>
      </c>
    </row>
    <row r="17" spans="1:12" hidden="1">
      <c r="A17" s="14">
        <v>50000530</v>
      </c>
      <c r="B17" s="13">
        <v>45673</v>
      </c>
      <c r="C17" s="14" t="s">
        <v>79</v>
      </c>
      <c r="D17" s="14" t="s">
        <v>134</v>
      </c>
      <c r="E17" s="14" t="s">
        <v>135</v>
      </c>
      <c r="F17" s="14">
        <v>1</v>
      </c>
      <c r="G17" s="15">
        <v>1</v>
      </c>
      <c r="H17" s="15" t="s">
        <v>3968</v>
      </c>
      <c r="I17" s="13">
        <v>45673</v>
      </c>
      <c r="J17" s="15" t="s">
        <v>3969</v>
      </c>
      <c r="K17" s="64" t="s">
        <v>3990</v>
      </c>
      <c r="L17" s="16">
        <f>MONTH(Table4[[#This Row],[Order Date]])</f>
        <v>1</v>
      </c>
    </row>
    <row r="18" spans="1:12" hidden="1">
      <c r="A18" s="14">
        <v>50000530</v>
      </c>
      <c r="B18" s="13">
        <v>45673</v>
      </c>
      <c r="C18" s="14" t="s">
        <v>79</v>
      </c>
      <c r="D18" s="14" t="s">
        <v>136</v>
      </c>
      <c r="E18" s="14" t="s">
        <v>137</v>
      </c>
      <c r="F18" s="14">
        <v>1</v>
      </c>
      <c r="G18" s="15">
        <v>1</v>
      </c>
      <c r="H18" s="15" t="s">
        <v>3968</v>
      </c>
      <c r="I18" s="13">
        <v>45673</v>
      </c>
      <c r="J18" s="15" t="s">
        <v>3969</v>
      </c>
      <c r="K18" s="64" t="s">
        <v>3990</v>
      </c>
      <c r="L18" s="16">
        <f>MONTH(Table4[[#This Row],[Order Date]])</f>
        <v>1</v>
      </c>
    </row>
    <row r="19" spans="1:12" hidden="1">
      <c r="A19" s="14">
        <v>51000136</v>
      </c>
      <c r="B19" s="13">
        <v>45674</v>
      </c>
      <c r="C19" s="14" t="s">
        <v>103</v>
      </c>
      <c r="D19" s="14" t="s">
        <v>140</v>
      </c>
      <c r="E19" s="14" t="s">
        <v>141</v>
      </c>
      <c r="F19" s="14">
        <v>1</v>
      </c>
      <c r="G19" s="15">
        <v>1</v>
      </c>
      <c r="H19" s="15" t="s">
        <v>3968</v>
      </c>
      <c r="I19" s="13">
        <v>45674</v>
      </c>
      <c r="J19" s="15" t="s">
        <v>3972</v>
      </c>
      <c r="K19" s="64" t="s">
        <v>3990</v>
      </c>
      <c r="L19" s="16">
        <f>MONTH(Table4[[#This Row],[Order Date]])</f>
        <v>1</v>
      </c>
    </row>
    <row r="20" spans="1:12" hidden="1">
      <c r="A20" s="14">
        <v>51000136</v>
      </c>
      <c r="B20" s="13">
        <v>45674</v>
      </c>
      <c r="C20" s="14" t="s">
        <v>103</v>
      </c>
      <c r="D20" s="14" t="s">
        <v>142</v>
      </c>
      <c r="E20" s="14" t="s">
        <v>3995</v>
      </c>
      <c r="F20" s="14">
        <v>1</v>
      </c>
      <c r="G20" s="15">
        <v>1</v>
      </c>
      <c r="H20" s="15" t="s">
        <v>3968</v>
      </c>
      <c r="I20" s="18">
        <v>45677</v>
      </c>
      <c r="J20" s="15" t="s">
        <v>3972</v>
      </c>
      <c r="K20" s="64" t="s">
        <v>3990</v>
      </c>
      <c r="L20" s="16">
        <f>MONTH(Table4[[#This Row],[Order Date]])</f>
        <v>1</v>
      </c>
    </row>
    <row r="21" spans="1:12" hidden="1">
      <c r="A21" s="14">
        <v>51000136</v>
      </c>
      <c r="B21" s="13">
        <v>45674</v>
      </c>
      <c r="C21" s="14" t="s">
        <v>103</v>
      </c>
      <c r="D21" s="14" t="s">
        <v>146</v>
      </c>
      <c r="E21" s="14" t="s">
        <v>147</v>
      </c>
      <c r="F21" s="14">
        <v>1</v>
      </c>
      <c r="G21" s="15">
        <v>1</v>
      </c>
      <c r="H21" s="15" t="s">
        <v>3971</v>
      </c>
      <c r="I21" s="13">
        <v>45674</v>
      </c>
      <c r="J21" s="15" t="s">
        <v>3969</v>
      </c>
      <c r="K21" s="64" t="s">
        <v>3990</v>
      </c>
      <c r="L21" s="16">
        <f>MONTH(Table4[[#This Row],[Order Date]])</f>
        <v>1</v>
      </c>
    </row>
    <row r="22" spans="1:12" hidden="1">
      <c r="A22" s="14">
        <v>51000136</v>
      </c>
      <c r="B22" s="13">
        <v>45674</v>
      </c>
      <c r="C22" s="14" t="s">
        <v>103</v>
      </c>
      <c r="D22" s="14" t="s">
        <v>148</v>
      </c>
      <c r="E22" s="14" t="s">
        <v>149</v>
      </c>
      <c r="F22" s="14">
        <v>1</v>
      </c>
      <c r="G22" s="15">
        <v>1</v>
      </c>
      <c r="H22" s="15" t="s">
        <v>3968</v>
      </c>
      <c r="I22" s="13">
        <v>45674</v>
      </c>
      <c r="J22" s="15" t="s">
        <v>3969</v>
      </c>
      <c r="K22" s="64" t="s">
        <v>3990</v>
      </c>
      <c r="L22" s="16">
        <f>MONTH(Table4[[#This Row],[Order Date]])</f>
        <v>1</v>
      </c>
    </row>
    <row r="23" spans="1:12" hidden="1">
      <c r="A23" s="14">
        <v>50110193</v>
      </c>
      <c r="B23" s="18">
        <v>45677</v>
      </c>
      <c r="C23" s="14" t="s">
        <v>33</v>
      </c>
      <c r="D23" s="14" t="s">
        <v>158</v>
      </c>
      <c r="E23" s="14" t="s">
        <v>159</v>
      </c>
      <c r="F23" s="14">
        <v>1</v>
      </c>
      <c r="G23" s="15">
        <v>1</v>
      </c>
      <c r="H23" s="15" t="s">
        <v>3968</v>
      </c>
      <c r="I23" s="18">
        <v>45677</v>
      </c>
      <c r="J23" s="15" t="s">
        <v>3969</v>
      </c>
      <c r="K23" s="64" t="s">
        <v>3990</v>
      </c>
      <c r="L23" s="16">
        <f>MONTH(Table4[[#This Row],[Order Date]])</f>
        <v>1</v>
      </c>
    </row>
    <row r="24" spans="1:12" hidden="1">
      <c r="A24" s="14">
        <v>50110229</v>
      </c>
      <c r="B24" s="18">
        <v>45677</v>
      </c>
      <c r="C24" s="14" t="s">
        <v>109</v>
      </c>
      <c r="D24" s="14" t="s">
        <v>94</v>
      </c>
      <c r="E24" s="14" t="s">
        <v>162</v>
      </c>
      <c r="F24" s="14">
        <v>2</v>
      </c>
      <c r="G24" s="15">
        <v>2</v>
      </c>
      <c r="H24" s="15" t="s">
        <v>3968</v>
      </c>
      <c r="I24" s="13"/>
      <c r="J24" s="15" t="s">
        <v>3972</v>
      </c>
      <c r="K24" s="64" t="s">
        <v>3990</v>
      </c>
      <c r="L24" s="16">
        <f>MONTH(Table4[[#This Row],[Order Date]])</f>
        <v>1</v>
      </c>
    </row>
    <row r="25" spans="1:12" hidden="1">
      <c r="A25" s="14">
        <v>51000136</v>
      </c>
      <c r="B25" s="18">
        <v>45677</v>
      </c>
      <c r="C25" s="14" t="s">
        <v>103</v>
      </c>
      <c r="D25" s="14" t="s">
        <v>165</v>
      </c>
      <c r="E25" s="14" t="s">
        <v>166</v>
      </c>
      <c r="F25" s="14">
        <v>1</v>
      </c>
      <c r="G25" s="15">
        <v>1</v>
      </c>
      <c r="H25" s="15" t="s">
        <v>3968</v>
      </c>
      <c r="I25" s="18">
        <v>45677</v>
      </c>
      <c r="J25" s="15" t="s">
        <v>3969</v>
      </c>
      <c r="K25" s="64" t="s">
        <v>3990</v>
      </c>
      <c r="L25" s="16">
        <f>MONTH(Table4[[#This Row],[Order Date]])</f>
        <v>1</v>
      </c>
    </row>
    <row r="26" spans="1:12" hidden="1">
      <c r="A26" s="14">
        <v>44000216</v>
      </c>
      <c r="B26" s="18">
        <v>45677</v>
      </c>
      <c r="C26" s="14" t="s">
        <v>54</v>
      </c>
      <c r="D26" s="14" t="s">
        <v>169</v>
      </c>
      <c r="E26" s="14" t="s">
        <v>170</v>
      </c>
      <c r="F26" s="14">
        <v>1</v>
      </c>
      <c r="G26" s="15">
        <v>1</v>
      </c>
      <c r="H26" s="15" t="s">
        <v>3968</v>
      </c>
      <c r="I26" s="13">
        <v>45672</v>
      </c>
      <c r="J26" s="15" t="s">
        <v>3969</v>
      </c>
      <c r="K26" s="64" t="s">
        <v>3990</v>
      </c>
      <c r="L26" s="16">
        <f>MONTH(Table4[[#This Row],[Order Date]])</f>
        <v>1</v>
      </c>
    </row>
    <row r="27" spans="1:12" hidden="1">
      <c r="A27" s="14">
        <v>48300301</v>
      </c>
      <c r="B27" s="18">
        <v>45677</v>
      </c>
      <c r="C27" s="14" t="s">
        <v>63</v>
      </c>
      <c r="D27" s="14" t="s">
        <v>174</v>
      </c>
      <c r="E27" s="14" t="s">
        <v>2821</v>
      </c>
      <c r="F27" s="14">
        <v>1</v>
      </c>
      <c r="G27" s="15">
        <v>1</v>
      </c>
      <c r="H27" s="15" t="s">
        <v>3968</v>
      </c>
      <c r="I27" s="18">
        <v>45677</v>
      </c>
      <c r="J27" s="15" t="s">
        <v>3969</v>
      </c>
      <c r="K27" s="64" t="s">
        <v>3990</v>
      </c>
      <c r="L27" s="16">
        <f>MONTH(Table4[[#This Row],[Order Date]])</f>
        <v>1</v>
      </c>
    </row>
    <row r="28" spans="1:12" hidden="1">
      <c r="A28" s="14">
        <v>50110193</v>
      </c>
      <c r="B28" s="18">
        <v>45677</v>
      </c>
      <c r="C28" s="14" t="s">
        <v>33</v>
      </c>
      <c r="D28" s="14" t="s">
        <v>178</v>
      </c>
      <c r="E28" s="14" t="s">
        <v>3996</v>
      </c>
      <c r="F28" s="14">
        <v>2</v>
      </c>
      <c r="G28" s="15">
        <v>2</v>
      </c>
      <c r="H28" s="15" t="s">
        <v>3968</v>
      </c>
      <c r="I28" s="13"/>
      <c r="J28" s="15" t="s">
        <v>3969</v>
      </c>
      <c r="K28" s="64" t="s">
        <v>3990</v>
      </c>
      <c r="L28" s="16">
        <f>MONTH(Table4[[#This Row],[Order Date]])</f>
        <v>1</v>
      </c>
    </row>
    <row r="29" spans="1:12" hidden="1">
      <c r="A29" s="14">
        <v>50000343</v>
      </c>
      <c r="B29" s="13">
        <v>45678</v>
      </c>
      <c r="C29" s="14" t="s">
        <v>73</v>
      </c>
      <c r="D29" s="14" t="s">
        <v>75</v>
      </c>
      <c r="E29" s="14" t="s">
        <v>76</v>
      </c>
      <c r="F29" s="14">
        <v>1</v>
      </c>
      <c r="G29" s="15">
        <v>1</v>
      </c>
      <c r="H29" s="15" t="s">
        <v>3968</v>
      </c>
      <c r="I29" s="13">
        <v>45663</v>
      </c>
      <c r="J29" s="15" t="s">
        <v>3969</v>
      </c>
      <c r="K29" s="64" t="s">
        <v>3990</v>
      </c>
      <c r="L29" s="16">
        <f>MONTH(Table4[[#This Row],[Order Date]])</f>
        <v>1</v>
      </c>
    </row>
    <row r="30" spans="1:12" hidden="1">
      <c r="A30" s="14" t="s">
        <v>182</v>
      </c>
      <c r="B30" s="18">
        <v>45678</v>
      </c>
      <c r="C30" s="14" t="s">
        <v>3997</v>
      </c>
      <c r="D30" s="14" t="s">
        <v>186</v>
      </c>
      <c r="E30" s="14" t="s">
        <v>3998</v>
      </c>
      <c r="F30" s="14">
        <v>1</v>
      </c>
      <c r="G30" s="15">
        <v>1</v>
      </c>
      <c r="H30" s="15" t="s">
        <v>3971</v>
      </c>
      <c r="I30" s="13">
        <v>45672</v>
      </c>
      <c r="J30" s="15" t="s">
        <v>3969</v>
      </c>
      <c r="K30" s="64" t="s">
        <v>3990</v>
      </c>
      <c r="L30" s="16">
        <f>MONTH(Table4[[#This Row],[Order Date]])</f>
        <v>1</v>
      </c>
    </row>
    <row r="31" spans="1:12" hidden="1">
      <c r="A31" s="14" t="s">
        <v>182</v>
      </c>
      <c r="B31" s="18">
        <v>45678</v>
      </c>
      <c r="C31" s="14" t="s">
        <v>3997</v>
      </c>
      <c r="D31" s="14" t="s">
        <v>188</v>
      </c>
      <c r="E31" s="14" t="s">
        <v>3999</v>
      </c>
      <c r="F31" s="14">
        <v>4</v>
      </c>
      <c r="G31" s="15">
        <v>4</v>
      </c>
      <c r="H31" s="15" t="s">
        <v>3971</v>
      </c>
      <c r="I31" s="13">
        <v>45672</v>
      </c>
      <c r="J31" s="15" t="s">
        <v>3969</v>
      </c>
      <c r="K31" s="64" t="s">
        <v>3990</v>
      </c>
      <c r="L31" s="16">
        <f>MONTH(Table4[[#This Row],[Order Date]])</f>
        <v>1</v>
      </c>
    </row>
    <row r="32" spans="1:12" hidden="1">
      <c r="A32" s="14" t="s">
        <v>182</v>
      </c>
      <c r="B32" s="18">
        <v>45678</v>
      </c>
      <c r="C32" s="14" t="s">
        <v>3997</v>
      </c>
      <c r="D32" s="14" t="s">
        <v>183</v>
      </c>
      <c r="E32" s="14" t="s">
        <v>184</v>
      </c>
      <c r="F32" s="14">
        <v>4</v>
      </c>
      <c r="G32" s="15">
        <v>0</v>
      </c>
      <c r="H32" s="15" t="s">
        <v>3971</v>
      </c>
      <c r="I32" s="13"/>
      <c r="J32" s="15" t="s">
        <v>3969</v>
      </c>
      <c r="K32" s="64" t="s">
        <v>3990</v>
      </c>
      <c r="L32" s="16">
        <f>MONTH(Table4[[#This Row],[Order Date]])</f>
        <v>1</v>
      </c>
    </row>
    <row r="33" spans="1:12" hidden="1">
      <c r="A33" s="14">
        <v>48300301</v>
      </c>
      <c r="B33" s="18">
        <v>45679</v>
      </c>
      <c r="C33" s="14" t="s">
        <v>63</v>
      </c>
      <c r="D33" s="14" t="s">
        <v>198</v>
      </c>
      <c r="E33" s="14" t="s">
        <v>4000</v>
      </c>
      <c r="F33" s="14">
        <v>1</v>
      </c>
      <c r="G33" s="15">
        <v>1</v>
      </c>
      <c r="H33" s="15" t="s">
        <v>3971</v>
      </c>
      <c r="I33" s="13"/>
      <c r="J33" s="15" t="s">
        <v>3969</v>
      </c>
      <c r="K33" s="64" t="s">
        <v>3990</v>
      </c>
      <c r="L33" s="16">
        <f>MONTH(Table4[[#This Row],[Order Date]])</f>
        <v>1</v>
      </c>
    </row>
    <row r="34" spans="1:12" hidden="1">
      <c r="A34" s="14">
        <v>60002072</v>
      </c>
      <c r="B34" s="18">
        <v>45679</v>
      </c>
      <c r="C34" s="14" t="s">
        <v>202</v>
      </c>
      <c r="D34" s="14" t="s">
        <v>204</v>
      </c>
      <c r="E34" s="14" t="s">
        <v>205</v>
      </c>
      <c r="F34" s="14">
        <v>1</v>
      </c>
      <c r="G34" s="15">
        <v>1</v>
      </c>
      <c r="H34" s="15" t="s">
        <v>3968</v>
      </c>
      <c r="I34" s="13">
        <v>45673</v>
      </c>
      <c r="J34" s="15" t="s">
        <v>3969</v>
      </c>
      <c r="K34" s="64" t="s">
        <v>3990</v>
      </c>
      <c r="L34" s="16">
        <f>MONTH(Table4[[#This Row],[Order Date]])</f>
        <v>1</v>
      </c>
    </row>
    <row r="35" spans="1:12" hidden="1">
      <c r="A35" s="14">
        <v>60002072</v>
      </c>
      <c r="B35" s="18">
        <v>45679</v>
      </c>
      <c r="C35" s="14" t="s">
        <v>202</v>
      </c>
      <c r="D35" s="14" t="s">
        <v>207</v>
      </c>
      <c r="E35" s="14" t="s">
        <v>208</v>
      </c>
      <c r="F35" s="14">
        <v>1</v>
      </c>
      <c r="G35" s="15">
        <v>1</v>
      </c>
      <c r="H35" s="15" t="s">
        <v>3968</v>
      </c>
      <c r="I35" s="13">
        <v>45673</v>
      </c>
      <c r="J35" s="15" t="s">
        <v>3969</v>
      </c>
      <c r="K35" s="64" t="s">
        <v>3990</v>
      </c>
      <c r="L35" s="16">
        <f>MONTH(Table4[[#This Row],[Order Date]])</f>
        <v>1</v>
      </c>
    </row>
    <row r="36" spans="1:12" hidden="1">
      <c r="A36" s="14">
        <v>48000482</v>
      </c>
      <c r="B36" s="13">
        <v>45681</v>
      </c>
      <c r="C36" s="14" t="s">
        <v>152</v>
      </c>
      <c r="D36" s="14" t="s">
        <v>153</v>
      </c>
      <c r="E36" s="14" t="s">
        <v>4001</v>
      </c>
      <c r="F36" s="14">
        <v>1</v>
      </c>
      <c r="G36" s="15">
        <v>1</v>
      </c>
      <c r="H36" s="15" t="s">
        <v>3968</v>
      </c>
      <c r="I36" s="13">
        <v>45667</v>
      </c>
      <c r="J36" s="15" t="s">
        <v>3969</v>
      </c>
      <c r="K36" s="64" t="s">
        <v>3990</v>
      </c>
      <c r="L36" s="16">
        <f>MONTH(Table4[[#This Row],[Order Date]])</f>
        <v>1</v>
      </c>
    </row>
    <row r="37" spans="1:12" hidden="1">
      <c r="A37" s="14">
        <v>60002072</v>
      </c>
      <c r="B37" s="18">
        <v>45681</v>
      </c>
      <c r="C37" s="14" t="s">
        <v>202</v>
      </c>
      <c r="D37" s="14" t="s">
        <v>211</v>
      </c>
      <c r="E37" s="14" t="s">
        <v>212</v>
      </c>
      <c r="F37" s="14">
        <v>1</v>
      </c>
      <c r="G37" s="15">
        <v>1</v>
      </c>
      <c r="H37" s="15" t="s">
        <v>3968</v>
      </c>
      <c r="I37" s="13"/>
      <c r="J37" s="15" t="s">
        <v>3972</v>
      </c>
      <c r="K37" s="64" t="s">
        <v>3990</v>
      </c>
      <c r="L37" s="16">
        <f>MONTH(Table4[[#This Row],[Order Date]])</f>
        <v>1</v>
      </c>
    </row>
    <row r="38" spans="1:12" hidden="1">
      <c r="A38" s="14">
        <v>50110229</v>
      </c>
      <c r="B38" s="18">
        <v>45681</v>
      </c>
      <c r="C38" s="14" t="s">
        <v>109</v>
      </c>
      <c r="D38" s="14" t="s">
        <v>215</v>
      </c>
      <c r="E38" s="14" t="s">
        <v>4002</v>
      </c>
      <c r="F38" s="14">
        <v>1</v>
      </c>
      <c r="G38" s="15">
        <v>1</v>
      </c>
      <c r="H38" s="15" t="s">
        <v>3968</v>
      </c>
      <c r="I38" s="13"/>
      <c r="J38" s="15" t="s">
        <v>3969</v>
      </c>
      <c r="K38" s="64" t="s">
        <v>3990</v>
      </c>
      <c r="L38" s="16">
        <f>MONTH(Table4[[#This Row],[Order Date]])</f>
        <v>1</v>
      </c>
    </row>
    <row r="39" spans="1:12" hidden="1">
      <c r="A39" s="14">
        <v>50000202</v>
      </c>
      <c r="B39" s="18">
        <v>45681</v>
      </c>
      <c r="C39" s="14" t="s">
        <v>93</v>
      </c>
      <c r="D39" s="14" t="s">
        <v>158</v>
      </c>
      <c r="E39" s="14" t="s">
        <v>221</v>
      </c>
      <c r="F39" s="14">
        <v>1</v>
      </c>
      <c r="G39" s="15">
        <v>1</v>
      </c>
      <c r="H39" s="15" t="s">
        <v>3968</v>
      </c>
      <c r="I39" s="13">
        <v>45671</v>
      </c>
      <c r="J39" s="15" t="s">
        <v>3969</v>
      </c>
      <c r="K39" s="64" t="s">
        <v>3990</v>
      </c>
      <c r="L39" s="16">
        <f>MONTH(Table4[[#This Row],[Order Date]])</f>
        <v>1</v>
      </c>
    </row>
    <row r="40" spans="1:12" hidden="1">
      <c r="A40" s="14">
        <v>43000422</v>
      </c>
      <c r="B40" s="18">
        <v>45681</v>
      </c>
      <c r="C40" s="14" t="s">
        <v>225</v>
      </c>
      <c r="D40" s="14" t="s">
        <v>4003</v>
      </c>
      <c r="E40" s="14" t="s">
        <v>228</v>
      </c>
      <c r="F40" s="14">
        <v>1</v>
      </c>
      <c r="G40" s="15">
        <v>1</v>
      </c>
      <c r="H40" s="15" t="s">
        <v>3968</v>
      </c>
      <c r="I40" s="13">
        <v>45672</v>
      </c>
      <c r="J40" s="15" t="s">
        <v>3969</v>
      </c>
      <c r="K40" s="64" t="s">
        <v>3990</v>
      </c>
      <c r="L40" s="16">
        <f>MONTH(Table4[[#This Row],[Order Date]])</f>
        <v>1</v>
      </c>
    </row>
    <row r="41" spans="1:12" hidden="1">
      <c r="A41" s="14">
        <v>47100399</v>
      </c>
      <c r="B41" s="18">
        <v>45681</v>
      </c>
      <c r="C41" s="14" t="s">
        <v>233</v>
      </c>
      <c r="D41" s="14" t="s">
        <v>235</v>
      </c>
      <c r="E41" s="14" t="s">
        <v>4004</v>
      </c>
      <c r="F41" s="14">
        <v>1</v>
      </c>
      <c r="G41" s="15">
        <v>1</v>
      </c>
      <c r="H41" s="15" t="s">
        <v>3968</v>
      </c>
      <c r="I41" s="13"/>
      <c r="J41" s="15" t="s">
        <v>3969</v>
      </c>
      <c r="K41" s="64" t="s">
        <v>3990</v>
      </c>
      <c r="L41" s="16">
        <f>MONTH(Table4[[#This Row],[Order Date]])</f>
        <v>1</v>
      </c>
    </row>
    <row r="42" spans="1:12" hidden="1">
      <c r="A42" s="14">
        <v>47100399</v>
      </c>
      <c r="B42" s="18">
        <v>45681</v>
      </c>
      <c r="C42" s="14" t="s">
        <v>233</v>
      </c>
      <c r="D42" s="14" t="s">
        <v>238</v>
      </c>
      <c r="E42" s="14" t="s">
        <v>239</v>
      </c>
      <c r="F42" s="14">
        <v>1</v>
      </c>
      <c r="G42" s="15">
        <v>1</v>
      </c>
      <c r="H42" s="15" t="s">
        <v>3968</v>
      </c>
      <c r="I42" s="13">
        <v>45664</v>
      </c>
      <c r="J42" s="15" t="s">
        <v>3969</v>
      </c>
      <c r="K42" s="64" t="s">
        <v>3990</v>
      </c>
      <c r="L42" s="16">
        <f>MONTH(Table4[[#This Row],[Order Date]])</f>
        <v>1</v>
      </c>
    </row>
    <row r="43" spans="1:12" hidden="1">
      <c r="A43" s="14">
        <v>47100399</v>
      </c>
      <c r="B43" s="18">
        <v>45681</v>
      </c>
      <c r="C43" s="14" t="s">
        <v>233</v>
      </c>
      <c r="D43" s="14" t="s">
        <v>241</v>
      </c>
      <c r="E43" s="14" t="s">
        <v>242</v>
      </c>
      <c r="F43" s="14">
        <v>1</v>
      </c>
      <c r="G43" s="15">
        <v>1</v>
      </c>
      <c r="H43" s="15" t="s">
        <v>3968</v>
      </c>
      <c r="I43" s="13">
        <v>45664</v>
      </c>
      <c r="J43" s="15" t="s">
        <v>3969</v>
      </c>
      <c r="K43" s="64" t="s">
        <v>3990</v>
      </c>
      <c r="L43" s="16">
        <f>MONTH(Table4[[#This Row],[Order Date]])</f>
        <v>1</v>
      </c>
    </row>
    <row r="44" spans="1:12" hidden="1">
      <c r="A44" s="14">
        <v>50110057</v>
      </c>
      <c r="B44" s="18">
        <v>45681</v>
      </c>
      <c r="C44" s="14" t="s">
        <v>3997</v>
      </c>
      <c r="D44" s="14" t="s">
        <v>245</v>
      </c>
      <c r="E44" s="14" t="s">
        <v>246</v>
      </c>
      <c r="F44" s="14">
        <v>4</v>
      </c>
      <c r="G44" s="15">
        <v>4</v>
      </c>
      <c r="H44" s="15" t="s">
        <v>3968</v>
      </c>
      <c r="I44" s="13"/>
      <c r="J44" s="15" t="s">
        <v>3969</v>
      </c>
      <c r="K44" s="64" t="s">
        <v>3990</v>
      </c>
      <c r="L44" s="16">
        <f>MONTH(Table4[[#This Row],[Order Date]])</f>
        <v>1</v>
      </c>
    </row>
    <row r="45" spans="1:12" hidden="1">
      <c r="A45" s="14">
        <v>50110193</v>
      </c>
      <c r="B45" s="18">
        <v>45681</v>
      </c>
      <c r="C45" s="14" t="s">
        <v>33</v>
      </c>
      <c r="D45" s="14" t="s">
        <v>134</v>
      </c>
      <c r="E45" s="14" t="s">
        <v>250</v>
      </c>
      <c r="F45" s="14">
        <v>1</v>
      </c>
      <c r="G45" s="15">
        <v>1</v>
      </c>
      <c r="H45" s="15" t="s">
        <v>3968</v>
      </c>
      <c r="I45" s="13">
        <v>45681</v>
      </c>
      <c r="J45" s="15" t="s">
        <v>3972</v>
      </c>
      <c r="K45" s="64" t="s">
        <v>3990</v>
      </c>
      <c r="L45" s="16">
        <f>MONTH(Table4[[#This Row],[Order Date]])</f>
        <v>1</v>
      </c>
    </row>
    <row r="46" spans="1:12" hidden="1">
      <c r="A46" s="14">
        <v>50110193</v>
      </c>
      <c r="B46" s="18">
        <v>45681</v>
      </c>
      <c r="C46" s="14" t="s">
        <v>33</v>
      </c>
      <c r="D46" s="14" t="s">
        <v>136</v>
      </c>
      <c r="E46" s="14" t="s">
        <v>137</v>
      </c>
      <c r="F46" s="14">
        <v>1</v>
      </c>
      <c r="G46" s="15">
        <v>1</v>
      </c>
      <c r="H46" s="15" t="s">
        <v>3968</v>
      </c>
      <c r="I46" s="13">
        <v>45681</v>
      </c>
      <c r="J46" s="15" t="s">
        <v>3972</v>
      </c>
      <c r="K46" s="64" t="s">
        <v>3990</v>
      </c>
      <c r="L46" s="16">
        <f>MONTH(Table4[[#This Row],[Order Date]])</f>
        <v>1</v>
      </c>
    </row>
    <row r="47" spans="1:12" hidden="1">
      <c r="A47" s="14">
        <v>48000432</v>
      </c>
      <c r="B47" s="18">
        <v>45681</v>
      </c>
      <c r="C47" s="14" t="s">
        <v>63</v>
      </c>
      <c r="D47" s="14" t="s">
        <v>253</v>
      </c>
      <c r="E47" s="14" t="s">
        <v>4005</v>
      </c>
      <c r="F47" s="14">
        <v>1</v>
      </c>
      <c r="G47" s="15">
        <v>1</v>
      </c>
      <c r="H47" s="15" t="s">
        <v>3968</v>
      </c>
      <c r="I47" s="13">
        <v>45681</v>
      </c>
      <c r="J47" s="15" t="s">
        <v>3969</v>
      </c>
      <c r="K47" s="64" t="s">
        <v>3990</v>
      </c>
      <c r="L47" s="16">
        <f>MONTH(Table4[[#This Row],[Order Date]])</f>
        <v>1</v>
      </c>
    </row>
    <row r="48" spans="1:12" hidden="1">
      <c r="A48" s="14">
        <v>50110193</v>
      </c>
      <c r="B48" s="18">
        <v>45681</v>
      </c>
      <c r="C48" s="14" t="s">
        <v>33</v>
      </c>
      <c r="D48" s="14" t="s">
        <v>259</v>
      </c>
      <c r="E48" s="14" t="s">
        <v>260</v>
      </c>
      <c r="F48" s="14">
        <v>1</v>
      </c>
      <c r="G48" s="15">
        <v>1</v>
      </c>
      <c r="H48" s="15" t="s">
        <v>3968</v>
      </c>
      <c r="I48" s="13"/>
      <c r="J48" s="15" t="s">
        <v>3972</v>
      </c>
      <c r="K48" s="64" t="s">
        <v>3990</v>
      </c>
      <c r="L48" s="16">
        <f>MONTH(Table4[[#This Row],[Order Date]])</f>
        <v>1</v>
      </c>
    </row>
    <row r="49" spans="1:12" hidden="1">
      <c r="A49" s="14">
        <v>50110193</v>
      </c>
      <c r="B49" s="18">
        <v>45681</v>
      </c>
      <c r="C49" s="14" t="s">
        <v>33</v>
      </c>
      <c r="D49" s="14" t="s">
        <v>261</v>
      </c>
      <c r="E49" s="14" t="s">
        <v>262</v>
      </c>
      <c r="F49" s="14">
        <v>1</v>
      </c>
      <c r="G49" s="15">
        <v>1</v>
      </c>
      <c r="H49" s="15" t="s">
        <v>3968</v>
      </c>
      <c r="I49" s="13">
        <v>45681</v>
      </c>
      <c r="J49" s="15" t="s">
        <v>3972</v>
      </c>
      <c r="K49" s="64" t="s">
        <v>3990</v>
      </c>
      <c r="L49" s="16">
        <f>MONTH(Table4[[#This Row],[Order Date]])</f>
        <v>1</v>
      </c>
    </row>
    <row r="50" spans="1:12" hidden="1">
      <c r="A50" s="14">
        <v>50110193</v>
      </c>
      <c r="B50" s="18">
        <v>45681</v>
      </c>
      <c r="C50" s="14" t="s">
        <v>33</v>
      </c>
      <c r="D50" s="14" t="s">
        <v>265</v>
      </c>
      <c r="E50" s="14" t="s">
        <v>266</v>
      </c>
      <c r="F50" s="14">
        <v>1</v>
      </c>
      <c r="G50" s="15">
        <v>1</v>
      </c>
      <c r="H50" s="15" t="s">
        <v>3968</v>
      </c>
      <c r="I50" s="13"/>
      <c r="J50" s="15" t="s">
        <v>3972</v>
      </c>
      <c r="K50" s="64" t="s">
        <v>3990</v>
      </c>
      <c r="L50" s="16">
        <f>MONTH(Table4[[#This Row],[Order Date]])</f>
        <v>1</v>
      </c>
    </row>
    <row r="51" spans="1:12" hidden="1">
      <c r="A51" s="14">
        <v>50000530</v>
      </c>
      <c r="B51" s="18">
        <v>45681</v>
      </c>
      <c r="C51" s="14" t="s">
        <v>79</v>
      </c>
      <c r="D51" s="14" t="s">
        <v>269</v>
      </c>
      <c r="E51" s="14" t="s">
        <v>270</v>
      </c>
      <c r="F51" s="14">
        <v>1</v>
      </c>
      <c r="G51" s="15">
        <v>1</v>
      </c>
      <c r="H51" s="15" t="s">
        <v>3968</v>
      </c>
      <c r="I51" s="13">
        <v>45673</v>
      </c>
      <c r="J51" s="15" t="s">
        <v>3969</v>
      </c>
      <c r="K51" s="64" t="s">
        <v>3990</v>
      </c>
      <c r="L51" s="16">
        <f>MONTH(Table4[[#This Row],[Order Date]])</f>
        <v>1</v>
      </c>
    </row>
    <row r="52" spans="1:12" hidden="1">
      <c r="A52" s="14">
        <v>50000530</v>
      </c>
      <c r="B52" s="18">
        <v>45681</v>
      </c>
      <c r="C52" s="14" t="s">
        <v>79</v>
      </c>
      <c r="D52" s="14" t="s">
        <v>271</v>
      </c>
      <c r="E52" s="14" t="s">
        <v>272</v>
      </c>
      <c r="F52" s="14">
        <v>1</v>
      </c>
      <c r="G52" s="15">
        <v>1</v>
      </c>
      <c r="H52" s="15" t="s">
        <v>3968</v>
      </c>
      <c r="I52" s="13">
        <v>45673</v>
      </c>
      <c r="J52" s="15" t="s">
        <v>3969</v>
      </c>
      <c r="K52" s="64" t="s">
        <v>3990</v>
      </c>
      <c r="L52" s="16">
        <f>MONTH(Table4[[#This Row],[Order Date]])</f>
        <v>1</v>
      </c>
    </row>
    <row r="53" spans="1:12" hidden="1">
      <c r="A53" s="14">
        <v>48000044</v>
      </c>
      <c r="B53" s="18">
        <v>45681</v>
      </c>
      <c r="C53" s="14" t="s">
        <v>118</v>
      </c>
      <c r="D53" s="14" t="s">
        <v>153</v>
      </c>
      <c r="E53" s="14" t="s">
        <v>4006</v>
      </c>
      <c r="F53" s="14">
        <v>1</v>
      </c>
      <c r="G53" s="15">
        <v>1</v>
      </c>
      <c r="H53" s="15" t="s">
        <v>3968</v>
      </c>
      <c r="I53" s="13">
        <v>45678</v>
      </c>
      <c r="J53" s="15" t="s">
        <v>3969</v>
      </c>
      <c r="K53" s="64" t="s">
        <v>3990</v>
      </c>
      <c r="L53" s="16">
        <f>MONTH(Table4[[#This Row],[Order Date]])</f>
        <v>1</v>
      </c>
    </row>
    <row r="54" spans="1:12" hidden="1">
      <c r="A54" s="14">
        <v>48000044</v>
      </c>
      <c r="B54" s="18">
        <v>45681</v>
      </c>
      <c r="C54" s="14" t="s">
        <v>118</v>
      </c>
      <c r="D54" s="14" t="s">
        <v>280</v>
      </c>
      <c r="E54" s="14" t="s">
        <v>4007</v>
      </c>
      <c r="F54" s="14">
        <v>1</v>
      </c>
      <c r="G54" s="15">
        <v>1</v>
      </c>
      <c r="H54" s="15" t="s">
        <v>3968</v>
      </c>
      <c r="I54" s="13">
        <v>45665</v>
      </c>
      <c r="J54" s="15" t="s">
        <v>3969</v>
      </c>
      <c r="K54" s="64" t="s">
        <v>3990</v>
      </c>
      <c r="L54" s="16">
        <f>MONTH(Table4[[#This Row],[Order Date]])</f>
        <v>1</v>
      </c>
    </row>
    <row r="55" spans="1:12" hidden="1">
      <c r="A55" s="14">
        <v>41000142</v>
      </c>
      <c r="B55" s="21">
        <v>45686</v>
      </c>
      <c r="C55" s="19" t="s">
        <v>192</v>
      </c>
      <c r="D55" s="19" t="s">
        <v>130</v>
      </c>
      <c r="E55" s="19" t="s">
        <v>194</v>
      </c>
      <c r="F55" s="19">
        <v>2</v>
      </c>
      <c r="G55" s="20">
        <v>2</v>
      </c>
      <c r="H55" s="15" t="s">
        <v>3971</v>
      </c>
      <c r="I55" s="29">
        <v>45663</v>
      </c>
      <c r="J55" s="15" t="s">
        <v>3969</v>
      </c>
      <c r="K55" s="64" t="s">
        <v>3990</v>
      </c>
      <c r="L55" s="22">
        <f>MONTH(Table4[[#This Row],[Order Date]])</f>
        <v>1</v>
      </c>
    </row>
    <row r="56" spans="1:12" hidden="1">
      <c r="A56" s="14">
        <v>50110057</v>
      </c>
      <c r="B56" s="18">
        <v>45691</v>
      </c>
      <c r="C56" s="14" t="s">
        <v>181</v>
      </c>
      <c r="D56" s="14" t="s">
        <v>284</v>
      </c>
      <c r="E56" s="14" t="s">
        <v>285</v>
      </c>
      <c r="F56" s="14">
        <v>1</v>
      </c>
      <c r="G56" s="15">
        <v>0</v>
      </c>
      <c r="H56" s="15" t="s">
        <v>3968</v>
      </c>
      <c r="I56" s="13">
        <v>45706</v>
      </c>
      <c r="J56" s="15" t="s">
        <v>3969</v>
      </c>
      <c r="K56" s="64" t="s">
        <v>3990</v>
      </c>
      <c r="L56" s="16">
        <f>MONTH(Table4[[#This Row],[Order Date]])</f>
        <v>2</v>
      </c>
    </row>
    <row r="57" spans="1:12" hidden="1">
      <c r="A57" s="14">
        <v>50110057</v>
      </c>
      <c r="B57" s="18">
        <v>45691</v>
      </c>
      <c r="C57" s="14" t="s">
        <v>181</v>
      </c>
      <c r="D57" s="14" t="s">
        <v>286</v>
      </c>
      <c r="E57" s="14" t="s">
        <v>287</v>
      </c>
      <c r="F57" s="14">
        <v>1</v>
      </c>
      <c r="G57" s="15">
        <v>1</v>
      </c>
      <c r="H57" s="15" t="s">
        <v>3968</v>
      </c>
      <c r="I57" s="13">
        <v>45706</v>
      </c>
      <c r="J57" s="15" t="s">
        <v>3969</v>
      </c>
      <c r="K57" s="64" t="s">
        <v>3990</v>
      </c>
      <c r="L57" s="16">
        <f>MONTH(Table4[[#This Row],[Order Date]])</f>
        <v>2</v>
      </c>
    </row>
    <row r="58" spans="1:12" hidden="1">
      <c r="A58" s="14">
        <v>50110057</v>
      </c>
      <c r="B58" s="18">
        <v>45691</v>
      </c>
      <c r="C58" s="14" t="s">
        <v>181</v>
      </c>
      <c r="D58" s="14" t="s">
        <v>288</v>
      </c>
      <c r="E58" s="14" t="s">
        <v>289</v>
      </c>
      <c r="F58" s="14">
        <v>1</v>
      </c>
      <c r="G58" s="15">
        <v>1</v>
      </c>
      <c r="H58" s="15" t="s">
        <v>3968</v>
      </c>
      <c r="I58" s="13">
        <v>45706</v>
      </c>
      <c r="J58" s="15" t="s">
        <v>3969</v>
      </c>
      <c r="K58" s="64" t="s">
        <v>3990</v>
      </c>
      <c r="L58" s="16">
        <f>MONTH(Table4[[#This Row],[Order Date]])</f>
        <v>2</v>
      </c>
    </row>
    <row r="59" spans="1:12" hidden="1">
      <c r="A59" s="14">
        <v>50110372</v>
      </c>
      <c r="B59" s="18">
        <v>45691</v>
      </c>
      <c r="C59" s="14" t="s">
        <v>73</v>
      </c>
      <c r="D59" s="14" t="s">
        <v>292</v>
      </c>
      <c r="E59" s="14" t="s">
        <v>293</v>
      </c>
      <c r="F59" s="14">
        <v>1</v>
      </c>
      <c r="G59" s="15">
        <v>1</v>
      </c>
      <c r="H59" s="33" t="s">
        <v>3971</v>
      </c>
      <c r="I59" s="13">
        <v>45705</v>
      </c>
      <c r="J59" s="33" t="s">
        <v>3969</v>
      </c>
      <c r="K59" s="64" t="s">
        <v>3990</v>
      </c>
      <c r="L59" s="16">
        <f>MONTH(Table4[[#This Row],[Order Date]])</f>
        <v>2</v>
      </c>
    </row>
    <row r="60" spans="1:12" hidden="1">
      <c r="A60" s="14">
        <v>50110057</v>
      </c>
      <c r="B60" s="18">
        <v>45691</v>
      </c>
      <c r="C60" s="14" t="s">
        <v>181</v>
      </c>
      <c r="D60" s="14" t="s">
        <v>297</v>
      </c>
      <c r="E60" s="14" t="s">
        <v>4008</v>
      </c>
      <c r="F60" s="14">
        <v>1</v>
      </c>
      <c r="G60" s="15">
        <v>1</v>
      </c>
      <c r="H60" s="15" t="s">
        <v>3968</v>
      </c>
      <c r="I60" s="13"/>
      <c r="J60" s="33" t="s">
        <v>3972</v>
      </c>
      <c r="K60" s="64" t="s">
        <v>3990</v>
      </c>
      <c r="L60" s="16">
        <f>MONTH(Table4[[#This Row],[Order Date]])</f>
        <v>2</v>
      </c>
    </row>
    <row r="61" spans="1:12" hidden="1">
      <c r="A61" s="14">
        <v>43000422</v>
      </c>
      <c r="B61" s="18">
        <v>45691</v>
      </c>
      <c r="C61" s="14" t="s">
        <v>225</v>
      </c>
      <c r="D61" s="14" t="s">
        <v>302</v>
      </c>
      <c r="E61" s="14" t="s">
        <v>4009</v>
      </c>
      <c r="F61" s="14">
        <v>1</v>
      </c>
      <c r="G61" s="15">
        <v>1</v>
      </c>
      <c r="H61" s="15" t="s">
        <v>3968</v>
      </c>
      <c r="I61" s="13">
        <v>45681</v>
      </c>
      <c r="J61" s="15" t="s">
        <v>3969</v>
      </c>
      <c r="K61" s="64" t="s">
        <v>3990</v>
      </c>
      <c r="L61" s="16">
        <f>MONTH(Table4[[#This Row],[Order Date]])</f>
        <v>2</v>
      </c>
    </row>
    <row r="62" spans="1:12" hidden="1">
      <c r="A62" s="14">
        <v>48000482</v>
      </c>
      <c r="B62" s="18">
        <v>45691</v>
      </c>
      <c r="C62" s="14" t="s">
        <v>152</v>
      </c>
      <c r="D62" s="14" t="s">
        <v>312</v>
      </c>
      <c r="E62" s="14" t="s">
        <v>313</v>
      </c>
      <c r="F62" s="14">
        <v>1</v>
      </c>
      <c r="G62" s="15">
        <v>1</v>
      </c>
      <c r="H62" s="15" t="s">
        <v>3968</v>
      </c>
      <c r="I62" s="13">
        <v>45691</v>
      </c>
      <c r="J62" s="15" t="s">
        <v>3969</v>
      </c>
      <c r="K62" s="64" t="s">
        <v>3990</v>
      </c>
      <c r="L62" s="16">
        <f>MONTH(Table4[[#This Row],[Order Date]])</f>
        <v>2</v>
      </c>
    </row>
    <row r="63" spans="1:12" hidden="1">
      <c r="A63" s="14">
        <v>48000482</v>
      </c>
      <c r="B63" s="18">
        <v>45691</v>
      </c>
      <c r="C63" s="14" t="s">
        <v>152</v>
      </c>
      <c r="D63" s="14" t="s">
        <v>280</v>
      </c>
      <c r="E63" s="14" t="s">
        <v>4007</v>
      </c>
      <c r="F63" s="14">
        <v>1</v>
      </c>
      <c r="G63" s="15">
        <v>1</v>
      </c>
      <c r="H63" s="15" t="s">
        <v>3968</v>
      </c>
      <c r="I63" s="13">
        <v>45672</v>
      </c>
      <c r="J63" s="15" t="s">
        <v>3969</v>
      </c>
      <c r="K63" s="64" t="s">
        <v>3990</v>
      </c>
      <c r="L63" s="16">
        <f>MONTH(Table4[[#This Row],[Order Date]])</f>
        <v>2</v>
      </c>
    </row>
    <row r="64" spans="1:12" hidden="1">
      <c r="A64" s="14">
        <v>50000530</v>
      </c>
      <c r="B64" s="18">
        <v>45691</v>
      </c>
      <c r="C64" s="14" t="s">
        <v>79</v>
      </c>
      <c r="D64" s="14" t="s">
        <v>321</v>
      </c>
      <c r="E64" s="14" t="s">
        <v>4010</v>
      </c>
      <c r="F64" s="14">
        <v>1</v>
      </c>
      <c r="G64" s="15">
        <v>1</v>
      </c>
      <c r="H64" s="33" t="s">
        <v>3971</v>
      </c>
      <c r="I64" s="13">
        <v>45688</v>
      </c>
      <c r="J64" s="15" t="s">
        <v>3969</v>
      </c>
      <c r="K64" s="64" t="s">
        <v>3990</v>
      </c>
      <c r="L64" s="16">
        <f>MONTH(Table4[[#This Row],[Order Date]])</f>
        <v>2</v>
      </c>
    </row>
    <row r="65" spans="1:12" hidden="1">
      <c r="A65" s="14">
        <v>50000530</v>
      </c>
      <c r="B65" s="18">
        <v>45691</v>
      </c>
      <c r="C65" s="14" t="s">
        <v>79</v>
      </c>
      <c r="D65" s="14" t="s">
        <v>330</v>
      </c>
      <c r="E65" s="14" t="s">
        <v>331</v>
      </c>
      <c r="F65" s="14">
        <v>1</v>
      </c>
      <c r="G65" s="15">
        <v>1</v>
      </c>
      <c r="H65" s="15" t="s">
        <v>3968</v>
      </c>
      <c r="I65" s="13">
        <v>45688</v>
      </c>
      <c r="J65" s="15" t="s">
        <v>3969</v>
      </c>
      <c r="K65" s="64" t="s">
        <v>3990</v>
      </c>
      <c r="L65" s="16">
        <f>MONTH(Table4[[#This Row],[Order Date]])</f>
        <v>2</v>
      </c>
    </row>
    <row r="66" spans="1:12" hidden="1">
      <c r="A66" s="14">
        <v>44000010</v>
      </c>
      <c r="B66" s="18">
        <v>45691</v>
      </c>
      <c r="C66" s="14" t="s">
        <v>334</v>
      </c>
      <c r="D66" s="41" t="s">
        <v>335</v>
      </c>
      <c r="E66" s="14" t="s">
        <v>4011</v>
      </c>
      <c r="F66" s="14">
        <v>1</v>
      </c>
      <c r="G66" s="15">
        <v>1</v>
      </c>
      <c r="H66" s="15" t="s">
        <v>3968</v>
      </c>
      <c r="I66" s="13">
        <v>45705</v>
      </c>
      <c r="J66" s="15" t="s">
        <v>3969</v>
      </c>
      <c r="K66" s="64" t="s">
        <v>3990</v>
      </c>
      <c r="L66" s="16">
        <f>MONTH(Table4[[#This Row],[Order Date]])</f>
        <v>2</v>
      </c>
    </row>
    <row r="67" spans="1:12" hidden="1">
      <c r="A67" s="14">
        <v>50110193</v>
      </c>
      <c r="B67" s="18">
        <v>45691</v>
      </c>
      <c r="C67" s="14" t="s">
        <v>33</v>
      </c>
      <c r="D67" s="41" t="s">
        <v>340</v>
      </c>
      <c r="E67" s="14" t="s">
        <v>341</v>
      </c>
      <c r="F67" s="14">
        <v>1</v>
      </c>
      <c r="G67" s="15">
        <v>1</v>
      </c>
      <c r="H67" s="15" t="s">
        <v>3968</v>
      </c>
      <c r="I67" s="13">
        <v>45693</v>
      </c>
      <c r="J67" s="33" t="s">
        <v>3972</v>
      </c>
      <c r="K67" s="64" t="s">
        <v>3990</v>
      </c>
      <c r="L67" s="16">
        <f>MONTH(Table4[[#This Row],[Order Date]])</f>
        <v>2</v>
      </c>
    </row>
    <row r="68" spans="1:12" hidden="1">
      <c r="A68" s="14">
        <v>48300301</v>
      </c>
      <c r="B68" s="18">
        <v>45692</v>
      </c>
      <c r="C68" s="14" t="s">
        <v>63</v>
      </c>
      <c r="D68" s="41" t="s">
        <v>326</v>
      </c>
      <c r="E68" s="14" t="s">
        <v>4012</v>
      </c>
      <c r="F68" s="14">
        <v>1</v>
      </c>
      <c r="G68" s="15">
        <v>1</v>
      </c>
      <c r="H68" s="15" t="s">
        <v>3968</v>
      </c>
      <c r="I68" s="13">
        <v>45679</v>
      </c>
      <c r="J68" s="15" t="s">
        <v>3969</v>
      </c>
      <c r="K68" s="64" t="s">
        <v>3990</v>
      </c>
      <c r="L68" s="16">
        <f>MONTH(Table4[[#This Row],[Order Date]])</f>
        <v>2</v>
      </c>
    </row>
    <row r="69" spans="1:12" hidden="1">
      <c r="A69" s="14">
        <v>60002072</v>
      </c>
      <c r="B69" s="18">
        <v>45692</v>
      </c>
      <c r="C69" s="14" t="s">
        <v>202</v>
      </c>
      <c r="D69" s="41" t="s">
        <v>350</v>
      </c>
      <c r="E69" s="14" t="s">
        <v>351</v>
      </c>
      <c r="F69" s="14">
        <v>1</v>
      </c>
      <c r="G69" s="15">
        <v>1</v>
      </c>
      <c r="H69" s="15" t="s">
        <v>3968</v>
      </c>
      <c r="I69" s="13">
        <v>45692</v>
      </c>
      <c r="J69" s="15" t="s">
        <v>3969</v>
      </c>
      <c r="K69" s="64" t="s">
        <v>3990</v>
      </c>
      <c r="L69" s="16">
        <f>MONTH(Table4[[#This Row],[Order Date]])</f>
        <v>2</v>
      </c>
    </row>
    <row r="70" spans="1:12" hidden="1">
      <c r="A70" s="14">
        <v>50000343</v>
      </c>
      <c r="B70" s="18">
        <v>45692</v>
      </c>
      <c r="C70" s="14" t="s">
        <v>73</v>
      </c>
      <c r="D70" s="41" t="s">
        <v>354</v>
      </c>
      <c r="E70" s="14" t="s">
        <v>355</v>
      </c>
      <c r="F70" s="14">
        <v>1</v>
      </c>
      <c r="G70" s="15">
        <v>1</v>
      </c>
      <c r="H70" s="15" t="s">
        <v>3968</v>
      </c>
      <c r="I70" s="13">
        <v>45693</v>
      </c>
      <c r="J70" s="33" t="s">
        <v>3972</v>
      </c>
      <c r="K70" s="64" t="s">
        <v>3990</v>
      </c>
      <c r="L70" s="16">
        <f>MONTH(Table4[[#This Row],[Order Date]])</f>
        <v>2</v>
      </c>
    </row>
    <row r="71" spans="1:12" hidden="1">
      <c r="A71" s="14">
        <v>50000202</v>
      </c>
      <c r="B71" s="18">
        <v>45692</v>
      </c>
      <c r="C71" s="14" t="s">
        <v>93</v>
      </c>
      <c r="D71" s="41" t="s">
        <v>65</v>
      </c>
      <c r="E71" s="14" t="s">
        <v>362</v>
      </c>
      <c r="F71" s="14">
        <v>1</v>
      </c>
      <c r="G71" s="15">
        <v>1</v>
      </c>
      <c r="H71" s="15" t="s">
        <v>3968</v>
      </c>
      <c r="I71" s="13">
        <v>45663</v>
      </c>
      <c r="J71" s="15" t="s">
        <v>3969</v>
      </c>
      <c r="K71" s="64" t="s">
        <v>3990</v>
      </c>
      <c r="L71" s="16">
        <f>MONTH(Table4[[#This Row],[Order Date]])</f>
        <v>2</v>
      </c>
    </row>
    <row r="72" spans="1:12" hidden="1">
      <c r="A72" s="14">
        <v>48000482</v>
      </c>
      <c r="B72" s="18">
        <v>45692</v>
      </c>
      <c r="C72" s="14" t="s">
        <v>152</v>
      </c>
      <c r="D72" s="41" t="s">
        <v>335</v>
      </c>
      <c r="E72" s="14" t="s">
        <v>1136</v>
      </c>
      <c r="F72" s="14">
        <v>1</v>
      </c>
      <c r="G72" s="15">
        <v>1</v>
      </c>
      <c r="H72" s="15" t="s">
        <v>3968</v>
      </c>
      <c r="I72" s="13">
        <v>45705</v>
      </c>
      <c r="J72" s="15" t="s">
        <v>3969</v>
      </c>
      <c r="K72" s="64" t="s">
        <v>3990</v>
      </c>
      <c r="L72" s="16">
        <f>MONTH(Table4[[#This Row],[Order Date]])</f>
        <v>2</v>
      </c>
    </row>
    <row r="73" spans="1:12" hidden="1">
      <c r="A73" s="14">
        <v>44000059</v>
      </c>
      <c r="B73" s="18">
        <v>45692</v>
      </c>
      <c r="C73" s="14" t="s">
        <v>63</v>
      </c>
      <c r="D73" s="41" t="s">
        <v>369</v>
      </c>
      <c r="E73" s="14" t="s">
        <v>370</v>
      </c>
      <c r="F73" s="14">
        <v>1</v>
      </c>
      <c r="G73" s="15">
        <v>1</v>
      </c>
      <c r="H73" s="15" t="s">
        <v>3968</v>
      </c>
      <c r="I73" s="13">
        <v>45681</v>
      </c>
      <c r="J73" s="15" t="s">
        <v>3969</v>
      </c>
      <c r="K73" s="64" t="s">
        <v>3990</v>
      </c>
      <c r="L73" s="16">
        <f>MONTH(Table4[[#This Row],[Order Date]])</f>
        <v>2</v>
      </c>
    </row>
    <row r="74" spans="1:12" hidden="1">
      <c r="A74" s="14">
        <v>44000059</v>
      </c>
      <c r="B74" s="18">
        <v>45692</v>
      </c>
      <c r="C74" s="14" t="s">
        <v>63</v>
      </c>
      <c r="D74" s="41" t="s">
        <v>371</v>
      </c>
      <c r="E74" s="14" t="s">
        <v>372</v>
      </c>
      <c r="F74" s="14">
        <v>1</v>
      </c>
      <c r="G74" s="15">
        <v>1</v>
      </c>
      <c r="H74" s="15" t="s">
        <v>3968</v>
      </c>
      <c r="I74" s="13">
        <v>45692</v>
      </c>
      <c r="J74" s="15" t="s">
        <v>3969</v>
      </c>
      <c r="K74" s="64" t="s">
        <v>3990</v>
      </c>
      <c r="L74" s="16">
        <f>MONTH(Table4[[#This Row],[Order Date]])</f>
        <v>2</v>
      </c>
    </row>
    <row r="75" spans="1:12" hidden="1">
      <c r="A75" s="14">
        <v>50110372</v>
      </c>
      <c r="B75" s="18">
        <v>45692</v>
      </c>
      <c r="C75" s="14" t="s">
        <v>73</v>
      </c>
      <c r="D75" s="41" t="s">
        <v>375</v>
      </c>
      <c r="E75" s="14" t="s">
        <v>4013</v>
      </c>
      <c r="F75" s="14">
        <v>1</v>
      </c>
      <c r="G75" s="15">
        <v>0</v>
      </c>
      <c r="H75" s="33" t="s">
        <v>3971</v>
      </c>
      <c r="I75" s="13"/>
      <c r="J75" s="15" t="s">
        <v>3969</v>
      </c>
      <c r="K75" s="64" t="s">
        <v>3990</v>
      </c>
      <c r="L75" s="16">
        <f>MONTH(Table4[[#This Row],[Order Date]])</f>
        <v>2</v>
      </c>
    </row>
    <row r="76" spans="1:12" hidden="1">
      <c r="A76" s="14">
        <v>50110372</v>
      </c>
      <c r="B76" s="18">
        <v>45692</v>
      </c>
      <c r="C76" s="14" t="s">
        <v>73</v>
      </c>
      <c r="D76" s="14" t="s">
        <v>378</v>
      </c>
      <c r="E76" s="14" t="s">
        <v>379</v>
      </c>
      <c r="F76" s="14">
        <v>1</v>
      </c>
      <c r="G76" s="15">
        <v>1</v>
      </c>
      <c r="H76" s="33" t="s">
        <v>3971</v>
      </c>
      <c r="I76" s="13">
        <v>45692</v>
      </c>
      <c r="J76" s="15" t="s">
        <v>3969</v>
      </c>
      <c r="K76" s="64" t="s">
        <v>3990</v>
      </c>
      <c r="L76" s="16">
        <f>MONTH(Table4[[#This Row],[Order Date]])</f>
        <v>2</v>
      </c>
    </row>
    <row r="77" spans="1:12" hidden="1">
      <c r="A77" s="14">
        <v>51000136</v>
      </c>
      <c r="B77" s="18">
        <v>45693</v>
      </c>
      <c r="C77" s="14" t="s">
        <v>103</v>
      </c>
      <c r="D77" s="14" t="s">
        <v>308</v>
      </c>
      <c r="E77" s="14" t="s">
        <v>309</v>
      </c>
      <c r="F77" s="14">
        <v>1</v>
      </c>
      <c r="G77" s="15">
        <v>0</v>
      </c>
      <c r="H77" s="15" t="s">
        <v>3968</v>
      </c>
      <c r="I77" s="13"/>
      <c r="J77" s="15" t="s">
        <v>3969</v>
      </c>
      <c r="K77" s="64" t="s">
        <v>3990</v>
      </c>
      <c r="L77" s="16">
        <f>MONTH(Table4[[#This Row],[Order Date]])</f>
        <v>2</v>
      </c>
    </row>
    <row r="78" spans="1:12" hidden="1">
      <c r="A78" s="14">
        <v>50000343</v>
      </c>
      <c r="B78" s="18">
        <v>45694</v>
      </c>
      <c r="C78" s="14" t="s">
        <v>73</v>
      </c>
      <c r="D78" s="14" t="s">
        <v>397</v>
      </c>
      <c r="E78" s="14" t="s">
        <v>4014</v>
      </c>
      <c r="F78" s="14">
        <v>1</v>
      </c>
      <c r="G78" s="15">
        <v>1</v>
      </c>
      <c r="H78" s="15" t="s">
        <v>3968</v>
      </c>
      <c r="I78" s="13">
        <v>45692</v>
      </c>
      <c r="J78" s="15" t="s">
        <v>3969</v>
      </c>
      <c r="K78" s="64" t="s">
        <v>3990</v>
      </c>
      <c r="L78" s="16">
        <f>MONTH(Table4[[#This Row],[Order Date]])</f>
        <v>2</v>
      </c>
    </row>
    <row r="79" spans="1:12" hidden="1">
      <c r="A79" s="14" t="s">
        <v>404</v>
      </c>
      <c r="B79" s="18">
        <v>45694</v>
      </c>
      <c r="C79" s="14" t="s">
        <v>402</v>
      </c>
      <c r="D79" s="14" t="s">
        <v>405</v>
      </c>
      <c r="E79" s="14" t="s">
        <v>4015</v>
      </c>
      <c r="F79" s="14">
        <v>1</v>
      </c>
      <c r="G79" s="15">
        <v>1</v>
      </c>
      <c r="H79" s="15" t="s">
        <v>3968</v>
      </c>
      <c r="I79" s="13">
        <v>45693</v>
      </c>
      <c r="J79" s="15" t="s">
        <v>3969</v>
      </c>
      <c r="K79" s="64" t="s">
        <v>3990</v>
      </c>
      <c r="L79" s="16">
        <f>MONTH(Table4[[#This Row],[Order Date]])</f>
        <v>2</v>
      </c>
    </row>
    <row r="80" spans="1:12" hidden="1">
      <c r="A80" s="14">
        <v>60002095</v>
      </c>
      <c r="B80" s="18">
        <v>45695</v>
      </c>
      <c r="C80" s="14" t="s">
        <v>73</v>
      </c>
      <c r="D80" s="14" t="s">
        <v>358</v>
      </c>
      <c r="E80" s="14" t="s">
        <v>359</v>
      </c>
      <c r="F80" s="14">
        <v>1</v>
      </c>
      <c r="G80" s="15">
        <v>0</v>
      </c>
      <c r="H80" s="33" t="s">
        <v>3971</v>
      </c>
      <c r="I80" s="13"/>
      <c r="J80" s="15" t="s">
        <v>3969</v>
      </c>
      <c r="K80" s="64" t="s">
        <v>3990</v>
      </c>
      <c r="L80" s="16">
        <f>MONTH(Table4[[#This Row],[Order Date]])</f>
        <v>2</v>
      </c>
    </row>
    <row r="81" spans="1:12" hidden="1">
      <c r="A81" s="14" t="s">
        <v>409</v>
      </c>
      <c r="B81" s="18">
        <v>45695</v>
      </c>
      <c r="C81" s="14" t="s">
        <v>334</v>
      </c>
      <c r="D81" s="14" t="s">
        <v>410</v>
      </c>
      <c r="E81" s="14" t="s">
        <v>411</v>
      </c>
      <c r="F81" s="14">
        <v>1</v>
      </c>
      <c r="G81" s="15">
        <v>1</v>
      </c>
      <c r="H81" s="15" t="s">
        <v>3968</v>
      </c>
      <c r="I81" s="13">
        <v>45677</v>
      </c>
      <c r="J81" s="15" t="s">
        <v>3969</v>
      </c>
      <c r="K81" s="64" t="s">
        <v>3990</v>
      </c>
      <c r="L81" s="16">
        <f>MONTH(Table4[[#This Row],[Order Date]])</f>
        <v>2</v>
      </c>
    </row>
    <row r="82" spans="1:12" hidden="1">
      <c r="A82" s="14">
        <v>44000321</v>
      </c>
      <c r="B82" s="18">
        <v>45695</v>
      </c>
      <c r="C82" s="14" t="s">
        <v>417</v>
      </c>
      <c r="D82" s="14" t="s">
        <v>418</v>
      </c>
      <c r="E82" s="14" t="s">
        <v>419</v>
      </c>
      <c r="F82" s="14">
        <v>1</v>
      </c>
      <c r="G82" s="15">
        <v>1</v>
      </c>
      <c r="H82" s="15" t="s">
        <v>3968</v>
      </c>
      <c r="I82" s="13">
        <v>45672</v>
      </c>
      <c r="J82" s="15" t="s">
        <v>3969</v>
      </c>
      <c r="K82" s="64" t="s">
        <v>3990</v>
      </c>
      <c r="L82" s="16">
        <f>MONTH(Table4[[#This Row],[Order Date]])</f>
        <v>2</v>
      </c>
    </row>
    <row r="83" spans="1:12" hidden="1">
      <c r="A83" s="14">
        <v>44000321</v>
      </c>
      <c r="B83" s="18">
        <v>45695</v>
      </c>
      <c r="C83" s="14" t="s">
        <v>417</v>
      </c>
      <c r="D83" s="14" t="s">
        <v>422</v>
      </c>
      <c r="E83" s="14" t="s">
        <v>423</v>
      </c>
      <c r="F83" s="14">
        <v>1</v>
      </c>
      <c r="G83" s="15">
        <v>1</v>
      </c>
      <c r="H83" s="15" t="s">
        <v>3968</v>
      </c>
      <c r="I83" s="13">
        <v>45672</v>
      </c>
      <c r="J83" s="15" t="s">
        <v>3969</v>
      </c>
      <c r="K83" s="64" t="s">
        <v>3990</v>
      </c>
      <c r="L83" s="16">
        <f>MONTH(Table4[[#This Row],[Order Date]])</f>
        <v>2</v>
      </c>
    </row>
    <row r="84" spans="1:12" hidden="1">
      <c r="A84" s="14">
        <v>50000343</v>
      </c>
      <c r="B84" s="18">
        <v>45698</v>
      </c>
      <c r="C84" s="14" t="s">
        <v>73</v>
      </c>
      <c r="D84" s="14" t="s">
        <v>330</v>
      </c>
      <c r="E84" s="14" t="s">
        <v>331</v>
      </c>
      <c r="F84" s="14">
        <v>1</v>
      </c>
      <c r="G84" s="15">
        <v>1</v>
      </c>
      <c r="H84" s="15" t="s">
        <v>3968</v>
      </c>
      <c r="I84" s="13">
        <v>45698</v>
      </c>
      <c r="J84" s="33" t="s">
        <v>3972</v>
      </c>
      <c r="K84" s="64" t="s">
        <v>3990</v>
      </c>
      <c r="L84" s="16">
        <f>MONTH(Table4[[#This Row],[Order Date]])</f>
        <v>2</v>
      </c>
    </row>
    <row r="85" spans="1:12" hidden="1">
      <c r="A85" s="14">
        <v>48300375</v>
      </c>
      <c r="B85" s="18">
        <v>45698</v>
      </c>
      <c r="C85" s="14" t="s">
        <v>4016</v>
      </c>
      <c r="D85" s="14" t="s">
        <v>429</v>
      </c>
      <c r="E85" s="14" t="s">
        <v>4017</v>
      </c>
      <c r="F85" s="14">
        <v>1</v>
      </c>
      <c r="G85" s="15">
        <v>1</v>
      </c>
      <c r="H85" s="15" t="s">
        <v>3968</v>
      </c>
      <c r="I85" s="13"/>
      <c r="J85" s="15" t="s">
        <v>3969</v>
      </c>
      <c r="K85" s="64" t="s">
        <v>3990</v>
      </c>
      <c r="L85" s="16">
        <f>MONTH(Table4[[#This Row],[Order Date]])</f>
        <v>2</v>
      </c>
    </row>
    <row r="86" spans="1:12" hidden="1">
      <c r="A86" s="14">
        <v>50110372</v>
      </c>
      <c r="B86" s="18">
        <v>45698</v>
      </c>
      <c r="C86" s="14" t="s">
        <v>73</v>
      </c>
      <c r="D86" s="14" t="s">
        <v>80</v>
      </c>
      <c r="E86" s="14" t="s">
        <v>433</v>
      </c>
      <c r="F86" s="14">
        <v>1</v>
      </c>
      <c r="G86" s="15">
        <v>1</v>
      </c>
      <c r="H86" s="15" t="s">
        <v>3968</v>
      </c>
      <c r="I86" s="13">
        <v>45695</v>
      </c>
      <c r="J86" s="15" t="s">
        <v>3969</v>
      </c>
      <c r="K86" s="64" t="s">
        <v>3990</v>
      </c>
      <c r="L86" s="16">
        <f>MONTH(Table4[[#This Row],[Order Date]])</f>
        <v>2</v>
      </c>
    </row>
    <row r="87" spans="1:12" hidden="1">
      <c r="A87" s="14">
        <v>50110229</v>
      </c>
      <c r="B87" s="18">
        <v>45698</v>
      </c>
      <c r="C87" s="14" t="s">
        <v>109</v>
      </c>
      <c r="D87" s="14" t="s">
        <v>436</v>
      </c>
      <c r="E87" s="14" t="s">
        <v>437</v>
      </c>
      <c r="F87" s="14">
        <v>1</v>
      </c>
      <c r="G87" s="15">
        <v>1</v>
      </c>
      <c r="H87" s="15" t="s">
        <v>3968</v>
      </c>
      <c r="I87" s="13">
        <v>45698</v>
      </c>
      <c r="J87" s="15" t="s">
        <v>3969</v>
      </c>
      <c r="K87" s="64" t="s">
        <v>3990</v>
      </c>
      <c r="L87" s="16">
        <f>MONTH(Table4[[#This Row],[Order Date]])</f>
        <v>2</v>
      </c>
    </row>
    <row r="88" spans="1:12" hidden="1">
      <c r="A88" s="14">
        <v>50300097</v>
      </c>
      <c r="B88" s="18">
        <v>45699</v>
      </c>
      <c r="C88" s="14" t="s">
        <v>445</v>
      </c>
      <c r="D88" s="14" t="s">
        <v>446</v>
      </c>
      <c r="E88" s="14" t="s">
        <v>4018</v>
      </c>
      <c r="F88" s="14">
        <v>1</v>
      </c>
      <c r="G88" s="15">
        <v>1</v>
      </c>
      <c r="H88" s="15" t="s">
        <v>3968</v>
      </c>
      <c r="I88" s="13">
        <v>45691</v>
      </c>
      <c r="J88" s="15" t="s">
        <v>3969</v>
      </c>
      <c r="K88" s="64" t="s">
        <v>3990</v>
      </c>
      <c r="L88" s="16">
        <f>MONTH(Table4[[#This Row],[Order Date]])</f>
        <v>2</v>
      </c>
    </row>
    <row r="89" spans="1:12" hidden="1">
      <c r="A89" s="14">
        <v>60002095</v>
      </c>
      <c r="B89" s="18">
        <v>45701</v>
      </c>
      <c r="C89" s="14" t="s">
        <v>73</v>
      </c>
      <c r="D89" s="14" t="s">
        <v>451</v>
      </c>
      <c r="E89" s="14" t="s">
        <v>452</v>
      </c>
      <c r="F89" s="14">
        <v>1</v>
      </c>
      <c r="G89" s="15">
        <v>1</v>
      </c>
      <c r="H89" s="15" t="s">
        <v>3968</v>
      </c>
      <c r="I89" s="13">
        <v>45701</v>
      </c>
      <c r="J89" s="15" t="s">
        <v>3969</v>
      </c>
      <c r="K89" s="64" t="s">
        <v>3990</v>
      </c>
      <c r="L89" s="16">
        <f>MONTH(Table4[[#This Row],[Order Date]])</f>
        <v>2</v>
      </c>
    </row>
    <row r="90" spans="1:12" hidden="1">
      <c r="A90" s="14">
        <v>47200115</v>
      </c>
      <c r="B90" s="18">
        <v>45706</v>
      </c>
      <c r="C90" s="14" t="s">
        <v>455</v>
      </c>
      <c r="D90" s="14" t="s">
        <v>457</v>
      </c>
      <c r="E90" s="14" t="s">
        <v>4019</v>
      </c>
      <c r="F90" s="14">
        <v>1</v>
      </c>
      <c r="G90" s="15">
        <v>1</v>
      </c>
      <c r="H90" s="15" t="s">
        <v>3968</v>
      </c>
      <c r="I90" s="13">
        <v>45642</v>
      </c>
      <c r="J90" s="15" t="s">
        <v>3969</v>
      </c>
      <c r="K90" s="64" t="s">
        <v>3990</v>
      </c>
      <c r="L90" s="16">
        <f>MONTH(Table4[[#This Row],[Order Date]])</f>
        <v>2</v>
      </c>
    </row>
    <row r="91" spans="1:12" hidden="1">
      <c r="A91" s="14">
        <v>60002072</v>
      </c>
      <c r="B91" s="18">
        <v>45707</v>
      </c>
      <c r="C91" s="14" t="s">
        <v>202</v>
      </c>
      <c r="D91" s="14" t="s">
        <v>114</v>
      </c>
      <c r="E91" s="14" t="s">
        <v>463</v>
      </c>
      <c r="F91" s="14">
        <v>1</v>
      </c>
      <c r="G91" s="15">
        <v>1</v>
      </c>
      <c r="H91" s="15" t="s">
        <v>3968</v>
      </c>
      <c r="I91" s="13">
        <v>45693</v>
      </c>
      <c r="J91" s="15" t="s">
        <v>3969</v>
      </c>
      <c r="K91" s="64" t="s">
        <v>3990</v>
      </c>
      <c r="L91" s="16">
        <f>MONTH(Table4[[#This Row],[Order Date]])</f>
        <v>2</v>
      </c>
    </row>
    <row r="92" spans="1:12" hidden="1">
      <c r="A92" s="14">
        <v>60002072</v>
      </c>
      <c r="B92" s="18">
        <v>45707</v>
      </c>
      <c r="C92" s="14" t="s">
        <v>202</v>
      </c>
      <c r="D92" s="14" t="s">
        <v>464</v>
      </c>
      <c r="E92" s="14" t="s">
        <v>465</v>
      </c>
      <c r="F92" s="14">
        <v>1</v>
      </c>
      <c r="G92" s="15">
        <v>1</v>
      </c>
      <c r="H92" s="15" t="s">
        <v>3968</v>
      </c>
      <c r="I92" s="13">
        <v>45693</v>
      </c>
      <c r="J92" s="15" t="s">
        <v>3969</v>
      </c>
      <c r="K92" s="64" t="s">
        <v>3990</v>
      </c>
      <c r="L92" s="16">
        <f>MONTH(Table4[[#This Row],[Order Date]])</f>
        <v>2</v>
      </c>
    </row>
    <row r="93" spans="1:12" hidden="1">
      <c r="A93" s="14">
        <v>50000202</v>
      </c>
      <c r="B93" s="18">
        <v>45707</v>
      </c>
      <c r="C93" s="14" t="s">
        <v>93</v>
      </c>
      <c r="D93" s="14" t="s">
        <v>470</v>
      </c>
      <c r="E93" s="14" t="s">
        <v>4020</v>
      </c>
      <c r="F93" s="14">
        <v>1</v>
      </c>
      <c r="G93" s="15">
        <v>1</v>
      </c>
      <c r="H93" s="15" t="s">
        <v>3968</v>
      </c>
      <c r="I93" s="13">
        <v>45705</v>
      </c>
      <c r="J93" s="15" t="s">
        <v>3969</v>
      </c>
      <c r="K93" s="64" t="s">
        <v>3990</v>
      </c>
      <c r="L93" s="16">
        <f>MONTH(Table4[[#This Row],[Order Date]])</f>
        <v>2</v>
      </c>
    </row>
    <row r="94" spans="1:12" hidden="1">
      <c r="A94" s="14">
        <v>48300375</v>
      </c>
      <c r="B94" s="18">
        <v>45707</v>
      </c>
      <c r="C94" s="14" t="s">
        <v>4016</v>
      </c>
      <c r="D94" s="14" t="s">
        <v>280</v>
      </c>
      <c r="E94" s="14" t="s">
        <v>318</v>
      </c>
      <c r="F94" s="14">
        <v>1</v>
      </c>
      <c r="G94" s="15">
        <v>1</v>
      </c>
      <c r="H94" s="15" t="s">
        <v>3968</v>
      </c>
      <c r="I94" s="13">
        <v>45636</v>
      </c>
      <c r="J94" s="15" t="s">
        <v>3969</v>
      </c>
      <c r="K94" s="64" t="s">
        <v>3990</v>
      </c>
      <c r="L94" s="16">
        <f>MONTH(Table4[[#This Row],[Order Date]])</f>
        <v>2</v>
      </c>
    </row>
    <row r="95" spans="1:12" hidden="1">
      <c r="A95" s="14" t="s">
        <v>182</v>
      </c>
      <c r="B95" s="18">
        <v>45707</v>
      </c>
      <c r="C95" s="14" t="s">
        <v>3997</v>
      </c>
      <c r="D95" s="14" t="s">
        <v>479</v>
      </c>
      <c r="E95" s="14" t="s">
        <v>480</v>
      </c>
      <c r="F95" s="14">
        <v>1</v>
      </c>
      <c r="G95" s="15">
        <v>1</v>
      </c>
      <c r="H95" s="15" t="s">
        <v>3968</v>
      </c>
      <c r="I95" s="13">
        <v>45692</v>
      </c>
      <c r="J95" s="15" t="s">
        <v>3969</v>
      </c>
      <c r="K95" s="64" t="s">
        <v>3990</v>
      </c>
      <c r="L95" s="16">
        <f>MONTH(Table4[[#This Row],[Order Date]])</f>
        <v>2</v>
      </c>
    </row>
    <row r="96" spans="1:12" hidden="1">
      <c r="A96" s="14">
        <v>50110193</v>
      </c>
      <c r="B96" s="18">
        <v>45707</v>
      </c>
      <c r="C96" s="14" t="s">
        <v>33</v>
      </c>
      <c r="D96" s="14" t="s">
        <v>484</v>
      </c>
      <c r="E96" s="14" t="s">
        <v>485</v>
      </c>
      <c r="F96" s="14">
        <v>1</v>
      </c>
      <c r="G96" s="15">
        <v>1</v>
      </c>
      <c r="H96" s="15" t="s">
        <v>3968</v>
      </c>
      <c r="I96" s="13">
        <v>45701</v>
      </c>
      <c r="J96" s="15" t="s">
        <v>3969</v>
      </c>
      <c r="K96" s="64" t="s">
        <v>3990</v>
      </c>
      <c r="L96" s="16">
        <f>MONTH(Table4[[#This Row],[Order Date]])</f>
        <v>2</v>
      </c>
    </row>
    <row r="97" spans="1:12" hidden="1">
      <c r="A97" s="14">
        <v>48000432</v>
      </c>
      <c r="B97" s="18">
        <v>45707</v>
      </c>
      <c r="C97" s="14" t="s">
        <v>63</v>
      </c>
      <c r="D97" s="14" t="s">
        <v>488</v>
      </c>
      <c r="E97" s="14" t="s">
        <v>489</v>
      </c>
      <c r="F97" s="14">
        <v>1</v>
      </c>
      <c r="G97" s="15">
        <v>1</v>
      </c>
      <c r="H97" s="15" t="s">
        <v>3968</v>
      </c>
      <c r="I97" s="13">
        <v>45700</v>
      </c>
      <c r="J97" s="15" t="s">
        <v>3969</v>
      </c>
      <c r="K97" s="64" t="s">
        <v>3990</v>
      </c>
      <c r="L97" s="16">
        <f>MONTH(Table4[[#This Row],[Order Date]])</f>
        <v>2</v>
      </c>
    </row>
    <row r="98" spans="1:12" hidden="1">
      <c r="A98" s="14">
        <v>43000422</v>
      </c>
      <c r="B98" s="18">
        <v>45708</v>
      </c>
      <c r="C98" s="14" t="s">
        <v>225</v>
      </c>
      <c r="D98" s="14" t="s">
        <v>440</v>
      </c>
      <c r="E98" s="14" t="s">
        <v>441</v>
      </c>
      <c r="F98" s="14">
        <v>1</v>
      </c>
      <c r="G98" s="15">
        <v>1</v>
      </c>
      <c r="H98" s="15" t="s">
        <v>3968</v>
      </c>
      <c r="I98" s="13">
        <v>45693</v>
      </c>
      <c r="J98" s="15" t="s">
        <v>3969</v>
      </c>
      <c r="K98" s="64" t="s">
        <v>3990</v>
      </c>
      <c r="L98" s="16">
        <f>MONTH(Table4[[#This Row],[Order Date]])</f>
        <v>2</v>
      </c>
    </row>
    <row r="99" spans="1:12" hidden="1">
      <c r="A99" s="14">
        <v>51000323</v>
      </c>
      <c r="B99" s="18">
        <v>45708</v>
      </c>
      <c r="C99" s="14" t="s">
        <v>103</v>
      </c>
      <c r="D99" s="14" t="s">
        <v>495</v>
      </c>
      <c r="E99" s="14" t="s">
        <v>496</v>
      </c>
      <c r="F99" s="14">
        <v>1</v>
      </c>
      <c r="G99" s="15">
        <v>1</v>
      </c>
      <c r="H99" s="15" t="s">
        <v>3968</v>
      </c>
      <c r="I99" s="13">
        <v>45708</v>
      </c>
      <c r="J99" s="15" t="s">
        <v>3969</v>
      </c>
      <c r="K99" s="64" t="s">
        <v>3990</v>
      </c>
      <c r="L99" s="16">
        <f>MONTH(Table4[[#This Row],[Order Date]])</f>
        <v>2</v>
      </c>
    </row>
    <row r="100" spans="1:12" hidden="1">
      <c r="A100" s="14">
        <v>51000323</v>
      </c>
      <c r="B100" s="18">
        <v>45708</v>
      </c>
      <c r="C100" s="14" t="s">
        <v>103</v>
      </c>
      <c r="D100" s="14" t="s">
        <v>130</v>
      </c>
      <c r="E100" s="14" t="s">
        <v>4021</v>
      </c>
      <c r="F100" s="14">
        <v>2</v>
      </c>
      <c r="G100" s="15">
        <v>2</v>
      </c>
      <c r="H100" s="15" t="s">
        <v>3968</v>
      </c>
      <c r="I100" s="13">
        <v>45707</v>
      </c>
      <c r="J100" s="15" t="s">
        <v>3969</v>
      </c>
      <c r="K100" s="64" t="s">
        <v>3990</v>
      </c>
      <c r="L100" s="16">
        <f>MONTH(Table4[[#This Row],[Order Date]])</f>
        <v>2</v>
      </c>
    </row>
    <row r="101" spans="1:12" hidden="1">
      <c r="A101" s="14">
        <v>50110193</v>
      </c>
      <c r="B101" s="18">
        <v>45708</v>
      </c>
      <c r="C101" s="14" t="s">
        <v>33</v>
      </c>
      <c r="D101" s="14" t="s">
        <v>500</v>
      </c>
      <c r="E101" s="14" t="s">
        <v>501</v>
      </c>
      <c r="F101" s="14">
        <v>1</v>
      </c>
      <c r="G101" s="15">
        <v>1</v>
      </c>
      <c r="H101" s="15" t="s">
        <v>3968</v>
      </c>
      <c r="I101" s="13">
        <v>45708</v>
      </c>
      <c r="J101" s="15" t="s">
        <v>3969</v>
      </c>
      <c r="K101" s="64" t="s">
        <v>3990</v>
      </c>
      <c r="L101" s="16">
        <f>MONTH(Table4[[#This Row],[Order Date]])</f>
        <v>2</v>
      </c>
    </row>
    <row r="102" spans="1:12" hidden="1">
      <c r="A102" s="14">
        <v>50110193</v>
      </c>
      <c r="B102" s="18">
        <v>45708</v>
      </c>
      <c r="C102" s="14" t="s">
        <v>33</v>
      </c>
      <c r="D102" s="14" t="s">
        <v>504</v>
      </c>
      <c r="E102" s="14" t="s">
        <v>505</v>
      </c>
      <c r="F102" s="14">
        <v>1</v>
      </c>
      <c r="G102" s="15">
        <v>1</v>
      </c>
      <c r="H102" s="15" t="s">
        <v>3968</v>
      </c>
      <c r="I102" s="13">
        <v>45708</v>
      </c>
      <c r="J102" s="15" t="s">
        <v>3969</v>
      </c>
      <c r="K102" s="64" t="s">
        <v>3990</v>
      </c>
      <c r="L102" s="16">
        <f>MONTH(Table4[[#This Row],[Order Date]])</f>
        <v>2</v>
      </c>
    </row>
    <row r="103" spans="1:12" hidden="1">
      <c r="A103" s="14">
        <v>50110193</v>
      </c>
      <c r="B103" s="18">
        <v>45708</v>
      </c>
      <c r="C103" s="14" t="s">
        <v>33</v>
      </c>
      <c r="D103" s="14" t="s">
        <v>507</v>
      </c>
      <c r="E103" s="14" t="s">
        <v>508</v>
      </c>
      <c r="F103" s="14">
        <v>1</v>
      </c>
      <c r="G103" s="15">
        <v>1</v>
      </c>
      <c r="H103" s="15" t="s">
        <v>3968</v>
      </c>
      <c r="I103" s="13">
        <v>45708</v>
      </c>
      <c r="J103" s="15" t="s">
        <v>3969</v>
      </c>
      <c r="K103" s="64" t="s">
        <v>3990</v>
      </c>
      <c r="L103" s="16">
        <f>MONTH(Table4[[#This Row],[Order Date]])</f>
        <v>2</v>
      </c>
    </row>
    <row r="104" spans="1:12" hidden="1">
      <c r="A104" s="14">
        <v>50000202</v>
      </c>
      <c r="B104" s="18">
        <v>45708</v>
      </c>
      <c r="C104" s="14" t="s">
        <v>93</v>
      </c>
      <c r="D104" s="14" t="s">
        <v>511</v>
      </c>
      <c r="E104" s="14" t="s">
        <v>512</v>
      </c>
      <c r="F104" s="14">
        <v>1</v>
      </c>
      <c r="G104" s="15">
        <v>1</v>
      </c>
      <c r="H104" s="15" t="s">
        <v>3968</v>
      </c>
      <c r="I104" s="13">
        <v>45699</v>
      </c>
      <c r="J104" s="15" t="s">
        <v>3969</v>
      </c>
      <c r="K104" s="64" t="s">
        <v>3990</v>
      </c>
      <c r="L104" s="16">
        <f>MONTH(Table4[[#This Row],[Order Date]])</f>
        <v>2</v>
      </c>
    </row>
    <row r="105" spans="1:12" hidden="1">
      <c r="A105" s="14">
        <v>50000260</v>
      </c>
      <c r="B105" s="18">
        <v>45709</v>
      </c>
      <c r="C105" s="14" t="s">
        <v>85</v>
      </c>
      <c r="D105" s="14" t="s">
        <v>245</v>
      </c>
      <c r="E105" s="14" t="s">
        <v>526</v>
      </c>
      <c r="F105" s="14">
        <v>3</v>
      </c>
      <c r="G105" s="15">
        <v>0</v>
      </c>
      <c r="H105" s="33" t="s">
        <v>3971</v>
      </c>
      <c r="I105" s="13"/>
      <c r="J105" s="15" t="s">
        <v>3969</v>
      </c>
      <c r="K105" s="64" t="s">
        <v>3990</v>
      </c>
      <c r="L105" s="16">
        <f>MONTH(Table4[[#This Row],[Order Date]])</f>
        <v>2</v>
      </c>
    </row>
    <row r="106" spans="1:12" hidden="1">
      <c r="A106" s="14">
        <v>50000260</v>
      </c>
      <c r="B106" s="18">
        <v>45709</v>
      </c>
      <c r="C106" s="14" t="s">
        <v>85</v>
      </c>
      <c r="D106" s="14" t="s">
        <v>527</v>
      </c>
      <c r="E106" s="14" t="s">
        <v>528</v>
      </c>
      <c r="F106" s="14">
        <v>1</v>
      </c>
      <c r="G106" s="15">
        <v>1</v>
      </c>
      <c r="H106" s="15" t="s">
        <v>3968</v>
      </c>
      <c r="I106" s="13">
        <v>45707</v>
      </c>
      <c r="J106" s="15" t="s">
        <v>3969</v>
      </c>
      <c r="K106" s="64" t="s">
        <v>3990</v>
      </c>
      <c r="L106" s="16">
        <f>MONTH(Table4[[#This Row],[Order Date]])</f>
        <v>2</v>
      </c>
    </row>
    <row r="107" spans="1:12" hidden="1">
      <c r="A107" s="14">
        <v>50000260</v>
      </c>
      <c r="B107" s="18">
        <v>45709</v>
      </c>
      <c r="C107" s="14" t="s">
        <v>85</v>
      </c>
      <c r="D107" s="14" t="s">
        <v>529</v>
      </c>
      <c r="E107" s="14" t="s">
        <v>187</v>
      </c>
      <c r="F107" s="14">
        <v>1</v>
      </c>
      <c r="G107" s="15">
        <v>1</v>
      </c>
      <c r="H107" s="15" t="s">
        <v>3968</v>
      </c>
      <c r="I107" s="13">
        <v>45707</v>
      </c>
      <c r="J107" s="15" t="s">
        <v>3969</v>
      </c>
      <c r="K107" s="64" t="s">
        <v>3990</v>
      </c>
      <c r="L107" s="16">
        <f>MONTH(Table4[[#This Row],[Order Date]])</f>
        <v>2</v>
      </c>
    </row>
    <row r="108" spans="1:12" hidden="1">
      <c r="A108" s="14">
        <v>50000260</v>
      </c>
      <c r="B108" s="18">
        <v>45709</v>
      </c>
      <c r="C108" s="14" t="s">
        <v>85</v>
      </c>
      <c r="D108" s="14" t="s">
        <v>94</v>
      </c>
      <c r="E108" s="14" t="s">
        <v>530</v>
      </c>
      <c r="F108" s="14">
        <v>3</v>
      </c>
      <c r="G108" s="15">
        <v>3</v>
      </c>
      <c r="H108" s="15" t="s">
        <v>3968</v>
      </c>
      <c r="I108" s="13">
        <v>45707</v>
      </c>
      <c r="J108" s="15" t="s">
        <v>3969</v>
      </c>
      <c r="K108" s="64" t="s">
        <v>3990</v>
      </c>
      <c r="L108" s="16">
        <f>MONTH(Table4[[#This Row],[Order Date]])</f>
        <v>2</v>
      </c>
    </row>
    <row r="109" spans="1:12" hidden="1">
      <c r="A109" s="14">
        <v>50000260</v>
      </c>
      <c r="B109" s="18">
        <v>45709</v>
      </c>
      <c r="C109" s="14" t="s">
        <v>85</v>
      </c>
      <c r="D109" s="14" t="s">
        <v>531</v>
      </c>
      <c r="E109" s="14" t="s">
        <v>532</v>
      </c>
      <c r="F109" s="14">
        <v>1</v>
      </c>
      <c r="G109" s="15">
        <v>0</v>
      </c>
      <c r="H109" s="33" t="s">
        <v>3971</v>
      </c>
      <c r="I109" s="13"/>
      <c r="J109" s="15" t="s">
        <v>3969</v>
      </c>
      <c r="K109" s="64" t="s">
        <v>3990</v>
      </c>
      <c r="L109" s="16">
        <f>MONTH(Table4[[#This Row],[Order Date]])</f>
        <v>2</v>
      </c>
    </row>
    <row r="110" spans="1:12" hidden="1">
      <c r="A110" s="14">
        <v>51000174</v>
      </c>
      <c r="B110" s="18">
        <v>45709</v>
      </c>
      <c r="C110" s="14" t="s">
        <v>118</v>
      </c>
      <c r="D110" s="14" t="s">
        <v>158</v>
      </c>
      <c r="E110" s="14" t="s">
        <v>159</v>
      </c>
      <c r="F110" s="14">
        <v>1</v>
      </c>
      <c r="G110" s="15">
        <v>1</v>
      </c>
      <c r="H110" s="15" t="s">
        <v>3968</v>
      </c>
      <c r="I110" s="13">
        <v>45705</v>
      </c>
      <c r="J110" s="15" t="s">
        <v>3969</v>
      </c>
      <c r="K110" s="64" t="s">
        <v>3990</v>
      </c>
      <c r="L110" s="16">
        <f>MONTH(Table4[[#This Row],[Order Date]])</f>
        <v>2</v>
      </c>
    </row>
    <row r="111" spans="1:12" hidden="1">
      <c r="A111" s="14">
        <v>50110372</v>
      </c>
      <c r="B111" s="18">
        <v>45712</v>
      </c>
      <c r="C111" s="14" t="s">
        <v>73</v>
      </c>
      <c r="D111" s="14" t="s">
        <v>536</v>
      </c>
      <c r="E111" s="14" t="s">
        <v>537</v>
      </c>
      <c r="F111" s="14">
        <v>1</v>
      </c>
      <c r="G111" s="15">
        <v>0</v>
      </c>
      <c r="H111" s="33" t="s">
        <v>3971</v>
      </c>
      <c r="I111" s="13"/>
      <c r="J111" s="15" t="s">
        <v>3969</v>
      </c>
      <c r="K111" s="64" t="s">
        <v>3990</v>
      </c>
      <c r="L111" s="16">
        <f>MONTH(Table4[[#This Row],[Order Date]])</f>
        <v>2</v>
      </c>
    </row>
    <row r="112" spans="1:12" hidden="1">
      <c r="A112" s="40">
        <v>48300301</v>
      </c>
      <c r="B112" s="37">
        <v>45712</v>
      </c>
      <c r="C112" s="14" t="s">
        <v>63</v>
      </c>
      <c r="D112" s="14" t="s">
        <v>540</v>
      </c>
      <c r="E112" s="14" t="s">
        <v>541</v>
      </c>
      <c r="F112" s="14">
        <v>1</v>
      </c>
      <c r="G112" s="15">
        <v>1</v>
      </c>
      <c r="H112" s="15" t="s">
        <v>3968</v>
      </c>
      <c r="I112" s="38">
        <v>45680</v>
      </c>
      <c r="J112" s="15" t="s">
        <v>3969</v>
      </c>
      <c r="K112" s="64" t="s">
        <v>3990</v>
      </c>
      <c r="L112" s="39">
        <f>MONTH(Table4[[#This Row],[Order Date]])</f>
        <v>2</v>
      </c>
    </row>
    <row r="113" spans="1:12" hidden="1">
      <c r="A113" s="14">
        <v>50000530</v>
      </c>
      <c r="B113" s="18">
        <v>45714</v>
      </c>
      <c r="C113" s="14" t="s">
        <v>79</v>
      </c>
      <c r="D113" s="14" t="s">
        <v>4022</v>
      </c>
      <c r="E113" s="14" t="s">
        <v>76</v>
      </c>
      <c r="F113" s="14">
        <v>1</v>
      </c>
      <c r="G113" s="15">
        <v>1</v>
      </c>
      <c r="H113" s="15" t="s">
        <v>3968</v>
      </c>
      <c r="I113" s="13">
        <v>45712</v>
      </c>
      <c r="J113" s="15" t="s">
        <v>3969</v>
      </c>
      <c r="K113" s="64" t="s">
        <v>3990</v>
      </c>
      <c r="L113" s="16">
        <f>MONTH(Table4[[#This Row],[Order Date]])</f>
        <v>2</v>
      </c>
    </row>
    <row r="114" spans="1:12" hidden="1">
      <c r="A114" s="14">
        <v>50110193</v>
      </c>
      <c r="B114" s="18">
        <v>45714</v>
      </c>
      <c r="C114" s="14" t="s">
        <v>33</v>
      </c>
      <c r="D114" s="14" t="s">
        <v>215</v>
      </c>
      <c r="E114" s="14" t="s">
        <v>557</v>
      </c>
      <c r="F114" s="14">
        <v>1</v>
      </c>
      <c r="G114" s="15">
        <v>1</v>
      </c>
      <c r="H114" s="15" t="s">
        <v>3968</v>
      </c>
      <c r="I114" s="13"/>
      <c r="J114" s="33" t="s">
        <v>3972</v>
      </c>
      <c r="K114" s="64" t="s">
        <v>3990</v>
      </c>
      <c r="L114" s="16">
        <f>MONTH(Table4[[#This Row],[Order Date]])</f>
        <v>2</v>
      </c>
    </row>
    <row r="115" spans="1:12" hidden="1">
      <c r="A115" s="14">
        <v>50110229</v>
      </c>
      <c r="B115" s="18">
        <v>45714</v>
      </c>
      <c r="C115" s="14" t="s">
        <v>109</v>
      </c>
      <c r="D115" s="14" t="s">
        <v>215</v>
      </c>
      <c r="E115" s="14" t="s">
        <v>557</v>
      </c>
      <c r="F115" s="14">
        <v>1</v>
      </c>
      <c r="G115" s="15">
        <v>1</v>
      </c>
      <c r="H115" s="15" t="s">
        <v>3968</v>
      </c>
      <c r="I115" s="13"/>
      <c r="J115" s="33" t="s">
        <v>3972</v>
      </c>
      <c r="K115" s="64" t="s">
        <v>3990</v>
      </c>
      <c r="L115" s="16">
        <f>MONTH(Table4[[#This Row],[Order Date]])</f>
        <v>2</v>
      </c>
    </row>
    <row r="116" spans="1:12" hidden="1">
      <c r="A116" s="14">
        <v>50110372</v>
      </c>
      <c r="B116" s="18">
        <v>45714</v>
      </c>
      <c r="C116" s="14" t="s">
        <v>73</v>
      </c>
      <c r="D116" s="14" t="s">
        <v>215</v>
      </c>
      <c r="E116" s="14" t="s">
        <v>557</v>
      </c>
      <c r="F116" s="14">
        <v>1</v>
      </c>
      <c r="G116" s="15">
        <v>1</v>
      </c>
      <c r="H116" s="15" t="s">
        <v>3968</v>
      </c>
      <c r="I116" s="13"/>
      <c r="J116" s="33" t="s">
        <v>3972</v>
      </c>
      <c r="K116" s="64" t="s">
        <v>3990</v>
      </c>
      <c r="L116" s="16">
        <f>MONTH(Table4[[#This Row],[Order Date]])</f>
        <v>2</v>
      </c>
    </row>
    <row r="117" spans="1:12" hidden="1">
      <c r="A117" s="14">
        <v>60002072</v>
      </c>
      <c r="B117" s="18">
        <v>45714</v>
      </c>
      <c r="C117" s="14" t="s">
        <v>202</v>
      </c>
      <c r="D117" s="14" t="s">
        <v>350</v>
      </c>
      <c r="E117" s="14" t="s">
        <v>351</v>
      </c>
      <c r="F117" s="14">
        <v>1</v>
      </c>
      <c r="G117" s="15">
        <v>1</v>
      </c>
      <c r="H117" s="33" t="s">
        <v>3971</v>
      </c>
      <c r="I117" s="13">
        <v>45713</v>
      </c>
      <c r="J117" s="15" t="s">
        <v>3969</v>
      </c>
      <c r="K117" s="64" t="s">
        <v>3990</v>
      </c>
      <c r="L117" s="16">
        <f>MONTH(Table4[[#This Row],[Order Date]])</f>
        <v>2</v>
      </c>
    </row>
    <row r="118" spans="1:12" hidden="1">
      <c r="A118" s="14">
        <v>44000058</v>
      </c>
      <c r="B118" s="18">
        <v>45714</v>
      </c>
      <c r="C118" s="14" t="s">
        <v>569</v>
      </c>
      <c r="D118" s="14" t="s">
        <v>570</v>
      </c>
      <c r="E118" s="14" t="s">
        <v>571</v>
      </c>
      <c r="F118" s="14">
        <v>1</v>
      </c>
      <c r="G118" s="15">
        <v>1</v>
      </c>
      <c r="H118" s="15" t="s">
        <v>3968</v>
      </c>
      <c r="I118" s="13">
        <v>45714</v>
      </c>
      <c r="J118" s="15" t="s">
        <v>3969</v>
      </c>
      <c r="K118" s="64" t="s">
        <v>3990</v>
      </c>
      <c r="L118" s="16">
        <f>MONTH(Table4[[#This Row],[Order Date]])</f>
        <v>2</v>
      </c>
    </row>
    <row r="119" spans="1:12" hidden="1">
      <c r="A119" s="14">
        <v>44000058</v>
      </c>
      <c r="B119" s="18">
        <v>45714</v>
      </c>
      <c r="C119" s="14" t="s">
        <v>569</v>
      </c>
      <c r="D119" s="14" t="s">
        <v>574</v>
      </c>
      <c r="E119" s="14" t="s">
        <v>575</v>
      </c>
      <c r="F119" s="14">
        <v>1</v>
      </c>
      <c r="G119" s="15">
        <v>1</v>
      </c>
      <c r="H119" s="15" t="s">
        <v>3968</v>
      </c>
      <c r="I119" s="13">
        <v>45714</v>
      </c>
      <c r="J119" s="15" t="s">
        <v>3969</v>
      </c>
      <c r="K119" s="64" t="s">
        <v>3990</v>
      </c>
      <c r="L119" s="16">
        <f>MONTH(Table4[[#This Row],[Order Date]])</f>
        <v>2</v>
      </c>
    </row>
    <row r="120" spans="1:12" hidden="1">
      <c r="A120" s="14">
        <v>60002095</v>
      </c>
      <c r="B120" s="18">
        <v>45714</v>
      </c>
      <c r="C120" s="14" t="s">
        <v>73</v>
      </c>
      <c r="D120" s="14" t="s">
        <v>578</v>
      </c>
      <c r="E120" s="14" t="s">
        <v>579</v>
      </c>
      <c r="F120" s="14">
        <v>1</v>
      </c>
      <c r="G120" s="15">
        <v>0</v>
      </c>
      <c r="H120" s="15" t="s">
        <v>3968</v>
      </c>
      <c r="I120" s="13"/>
      <c r="J120" s="15" t="s">
        <v>3969</v>
      </c>
      <c r="K120" s="64" t="s">
        <v>3990</v>
      </c>
      <c r="L120" s="16">
        <f>MONTH(Table4[[#This Row],[Order Date]])</f>
        <v>2</v>
      </c>
    </row>
    <row r="121" spans="1:12" hidden="1">
      <c r="A121" s="14">
        <v>50110193</v>
      </c>
      <c r="B121" s="18">
        <v>45715</v>
      </c>
      <c r="C121" s="14" t="s">
        <v>33</v>
      </c>
      <c r="D121" s="14" t="s">
        <v>4023</v>
      </c>
      <c r="E121" s="14" t="s">
        <v>36</v>
      </c>
      <c r="F121" s="14">
        <v>1</v>
      </c>
      <c r="G121" s="15">
        <v>1</v>
      </c>
      <c r="H121" s="15" t="s">
        <v>3968</v>
      </c>
      <c r="I121" s="13">
        <v>45663</v>
      </c>
      <c r="J121" s="15" t="s">
        <v>3969</v>
      </c>
      <c r="K121" s="64" t="s">
        <v>3990</v>
      </c>
      <c r="L121" s="16">
        <f>MONTH(Table4[[#This Row],[Order Date]])</f>
        <v>2</v>
      </c>
    </row>
    <row r="122" spans="1:12" hidden="1">
      <c r="A122" s="14">
        <v>51000136</v>
      </c>
      <c r="B122" s="18">
        <v>45715</v>
      </c>
      <c r="C122" s="14" t="s">
        <v>103</v>
      </c>
      <c r="D122" s="14" t="s">
        <v>589</v>
      </c>
      <c r="E122" s="14" t="s">
        <v>590</v>
      </c>
      <c r="F122" s="14">
        <v>1</v>
      </c>
      <c r="G122" s="15">
        <v>1</v>
      </c>
      <c r="H122" s="15" t="s">
        <v>3968</v>
      </c>
      <c r="I122" s="13"/>
      <c r="J122" s="33" t="s">
        <v>3972</v>
      </c>
      <c r="K122" s="64" t="s">
        <v>3990</v>
      </c>
      <c r="L122" s="16">
        <f>MONTH(Table4[[#This Row],[Order Date]])</f>
        <v>2</v>
      </c>
    </row>
    <row r="123" spans="1:12" hidden="1">
      <c r="A123" s="14">
        <v>51000136</v>
      </c>
      <c r="B123" s="18">
        <v>45715</v>
      </c>
      <c r="C123" s="14" t="s">
        <v>103</v>
      </c>
      <c r="D123" s="14" t="s">
        <v>591</v>
      </c>
      <c r="E123" s="14" t="s">
        <v>592</v>
      </c>
      <c r="F123" s="14">
        <v>1</v>
      </c>
      <c r="G123" s="15">
        <v>1</v>
      </c>
      <c r="H123" s="15" t="s">
        <v>3968</v>
      </c>
      <c r="I123" s="13">
        <v>45715</v>
      </c>
      <c r="J123" s="15" t="s">
        <v>3969</v>
      </c>
      <c r="K123" s="64" t="s">
        <v>3990</v>
      </c>
      <c r="L123" s="16">
        <f>MONTH(Table4[[#This Row],[Order Date]])</f>
        <v>2</v>
      </c>
    </row>
    <row r="124" spans="1:12" hidden="1">
      <c r="A124" s="14">
        <v>51000136</v>
      </c>
      <c r="B124" s="18">
        <v>45715</v>
      </c>
      <c r="C124" s="14" t="s">
        <v>103</v>
      </c>
      <c r="D124" s="14" t="s">
        <v>593</v>
      </c>
      <c r="E124" s="14" t="s">
        <v>594</v>
      </c>
      <c r="F124" s="14">
        <v>1</v>
      </c>
      <c r="G124" s="15">
        <v>1</v>
      </c>
      <c r="H124" s="15" t="s">
        <v>3968</v>
      </c>
      <c r="I124" s="13"/>
      <c r="J124" s="33" t="s">
        <v>3972</v>
      </c>
      <c r="K124" s="64" t="s">
        <v>3990</v>
      </c>
      <c r="L124" s="16">
        <f>MONTH(Table4[[#This Row],[Order Date]])</f>
        <v>2</v>
      </c>
    </row>
    <row r="125" spans="1:12" hidden="1">
      <c r="A125" s="14">
        <v>51000136</v>
      </c>
      <c r="B125" s="18">
        <v>45715</v>
      </c>
      <c r="C125" s="14" t="s">
        <v>103</v>
      </c>
      <c r="D125" s="14" t="s">
        <v>595</v>
      </c>
      <c r="E125" s="14" t="s">
        <v>596</v>
      </c>
      <c r="F125" s="14">
        <v>1</v>
      </c>
      <c r="G125" s="15">
        <v>1</v>
      </c>
      <c r="H125" s="15" t="s">
        <v>3968</v>
      </c>
      <c r="I125" s="13">
        <v>45723</v>
      </c>
      <c r="J125" s="15" t="s">
        <v>3969</v>
      </c>
      <c r="K125" s="64" t="s">
        <v>3990</v>
      </c>
      <c r="L125" s="16">
        <f>MONTH(Table4[[#This Row],[Order Date]])</f>
        <v>2</v>
      </c>
    </row>
    <row r="126" spans="1:12" hidden="1">
      <c r="A126" s="14">
        <v>51000136</v>
      </c>
      <c r="B126" s="18">
        <v>45715</v>
      </c>
      <c r="C126" s="14" t="s">
        <v>103</v>
      </c>
      <c r="D126" s="14" t="s">
        <v>597</v>
      </c>
      <c r="E126" s="14" t="s">
        <v>4024</v>
      </c>
      <c r="F126" s="14">
        <v>1</v>
      </c>
      <c r="G126" s="15">
        <v>1</v>
      </c>
      <c r="H126" s="15" t="s">
        <v>3968</v>
      </c>
      <c r="I126" s="13">
        <v>45723</v>
      </c>
      <c r="J126" s="15" t="s">
        <v>3969</v>
      </c>
      <c r="K126" s="64" t="s">
        <v>3990</v>
      </c>
      <c r="L126" s="16">
        <f>MONTH(Table4[[#This Row],[Order Date]])</f>
        <v>2</v>
      </c>
    </row>
    <row r="127" spans="1:12" hidden="1">
      <c r="A127" s="14">
        <v>51000136</v>
      </c>
      <c r="B127" s="18">
        <v>45715</v>
      </c>
      <c r="C127" s="14" t="s">
        <v>103</v>
      </c>
      <c r="D127" s="14" t="s">
        <v>599</v>
      </c>
      <c r="E127" s="14" t="s">
        <v>600</v>
      </c>
      <c r="F127" s="14">
        <v>1</v>
      </c>
      <c r="G127" s="15">
        <v>0</v>
      </c>
      <c r="H127" s="15" t="s">
        <v>3968</v>
      </c>
      <c r="I127" s="13"/>
      <c r="J127" s="15" t="s">
        <v>3969</v>
      </c>
      <c r="K127" s="64" t="s">
        <v>3990</v>
      </c>
      <c r="L127" s="16">
        <f>MONTH(Table4[[#This Row],[Order Date]])</f>
        <v>2</v>
      </c>
    </row>
    <row r="128" spans="1:12" hidden="1">
      <c r="A128" s="14">
        <v>51000323</v>
      </c>
      <c r="B128" s="18">
        <v>45715</v>
      </c>
      <c r="C128" s="14" t="s">
        <v>103</v>
      </c>
      <c r="D128" s="14" t="s">
        <v>603</v>
      </c>
      <c r="E128" s="14" t="s">
        <v>604</v>
      </c>
      <c r="F128" s="14">
        <v>1</v>
      </c>
      <c r="G128" s="15">
        <v>1</v>
      </c>
      <c r="H128" s="15" t="s">
        <v>3968</v>
      </c>
      <c r="I128" s="13">
        <v>45715</v>
      </c>
      <c r="J128" s="15" t="s">
        <v>3969</v>
      </c>
      <c r="K128" s="64" t="s">
        <v>3990</v>
      </c>
      <c r="L128" s="16">
        <f>MONTH(Table4[[#This Row],[Order Date]])</f>
        <v>2</v>
      </c>
    </row>
    <row r="129" spans="1:12" hidden="1">
      <c r="A129" s="14">
        <v>51000323</v>
      </c>
      <c r="B129" s="18">
        <v>45715</v>
      </c>
      <c r="C129" s="14" t="s">
        <v>103</v>
      </c>
      <c r="D129" s="14" t="s">
        <v>605</v>
      </c>
      <c r="E129" s="14" t="s">
        <v>606</v>
      </c>
      <c r="F129" s="14">
        <v>1</v>
      </c>
      <c r="G129" s="15">
        <v>1</v>
      </c>
      <c r="H129" s="15" t="s">
        <v>3968</v>
      </c>
      <c r="I129" s="13"/>
      <c r="J129" s="33" t="s">
        <v>3972</v>
      </c>
      <c r="K129" s="64" t="s">
        <v>3990</v>
      </c>
      <c r="L129" s="16">
        <f>MONTH(Table4[[#This Row],[Order Date]])</f>
        <v>2</v>
      </c>
    </row>
    <row r="130" spans="1:12" hidden="1">
      <c r="A130" s="14" t="s">
        <v>609</v>
      </c>
      <c r="B130" s="18">
        <v>45715</v>
      </c>
      <c r="C130" s="14" t="s">
        <v>4025</v>
      </c>
      <c r="D130" s="14" t="s">
        <v>610</v>
      </c>
      <c r="E130" s="14" t="s">
        <v>611</v>
      </c>
      <c r="F130" s="14">
        <v>1</v>
      </c>
      <c r="G130" s="15">
        <v>1</v>
      </c>
      <c r="H130" s="15" t="s">
        <v>3968</v>
      </c>
      <c r="I130" s="13">
        <v>45679</v>
      </c>
      <c r="J130" s="15" t="s">
        <v>3969</v>
      </c>
      <c r="K130" s="64" t="s">
        <v>3990</v>
      </c>
      <c r="L130" s="16">
        <f>MONTH(Table4[[#This Row],[Order Date]])</f>
        <v>2</v>
      </c>
    </row>
    <row r="131" spans="1:12" hidden="1">
      <c r="A131" s="14">
        <v>50000530</v>
      </c>
      <c r="B131" s="18">
        <v>45715</v>
      </c>
      <c r="C131" s="14" t="s">
        <v>79</v>
      </c>
      <c r="D131" s="14" t="s">
        <v>619</v>
      </c>
      <c r="E131" s="14" t="s">
        <v>620</v>
      </c>
      <c r="F131" s="14">
        <v>1</v>
      </c>
      <c r="G131" s="15">
        <v>1</v>
      </c>
      <c r="H131" s="15" t="s">
        <v>3968</v>
      </c>
      <c r="I131" s="13">
        <v>45713</v>
      </c>
      <c r="J131" s="15" t="s">
        <v>3969</v>
      </c>
      <c r="K131" s="64" t="s">
        <v>3990</v>
      </c>
      <c r="L131" s="16">
        <f>MONTH(Table4[[#This Row],[Order Date]])</f>
        <v>2</v>
      </c>
    </row>
    <row r="132" spans="1:12" hidden="1">
      <c r="A132" s="14">
        <v>50300141</v>
      </c>
      <c r="B132" s="18">
        <v>45715</v>
      </c>
      <c r="C132" s="14" t="s">
        <v>402</v>
      </c>
      <c r="D132" s="14" t="s">
        <v>624</v>
      </c>
      <c r="E132" s="14" t="s">
        <v>625</v>
      </c>
      <c r="F132" s="14">
        <v>1</v>
      </c>
      <c r="G132" s="15">
        <v>1</v>
      </c>
      <c r="H132" s="15" t="s">
        <v>3968</v>
      </c>
      <c r="I132" s="13">
        <v>45709</v>
      </c>
      <c r="J132" s="15" t="s">
        <v>3969</v>
      </c>
      <c r="K132" s="64" t="s">
        <v>3990</v>
      </c>
      <c r="L132" s="16">
        <f>MONTH(Table4[[#This Row],[Order Date]])</f>
        <v>2</v>
      </c>
    </row>
    <row r="133" spans="1:12" hidden="1">
      <c r="A133" s="14">
        <v>50000260</v>
      </c>
      <c r="B133" s="18">
        <v>45715</v>
      </c>
      <c r="C133" s="14" t="s">
        <v>85</v>
      </c>
      <c r="D133" s="14" t="s">
        <v>629</v>
      </c>
      <c r="E133" s="14" t="s">
        <v>630</v>
      </c>
      <c r="F133" s="14">
        <v>1</v>
      </c>
      <c r="G133" s="15">
        <v>1</v>
      </c>
      <c r="H133" s="15" t="s">
        <v>3968</v>
      </c>
      <c r="I133" s="13">
        <v>45713</v>
      </c>
      <c r="J133" s="15" t="s">
        <v>3969</v>
      </c>
      <c r="K133" s="64" t="s">
        <v>3990</v>
      </c>
      <c r="L133" s="16">
        <f>MONTH(Table4[[#This Row],[Order Date]])</f>
        <v>2</v>
      </c>
    </row>
    <row r="134" spans="1:12" hidden="1">
      <c r="A134" s="14">
        <v>50000260</v>
      </c>
      <c r="B134" s="18">
        <v>45715</v>
      </c>
      <c r="C134" s="14" t="s">
        <v>85</v>
      </c>
      <c r="D134" s="14" t="s">
        <v>80</v>
      </c>
      <c r="E134" s="14" t="s">
        <v>81</v>
      </c>
      <c r="F134" s="14">
        <v>1</v>
      </c>
      <c r="G134" s="15">
        <v>1</v>
      </c>
      <c r="H134" s="15" t="s">
        <v>3968</v>
      </c>
      <c r="I134" s="13">
        <v>45713</v>
      </c>
      <c r="J134" s="15" t="s">
        <v>3969</v>
      </c>
      <c r="K134" s="64" t="s">
        <v>3990</v>
      </c>
      <c r="L134" s="16">
        <f>MONTH(Table4[[#This Row],[Order Date]])</f>
        <v>2</v>
      </c>
    </row>
    <row r="135" spans="1:12" hidden="1">
      <c r="A135" s="14">
        <f>-D1393</f>
        <v>0</v>
      </c>
      <c r="B135" s="18">
        <v>45715</v>
      </c>
      <c r="C135" s="14" t="s">
        <v>93</v>
      </c>
      <c r="D135" s="14" t="s">
        <v>130</v>
      </c>
      <c r="E135" s="14" t="s">
        <v>633</v>
      </c>
      <c r="F135" s="14">
        <v>2</v>
      </c>
      <c r="G135" s="15">
        <v>2</v>
      </c>
      <c r="H135" s="15" t="s">
        <v>3968</v>
      </c>
      <c r="I135" s="13">
        <v>45714</v>
      </c>
      <c r="J135" s="15" t="s">
        <v>3969</v>
      </c>
      <c r="K135" s="64" t="s">
        <v>3990</v>
      </c>
      <c r="L135" s="16">
        <f>MONTH(Table4[[#This Row],[Order Date]])</f>
        <v>2</v>
      </c>
    </row>
    <row r="136" spans="1:12" hidden="1">
      <c r="A136" s="14">
        <v>50000202</v>
      </c>
      <c r="B136" s="18">
        <v>45715</v>
      </c>
      <c r="C136" s="14" t="s">
        <v>93</v>
      </c>
      <c r="D136" s="14" t="s">
        <v>495</v>
      </c>
      <c r="E136" s="14" t="s">
        <v>635</v>
      </c>
      <c r="F136" s="14">
        <v>2</v>
      </c>
      <c r="G136" s="15">
        <v>2</v>
      </c>
      <c r="H136" s="15" t="s">
        <v>3968</v>
      </c>
      <c r="I136" s="13">
        <v>45715</v>
      </c>
      <c r="J136" s="15" t="s">
        <v>3969</v>
      </c>
      <c r="K136" s="64" t="s">
        <v>3990</v>
      </c>
      <c r="L136" s="16">
        <f>MONTH(Table4[[#This Row],[Order Date]])</f>
        <v>2</v>
      </c>
    </row>
    <row r="137" spans="1:12" hidden="1">
      <c r="A137" s="14" t="s">
        <v>641</v>
      </c>
      <c r="B137" s="18">
        <v>45716</v>
      </c>
      <c r="C137" s="14" t="s">
        <v>639</v>
      </c>
      <c r="D137" s="14" t="s">
        <v>642</v>
      </c>
      <c r="E137" s="14" t="s">
        <v>4026</v>
      </c>
      <c r="F137" s="14">
        <v>1</v>
      </c>
      <c r="G137" s="15">
        <v>1</v>
      </c>
      <c r="H137" s="15" t="s">
        <v>3968</v>
      </c>
      <c r="I137" s="13">
        <v>45713</v>
      </c>
      <c r="J137" s="15" t="s">
        <v>3969</v>
      </c>
      <c r="K137" s="64" t="s">
        <v>3990</v>
      </c>
      <c r="L137" s="16">
        <f>MONTH(Table4[[#This Row],[Order Date]])</f>
        <v>2</v>
      </c>
    </row>
    <row r="138" spans="1:12" hidden="1">
      <c r="A138" s="14" t="s">
        <v>641</v>
      </c>
      <c r="B138" s="18">
        <v>45716</v>
      </c>
      <c r="C138" s="14" t="s">
        <v>639</v>
      </c>
      <c r="D138" s="14" t="s">
        <v>326</v>
      </c>
      <c r="E138" s="14" t="s">
        <v>4027</v>
      </c>
      <c r="F138" s="14">
        <v>1</v>
      </c>
      <c r="G138" s="15">
        <v>1</v>
      </c>
      <c r="H138" s="15" t="s">
        <v>3968</v>
      </c>
      <c r="I138" s="13">
        <v>45713</v>
      </c>
      <c r="J138" s="15" t="s">
        <v>3969</v>
      </c>
      <c r="K138" s="64" t="s">
        <v>3990</v>
      </c>
      <c r="L138" s="16">
        <f>MONTH(Table4[[#This Row],[Order Date]])</f>
        <v>2</v>
      </c>
    </row>
    <row r="139" spans="1:12" hidden="1">
      <c r="A139" s="14" t="s">
        <v>641</v>
      </c>
      <c r="B139" s="18">
        <v>45716</v>
      </c>
      <c r="C139" s="14" t="s">
        <v>639</v>
      </c>
      <c r="D139" s="14" t="s">
        <v>645</v>
      </c>
      <c r="E139" s="14" t="s">
        <v>4028</v>
      </c>
      <c r="F139" s="14">
        <v>1</v>
      </c>
      <c r="G139" s="15">
        <v>0</v>
      </c>
      <c r="H139" s="33" t="s">
        <v>3971</v>
      </c>
      <c r="I139" s="13"/>
      <c r="J139" s="15" t="s">
        <v>3969</v>
      </c>
      <c r="K139" s="64" t="s">
        <v>3990</v>
      </c>
      <c r="L139" s="16">
        <f>MONTH(Table4[[#This Row],[Order Date]])</f>
        <v>2</v>
      </c>
    </row>
    <row r="140" spans="1:12" ht="15.6" hidden="1">
      <c r="A140" s="14" t="s">
        <v>641</v>
      </c>
      <c r="B140" s="18">
        <v>45716</v>
      </c>
      <c r="C140" s="14" t="s">
        <v>639</v>
      </c>
      <c r="D140" s="14" t="s">
        <v>648</v>
      </c>
      <c r="E140" s="45" t="s">
        <v>649</v>
      </c>
      <c r="F140" s="14">
        <v>1</v>
      </c>
      <c r="G140" s="15">
        <v>0</v>
      </c>
      <c r="H140" s="33" t="s">
        <v>3971</v>
      </c>
      <c r="I140" s="13"/>
      <c r="J140" s="15" t="s">
        <v>3969</v>
      </c>
      <c r="K140" s="64" t="s">
        <v>3990</v>
      </c>
      <c r="L140" s="16">
        <f>MONTH(Table4[[#This Row],[Order Date]])</f>
        <v>2</v>
      </c>
    </row>
    <row r="141" spans="1:12" ht="15.6" hidden="1">
      <c r="A141" s="40">
        <v>41000142</v>
      </c>
      <c r="B141" s="37">
        <v>45716</v>
      </c>
      <c r="C141" s="14" t="s">
        <v>192</v>
      </c>
      <c r="D141" s="14" t="s">
        <v>654</v>
      </c>
      <c r="E141" s="45" t="s">
        <v>655</v>
      </c>
      <c r="F141" s="14">
        <v>1</v>
      </c>
      <c r="G141" s="15">
        <v>1</v>
      </c>
      <c r="H141" s="15" t="s">
        <v>3968</v>
      </c>
      <c r="I141" s="38">
        <v>45623</v>
      </c>
      <c r="J141" s="15" t="s">
        <v>3969</v>
      </c>
      <c r="K141" s="64" t="s">
        <v>3990</v>
      </c>
      <c r="L141" s="39">
        <f>MONTH(Table4[[#This Row],[Order Date]])</f>
        <v>2</v>
      </c>
    </row>
    <row r="142" spans="1:12" ht="15.6">
      <c r="A142" s="44">
        <v>50000260</v>
      </c>
      <c r="B142" s="155">
        <v>45719</v>
      </c>
      <c r="C142" s="40" t="s">
        <v>85</v>
      </c>
      <c r="D142" s="40" t="s">
        <v>663</v>
      </c>
      <c r="E142" s="46" t="s">
        <v>4029</v>
      </c>
      <c r="F142" s="237">
        <v>1</v>
      </c>
      <c r="G142" s="237">
        <v>1</v>
      </c>
      <c r="H142" s="255" t="s">
        <v>3968</v>
      </c>
      <c r="I142" s="38"/>
      <c r="J142" s="238" t="s">
        <v>3969</v>
      </c>
      <c r="K142" s="239" t="s">
        <v>3990</v>
      </c>
      <c r="L142" s="265">
        <f>MONTH(Table4[[#This Row],[Order Date]])</f>
        <v>3</v>
      </c>
    </row>
    <row r="143" spans="1:12" ht="15.6">
      <c r="A143" s="44">
        <v>50000260</v>
      </c>
      <c r="B143" s="155">
        <v>45719</v>
      </c>
      <c r="C143" s="40" t="s">
        <v>85</v>
      </c>
      <c r="D143" s="40" t="s">
        <v>4030</v>
      </c>
      <c r="E143" s="46" t="s">
        <v>4031</v>
      </c>
      <c r="F143" s="237">
        <v>1</v>
      </c>
      <c r="G143" s="237">
        <v>1</v>
      </c>
      <c r="H143" s="255" t="s">
        <v>3968</v>
      </c>
      <c r="I143" s="38"/>
      <c r="J143" s="238" t="s">
        <v>3969</v>
      </c>
      <c r="K143" s="239" t="s">
        <v>3990</v>
      </c>
      <c r="L143" s="265">
        <f>MONTH(Table4[[#This Row],[Order Date]])</f>
        <v>3</v>
      </c>
    </row>
    <row r="144" spans="1:12" ht="15.6">
      <c r="A144" s="44">
        <v>51000323</v>
      </c>
      <c r="B144" s="149">
        <v>45722</v>
      </c>
      <c r="C144" s="40" t="s">
        <v>103</v>
      </c>
      <c r="D144" s="40" t="s">
        <v>35</v>
      </c>
      <c r="E144" s="46" t="s">
        <v>682</v>
      </c>
      <c r="F144" s="237">
        <v>1</v>
      </c>
      <c r="G144" s="237">
        <v>1</v>
      </c>
      <c r="H144" s="255" t="s">
        <v>3968</v>
      </c>
      <c r="I144" s="38"/>
      <c r="J144" s="238" t="s">
        <v>3969</v>
      </c>
      <c r="K144" s="239" t="s">
        <v>3990</v>
      </c>
      <c r="L144" s="265">
        <f>MONTH(Table4[[#This Row],[Order Date]])</f>
        <v>3</v>
      </c>
    </row>
    <row r="145" spans="1:12" ht="15.6">
      <c r="A145" s="44">
        <v>51000323</v>
      </c>
      <c r="B145" s="149">
        <v>45722</v>
      </c>
      <c r="C145" s="40" t="s">
        <v>103</v>
      </c>
      <c r="D145" s="40" t="s">
        <v>683</v>
      </c>
      <c r="E145" s="46" t="s">
        <v>684</v>
      </c>
      <c r="F145" s="237">
        <v>1</v>
      </c>
      <c r="G145" s="237">
        <v>1</v>
      </c>
      <c r="H145" s="255" t="s">
        <v>3968</v>
      </c>
      <c r="I145" s="38"/>
      <c r="J145" s="238" t="s">
        <v>3969</v>
      </c>
      <c r="K145" s="239" t="s">
        <v>3990</v>
      </c>
      <c r="L145" s="265">
        <f>MONTH(Table4[[#This Row],[Order Date]])</f>
        <v>3</v>
      </c>
    </row>
    <row r="146" spans="1:12" ht="15.6">
      <c r="A146" s="44">
        <v>51000323</v>
      </c>
      <c r="B146" s="149">
        <v>45722</v>
      </c>
      <c r="C146" s="40" t="s">
        <v>103</v>
      </c>
      <c r="D146" s="40" t="s">
        <v>680</v>
      </c>
      <c r="E146" s="46" t="s">
        <v>681</v>
      </c>
      <c r="F146" s="237">
        <v>1</v>
      </c>
      <c r="G146" s="237">
        <v>0</v>
      </c>
      <c r="H146" s="255" t="s">
        <v>3968</v>
      </c>
      <c r="I146" s="38"/>
      <c r="J146" s="238" t="s">
        <v>3969</v>
      </c>
      <c r="K146" s="239" t="s">
        <v>3990</v>
      </c>
      <c r="L146" s="265">
        <f>MONTH(Table4[[#This Row],[Order Date]])</f>
        <v>3</v>
      </c>
    </row>
    <row r="147" spans="1:12" ht="15.6">
      <c r="A147" s="40">
        <v>44000010</v>
      </c>
      <c r="B147" s="155">
        <v>45722</v>
      </c>
      <c r="C147" s="40" t="s">
        <v>4032</v>
      </c>
      <c r="D147" s="40" t="s">
        <v>736</v>
      </c>
      <c r="E147" s="46" t="s">
        <v>737</v>
      </c>
      <c r="F147" s="237">
        <v>1</v>
      </c>
      <c r="G147" s="237">
        <v>1</v>
      </c>
      <c r="H147" s="255" t="s">
        <v>3968</v>
      </c>
      <c r="I147" s="38"/>
      <c r="J147" s="238" t="s">
        <v>3969</v>
      </c>
      <c r="K147" s="239" t="s">
        <v>3990</v>
      </c>
      <c r="L147" s="265">
        <f>MONTH(Table4[[#This Row],[Order Date]])</f>
        <v>3</v>
      </c>
    </row>
    <row r="148" spans="1:12" ht="15.6">
      <c r="A148" s="14">
        <v>43000422</v>
      </c>
      <c r="B148" s="155">
        <v>45722</v>
      </c>
      <c r="C148" s="40" t="s">
        <v>225</v>
      </c>
      <c r="D148" s="40" t="s">
        <v>1872</v>
      </c>
      <c r="E148" s="61" t="s">
        <v>1873</v>
      </c>
      <c r="F148" s="237">
        <v>1</v>
      </c>
      <c r="G148" s="237">
        <v>1</v>
      </c>
      <c r="H148" s="255" t="s">
        <v>3968</v>
      </c>
      <c r="I148" s="38"/>
      <c r="J148" s="238" t="s">
        <v>3969</v>
      </c>
      <c r="K148" s="239" t="s">
        <v>3990</v>
      </c>
      <c r="L148" s="265">
        <f>MONTH(Table4[[#This Row],[Order Date]])</f>
        <v>3</v>
      </c>
    </row>
    <row r="149" spans="1:12" ht="15.6">
      <c r="A149" s="40">
        <v>43000422</v>
      </c>
      <c r="B149" s="155">
        <v>45722</v>
      </c>
      <c r="C149" s="40" t="s">
        <v>225</v>
      </c>
      <c r="D149" s="40" t="s">
        <v>98</v>
      </c>
      <c r="E149" s="62" t="s">
        <v>4033</v>
      </c>
      <c r="F149" s="237">
        <v>2</v>
      </c>
      <c r="G149" s="237">
        <v>2</v>
      </c>
      <c r="H149" s="255" t="s">
        <v>3968</v>
      </c>
      <c r="I149" s="38"/>
      <c r="J149" s="237" t="s">
        <v>3969</v>
      </c>
      <c r="K149" s="239" t="s">
        <v>3990</v>
      </c>
      <c r="L149" s="265">
        <f>MONTH(Table4[[#This Row],[Order Date]])</f>
        <v>3</v>
      </c>
    </row>
    <row r="150" spans="1:12" ht="15.6">
      <c r="A150" s="14">
        <v>43000422</v>
      </c>
      <c r="B150" s="149">
        <v>45722</v>
      </c>
      <c r="C150" s="14" t="s">
        <v>225</v>
      </c>
      <c r="D150" s="14" t="s">
        <v>4034</v>
      </c>
      <c r="E150" s="45" t="s">
        <v>4035</v>
      </c>
      <c r="F150" s="238">
        <v>1</v>
      </c>
      <c r="G150" s="238">
        <v>1</v>
      </c>
      <c r="H150" s="252" t="s">
        <v>3968</v>
      </c>
      <c r="I150" s="13"/>
      <c r="J150" s="238" t="s">
        <v>3969</v>
      </c>
      <c r="K150" s="239" t="s">
        <v>3990</v>
      </c>
      <c r="L150" s="252">
        <f>MONTH(Table4[[#This Row],[Order Date]])</f>
        <v>3</v>
      </c>
    </row>
    <row r="151" spans="1:12">
      <c r="A151" s="14">
        <v>50110372</v>
      </c>
      <c r="B151" s="149">
        <v>45723</v>
      </c>
      <c r="C151" s="14" t="s">
        <v>73</v>
      </c>
      <c r="D151" s="14" t="s">
        <v>4036</v>
      </c>
      <c r="E151" s="14" t="s">
        <v>4037</v>
      </c>
      <c r="F151" s="238">
        <v>1</v>
      </c>
      <c r="G151" s="238">
        <v>1</v>
      </c>
      <c r="H151" s="252" t="s">
        <v>3968</v>
      </c>
      <c r="I151" s="13"/>
      <c r="J151" s="238" t="s">
        <v>3969</v>
      </c>
      <c r="K151" s="239" t="s">
        <v>3990</v>
      </c>
      <c r="L151" s="252">
        <f>MONTH(Table4[[#This Row],[Order Date]])</f>
        <v>3</v>
      </c>
    </row>
    <row r="152" spans="1:12">
      <c r="A152" s="63">
        <v>50000260</v>
      </c>
      <c r="B152" s="150" t="s">
        <v>4038</v>
      </c>
      <c r="C152" s="63" t="s">
        <v>85</v>
      </c>
      <c r="D152" s="63" t="s">
        <v>663</v>
      </c>
      <c r="E152" s="63" t="s">
        <v>4029</v>
      </c>
      <c r="F152" s="239">
        <v>1</v>
      </c>
      <c r="G152" s="239">
        <v>1</v>
      </c>
      <c r="H152" s="239" t="s">
        <v>3968</v>
      </c>
      <c r="I152" s="65"/>
      <c r="J152" s="239" t="s">
        <v>3969</v>
      </c>
      <c r="K152" s="239" t="s">
        <v>3990</v>
      </c>
      <c r="L152" s="239">
        <v>3</v>
      </c>
    </row>
    <row r="153" spans="1:12">
      <c r="A153" s="63">
        <v>51000323</v>
      </c>
      <c r="B153" s="150">
        <v>45722</v>
      </c>
      <c r="C153" s="63" t="s">
        <v>103</v>
      </c>
      <c r="D153" s="63" t="s">
        <v>35</v>
      </c>
      <c r="E153" s="63" t="s">
        <v>682</v>
      </c>
      <c r="F153" s="239">
        <v>1</v>
      </c>
      <c r="G153" s="239">
        <v>1</v>
      </c>
      <c r="H153" s="239" t="s">
        <v>3968</v>
      </c>
      <c r="I153" s="65"/>
      <c r="J153" s="239" t="s">
        <v>3969</v>
      </c>
      <c r="K153" s="239" t="s">
        <v>3990</v>
      </c>
      <c r="L153" s="239">
        <v>3</v>
      </c>
    </row>
    <row r="154" spans="1:12">
      <c r="A154" s="63">
        <v>51000323</v>
      </c>
      <c r="B154" s="150">
        <v>45722</v>
      </c>
      <c r="C154" s="63" t="s">
        <v>103</v>
      </c>
      <c r="D154" s="63" t="s">
        <v>683</v>
      </c>
      <c r="E154" s="63" t="s">
        <v>684</v>
      </c>
      <c r="F154" s="239">
        <v>1</v>
      </c>
      <c r="G154" s="239">
        <v>1</v>
      </c>
      <c r="H154" s="239" t="s">
        <v>3968</v>
      </c>
      <c r="I154" s="65"/>
      <c r="J154" s="239" t="s">
        <v>3969</v>
      </c>
      <c r="K154" s="239" t="s">
        <v>3990</v>
      </c>
      <c r="L154" s="239">
        <v>3</v>
      </c>
    </row>
    <row r="155" spans="1:12">
      <c r="A155" s="63">
        <v>51000323</v>
      </c>
      <c r="B155" s="150">
        <v>45722</v>
      </c>
      <c r="C155" s="63" t="s">
        <v>103</v>
      </c>
      <c r="D155" s="63" t="s">
        <v>680</v>
      </c>
      <c r="E155" s="63" t="s">
        <v>681</v>
      </c>
      <c r="F155" s="239">
        <v>1</v>
      </c>
      <c r="G155" s="239">
        <v>1</v>
      </c>
      <c r="H155" s="239" t="s">
        <v>3968</v>
      </c>
      <c r="I155" s="65"/>
      <c r="J155" s="239" t="s">
        <v>3969</v>
      </c>
      <c r="K155" s="239" t="s">
        <v>3990</v>
      </c>
      <c r="L155" s="239">
        <v>3</v>
      </c>
    </row>
    <row r="156" spans="1:12">
      <c r="A156" s="63">
        <v>44000010</v>
      </c>
      <c r="B156" s="150">
        <v>45722</v>
      </c>
      <c r="C156" s="63" t="s">
        <v>4032</v>
      </c>
      <c r="D156" s="63" t="s">
        <v>736</v>
      </c>
      <c r="E156" s="63" t="s">
        <v>737</v>
      </c>
      <c r="F156" s="239">
        <v>1</v>
      </c>
      <c r="G156" s="239">
        <v>1</v>
      </c>
      <c r="H156" s="239" t="s">
        <v>3968</v>
      </c>
      <c r="I156" s="65"/>
      <c r="J156" s="239" t="s">
        <v>3969</v>
      </c>
      <c r="K156" s="239" t="s">
        <v>3990</v>
      </c>
      <c r="L156" s="239">
        <v>3</v>
      </c>
    </row>
    <row r="157" spans="1:12">
      <c r="A157" s="63">
        <v>43000422</v>
      </c>
      <c r="B157" s="150">
        <v>45722</v>
      </c>
      <c r="C157" s="63" t="s">
        <v>225</v>
      </c>
      <c r="D157" s="63" t="s">
        <v>1872</v>
      </c>
      <c r="E157" s="64" t="s">
        <v>1873</v>
      </c>
      <c r="F157" s="239">
        <v>1</v>
      </c>
      <c r="G157" s="239">
        <v>1</v>
      </c>
      <c r="H157" s="239" t="s">
        <v>3968</v>
      </c>
      <c r="I157" s="65"/>
      <c r="J157" s="239" t="s">
        <v>3969</v>
      </c>
      <c r="K157" s="239" t="s">
        <v>3990</v>
      </c>
      <c r="L157" s="239">
        <v>3</v>
      </c>
    </row>
    <row r="158" spans="1:12">
      <c r="A158" s="63">
        <v>43000422</v>
      </c>
      <c r="B158" s="150">
        <v>45722</v>
      </c>
      <c r="C158" s="63" t="s">
        <v>225</v>
      </c>
      <c r="D158" s="63" t="s">
        <v>98</v>
      </c>
      <c r="E158" s="66" t="s">
        <v>4033</v>
      </c>
      <c r="F158" s="239">
        <v>2</v>
      </c>
      <c r="G158" s="239">
        <v>2</v>
      </c>
      <c r="H158" s="239" t="s">
        <v>3968</v>
      </c>
      <c r="I158" s="65"/>
      <c r="J158" s="239" t="s">
        <v>3969</v>
      </c>
      <c r="K158" s="239" t="s">
        <v>3990</v>
      </c>
      <c r="L158" s="239">
        <v>3</v>
      </c>
    </row>
    <row r="159" spans="1:12">
      <c r="A159" s="63">
        <v>43000422</v>
      </c>
      <c r="B159" s="150">
        <v>45722</v>
      </c>
      <c r="C159" s="63" t="s">
        <v>225</v>
      </c>
      <c r="D159" s="63" t="s">
        <v>4034</v>
      </c>
      <c r="E159" s="63" t="s">
        <v>4035</v>
      </c>
      <c r="F159" s="239">
        <v>1</v>
      </c>
      <c r="G159" s="239">
        <v>1</v>
      </c>
      <c r="H159" s="239" t="s">
        <v>3968</v>
      </c>
      <c r="I159" s="65"/>
      <c r="J159" s="239" t="s">
        <v>3969</v>
      </c>
      <c r="K159" s="239" t="s">
        <v>3990</v>
      </c>
      <c r="L159" s="239">
        <v>3</v>
      </c>
    </row>
    <row r="160" spans="1:12">
      <c r="A160" s="63">
        <v>50110372</v>
      </c>
      <c r="B160" s="150">
        <v>45723</v>
      </c>
      <c r="C160" s="63" t="s">
        <v>73</v>
      </c>
      <c r="D160" s="63" t="s">
        <v>4036</v>
      </c>
      <c r="E160" s="63" t="s">
        <v>4037</v>
      </c>
      <c r="F160" s="239">
        <v>1</v>
      </c>
      <c r="G160" s="239">
        <v>1</v>
      </c>
      <c r="H160" s="239" t="s">
        <v>3968</v>
      </c>
      <c r="I160" s="65"/>
      <c r="J160" s="239" t="s">
        <v>3969</v>
      </c>
      <c r="K160" s="239" t="s">
        <v>3990</v>
      </c>
      <c r="L160" s="239">
        <v>3</v>
      </c>
    </row>
    <row r="161" spans="1:12">
      <c r="A161" s="63">
        <v>50000260</v>
      </c>
      <c r="B161" s="150">
        <v>45726</v>
      </c>
      <c r="C161" s="63" t="s">
        <v>85</v>
      </c>
      <c r="D161" s="63" t="s">
        <v>4039</v>
      </c>
      <c r="E161" s="63" t="s">
        <v>4040</v>
      </c>
      <c r="F161" s="239">
        <v>1</v>
      </c>
      <c r="G161" s="239">
        <v>1</v>
      </c>
      <c r="H161" s="239" t="s">
        <v>3968</v>
      </c>
      <c r="I161" s="65"/>
      <c r="J161" s="239" t="s">
        <v>3969</v>
      </c>
      <c r="K161" s="239" t="s">
        <v>3990</v>
      </c>
      <c r="L161" s="239">
        <v>3</v>
      </c>
    </row>
    <row r="162" spans="1:12" hidden="1">
      <c r="A162" s="63">
        <v>61000037</v>
      </c>
      <c r="B162" s="74">
        <v>45708</v>
      </c>
      <c r="C162" s="63" t="s">
        <v>515</v>
      </c>
      <c r="D162" s="63" t="s">
        <v>517</v>
      </c>
      <c r="E162" s="63" t="s">
        <v>4041</v>
      </c>
      <c r="F162" s="63">
        <v>1</v>
      </c>
      <c r="G162" s="64">
        <v>1</v>
      </c>
      <c r="H162" s="64" t="s">
        <v>3971</v>
      </c>
      <c r="I162" s="65">
        <v>45728</v>
      </c>
      <c r="J162" s="64" t="s">
        <v>3969</v>
      </c>
      <c r="K162" s="64" t="s">
        <v>3990</v>
      </c>
      <c r="L162" s="64">
        <v>2</v>
      </c>
    </row>
    <row r="163" spans="1:12" s="47" customFormat="1">
      <c r="A163" s="63">
        <v>48000044</v>
      </c>
      <c r="B163" s="150">
        <v>45728</v>
      </c>
      <c r="C163" s="63" t="s">
        <v>118</v>
      </c>
      <c r="D163" s="63" t="s">
        <v>789</v>
      </c>
      <c r="E163" s="63" t="s">
        <v>3522</v>
      </c>
      <c r="F163" s="239">
        <v>1</v>
      </c>
      <c r="G163" s="239">
        <v>1</v>
      </c>
      <c r="H163" s="239" t="s">
        <v>3968</v>
      </c>
      <c r="I163" s="65"/>
      <c r="J163" s="239" t="s">
        <v>3969</v>
      </c>
      <c r="K163" s="239" t="s">
        <v>3990</v>
      </c>
      <c r="L163" s="239">
        <v>3</v>
      </c>
    </row>
    <row r="164" spans="1:12">
      <c r="A164" s="63">
        <v>48000002</v>
      </c>
      <c r="B164" s="150">
        <v>45728</v>
      </c>
      <c r="C164" s="63" t="s">
        <v>720</v>
      </c>
      <c r="D164" s="63" t="s">
        <v>721</v>
      </c>
      <c r="E164" s="63" t="s">
        <v>4042</v>
      </c>
      <c r="F164" s="239">
        <v>1</v>
      </c>
      <c r="G164" s="239">
        <v>1</v>
      </c>
      <c r="H164" s="239" t="s">
        <v>3968</v>
      </c>
      <c r="I164" s="65"/>
      <c r="J164" s="239" t="s">
        <v>3969</v>
      </c>
      <c r="K164" s="239" t="s">
        <v>3990</v>
      </c>
      <c r="L164" s="239">
        <v>3</v>
      </c>
    </row>
    <row r="165" spans="1:12">
      <c r="A165" s="63">
        <v>50000530</v>
      </c>
      <c r="B165" s="150">
        <v>45729</v>
      </c>
      <c r="C165" s="63" t="s">
        <v>79</v>
      </c>
      <c r="D165" s="63" t="s">
        <v>2800</v>
      </c>
      <c r="E165" s="63" t="s">
        <v>2801</v>
      </c>
      <c r="F165" s="239">
        <v>2</v>
      </c>
      <c r="G165" s="239">
        <v>2</v>
      </c>
      <c r="H165" s="239" t="s">
        <v>3968</v>
      </c>
      <c r="I165" s="65"/>
      <c r="J165" s="239" t="s">
        <v>3969</v>
      </c>
      <c r="K165" s="239" t="s">
        <v>3990</v>
      </c>
      <c r="L165" s="239">
        <v>3</v>
      </c>
    </row>
    <row r="166" spans="1:12">
      <c r="A166" s="63">
        <v>50000530</v>
      </c>
      <c r="B166" s="150">
        <v>45729</v>
      </c>
      <c r="C166" s="63" t="s">
        <v>79</v>
      </c>
      <c r="D166" s="63" t="s">
        <v>80</v>
      </c>
      <c r="E166" s="63" t="s">
        <v>4043</v>
      </c>
      <c r="F166" s="239">
        <v>1</v>
      </c>
      <c r="G166" s="239">
        <v>1</v>
      </c>
      <c r="H166" s="239" t="s">
        <v>3968</v>
      </c>
      <c r="I166" s="65"/>
      <c r="J166" s="239" t="s">
        <v>3969</v>
      </c>
      <c r="K166" s="239" t="s">
        <v>3990</v>
      </c>
      <c r="L166" s="239">
        <v>3</v>
      </c>
    </row>
    <row r="167" spans="1:12">
      <c r="A167" s="63">
        <v>40000288</v>
      </c>
      <c r="B167" s="150">
        <v>45730</v>
      </c>
      <c r="C167" s="63" t="s">
        <v>202</v>
      </c>
      <c r="D167" s="63" t="s">
        <v>1331</v>
      </c>
      <c r="E167" s="63" t="s">
        <v>3233</v>
      </c>
      <c r="F167" s="239">
        <v>1</v>
      </c>
      <c r="G167" s="239">
        <v>1</v>
      </c>
      <c r="H167" s="239" t="s">
        <v>3968</v>
      </c>
      <c r="I167" s="65"/>
      <c r="J167" s="239" t="s">
        <v>3969</v>
      </c>
      <c r="K167" s="239" t="s">
        <v>3990</v>
      </c>
      <c r="L167" s="239">
        <v>3</v>
      </c>
    </row>
    <row r="168" spans="1:12">
      <c r="A168" s="63">
        <v>48500665</v>
      </c>
      <c r="B168" s="150">
        <v>45730</v>
      </c>
      <c r="C168" s="63" t="s">
        <v>639</v>
      </c>
      <c r="D168" s="63" t="s">
        <v>645</v>
      </c>
      <c r="E168" s="63" t="s">
        <v>4044</v>
      </c>
      <c r="F168" s="239">
        <v>1</v>
      </c>
      <c r="G168" s="239">
        <v>1</v>
      </c>
      <c r="H168" s="239" t="s">
        <v>3968</v>
      </c>
      <c r="I168" s="65"/>
      <c r="J168" s="239" t="s">
        <v>3969</v>
      </c>
      <c r="K168" s="239" t="s">
        <v>3990</v>
      </c>
      <c r="L168" s="239">
        <v>3</v>
      </c>
    </row>
    <row r="169" spans="1:12">
      <c r="A169" s="63">
        <v>60002072</v>
      </c>
      <c r="B169" s="150">
        <v>45730</v>
      </c>
      <c r="C169" s="63" t="s">
        <v>202</v>
      </c>
      <c r="D169" s="63" t="s">
        <v>716</v>
      </c>
      <c r="E169" s="63" t="s">
        <v>4045</v>
      </c>
      <c r="F169" s="239">
        <v>1</v>
      </c>
      <c r="G169" s="239">
        <v>1</v>
      </c>
      <c r="H169" s="239" t="s">
        <v>3968</v>
      </c>
      <c r="I169" s="65"/>
      <c r="J169" s="239" t="s">
        <v>3969</v>
      </c>
      <c r="K169" s="239" t="s">
        <v>3990</v>
      </c>
      <c r="L169" s="239">
        <v>3</v>
      </c>
    </row>
    <row r="170" spans="1:12">
      <c r="A170" s="63">
        <v>60002072</v>
      </c>
      <c r="B170" s="150">
        <v>45730</v>
      </c>
      <c r="C170" s="63" t="s">
        <v>202</v>
      </c>
      <c r="D170" s="63" t="s">
        <v>4046</v>
      </c>
      <c r="E170" s="63" t="s">
        <v>4047</v>
      </c>
      <c r="F170" s="239">
        <v>1</v>
      </c>
      <c r="G170" s="239">
        <v>1</v>
      </c>
      <c r="H170" s="239" t="s">
        <v>3968</v>
      </c>
      <c r="I170" s="65"/>
      <c r="J170" s="239" t="s">
        <v>3969</v>
      </c>
      <c r="K170" s="239" t="s">
        <v>3990</v>
      </c>
      <c r="L170" s="239">
        <v>3</v>
      </c>
    </row>
    <row r="171" spans="1:12">
      <c r="A171" s="63">
        <v>60002072</v>
      </c>
      <c r="B171" s="150">
        <v>45730</v>
      </c>
      <c r="C171" s="63" t="s">
        <v>202</v>
      </c>
      <c r="D171" s="63" t="s">
        <v>114</v>
      </c>
      <c r="E171" s="63" t="s">
        <v>1466</v>
      </c>
      <c r="F171" s="239">
        <v>1</v>
      </c>
      <c r="G171" s="239">
        <v>1</v>
      </c>
      <c r="H171" s="239" t="s">
        <v>3968</v>
      </c>
      <c r="I171" s="65"/>
      <c r="J171" s="239" t="s">
        <v>3969</v>
      </c>
      <c r="K171" s="239" t="s">
        <v>3990</v>
      </c>
      <c r="L171" s="239">
        <v>3</v>
      </c>
    </row>
    <row r="172" spans="1:12">
      <c r="A172" s="64">
        <v>44000059</v>
      </c>
      <c r="B172" s="150">
        <v>45730</v>
      </c>
      <c r="C172" s="63" t="s">
        <v>63</v>
      </c>
      <c r="D172" s="63" t="s">
        <v>4048</v>
      </c>
      <c r="E172" s="63" t="s">
        <v>4049</v>
      </c>
      <c r="F172" s="239">
        <v>1</v>
      </c>
      <c r="G172" s="239">
        <v>1</v>
      </c>
      <c r="H172" s="239" t="s">
        <v>3968</v>
      </c>
      <c r="I172" s="65"/>
      <c r="J172" s="239" t="s">
        <v>3969</v>
      </c>
      <c r="K172" s="239" t="s">
        <v>3990</v>
      </c>
      <c r="L172" s="239">
        <v>3</v>
      </c>
    </row>
    <row r="173" spans="1:12">
      <c r="A173" s="63">
        <v>50110261</v>
      </c>
      <c r="B173" s="150">
        <v>45722</v>
      </c>
      <c r="C173" s="63" t="s">
        <v>225</v>
      </c>
      <c r="D173" s="63" t="s">
        <v>614</v>
      </c>
      <c r="E173" s="63" t="s">
        <v>615</v>
      </c>
      <c r="F173" s="239">
        <v>1</v>
      </c>
      <c r="G173" s="239">
        <v>1</v>
      </c>
      <c r="H173" s="239" t="s">
        <v>3971</v>
      </c>
      <c r="I173" s="65"/>
      <c r="J173" s="256" t="s">
        <v>3969</v>
      </c>
      <c r="K173" s="256" t="s">
        <v>3990</v>
      </c>
      <c r="L173" s="239">
        <v>3</v>
      </c>
    </row>
    <row r="174" spans="1:12">
      <c r="A174" s="63">
        <v>47100399</v>
      </c>
      <c r="B174" s="150">
        <v>45722</v>
      </c>
      <c r="C174" s="63" t="s">
        <v>233</v>
      </c>
      <c r="D174" s="63" t="s">
        <v>668</v>
      </c>
      <c r="E174" s="63" t="s">
        <v>669</v>
      </c>
      <c r="F174" s="239">
        <v>1</v>
      </c>
      <c r="G174" s="239">
        <v>1</v>
      </c>
      <c r="H174" s="239" t="s">
        <v>3968</v>
      </c>
      <c r="I174" s="65"/>
      <c r="J174" s="256" t="s">
        <v>3969</v>
      </c>
      <c r="K174" s="256" t="s">
        <v>3990</v>
      </c>
      <c r="L174" s="239">
        <v>3</v>
      </c>
    </row>
    <row r="175" spans="1:12">
      <c r="A175" s="63">
        <v>50110372</v>
      </c>
      <c r="B175" s="150">
        <v>45722</v>
      </c>
      <c r="C175" s="63" t="s">
        <v>73</v>
      </c>
      <c r="D175" s="63" t="s">
        <v>672</v>
      </c>
      <c r="E175" s="63" t="s">
        <v>673</v>
      </c>
      <c r="F175" s="239">
        <v>1</v>
      </c>
      <c r="G175" s="239">
        <v>0</v>
      </c>
      <c r="H175" s="239" t="s">
        <v>3968</v>
      </c>
      <c r="I175" s="65"/>
      <c r="J175" s="256" t="s">
        <v>3969</v>
      </c>
      <c r="K175" s="256" t="s">
        <v>3990</v>
      </c>
      <c r="L175" s="239">
        <v>3</v>
      </c>
    </row>
    <row r="176" spans="1:12">
      <c r="A176" s="63">
        <v>51000136</v>
      </c>
      <c r="B176" s="150">
        <v>45722</v>
      </c>
      <c r="C176" s="63" t="s">
        <v>103</v>
      </c>
      <c r="D176" s="63" t="s">
        <v>676</v>
      </c>
      <c r="E176" s="63" t="s">
        <v>677</v>
      </c>
      <c r="F176" s="239">
        <v>1</v>
      </c>
      <c r="G176" s="239">
        <v>1</v>
      </c>
      <c r="H176" s="239" t="s">
        <v>3968</v>
      </c>
      <c r="I176" s="65"/>
      <c r="J176" s="256" t="s">
        <v>3969</v>
      </c>
      <c r="K176" s="256" t="s">
        <v>3990</v>
      </c>
      <c r="L176" s="239">
        <v>3</v>
      </c>
    </row>
    <row r="177" spans="1:12">
      <c r="A177" s="63">
        <v>51000323</v>
      </c>
      <c r="B177" s="150">
        <v>45723</v>
      </c>
      <c r="C177" s="63" t="s">
        <v>103</v>
      </c>
      <c r="D177" s="63" t="s">
        <v>680</v>
      </c>
      <c r="E177" s="63" t="s">
        <v>681</v>
      </c>
      <c r="F177" s="239">
        <v>1</v>
      </c>
      <c r="G177" s="239">
        <v>1</v>
      </c>
      <c r="H177" s="239" t="s">
        <v>3968</v>
      </c>
      <c r="I177" s="65"/>
      <c r="J177" s="256" t="s">
        <v>3969</v>
      </c>
      <c r="K177" s="256" t="s">
        <v>3990</v>
      </c>
      <c r="L177" s="239">
        <v>3</v>
      </c>
    </row>
    <row r="178" spans="1:12">
      <c r="A178" s="63">
        <v>51000323</v>
      </c>
      <c r="B178" s="150">
        <v>45723</v>
      </c>
      <c r="C178" s="63" t="s">
        <v>103</v>
      </c>
      <c r="D178" s="63" t="s">
        <v>35</v>
      </c>
      <c r="E178" s="63" t="s">
        <v>682</v>
      </c>
      <c r="F178" s="239">
        <v>1</v>
      </c>
      <c r="G178" s="239">
        <v>1</v>
      </c>
      <c r="H178" s="239" t="s">
        <v>3968</v>
      </c>
      <c r="I178" s="65"/>
      <c r="J178" s="256" t="s">
        <v>3969</v>
      </c>
      <c r="K178" s="256" t="s">
        <v>3990</v>
      </c>
      <c r="L178" s="239">
        <v>3</v>
      </c>
    </row>
    <row r="179" spans="1:12">
      <c r="A179" s="63">
        <v>51000323</v>
      </c>
      <c r="B179" s="150">
        <v>45723</v>
      </c>
      <c r="C179" s="63" t="s">
        <v>103</v>
      </c>
      <c r="D179" s="63" t="s">
        <v>683</v>
      </c>
      <c r="E179" s="63" t="s">
        <v>684</v>
      </c>
      <c r="F179" s="239">
        <v>1</v>
      </c>
      <c r="G179" s="239">
        <v>0</v>
      </c>
      <c r="H179" s="239" t="s">
        <v>3968</v>
      </c>
      <c r="I179" s="65"/>
      <c r="J179" s="256" t="s">
        <v>3969</v>
      </c>
      <c r="K179" s="256" t="s">
        <v>3990</v>
      </c>
      <c r="L179" s="239">
        <v>3</v>
      </c>
    </row>
    <row r="180" spans="1:12">
      <c r="A180" s="63">
        <v>51000136</v>
      </c>
      <c r="B180" s="150">
        <v>45723</v>
      </c>
      <c r="C180" s="63" t="s">
        <v>103</v>
      </c>
      <c r="D180" s="63" t="s">
        <v>686</v>
      </c>
      <c r="E180" s="63" t="s">
        <v>687</v>
      </c>
      <c r="F180" s="239">
        <v>1</v>
      </c>
      <c r="G180" s="239">
        <v>1</v>
      </c>
      <c r="H180" s="239" t="s">
        <v>3968</v>
      </c>
      <c r="I180" s="65"/>
      <c r="J180" s="256" t="s">
        <v>3969</v>
      </c>
      <c r="K180" s="256" t="s">
        <v>3990</v>
      </c>
      <c r="L180" s="239">
        <v>3</v>
      </c>
    </row>
    <row r="181" spans="1:12">
      <c r="A181" s="63">
        <v>51000323</v>
      </c>
      <c r="B181" s="150">
        <v>45723</v>
      </c>
      <c r="C181" s="63" t="s">
        <v>103</v>
      </c>
      <c r="D181" s="63" t="s">
        <v>686</v>
      </c>
      <c r="E181" s="63" t="s">
        <v>687</v>
      </c>
      <c r="F181" s="239">
        <v>1</v>
      </c>
      <c r="G181" s="239">
        <v>1</v>
      </c>
      <c r="H181" s="239" t="s">
        <v>3968</v>
      </c>
      <c r="I181" s="65"/>
      <c r="J181" s="256" t="s">
        <v>3969</v>
      </c>
      <c r="K181" s="256" t="s">
        <v>3990</v>
      </c>
      <c r="L181" s="239">
        <v>3</v>
      </c>
    </row>
    <row r="182" spans="1:12">
      <c r="A182" s="63">
        <v>60002095</v>
      </c>
      <c r="B182" s="150">
        <v>45723</v>
      </c>
      <c r="C182" s="63" t="s">
        <v>73</v>
      </c>
      <c r="D182" s="63" t="s">
        <v>691</v>
      </c>
      <c r="E182" s="63" t="s">
        <v>4050</v>
      </c>
      <c r="F182" s="239">
        <v>1</v>
      </c>
      <c r="G182" s="239">
        <v>0</v>
      </c>
      <c r="H182" s="239" t="s">
        <v>3968</v>
      </c>
      <c r="I182" s="65"/>
      <c r="J182" s="256" t="s">
        <v>3969</v>
      </c>
      <c r="K182" s="256" t="s">
        <v>3990</v>
      </c>
      <c r="L182" s="239">
        <v>3</v>
      </c>
    </row>
    <row r="183" spans="1:12">
      <c r="A183" s="63">
        <v>51000323</v>
      </c>
      <c r="B183" s="150">
        <v>45728</v>
      </c>
      <c r="C183" s="63" t="s">
        <v>103</v>
      </c>
      <c r="D183" s="63" t="s">
        <v>699</v>
      </c>
      <c r="E183" s="63" t="s">
        <v>4051</v>
      </c>
      <c r="F183" s="239">
        <v>1</v>
      </c>
      <c r="G183" s="239">
        <v>0</v>
      </c>
      <c r="H183" s="239" t="s">
        <v>3971</v>
      </c>
      <c r="I183" s="65">
        <v>45742</v>
      </c>
      <c r="J183" s="256" t="s">
        <v>3969</v>
      </c>
      <c r="K183" s="239" t="s">
        <v>3990</v>
      </c>
      <c r="L183" s="239">
        <v>3</v>
      </c>
    </row>
    <row r="184" spans="1:12">
      <c r="A184" s="63">
        <v>50110261</v>
      </c>
      <c r="B184" s="150">
        <v>45728</v>
      </c>
      <c r="C184" s="63" t="s">
        <v>225</v>
      </c>
      <c r="D184" s="63" t="s">
        <v>707</v>
      </c>
      <c r="E184" s="63" t="s">
        <v>708</v>
      </c>
      <c r="F184" s="239">
        <v>1</v>
      </c>
      <c r="G184" s="239">
        <v>1</v>
      </c>
      <c r="H184" s="239" t="s">
        <v>3971</v>
      </c>
      <c r="I184" s="65"/>
      <c r="J184" s="256" t="s">
        <v>647</v>
      </c>
      <c r="K184" s="256" t="s">
        <v>3990</v>
      </c>
      <c r="L184" s="239">
        <v>3</v>
      </c>
    </row>
    <row r="185" spans="1:12">
      <c r="A185" s="63">
        <v>60002072</v>
      </c>
      <c r="B185" s="150">
        <v>45729</v>
      </c>
      <c r="C185" s="63" t="s">
        <v>202</v>
      </c>
      <c r="D185" s="63" t="s">
        <v>716</v>
      </c>
      <c r="E185" s="63" t="s">
        <v>717</v>
      </c>
      <c r="F185" s="239">
        <v>1</v>
      </c>
      <c r="G185" s="239">
        <v>1</v>
      </c>
      <c r="H185" s="239" t="s">
        <v>3968</v>
      </c>
      <c r="I185" s="65"/>
      <c r="J185" s="256" t="s">
        <v>3969</v>
      </c>
      <c r="K185" s="256" t="s">
        <v>3990</v>
      </c>
      <c r="L185" s="239">
        <v>3</v>
      </c>
    </row>
    <row r="186" spans="1:12">
      <c r="A186" s="63">
        <v>48000002</v>
      </c>
      <c r="B186" s="150">
        <v>45729</v>
      </c>
      <c r="C186" s="63" t="s">
        <v>720</v>
      </c>
      <c r="D186" s="63" t="s">
        <v>721</v>
      </c>
      <c r="E186" s="63" t="s">
        <v>4052</v>
      </c>
      <c r="F186" s="239">
        <v>1</v>
      </c>
      <c r="G186" s="239">
        <v>1</v>
      </c>
      <c r="H186" s="239" t="s">
        <v>3968</v>
      </c>
      <c r="I186" s="65"/>
      <c r="J186" s="256" t="s">
        <v>3969</v>
      </c>
      <c r="K186" s="256" t="s">
        <v>3990</v>
      </c>
      <c r="L186" s="239">
        <v>3</v>
      </c>
    </row>
    <row r="187" spans="1:12">
      <c r="A187" s="63">
        <v>48000002</v>
      </c>
      <c r="B187" s="150">
        <v>45729</v>
      </c>
      <c r="C187" s="63" t="s">
        <v>720</v>
      </c>
      <c r="D187" s="63" t="s">
        <v>723</v>
      </c>
      <c r="E187" s="63" t="s">
        <v>4053</v>
      </c>
      <c r="F187" s="239">
        <v>1</v>
      </c>
      <c r="G187" s="239">
        <v>1</v>
      </c>
      <c r="H187" s="239" t="s">
        <v>3968</v>
      </c>
      <c r="I187" s="65"/>
      <c r="J187" s="256" t="s">
        <v>3969</v>
      </c>
      <c r="K187" s="256" t="s">
        <v>3990</v>
      </c>
      <c r="L187" s="239">
        <v>3</v>
      </c>
    </row>
    <row r="188" spans="1:12">
      <c r="A188" s="63">
        <v>60002095</v>
      </c>
      <c r="B188" s="150">
        <v>45729</v>
      </c>
      <c r="C188" s="63" t="s">
        <v>73</v>
      </c>
      <c r="D188" s="63" t="s">
        <v>727</v>
      </c>
      <c r="E188" s="63" t="s">
        <v>4054</v>
      </c>
      <c r="F188" s="239">
        <v>1</v>
      </c>
      <c r="G188" s="239">
        <v>1</v>
      </c>
      <c r="H188" s="239" t="s">
        <v>3968</v>
      </c>
      <c r="I188" s="65"/>
      <c r="J188" s="256" t="s">
        <v>3969</v>
      </c>
      <c r="K188" s="256" t="s">
        <v>3990</v>
      </c>
      <c r="L188" s="239">
        <v>3</v>
      </c>
    </row>
    <row r="189" spans="1:12">
      <c r="A189" s="63">
        <v>50110261</v>
      </c>
      <c r="B189" s="150">
        <v>45730</v>
      </c>
      <c r="C189" s="63" t="s">
        <v>225</v>
      </c>
      <c r="D189" s="63" t="s">
        <v>658</v>
      </c>
      <c r="E189" s="63" t="s">
        <v>659</v>
      </c>
      <c r="F189" s="239">
        <v>1</v>
      </c>
      <c r="G189" s="239">
        <v>1</v>
      </c>
      <c r="H189" s="239" t="s">
        <v>3968</v>
      </c>
      <c r="I189" s="65"/>
      <c r="J189" s="256" t="s">
        <v>3969</v>
      </c>
      <c r="K189" s="256" t="s">
        <v>3990</v>
      </c>
      <c r="L189" s="239">
        <v>3</v>
      </c>
    </row>
    <row r="190" spans="1:12">
      <c r="A190" s="63">
        <v>51000316</v>
      </c>
      <c r="B190" s="150">
        <v>45730</v>
      </c>
      <c r="C190" s="63" t="s">
        <v>103</v>
      </c>
      <c r="D190" s="63" t="s">
        <v>146</v>
      </c>
      <c r="E190" s="63" t="s">
        <v>147</v>
      </c>
      <c r="F190" s="239">
        <v>2</v>
      </c>
      <c r="G190" s="239">
        <v>2</v>
      </c>
      <c r="H190" s="239" t="s">
        <v>3968</v>
      </c>
      <c r="I190" s="65"/>
      <c r="J190" s="256" t="s">
        <v>3969</v>
      </c>
      <c r="K190" s="256" t="s">
        <v>3990</v>
      </c>
      <c r="L190" s="239">
        <v>3</v>
      </c>
    </row>
    <row r="191" spans="1:12">
      <c r="A191" s="63">
        <v>50300141</v>
      </c>
      <c r="B191" s="150">
        <v>45730</v>
      </c>
      <c r="C191" s="63" t="s">
        <v>402</v>
      </c>
      <c r="D191" s="63" t="s">
        <v>624</v>
      </c>
      <c r="E191" s="63" t="s">
        <v>733</v>
      </c>
      <c r="F191" s="239">
        <v>1</v>
      </c>
      <c r="G191" s="239">
        <v>1</v>
      </c>
      <c r="H191" s="239" t="s">
        <v>3968</v>
      </c>
      <c r="I191" s="65"/>
      <c r="J191" s="256" t="s">
        <v>3969</v>
      </c>
      <c r="K191" s="256" t="s">
        <v>3990</v>
      </c>
      <c r="L191" s="239">
        <v>3</v>
      </c>
    </row>
    <row r="192" spans="1:12">
      <c r="A192" s="63">
        <v>44000010</v>
      </c>
      <c r="B192" s="150">
        <v>45730</v>
      </c>
      <c r="C192" s="63" t="s">
        <v>334</v>
      </c>
      <c r="D192" s="63" t="s">
        <v>736</v>
      </c>
      <c r="E192" s="63" t="s">
        <v>1310</v>
      </c>
      <c r="F192" s="239">
        <v>1</v>
      </c>
      <c r="G192" s="239">
        <v>1</v>
      </c>
      <c r="H192" s="239" t="s">
        <v>3968</v>
      </c>
      <c r="I192" s="65"/>
      <c r="J192" s="256" t="s">
        <v>3969</v>
      </c>
      <c r="K192" s="256" t="s">
        <v>3990</v>
      </c>
      <c r="L192" s="239">
        <v>3</v>
      </c>
    </row>
    <row r="193" spans="1:12">
      <c r="A193" s="63">
        <v>51000136</v>
      </c>
      <c r="B193" s="150">
        <v>45730</v>
      </c>
      <c r="C193" s="63" t="s">
        <v>103</v>
      </c>
      <c r="D193" s="63" t="s">
        <v>743</v>
      </c>
      <c r="E193" s="63" t="s">
        <v>744</v>
      </c>
      <c r="F193" s="239">
        <v>1</v>
      </c>
      <c r="G193" s="239">
        <v>1</v>
      </c>
      <c r="H193" s="239" t="s">
        <v>3968</v>
      </c>
      <c r="I193" s="65"/>
      <c r="J193" s="256" t="s">
        <v>3969</v>
      </c>
      <c r="K193" s="256" t="s">
        <v>3990</v>
      </c>
      <c r="L193" s="239">
        <v>3</v>
      </c>
    </row>
    <row r="194" spans="1:12">
      <c r="A194" s="63">
        <v>48000482</v>
      </c>
      <c r="B194" s="150">
        <v>45730</v>
      </c>
      <c r="C194" s="63" t="s">
        <v>152</v>
      </c>
      <c r="D194" s="63" t="s">
        <v>130</v>
      </c>
      <c r="E194" s="63" t="s">
        <v>4055</v>
      </c>
      <c r="F194" s="239">
        <v>2</v>
      </c>
      <c r="G194" s="239">
        <v>2</v>
      </c>
      <c r="H194" s="239" t="s">
        <v>3968</v>
      </c>
      <c r="I194" s="65"/>
      <c r="J194" s="256" t="s">
        <v>3969</v>
      </c>
      <c r="K194" s="256" t="s">
        <v>3990</v>
      </c>
      <c r="L194" s="239">
        <v>3</v>
      </c>
    </row>
    <row r="195" spans="1:12">
      <c r="A195" s="63" t="s">
        <v>749</v>
      </c>
      <c r="B195" s="150">
        <v>45730</v>
      </c>
      <c r="C195" s="63" t="s">
        <v>202</v>
      </c>
      <c r="D195" s="63" t="s">
        <v>750</v>
      </c>
      <c r="E195" s="63" t="s">
        <v>751</v>
      </c>
      <c r="F195" s="239">
        <v>1</v>
      </c>
      <c r="G195" s="239">
        <v>1</v>
      </c>
      <c r="H195" s="239" t="s">
        <v>3968</v>
      </c>
      <c r="I195" s="65"/>
      <c r="J195" s="256" t="s">
        <v>3969</v>
      </c>
      <c r="K195" s="256" t="s">
        <v>3990</v>
      </c>
      <c r="L195" s="239">
        <v>3</v>
      </c>
    </row>
    <row r="196" spans="1:12">
      <c r="A196" s="63">
        <v>50110261</v>
      </c>
      <c r="B196" s="150">
        <v>45733</v>
      </c>
      <c r="C196" s="63" t="s">
        <v>225</v>
      </c>
      <c r="D196" s="63" t="s">
        <v>35</v>
      </c>
      <c r="E196" s="63" t="s">
        <v>662</v>
      </c>
      <c r="F196" s="239">
        <v>1</v>
      </c>
      <c r="G196" s="239">
        <v>1</v>
      </c>
      <c r="H196" s="239" t="s">
        <v>3968</v>
      </c>
      <c r="I196" s="65"/>
      <c r="J196" s="256" t="s">
        <v>3969</v>
      </c>
      <c r="K196" s="256" t="s">
        <v>3990</v>
      </c>
      <c r="L196" s="239">
        <v>3</v>
      </c>
    </row>
    <row r="197" spans="1:12">
      <c r="A197" s="63">
        <v>50110261</v>
      </c>
      <c r="B197" s="150">
        <v>45733</v>
      </c>
      <c r="C197" s="63" t="s">
        <v>225</v>
      </c>
      <c r="D197" s="63" t="s">
        <v>663</v>
      </c>
      <c r="E197" s="63" t="s">
        <v>664</v>
      </c>
      <c r="F197" s="239">
        <v>1</v>
      </c>
      <c r="G197" s="239">
        <v>1</v>
      </c>
      <c r="H197" s="239" t="s">
        <v>3968</v>
      </c>
      <c r="I197" s="65"/>
      <c r="J197" s="256" t="s">
        <v>3969</v>
      </c>
      <c r="K197" s="256" t="s">
        <v>3990</v>
      </c>
      <c r="L197" s="239">
        <v>3</v>
      </c>
    </row>
    <row r="198" spans="1:12">
      <c r="A198" s="63">
        <v>50110261</v>
      </c>
      <c r="B198" s="150">
        <v>45733</v>
      </c>
      <c r="C198" s="63" t="s">
        <v>225</v>
      </c>
      <c r="D198" s="63" t="s">
        <v>136</v>
      </c>
      <c r="E198" s="63" t="s">
        <v>665</v>
      </c>
      <c r="F198" s="239">
        <v>1</v>
      </c>
      <c r="G198" s="239">
        <v>1</v>
      </c>
      <c r="H198" s="239" t="s">
        <v>3968</v>
      </c>
      <c r="I198" s="65"/>
      <c r="J198" s="256" t="s">
        <v>3969</v>
      </c>
      <c r="K198" s="256" t="s">
        <v>3990</v>
      </c>
      <c r="L198" s="239">
        <v>3</v>
      </c>
    </row>
    <row r="199" spans="1:12">
      <c r="A199" s="63">
        <v>50110261</v>
      </c>
      <c r="B199" s="150">
        <v>45733</v>
      </c>
      <c r="C199" s="63" t="s">
        <v>225</v>
      </c>
      <c r="D199" s="63" t="s">
        <v>134</v>
      </c>
      <c r="E199" s="63" t="s">
        <v>665</v>
      </c>
      <c r="F199" s="239">
        <v>1</v>
      </c>
      <c r="G199" s="239">
        <v>1</v>
      </c>
      <c r="H199" s="239" t="s">
        <v>3968</v>
      </c>
      <c r="I199" s="65"/>
      <c r="J199" s="256" t="s">
        <v>3969</v>
      </c>
      <c r="K199" s="256" t="s">
        <v>3990</v>
      </c>
      <c r="L199" s="239">
        <v>3</v>
      </c>
    </row>
    <row r="200" spans="1:12">
      <c r="A200" s="63">
        <v>50110372</v>
      </c>
      <c r="B200" s="150">
        <v>45733</v>
      </c>
      <c r="C200" s="63" t="s">
        <v>73</v>
      </c>
      <c r="D200" s="63" t="s">
        <v>80</v>
      </c>
      <c r="E200" s="63" t="s">
        <v>81</v>
      </c>
      <c r="F200" s="239">
        <v>1</v>
      </c>
      <c r="G200" s="239">
        <v>1</v>
      </c>
      <c r="H200" s="239" t="s">
        <v>3968</v>
      </c>
      <c r="I200" s="65"/>
      <c r="J200" s="256" t="s">
        <v>3969</v>
      </c>
      <c r="K200" s="256" t="s">
        <v>3990</v>
      </c>
      <c r="L200" s="239">
        <v>3</v>
      </c>
    </row>
    <row r="201" spans="1:12">
      <c r="A201" s="63">
        <v>50110372</v>
      </c>
      <c r="B201" s="150">
        <v>45733</v>
      </c>
      <c r="C201" s="63" t="s">
        <v>73</v>
      </c>
      <c r="D201" s="63" t="s">
        <v>136</v>
      </c>
      <c r="E201" s="63" t="s">
        <v>4056</v>
      </c>
      <c r="F201" s="239">
        <v>1</v>
      </c>
      <c r="G201" s="239">
        <v>1</v>
      </c>
      <c r="H201" s="239" t="s">
        <v>3968</v>
      </c>
      <c r="I201" s="65"/>
      <c r="J201" s="256" t="s">
        <v>3969</v>
      </c>
      <c r="K201" s="256" t="s">
        <v>3990</v>
      </c>
      <c r="L201" s="239">
        <v>3</v>
      </c>
    </row>
    <row r="202" spans="1:12">
      <c r="A202" s="63">
        <v>50110372</v>
      </c>
      <c r="B202" s="150">
        <v>45733</v>
      </c>
      <c r="C202" s="63" t="s">
        <v>73</v>
      </c>
      <c r="D202" s="63" t="s">
        <v>134</v>
      </c>
      <c r="E202" s="63" t="s">
        <v>740</v>
      </c>
      <c r="F202" s="239">
        <v>1</v>
      </c>
      <c r="G202" s="239">
        <v>1</v>
      </c>
      <c r="H202" s="239" t="s">
        <v>3968</v>
      </c>
      <c r="I202" s="65"/>
      <c r="J202" s="256" t="s">
        <v>3969</v>
      </c>
      <c r="K202" s="256" t="s">
        <v>3990</v>
      </c>
      <c r="L202" s="239">
        <v>3</v>
      </c>
    </row>
    <row r="203" spans="1:12">
      <c r="A203" s="63">
        <v>51000136</v>
      </c>
      <c r="B203" s="150">
        <v>45733</v>
      </c>
      <c r="C203" s="63" t="s">
        <v>103</v>
      </c>
      <c r="D203" s="63" t="s">
        <v>754</v>
      </c>
      <c r="E203" s="63" t="s">
        <v>4057</v>
      </c>
      <c r="F203" s="239">
        <v>1</v>
      </c>
      <c r="G203" s="239">
        <v>1</v>
      </c>
      <c r="H203" s="239" t="s">
        <v>3968</v>
      </c>
      <c r="I203" s="65"/>
      <c r="J203" s="256" t="s">
        <v>3969</v>
      </c>
      <c r="K203" s="256" t="s">
        <v>3990</v>
      </c>
      <c r="L203" s="239">
        <v>3</v>
      </c>
    </row>
    <row r="204" spans="1:12">
      <c r="A204" s="63">
        <v>51000323</v>
      </c>
      <c r="B204" s="150">
        <v>45733</v>
      </c>
      <c r="C204" s="63" t="s">
        <v>103</v>
      </c>
      <c r="D204" s="63" t="s">
        <v>758</v>
      </c>
      <c r="E204" s="63" t="s">
        <v>4058</v>
      </c>
      <c r="F204" s="239">
        <v>1</v>
      </c>
      <c r="G204" s="239">
        <v>0</v>
      </c>
      <c r="H204" s="239" t="s">
        <v>3968</v>
      </c>
      <c r="I204" s="65"/>
      <c r="J204" s="256" t="s">
        <v>3969</v>
      </c>
      <c r="K204" s="256" t="s">
        <v>3990</v>
      </c>
      <c r="L204" s="239">
        <v>3</v>
      </c>
    </row>
    <row r="205" spans="1:12">
      <c r="A205" s="63">
        <v>51000323</v>
      </c>
      <c r="B205" s="150">
        <v>45733</v>
      </c>
      <c r="C205" s="63" t="s">
        <v>103</v>
      </c>
      <c r="D205" s="63" t="s">
        <v>762</v>
      </c>
      <c r="E205" s="63" t="s">
        <v>4059</v>
      </c>
      <c r="F205" s="239">
        <v>1</v>
      </c>
      <c r="G205" s="239">
        <v>0</v>
      </c>
      <c r="H205" s="239" t="s">
        <v>3968</v>
      </c>
      <c r="I205" s="65"/>
      <c r="J205" s="256" t="s">
        <v>3969</v>
      </c>
      <c r="K205" s="256" t="s">
        <v>3990</v>
      </c>
      <c r="L205" s="239">
        <v>3</v>
      </c>
    </row>
    <row r="206" spans="1:12">
      <c r="A206" s="63">
        <v>50000530</v>
      </c>
      <c r="B206" s="150">
        <v>45733</v>
      </c>
      <c r="C206" s="63" t="s">
        <v>79</v>
      </c>
      <c r="D206" s="63" t="s">
        <v>766</v>
      </c>
      <c r="E206" s="63" t="s">
        <v>4060</v>
      </c>
      <c r="F206" s="239">
        <v>2</v>
      </c>
      <c r="G206" s="239">
        <v>2</v>
      </c>
      <c r="H206" s="239" t="s">
        <v>3968</v>
      </c>
      <c r="I206" s="65"/>
      <c r="J206" s="256" t="s">
        <v>3969</v>
      </c>
      <c r="K206" s="256" t="s">
        <v>3990</v>
      </c>
      <c r="L206" s="239">
        <v>3</v>
      </c>
    </row>
    <row r="207" spans="1:12">
      <c r="A207" s="63">
        <v>60002095</v>
      </c>
      <c r="B207" s="150">
        <v>45733</v>
      </c>
      <c r="C207" s="63" t="s">
        <v>73</v>
      </c>
      <c r="D207" s="63" t="s">
        <v>771</v>
      </c>
      <c r="E207" s="63" t="s">
        <v>772</v>
      </c>
      <c r="F207" s="239">
        <v>1</v>
      </c>
      <c r="G207" s="239">
        <v>0</v>
      </c>
      <c r="H207" s="239" t="s">
        <v>3971</v>
      </c>
      <c r="I207" s="65"/>
      <c r="J207" s="256" t="s">
        <v>3969</v>
      </c>
      <c r="K207" s="256" t="s">
        <v>3990</v>
      </c>
      <c r="L207" s="239">
        <v>3</v>
      </c>
    </row>
    <row r="208" spans="1:12">
      <c r="A208" s="63">
        <v>48000432</v>
      </c>
      <c r="B208" s="150">
        <v>45735</v>
      </c>
      <c r="C208" s="63" t="s">
        <v>63</v>
      </c>
      <c r="D208" s="63" t="s">
        <v>776</v>
      </c>
      <c r="E208" s="63" t="s">
        <v>777</v>
      </c>
      <c r="F208" s="239">
        <v>1</v>
      </c>
      <c r="G208" s="239">
        <v>0</v>
      </c>
      <c r="H208" s="239" t="s">
        <v>3968</v>
      </c>
      <c r="I208" s="65"/>
      <c r="J208" s="256" t="s">
        <v>3969</v>
      </c>
      <c r="K208" s="256" t="s">
        <v>3990</v>
      </c>
      <c r="L208" s="239">
        <v>3</v>
      </c>
    </row>
    <row r="209" spans="1:12">
      <c r="A209" s="63">
        <v>50300129</v>
      </c>
      <c r="B209" s="150">
        <v>45735</v>
      </c>
      <c r="C209" s="63" t="s">
        <v>780</v>
      </c>
      <c r="D209" s="63" t="s">
        <v>511</v>
      </c>
      <c r="E209" s="63" t="s">
        <v>781</v>
      </c>
      <c r="F209" s="239">
        <v>1</v>
      </c>
      <c r="G209" s="239">
        <v>1</v>
      </c>
      <c r="H209" s="239" t="s">
        <v>3968</v>
      </c>
      <c r="I209" s="65"/>
      <c r="J209" s="256" t="s">
        <v>3969</v>
      </c>
      <c r="K209" s="256" t="s">
        <v>3990</v>
      </c>
      <c r="L209" s="239">
        <v>3</v>
      </c>
    </row>
    <row r="210" spans="1:12">
      <c r="A210" s="63">
        <v>51000323</v>
      </c>
      <c r="B210" s="150">
        <v>45735</v>
      </c>
      <c r="C210" s="63" t="s">
        <v>103</v>
      </c>
      <c r="D210" s="63" t="s">
        <v>785</v>
      </c>
      <c r="E210" s="63" t="s">
        <v>786</v>
      </c>
      <c r="F210" s="239">
        <v>1</v>
      </c>
      <c r="G210" s="239">
        <v>1</v>
      </c>
      <c r="H210" s="239" t="s">
        <v>3968</v>
      </c>
      <c r="I210" s="65"/>
      <c r="J210" s="256" t="s">
        <v>3969</v>
      </c>
      <c r="K210" s="256" t="s">
        <v>3990</v>
      </c>
      <c r="L210" s="239">
        <v>3</v>
      </c>
    </row>
    <row r="211" spans="1:12">
      <c r="A211" s="63">
        <v>48000044</v>
      </c>
      <c r="B211" s="150">
        <v>45735</v>
      </c>
      <c r="C211" s="63" t="s">
        <v>118</v>
      </c>
      <c r="D211" s="63" t="s">
        <v>789</v>
      </c>
      <c r="E211" s="63" t="s">
        <v>790</v>
      </c>
      <c r="F211" s="239">
        <v>1</v>
      </c>
      <c r="G211" s="239">
        <v>1</v>
      </c>
      <c r="H211" s="239" t="s">
        <v>3968</v>
      </c>
      <c r="I211" s="65"/>
      <c r="J211" s="256" t="s">
        <v>3969</v>
      </c>
      <c r="K211" s="256" t="s">
        <v>3990</v>
      </c>
      <c r="L211" s="239">
        <v>3</v>
      </c>
    </row>
    <row r="212" spans="1:12">
      <c r="A212" s="63">
        <v>50000260</v>
      </c>
      <c r="B212" s="150">
        <v>45736</v>
      </c>
      <c r="C212" s="63" t="s">
        <v>85</v>
      </c>
      <c r="D212" s="63" t="s">
        <v>803</v>
      </c>
      <c r="E212" s="63" t="s">
        <v>804</v>
      </c>
      <c r="F212" s="239">
        <v>1</v>
      </c>
      <c r="G212" s="239">
        <v>0</v>
      </c>
      <c r="H212" s="239" t="s">
        <v>3971</v>
      </c>
      <c r="I212" s="65"/>
      <c r="J212" s="256" t="s">
        <v>3969</v>
      </c>
      <c r="K212" s="256" t="s">
        <v>3990</v>
      </c>
      <c r="L212" s="239">
        <v>3</v>
      </c>
    </row>
    <row r="213" spans="1:12">
      <c r="A213" s="63">
        <v>50110229</v>
      </c>
      <c r="B213" s="150">
        <v>45736</v>
      </c>
      <c r="C213" s="63" t="s">
        <v>109</v>
      </c>
      <c r="D213" s="63" t="s">
        <v>4022</v>
      </c>
      <c r="E213" s="63" t="s">
        <v>76</v>
      </c>
      <c r="F213" s="239">
        <v>1</v>
      </c>
      <c r="G213" s="239">
        <v>1</v>
      </c>
      <c r="H213" s="239" t="s">
        <v>3971</v>
      </c>
      <c r="I213" s="65"/>
      <c r="J213" s="256" t="s">
        <v>3969</v>
      </c>
      <c r="K213" s="256" t="s">
        <v>3990</v>
      </c>
      <c r="L213" s="239">
        <v>3</v>
      </c>
    </row>
    <row r="214" spans="1:12">
      <c r="A214" s="63">
        <v>50110372</v>
      </c>
      <c r="B214" s="150">
        <v>45737</v>
      </c>
      <c r="C214" s="63" t="s">
        <v>73</v>
      </c>
      <c r="D214" s="63" t="s">
        <v>811</v>
      </c>
      <c r="E214" s="63" t="s">
        <v>159</v>
      </c>
      <c r="F214" s="239">
        <v>1</v>
      </c>
      <c r="G214" s="239">
        <v>1</v>
      </c>
      <c r="H214" s="239" t="s">
        <v>3968</v>
      </c>
      <c r="I214" s="65"/>
      <c r="J214" s="256" t="s">
        <v>3969</v>
      </c>
      <c r="K214" s="256" t="s">
        <v>3990</v>
      </c>
      <c r="L214" s="239">
        <v>3</v>
      </c>
    </row>
    <row r="215" spans="1:12">
      <c r="A215" s="63">
        <v>50110372</v>
      </c>
      <c r="B215" s="150">
        <v>45737</v>
      </c>
      <c r="C215" s="63" t="s">
        <v>73</v>
      </c>
      <c r="D215" s="63" t="s">
        <v>813</v>
      </c>
      <c r="E215" s="63" t="s">
        <v>814</v>
      </c>
      <c r="F215" s="239">
        <v>1</v>
      </c>
      <c r="G215" s="239">
        <v>0</v>
      </c>
      <c r="H215" s="239" t="s">
        <v>3968</v>
      </c>
      <c r="I215" s="65"/>
      <c r="J215" s="256" t="s">
        <v>3969</v>
      </c>
      <c r="K215" s="256" t="s">
        <v>3990</v>
      </c>
      <c r="L215" s="239">
        <v>3</v>
      </c>
    </row>
    <row r="216" spans="1:12">
      <c r="A216" s="63">
        <v>50110372</v>
      </c>
      <c r="B216" s="150">
        <v>45737</v>
      </c>
      <c r="C216" s="63" t="s">
        <v>73</v>
      </c>
      <c r="D216" s="63" t="s">
        <v>619</v>
      </c>
      <c r="E216" s="63" t="s">
        <v>812</v>
      </c>
      <c r="F216" s="239">
        <v>1</v>
      </c>
      <c r="G216" s="239">
        <v>1</v>
      </c>
      <c r="H216" s="239" t="s">
        <v>3968</v>
      </c>
      <c r="I216" s="65"/>
      <c r="J216" s="256" t="s">
        <v>3969</v>
      </c>
      <c r="K216" s="256" t="s">
        <v>3990</v>
      </c>
      <c r="L216" s="239">
        <v>3</v>
      </c>
    </row>
    <row r="217" spans="1:12">
      <c r="A217" s="63">
        <v>60002072</v>
      </c>
      <c r="B217" s="150">
        <v>45740</v>
      </c>
      <c r="C217" s="63" t="s">
        <v>202</v>
      </c>
      <c r="D217" s="63" t="s">
        <v>114</v>
      </c>
      <c r="E217" s="63" t="s">
        <v>817</v>
      </c>
      <c r="F217" s="239">
        <v>1</v>
      </c>
      <c r="G217" s="239">
        <v>1</v>
      </c>
      <c r="H217" s="239" t="s">
        <v>3968</v>
      </c>
      <c r="I217" s="65"/>
      <c r="J217" s="256" t="s">
        <v>3969</v>
      </c>
      <c r="K217" s="256" t="s">
        <v>3990</v>
      </c>
      <c r="L217" s="239">
        <v>3</v>
      </c>
    </row>
    <row r="218" spans="1:12">
      <c r="A218" s="63">
        <v>50300097</v>
      </c>
      <c r="B218" s="150">
        <v>45741</v>
      </c>
      <c r="C218" s="63" t="s">
        <v>445</v>
      </c>
      <c r="D218" s="63" t="s">
        <v>114</v>
      </c>
      <c r="E218" s="63" t="s">
        <v>817</v>
      </c>
      <c r="F218" s="239">
        <v>1</v>
      </c>
      <c r="G218" s="239">
        <v>1</v>
      </c>
      <c r="H218" s="239" t="s">
        <v>3968</v>
      </c>
      <c r="I218" s="65"/>
      <c r="J218" s="256" t="s">
        <v>3969</v>
      </c>
      <c r="K218" s="256" t="s">
        <v>3990</v>
      </c>
      <c r="L218" s="239">
        <v>3</v>
      </c>
    </row>
    <row r="219" spans="1:12">
      <c r="A219" s="63">
        <v>50300097</v>
      </c>
      <c r="B219" s="150">
        <v>45741</v>
      </c>
      <c r="C219" s="63" t="s">
        <v>445</v>
      </c>
      <c r="D219" s="63" t="s">
        <v>820</v>
      </c>
      <c r="E219" s="63" t="s">
        <v>821</v>
      </c>
      <c r="F219" s="239">
        <v>1</v>
      </c>
      <c r="G219" s="239">
        <v>1</v>
      </c>
      <c r="H219" s="239" t="s">
        <v>3968</v>
      </c>
      <c r="I219" s="65"/>
      <c r="J219" s="256" t="s">
        <v>3969</v>
      </c>
      <c r="K219" s="256" t="s">
        <v>3990</v>
      </c>
      <c r="L219" s="239">
        <v>3</v>
      </c>
    </row>
    <row r="220" spans="1:12">
      <c r="A220" s="63">
        <v>50300129</v>
      </c>
      <c r="B220" s="150">
        <v>45741</v>
      </c>
      <c r="C220" s="63" t="s">
        <v>780</v>
      </c>
      <c r="D220" s="63" t="s">
        <v>824</v>
      </c>
      <c r="E220" s="63" t="s">
        <v>825</v>
      </c>
      <c r="F220" s="239">
        <v>1</v>
      </c>
      <c r="G220" s="239">
        <v>0</v>
      </c>
      <c r="H220" s="239" t="s">
        <v>3968</v>
      </c>
      <c r="I220" s="65"/>
      <c r="J220" s="256" t="s">
        <v>3969</v>
      </c>
      <c r="K220" s="256" t="s">
        <v>3990</v>
      </c>
      <c r="L220" s="239">
        <v>3</v>
      </c>
    </row>
    <row r="221" spans="1:12">
      <c r="A221" s="63">
        <v>50110229</v>
      </c>
      <c r="B221" s="150">
        <v>45741</v>
      </c>
      <c r="C221" s="63" t="s">
        <v>109</v>
      </c>
      <c r="D221" s="63" t="s">
        <v>829</v>
      </c>
      <c r="E221" s="63" t="s">
        <v>830</v>
      </c>
      <c r="F221" s="239">
        <v>1</v>
      </c>
      <c r="G221" s="239">
        <v>0</v>
      </c>
      <c r="H221" s="239" t="s">
        <v>3971</v>
      </c>
      <c r="I221" s="65"/>
      <c r="J221" s="256" t="s">
        <v>3969</v>
      </c>
      <c r="K221" s="256" t="s">
        <v>3990</v>
      </c>
      <c r="L221" s="239">
        <v>3</v>
      </c>
    </row>
    <row r="222" spans="1:12">
      <c r="A222" s="68">
        <v>50110057</v>
      </c>
      <c r="B222" s="151">
        <v>45743</v>
      </c>
      <c r="C222" s="68" t="s">
        <v>181</v>
      </c>
      <c r="D222" s="68" t="s">
        <v>273</v>
      </c>
      <c r="E222" s="68" t="s">
        <v>4061</v>
      </c>
      <c r="F222" s="240">
        <v>1</v>
      </c>
      <c r="G222" s="240">
        <v>1</v>
      </c>
      <c r="H222" s="240" t="s">
        <v>3968</v>
      </c>
      <c r="I222" s="70"/>
      <c r="J222" s="257" t="s">
        <v>3969</v>
      </c>
      <c r="K222" s="257" t="s">
        <v>3990</v>
      </c>
      <c r="L222" s="240">
        <v>3</v>
      </c>
    </row>
    <row r="223" spans="1:12">
      <c r="A223" s="82">
        <v>50110057</v>
      </c>
      <c r="B223" s="152">
        <v>45749</v>
      </c>
      <c r="C223" s="82" t="s">
        <v>181</v>
      </c>
      <c r="D223" s="83" t="s">
        <v>849</v>
      </c>
      <c r="E223" s="82" t="s">
        <v>4062</v>
      </c>
      <c r="F223" s="241">
        <v>1</v>
      </c>
      <c r="G223" s="241">
        <v>1</v>
      </c>
      <c r="H223" s="239" t="s">
        <v>3968</v>
      </c>
      <c r="I223" s="85">
        <v>45748</v>
      </c>
      <c r="J223" s="256" t="s">
        <v>3969</v>
      </c>
      <c r="K223" s="257" t="s">
        <v>3990</v>
      </c>
      <c r="L223" s="238">
        <v>4</v>
      </c>
    </row>
    <row r="224" spans="1:12">
      <c r="A224" s="82">
        <v>50110057</v>
      </c>
      <c r="B224" s="152">
        <v>45749</v>
      </c>
      <c r="C224" s="82" t="s">
        <v>181</v>
      </c>
      <c r="D224" s="83" t="s">
        <v>850</v>
      </c>
      <c r="E224" s="82" t="s">
        <v>851</v>
      </c>
      <c r="F224" s="241">
        <v>1</v>
      </c>
      <c r="G224" s="241">
        <v>1</v>
      </c>
      <c r="H224" s="239" t="s">
        <v>3968</v>
      </c>
      <c r="I224" s="85">
        <v>45748</v>
      </c>
      <c r="J224" s="256" t="s">
        <v>3969</v>
      </c>
      <c r="K224" s="257" t="s">
        <v>3990</v>
      </c>
      <c r="L224" s="238">
        <v>4</v>
      </c>
    </row>
    <row r="225" spans="1:12">
      <c r="A225" s="82">
        <v>48300301</v>
      </c>
      <c r="B225" s="152">
        <v>45749</v>
      </c>
      <c r="C225" s="82" t="s">
        <v>63</v>
      </c>
      <c r="D225" s="83" t="s">
        <v>854</v>
      </c>
      <c r="E225" s="82" t="s">
        <v>4063</v>
      </c>
      <c r="F225" s="241">
        <v>1</v>
      </c>
      <c r="G225" s="241">
        <v>1</v>
      </c>
      <c r="H225" s="239" t="s">
        <v>3968</v>
      </c>
      <c r="I225" s="85">
        <v>45748</v>
      </c>
      <c r="J225" s="256" t="s">
        <v>3969</v>
      </c>
      <c r="K225" s="257" t="s">
        <v>3990</v>
      </c>
      <c r="L225" s="238">
        <v>4</v>
      </c>
    </row>
    <row r="226" spans="1:12">
      <c r="A226" s="82">
        <v>48300301</v>
      </c>
      <c r="B226" s="152">
        <v>45749</v>
      </c>
      <c r="C226" s="82" t="s">
        <v>63</v>
      </c>
      <c r="D226" s="83" t="s">
        <v>856</v>
      </c>
      <c r="E226" s="82" t="s">
        <v>4064</v>
      </c>
      <c r="F226" s="241">
        <v>1</v>
      </c>
      <c r="G226" s="241">
        <v>1</v>
      </c>
      <c r="H226" s="239" t="s">
        <v>3968</v>
      </c>
      <c r="I226" s="85">
        <v>45748</v>
      </c>
      <c r="J226" s="256" t="s">
        <v>3969</v>
      </c>
      <c r="K226" s="257" t="s">
        <v>3990</v>
      </c>
      <c r="L226" s="238">
        <v>4</v>
      </c>
    </row>
    <row r="227" spans="1:12">
      <c r="A227" s="82">
        <v>48000432</v>
      </c>
      <c r="B227" s="152">
        <v>45749</v>
      </c>
      <c r="C227" s="82" t="s">
        <v>63</v>
      </c>
      <c r="D227" s="83" t="s">
        <v>856</v>
      </c>
      <c r="E227" s="82" t="s">
        <v>4064</v>
      </c>
      <c r="F227" s="241">
        <v>1</v>
      </c>
      <c r="G227" s="241">
        <v>1</v>
      </c>
      <c r="H227" s="239" t="s">
        <v>3968</v>
      </c>
      <c r="I227" s="85">
        <v>45748</v>
      </c>
      <c r="J227" s="256" t="s">
        <v>3969</v>
      </c>
      <c r="K227" s="257" t="s">
        <v>3990</v>
      </c>
      <c r="L227" s="238">
        <v>4</v>
      </c>
    </row>
    <row r="228" spans="1:12">
      <c r="A228" s="82">
        <v>50000260</v>
      </c>
      <c r="B228" s="152">
        <v>45749</v>
      </c>
      <c r="C228" s="82" t="s">
        <v>85</v>
      </c>
      <c r="D228" s="83" t="s">
        <v>875</v>
      </c>
      <c r="E228" s="82" t="s">
        <v>876</v>
      </c>
      <c r="F228" s="241">
        <v>3</v>
      </c>
      <c r="G228" s="241">
        <v>3</v>
      </c>
      <c r="H228" s="239" t="s">
        <v>3968</v>
      </c>
      <c r="I228" s="85"/>
      <c r="J228" s="256" t="s">
        <v>3969</v>
      </c>
      <c r="K228" s="257" t="s">
        <v>3990</v>
      </c>
      <c r="L228" s="238">
        <v>4</v>
      </c>
    </row>
    <row r="229" spans="1:12">
      <c r="A229" s="82">
        <v>50000260</v>
      </c>
      <c r="B229" s="152">
        <v>45749</v>
      </c>
      <c r="C229" s="82" t="s">
        <v>85</v>
      </c>
      <c r="D229" s="83" t="s">
        <v>354</v>
      </c>
      <c r="E229" s="82" t="s">
        <v>878</v>
      </c>
      <c r="F229" s="241">
        <v>1</v>
      </c>
      <c r="G229" s="241">
        <v>1</v>
      </c>
      <c r="H229" s="239" t="s">
        <v>3968</v>
      </c>
      <c r="I229" s="85"/>
      <c r="J229" s="256" t="s">
        <v>3969</v>
      </c>
      <c r="K229" s="257" t="s">
        <v>3990</v>
      </c>
      <c r="L229" s="238">
        <v>4</v>
      </c>
    </row>
    <row r="230" spans="1:12">
      <c r="A230" s="82">
        <v>50000260</v>
      </c>
      <c r="B230" s="152">
        <v>45749</v>
      </c>
      <c r="C230" s="82" t="s">
        <v>85</v>
      </c>
      <c r="D230" s="83" t="s">
        <v>879</v>
      </c>
      <c r="E230" s="82" t="s">
        <v>880</v>
      </c>
      <c r="F230" s="241">
        <v>1</v>
      </c>
      <c r="G230" s="241">
        <v>1</v>
      </c>
      <c r="H230" s="239" t="s">
        <v>3968</v>
      </c>
      <c r="I230" s="85"/>
      <c r="J230" s="256" t="s">
        <v>3969</v>
      </c>
      <c r="K230" s="257" t="s">
        <v>3990</v>
      </c>
      <c r="L230" s="238">
        <v>4</v>
      </c>
    </row>
    <row r="231" spans="1:12">
      <c r="A231" s="82">
        <v>50000260</v>
      </c>
      <c r="B231" s="152">
        <v>45749</v>
      </c>
      <c r="C231" s="82" t="s">
        <v>85</v>
      </c>
      <c r="D231" s="83" t="s">
        <v>881</v>
      </c>
      <c r="E231" s="82" t="s">
        <v>882</v>
      </c>
      <c r="F231" s="241">
        <v>1</v>
      </c>
      <c r="G231" s="241">
        <v>1</v>
      </c>
      <c r="H231" s="239" t="s">
        <v>3968</v>
      </c>
      <c r="I231" s="85">
        <v>45748</v>
      </c>
      <c r="J231" s="256" t="s">
        <v>3969</v>
      </c>
      <c r="K231" s="257" t="s">
        <v>3990</v>
      </c>
      <c r="L231" s="238">
        <v>4</v>
      </c>
    </row>
    <row r="232" spans="1:12">
      <c r="A232" s="82">
        <v>50000260</v>
      </c>
      <c r="B232" s="152">
        <v>45749</v>
      </c>
      <c r="C232" s="82" t="s">
        <v>85</v>
      </c>
      <c r="D232" s="83" t="s">
        <v>883</v>
      </c>
      <c r="E232" s="82" t="s">
        <v>884</v>
      </c>
      <c r="F232" s="241">
        <v>1</v>
      </c>
      <c r="G232" s="241">
        <v>1</v>
      </c>
      <c r="H232" s="239" t="s">
        <v>3968</v>
      </c>
      <c r="I232" s="85"/>
      <c r="J232" s="256" t="s">
        <v>3969</v>
      </c>
      <c r="K232" s="257" t="s">
        <v>3990</v>
      </c>
      <c r="L232" s="238">
        <v>4</v>
      </c>
    </row>
    <row r="233" spans="1:12">
      <c r="A233" s="82">
        <v>50000260</v>
      </c>
      <c r="B233" s="152">
        <v>45749</v>
      </c>
      <c r="C233" s="82" t="s">
        <v>85</v>
      </c>
      <c r="D233" s="83" t="s">
        <v>885</v>
      </c>
      <c r="E233" s="82" t="s">
        <v>4065</v>
      </c>
      <c r="F233" s="241">
        <v>1</v>
      </c>
      <c r="G233" s="241">
        <v>1</v>
      </c>
      <c r="H233" s="239" t="s">
        <v>3968</v>
      </c>
      <c r="I233" s="85">
        <v>45749</v>
      </c>
      <c r="J233" s="256" t="s">
        <v>3969</v>
      </c>
      <c r="K233" s="257" t="s">
        <v>3990</v>
      </c>
      <c r="L233" s="238">
        <v>4</v>
      </c>
    </row>
    <row r="234" spans="1:12">
      <c r="A234" s="82">
        <v>50000260</v>
      </c>
      <c r="B234" s="152">
        <v>45749</v>
      </c>
      <c r="C234" s="82" t="s">
        <v>85</v>
      </c>
      <c r="D234" s="83" t="s">
        <v>887</v>
      </c>
      <c r="E234" s="82" t="s">
        <v>888</v>
      </c>
      <c r="F234" s="241">
        <v>3</v>
      </c>
      <c r="G234" s="241">
        <v>3</v>
      </c>
      <c r="H234" s="239" t="s">
        <v>3968</v>
      </c>
      <c r="I234" s="85"/>
      <c r="J234" s="256" t="s">
        <v>3969</v>
      </c>
      <c r="K234" s="257" t="s">
        <v>3990</v>
      </c>
      <c r="L234" s="238">
        <v>4</v>
      </c>
    </row>
    <row r="235" spans="1:12">
      <c r="A235" s="82">
        <v>50000260</v>
      </c>
      <c r="B235" s="152">
        <v>45749</v>
      </c>
      <c r="C235" s="82" t="s">
        <v>85</v>
      </c>
      <c r="D235" s="83" t="s">
        <v>672</v>
      </c>
      <c r="E235" s="82" t="s">
        <v>891</v>
      </c>
      <c r="F235" s="241">
        <v>1</v>
      </c>
      <c r="G235" s="241">
        <v>1</v>
      </c>
      <c r="H235" s="239" t="s">
        <v>3968</v>
      </c>
      <c r="I235" s="85"/>
      <c r="J235" s="256" t="s">
        <v>3969</v>
      </c>
      <c r="K235" s="257" t="s">
        <v>3990</v>
      </c>
      <c r="L235" s="238">
        <v>4</v>
      </c>
    </row>
    <row r="236" spans="1:12">
      <c r="A236" s="82">
        <v>48500271</v>
      </c>
      <c r="B236" s="152">
        <v>45750</v>
      </c>
      <c r="C236" s="82" t="s">
        <v>898</v>
      </c>
      <c r="D236" s="83" t="s">
        <v>900</v>
      </c>
      <c r="E236" s="82" t="s">
        <v>4066</v>
      </c>
      <c r="F236" s="241">
        <v>1</v>
      </c>
      <c r="G236" s="241">
        <v>1</v>
      </c>
      <c r="H236" s="239" t="s">
        <v>3968</v>
      </c>
      <c r="I236" s="85">
        <v>45750</v>
      </c>
      <c r="J236" s="256" t="s">
        <v>3969</v>
      </c>
      <c r="K236" s="257" t="s">
        <v>3990</v>
      </c>
      <c r="L236" s="238">
        <v>4</v>
      </c>
    </row>
    <row r="237" spans="1:12">
      <c r="A237" s="82">
        <v>51000136</v>
      </c>
      <c r="B237" s="152">
        <v>45751</v>
      </c>
      <c r="C237" s="82" t="s">
        <v>103</v>
      </c>
      <c r="D237" s="83" t="s">
        <v>146</v>
      </c>
      <c r="E237" s="82" t="s">
        <v>147</v>
      </c>
      <c r="F237" s="241">
        <v>1</v>
      </c>
      <c r="G237" s="241">
        <v>1</v>
      </c>
      <c r="H237" s="239" t="s">
        <v>3968</v>
      </c>
      <c r="I237" s="85">
        <v>45750</v>
      </c>
      <c r="J237" s="256" t="s">
        <v>3969</v>
      </c>
      <c r="K237" s="257" t="s">
        <v>3990</v>
      </c>
      <c r="L237" s="238">
        <v>4</v>
      </c>
    </row>
    <row r="238" spans="1:12">
      <c r="A238" s="82" t="s">
        <v>871</v>
      </c>
      <c r="B238" s="152">
        <v>45751</v>
      </c>
      <c r="C238" s="82" t="s">
        <v>445</v>
      </c>
      <c r="D238" s="83" t="s">
        <v>906</v>
      </c>
      <c r="E238" s="82" t="s">
        <v>907</v>
      </c>
      <c r="F238" s="241">
        <v>1</v>
      </c>
      <c r="G238" s="241">
        <v>1</v>
      </c>
      <c r="H238" s="239" t="s">
        <v>3968</v>
      </c>
      <c r="I238" s="85">
        <v>45750</v>
      </c>
      <c r="J238" s="256" t="s">
        <v>3969</v>
      </c>
      <c r="K238" s="257" t="s">
        <v>3990</v>
      </c>
      <c r="L238" s="238">
        <v>4</v>
      </c>
    </row>
    <row r="239" spans="1:12">
      <c r="A239" s="82">
        <v>51000136</v>
      </c>
      <c r="B239" s="152">
        <v>45751</v>
      </c>
      <c r="C239" s="82" t="s">
        <v>4016</v>
      </c>
      <c r="D239" s="83" t="s">
        <v>727</v>
      </c>
      <c r="E239" s="82" t="s">
        <v>4067</v>
      </c>
      <c r="F239" s="241">
        <v>1</v>
      </c>
      <c r="G239" s="241">
        <v>1</v>
      </c>
      <c r="H239" s="239" t="s">
        <v>3968</v>
      </c>
      <c r="I239" s="85">
        <v>45749</v>
      </c>
      <c r="J239" s="256" t="s">
        <v>3969</v>
      </c>
      <c r="K239" s="257" t="s">
        <v>3990</v>
      </c>
      <c r="L239" s="238">
        <v>4</v>
      </c>
    </row>
    <row r="240" spans="1:12">
      <c r="A240" s="82">
        <v>51000136</v>
      </c>
      <c r="B240" s="152">
        <v>45754</v>
      </c>
      <c r="C240" s="82" t="s">
        <v>916</v>
      </c>
      <c r="D240" s="83" t="s">
        <v>918</v>
      </c>
      <c r="E240" s="82" t="s">
        <v>919</v>
      </c>
      <c r="F240" s="241">
        <v>1</v>
      </c>
      <c r="G240" s="241">
        <v>1</v>
      </c>
      <c r="H240" s="239" t="s">
        <v>3968</v>
      </c>
      <c r="I240" s="85"/>
      <c r="J240" s="256" t="s">
        <v>3969</v>
      </c>
      <c r="K240" s="257" t="s">
        <v>3990</v>
      </c>
      <c r="L240" s="238">
        <v>4</v>
      </c>
    </row>
    <row r="241" spans="1:12">
      <c r="A241" s="82">
        <v>47200115</v>
      </c>
      <c r="B241" s="152">
        <v>45755</v>
      </c>
      <c r="C241" s="82" t="s">
        <v>455</v>
      </c>
      <c r="D241" s="83" t="s">
        <v>326</v>
      </c>
      <c r="E241" s="82" t="s">
        <v>4068</v>
      </c>
      <c r="F241" s="241">
        <v>1</v>
      </c>
      <c r="G241" s="241">
        <v>1</v>
      </c>
      <c r="H241" s="239" t="s">
        <v>3968</v>
      </c>
      <c r="I241" s="85"/>
      <c r="J241" s="256" t="s">
        <v>3969</v>
      </c>
      <c r="K241" s="257" t="s">
        <v>3990</v>
      </c>
      <c r="L241" s="238">
        <v>4</v>
      </c>
    </row>
    <row r="242" spans="1:12">
      <c r="A242" s="82">
        <v>50000202</v>
      </c>
      <c r="B242" s="152">
        <v>45755</v>
      </c>
      <c r="C242" s="82" t="s">
        <v>93</v>
      </c>
      <c r="D242" s="83" t="s">
        <v>924</v>
      </c>
      <c r="E242" s="82" t="s">
        <v>925</v>
      </c>
      <c r="F242" s="241">
        <v>1</v>
      </c>
      <c r="G242" s="241">
        <v>1</v>
      </c>
      <c r="H242" s="239" t="s">
        <v>3968</v>
      </c>
      <c r="I242" s="85">
        <v>45750</v>
      </c>
      <c r="J242" s="256" t="s">
        <v>3969</v>
      </c>
      <c r="K242" s="257" t="s">
        <v>3990</v>
      </c>
      <c r="L242" s="238">
        <v>4</v>
      </c>
    </row>
    <row r="243" spans="1:12">
      <c r="A243" s="82">
        <v>51000136</v>
      </c>
      <c r="B243" s="152">
        <v>45755</v>
      </c>
      <c r="C243" s="82" t="s">
        <v>103</v>
      </c>
      <c r="D243" s="83" t="s">
        <v>932</v>
      </c>
      <c r="E243" s="82" t="s">
        <v>933</v>
      </c>
      <c r="F243" s="241">
        <v>1</v>
      </c>
      <c r="G243" s="241">
        <v>1</v>
      </c>
      <c r="H243" s="239" t="s">
        <v>3968</v>
      </c>
      <c r="I243" s="85">
        <v>45754</v>
      </c>
      <c r="J243" s="256" t="s">
        <v>3969</v>
      </c>
      <c r="K243" s="257" t="s">
        <v>3990</v>
      </c>
      <c r="L243" s="238">
        <v>4</v>
      </c>
    </row>
    <row r="244" spans="1:12">
      <c r="A244" s="82">
        <v>50000530</v>
      </c>
      <c r="B244" s="152">
        <v>45756</v>
      </c>
      <c r="C244" s="82" t="s">
        <v>4069</v>
      </c>
      <c r="D244" s="83" t="s">
        <v>330</v>
      </c>
      <c r="E244" s="82" t="s">
        <v>936</v>
      </c>
      <c r="F244" s="241">
        <v>1</v>
      </c>
      <c r="G244" s="241">
        <v>1</v>
      </c>
      <c r="H244" s="239" t="s">
        <v>3968</v>
      </c>
      <c r="I244" s="85"/>
      <c r="J244" s="256" t="s">
        <v>3969</v>
      </c>
      <c r="K244" s="257" t="s">
        <v>3990</v>
      </c>
      <c r="L244" s="238">
        <v>4</v>
      </c>
    </row>
    <row r="245" spans="1:12">
      <c r="A245" s="82">
        <v>51000136</v>
      </c>
      <c r="B245" s="152">
        <v>45756</v>
      </c>
      <c r="C245" s="82" t="s">
        <v>103</v>
      </c>
      <c r="D245" s="83" t="s">
        <v>939</v>
      </c>
      <c r="E245" s="82" t="s">
        <v>940</v>
      </c>
      <c r="F245" s="241">
        <v>1</v>
      </c>
      <c r="G245" s="241">
        <v>1</v>
      </c>
      <c r="H245" s="239" t="s">
        <v>3968</v>
      </c>
      <c r="I245" s="85"/>
      <c r="J245" s="256" t="s">
        <v>3969</v>
      </c>
      <c r="K245" s="257" t="s">
        <v>3990</v>
      </c>
      <c r="L245" s="238">
        <v>4</v>
      </c>
    </row>
    <row r="246" spans="1:12">
      <c r="A246" s="82">
        <v>44000216</v>
      </c>
      <c r="B246" s="152">
        <v>45756</v>
      </c>
      <c r="C246" s="82" t="s">
        <v>54</v>
      </c>
      <c r="D246" s="83" t="s">
        <v>943</v>
      </c>
      <c r="E246" s="82" t="s">
        <v>944</v>
      </c>
      <c r="F246" s="241">
        <v>1</v>
      </c>
      <c r="G246" s="241">
        <v>1</v>
      </c>
      <c r="H246" s="239" t="s">
        <v>3968</v>
      </c>
      <c r="I246" s="85"/>
      <c r="J246" s="256" t="s">
        <v>3969</v>
      </c>
      <c r="K246" s="257" t="s">
        <v>3990</v>
      </c>
      <c r="L246" s="238">
        <v>4</v>
      </c>
    </row>
    <row r="247" spans="1:12">
      <c r="A247" s="82">
        <v>48300315</v>
      </c>
      <c r="B247" s="152">
        <v>45756</v>
      </c>
      <c r="C247" s="82" t="s">
        <v>54</v>
      </c>
      <c r="D247" s="83" t="s">
        <v>335</v>
      </c>
      <c r="E247" s="82" t="s">
        <v>4070</v>
      </c>
      <c r="F247" s="241">
        <v>1</v>
      </c>
      <c r="G247" s="241">
        <v>1</v>
      </c>
      <c r="H247" s="239" t="s">
        <v>3968</v>
      </c>
      <c r="I247" s="85"/>
      <c r="J247" s="256" t="s">
        <v>3969</v>
      </c>
      <c r="K247" s="257" t="s">
        <v>3990</v>
      </c>
      <c r="L247" s="238">
        <v>4</v>
      </c>
    </row>
    <row r="248" spans="1:12">
      <c r="A248" s="82">
        <v>60002095</v>
      </c>
      <c r="B248" s="152">
        <v>45758</v>
      </c>
      <c r="C248" s="82" t="s">
        <v>73</v>
      </c>
      <c r="D248" s="83" t="s">
        <v>952</v>
      </c>
      <c r="E248" s="82" t="s">
        <v>953</v>
      </c>
      <c r="F248" s="241">
        <v>1</v>
      </c>
      <c r="G248" s="241">
        <v>1</v>
      </c>
      <c r="H248" s="239" t="s">
        <v>3968</v>
      </c>
      <c r="I248" s="85"/>
      <c r="J248" s="256" t="s">
        <v>3969</v>
      </c>
      <c r="K248" s="257" t="s">
        <v>3990</v>
      </c>
      <c r="L248" s="238">
        <v>4</v>
      </c>
    </row>
    <row r="249" spans="1:12">
      <c r="A249" s="82">
        <v>50110193</v>
      </c>
      <c r="B249" s="152">
        <v>45757</v>
      </c>
      <c r="C249" s="82" t="s">
        <v>33</v>
      </c>
      <c r="D249" s="83" t="s">
        <v>158</v>
      </c>
      <c r="E249" s="82" t="s">
        <v>956</v>
      </c>
      <c r="F249" s="241">
        <v>1</v>
      </c>
      <c r="G249" s="241">
        <v>1</v>
      </c>
      <c r="H249" s="239" t="s">
        <v>3968</v>
      </c>
      <c r="I249" s="85"/>
      <c r="J249" s="256" t="s">
        <v>3969</v>
      </c>
      <c r="K249" s="257" t="s">
        <v>3990</v>
      </c>
      <c r="L249" s="238">
        <v>4</v>
      </c>
    </row>
    <row r="250" spans="1:12">
      <c r="A250" s="82">
        <v>50110261</v>
      </c>
      <c r="B250" s="152">
        <v>45756</v>
      </c>
      <c r="C250" s="82" t="s">
        <v>225</v>
      </c>
      <c r="D250" s="83" t="s">
        <v>959</v>
      </c>
      <c r="E250" s="82" t="s">
        <v>960</v>
      </c>
      <c r="F250" s="241">
        <v>1</v>
      </c>
      <c r="G250" s="241">
        <v>1</v>
      </c>
      <c r="H250" s="239" t="s">
        <v>3968</v>
      </c>
      <c r="I250" s="85">
        <v>45782</v>
      </c>
      <c r="J250" s="256" t="s">
        <v>3969</v>
      </c>
      <c r="K250" s="257" t="s">
        <v>3990</v>
      </c>
      <c r="L250" s="238">
        <v>4</v>
      </c>
    </row>
    <row r="251" spans="1:12">
      <c r="A251" s="82">
        <v>51000136</v>
      </c>
      <c r="B251" s="152">
        <v>45757</v>
      </c>
      <c r="C251" s="82" t="s">
        <v>103</v>
      </c>
      <c r="D251" s="83" t="s">
        <v>963</v>
      </c>
      <c r="E251" s="82" t="s">
        <v>964</v>
      </c>
      <c r="F251" s="241">
        <v>1</v>
      </c>
      <c r="G251" s="241">
        <v>1</v>
      </c>
      <c r="H251" s="239" t="s">
        <v>3968</v>
      </c>
      <c r="I251" s="85"/>
      <c r="J251" s="256" t="s">
        <v>3969</v>
      </c>
      <c r="K251" s="257" t="s">
        <v>3990</v>
      </c>
      <c r="L251" s="238">
        <v>4</v>
      </c>
    </row>
    <row r="252" spans="1:12">
      <c r="A252" s="82" t="s">
        <v>871</v>
      </c>
      <c r="B252" s="152">
        <v>45756</v>
      </c>
      <c r="C252" s="82" t="s">
        <v>445</v>
      </c>
      <c r="D252" s="83" t="s">
        <v>158</v>
      </c>
      <c r="E252" s="82" t="s">
        <v>956</v>
      </c>
      <c r="F252" s="241">
        <v>1</v>
      </c>
      <c r="G252" s="241">
        <v>1</v>
      </c>
      <c r="H252" s="239" t="s">
        <v>3968</v>
      </c>
      <c r="I252" s="85"/>
      <c r="J252" s="256" t="s">
        <v>3969</v>
      </c>
      <c r="K252" s="257" t="s">
        <v>3990</v>
      </c>
      <c r="L252" s="238">
        <v>4</v>
      </c>
    </row>
    <row r="253" spans="1:12">
      <c r="A253" s="82" t="s">
        <v>871</v>
      </c>
      <c r="B253" s="152">
        <v>45756</v>
      </c>
      <c r="C253" s="82" t="s">
        <v>445</v>
      </c>
      <c r="D253" s="83" t="s">
        <v>134</v>
      </c>
      <c r="E253" s="82" t="s">
        <v>4071</v>
      </c>
      <c r="F253" s="241">
        <v>1</v>
      </c>
      <c r="G253" s="241">
        <v>1</v>
      </c>
      <c r="H253" s="239" t="s">
        <v>3968</v>
      </c>
      <c r="I253" s="85"/>
      <c r="J253" s="256" t="s">
        <v>3969</v>
      </c>
      <c r="K253" s="257" t="s">
        <v>3990</v>
      </c>
      <c r="L253" s="238">
        <v>4</v>
      </c>
    </row>
    <row r="254" spans="1:12">
      <c r="A254" s="82" t="s">
        <v>871</v>
      </c>
      <c r="B254" s="152">
        <v>45756</v>
      </c>
      <c r="C254" s="82" t="s">
        <v>445</v>
      </c>
      <c r="D254" s="83" t="s">
        <v>136</v>
      </c>
      <c r="E254" s="82" t="s">
        <v>4072</v>
      </c>
      <c r="F254" s="241">
        <v>1</v>
      </c>
      <c r="G254" s="241">
        <v>1</v>
      </c>
      <c r="H254" s="239" t="s">
        <v>3968</v>
      </c>
      <c r="I254" s="85"/>
      <c r="J254" s="256" t="s">
        <v>3969</v>
      </c>
      <c r="K254" s="257" t="s">
        <v>3990</v>
      </c>
      <c r="L254" s="238">
        <v>4</v>
      </c>
    </row>
    <row r="255" spans="1:12">
      <c r="A255" s="84">
        <v>51000323</v>
      </c>
      <c r="B255" s="152">
        <v>45758</v>
      </c>
      <c r="C255" s="82" t="s">
        <v>103</v>
      </c>
      <c r="D255" s="83" t="s">
        <v>971</v>
      </c>
      <c r="E255" s="82" t="s">
        <v>633</v>
      </c>
      <c r="F255" s="241">
        <v>2</v>
      </c>
      <c r="G255" s="241">
        <v>2</v>
      </c>
      <c r="H255" s="239" t="s">
        <v>3968</v>
      </c>
      <c r="I255" s="85">
        <v>45758</v>
      </c>
      <c r="J255" s="256" t="s">
        <v>3969</v>
      </c>
      <c r="K255" s="257" t="s">
        <v>3990</v>
      </c>
      <c r="L255" s="238">
        <v>4</v>
      </c>
    </row>
    <row r="256" spans="1:12">
      <c r="A256" s="82">
        <v>48000002</v>
      </c>
      <c r="B256" s="152">
        <v>45758</v>
      </c>
      <c r="C256" s="82" t="s">
        <v>720</v>
      </c>
      <c r="D256" s="83" t="s">
        <v>974</v>
      </c>
      <c r="E256" s="82" t="s">
        <v>4073</v>
      </c>
      <c r="F256" s="241">
        <v>1</v>
      </c>
      <c r="G256" s="241">
        <v>1</v>
      </c>
      <c r="H256" s="239" t="s">
        <v>3968</v>
      </c>
      <c r="I256" s="85"/>
      <c r="J256" s="256" t="s">
        <v>3969</v>
      </c>
      <c r="K256" s="257" t="s">
        <v>3990</v>
      </c>
      <c r="L256" s="238">
        <v>4</v>
      </c>
    </row>
    <row r="257" spans="1:12">
      <c r="A257" s="82">
        <v>50110193</v>
      </c>
      <c r="B257" s="152">
        <v>45758</v>
      </c>
      <c r="C257" s="82" t="s">
        <v>33</v>
      </c>
      <c r="D257" s="83" t="s">
        <v>978</v>
      </c>
      <c r="E257" s="82" t="s">
        <v>979</v>
      </c>
      <c r="F257" s="241">
        <v>1</v>
      </c>
      <c r="G257" s="241">
        <v>1</v>
      </c>
      <c r="H257" s="239" t="s">
        <v>3968</v>
      </c>
      <c r="I257" s="85"/>
      <c r="J257" s="256" t="s">
        <v>3969</v>
      </c>
      <c r="K257" s="257" t="s">
        <v>3990</v>
      </c>
      <c r="L257" s="238">
        <v>4</v>
      </c>
    </row>
    <row r="258" spans="1:12">
      <c r="A258" s="82">
        <v>46000018</v>
      </c>
      <c r="B258" s="152">
        <v>45758</v>
      </c>
      <c r="C258" s="82" t="s">
        <v>982</v>
      </c>
      <c r="D258" s="83" t="s">
        <v>984</v>
      </c>
      <c r="E258" s="82" t="s">
        <v>985</v>
      </c>
      <c r="F258" s="241">
        <v>1</v>
      </c>
      <c r="G258" s="241">
        <v>1</v>
      </c>
      <c r="H258" s="239" t="s">
        <v>3968</v>
      </c>
      <c r="I258" s="85"/>
      <c r="J258" s="256" t="s">
        <v>3969</v>
      </c>
      <c r="K258" s="257" t="s">
        <v>3990</v>
      </c>
      <c r="L258" s="238">
        <v>4</v>
      </c>
    </row>
    <row r="259" spans="1:12">
      <c r="A259" s="82">
        <v>46000053</v>
      </c>
      <c r="B259" s="152">
        <v>45758</v>
      </c>
      <c r="C259" s="82" t="s">
        <v>982</v>
      </c>
      <c r="D259" s="83" t="s">
        <v>988</v>
      </c>
      <c r="E259" s="82" t="s">
        <v>4074</v>
      </c>
      <c r="F259" s="241">
        <v>1</v>
      </c>
      <c r="G259" s="241">
        <v>0</v>
      </c>
      <c r="H259" s="239" t="s">
        <v>3968</v>
      </c>
      <c r="I259" s="85"/>
      <c r="J259" s="256" t="s">
        <v>3969</v>
      </c>
      <c r="K259" s="257" t="s">
        <v>3990</v>
      </c>
      <c r="L259" s="238">
        <v>4</v>
      </c>
    </row>
    <row r="260" spans="1:12">
      <c r="A260" s="82">
        <v>46000018</v>
      </c>
      <c r="B260" s="152">
        <v>45758</v>
      </c>
      <c r="C260" s="82" t="s">
        <v>982</v>
      </c>
      <c r="D260" s="83" t="s">
        <v>990</v>
      </c>
      <c r="E260" s="82" t="s">
        <v>4075</v>
      </c>
      <c r="F260" s="241">
        <v>1</v>
      </c>
      <c r="G260" s="241">
        <v>1</v>
      </c>
      <c r="H260" s="239" t="s">
        <v>3968</v>
      </c>
      <c r="I260" s="85"/>
      <c r="J260" s="256" t="s">
        <v>3969</v>
      </c>
      <c r="K260" s="257" t="s">
        <v>3990</v>
      </c>
      <c r="L260" s="238">
        <v>4</v>
      </c>
    </row>
    <row r="261" spans="1:12">
      <c r="A261" s="82">
        <v>46000018</v>
      </c>
      <c r="B261" s="152">
        <v>45758</v>
      </c>
      <c r="C261" s="82" t="s">
        <v>982</v>
      </c>
      <c r="D261" s="83" t="s">
        <v>992</v>
      </c>
      <c r="E261" s="82" t="s">
        <v>993</v>
      </c>
      <c r="F261" s="241">
        <v>1</v>
      </c>
      <c r="G261" s="241">
        <v>0</v>
      </c>
      <c r="H261" s="239" t="s">
        <v>3968</v>
      </c>
      <c r="I261" s="85"/>
      <c r="J261" s="256" t="s">
        <v>3969</v>
      </c>
      <c r="K261" s="257" t="s">
        <v>3990</v>
      </c>
      <c r="L261" s="238">
        <v>4</v>
      </c>
    </row>
    <row r="262" spans="1:12">
      <c r="A262" s="82">
        <v>46000018</v>
      </c>
      <c r="B262" s="152">
        <v>45758</v>
      </c>
      <c r="C262" s="82" t="s">
        <v>982</v>
      </c>
      <c r="D262" s="83" t="s">
        <v>939</v>
      </c>
      <c r="E262" s="82" t="s">
        <v>120</v>
      </c>
      <c r="F262" s="241">
        <v>1</v>
      </c>
      <c r="G262" s="241">
        <v>0</v>
      </c>
      <c r="H262" s="239" t="s">
        <v>3968</v>
      </c>
      <c r="I262" s="85"/>
      <c r="J262" s="256" t="s">
        <v>3969</v>
      </c>
      <c r="K262" s="257" t="s">
        <v>3990</v>
      </c>
      <c r="L262" s="238">
        <v>4</v>
      </c>
    </row>
    <row r="263" spans="1:12">
      <c r="A263" s="82">
        <v>46000053</v>
      </c>
      <c r="B263" s="152">
        <v>45758</v>
      </c>
      <c r="C263" s="82" t="s">
        <v>982</v>
      </c>
      <c r="D263" s="83" t="s">
        <v>996</v>
      </c>
      <c r="E263" s="82" t="s">
        <v>1145</v>
      </c>
      <c r="F263" s="241">
        <v>1</v>
      </c>
      <c r="G263" s="241">
        <v>1</v>
      </c>
      <c r="H263" s="239" t="s">
        <v>3968</v>
      </c>
      <c r="I263" s="85"/>
      <c r="J263" s="256" t="s">
        <v>3969</v>
      </c>
      <c r="K263" s="257" t="s">
        <v>3990</v>
      </c>
      <c r="L263" s="238">
        <v>4</v>
      </c>
    </row>
    <row r="264" spans="1:12">
      <c r="A264" s="82">
        <v>46000018</v>
      </c>
      <c r="B264" s="152">
        <v>45758</v>
      </c>
      <c r="C264" s="82" t="s">
        <v>982</v>
      </c>
      <c r="D264" s="83" t="s">
        <v>1000</v>
      </c>
      <c r="E264" s="82" t="s">
        <v>1001</v>
      </c>
      <c r="F264" s="241">
        <v>1</v>
      </c>
      <c r="G264" s="241">
        <v>0</v>
      </c>
      <c r="H264" s="239" t="s">
        <v>3968</v>
      </c>
      <c r="I264" s="85"/>
      <c r="J264" s="256" t="s">
        <v>3969</v>
      </c>
      <c r="K264" s="257" t="s">
        <v>3990</v>
      </c>
      <c r="L264" s="238">
        <v>4</v>
      </c>
    </row>
    <row r="265" spans="1:12">
      <c r="A265" s="82">
        <v>46000018</v>
      </c>
      <c r="B265" s="152">
        <v>45758</v>
      </c>
      <c r="C265" s="82" t="s">
        <v>982</v>
      </c>
      <c r="D265" s="83" t="s">
        <v>1004</v>
      </c>
      <c r="E265" s="82" t="s">
        <v>1005</v>
      </c>
      <c r="F265" s="241">
        <v>1</v>
      </c>
      <c r="G265" s="241">
        <v>0</v>
      </c>
      <c r="H265" s="239" t="s">
        <v>3968</v>
      </c>
      <c r="I265" s="85"/>
      <c r="J265" s="256" t="s">
        <v>3969</v>
      </c>
      <c r="K265" s="257" t="s">
        <v>3990</v>
      </c>
      <c r="L265" s="238">
        <v>4</v>
      </c>
    </row>
    <row r="266" spans="1:12">
      <c r="A266" s="82">
        <v>46000018</v>
      </c>
      <c r="B266" s="152">
        <v>45758</v>
      </c>
      <c r="C266" s="82" t="s">
        <v>982</v>
      </c>
      <c r="D266" s="83" t="s">
        <v>1009</v>
      </c>
      <c r="E266" s="82" t="s">
        <v>4076</v>
      </c>
      <c r="F266" s="241">
        <v>1</v>
      </c>
      <c r="G266" s="241">
        <v>0</v>
      </c>
      <c r="H266" s="239" t="s">
        <v>3968</v>
      </c>
      <c r="I266" s="85"/>
      <c r="J266" s="256" t="s">
        <v>3969</v>
      </c>
      <c r="K266" s="257" t="s">
        <v>3990</v>
      </c>
      <c r="L266" s="238">
        <v>4</v>
      </c>
    </row>
    <row r="267" spans="1:12">
      <c r="A267" s="84">
        <v>51000323</v>
      </c>
      <c r="B267" s="152">
        <v>45756</v>
      </c>
      <c r="C267" s="82" t="s">
        <v>103</v>
      </c>
      <c r="D267" s="83" t="s">
        <v>1020</v>
      </c>
      <c r="E267" s="82" t="s">
        <v>1021</v>
      </c>
      <c r="F267" s="241">
        <v>1</v>
      </c>
      <c r="G267" s="241">
        <v>1</v>
      </c>
      <c r="H267" s="239" t="s">
        <v>3968</v>
      </c>
      <c r="I267" s="85">
        <v>45754</v>
      </c>
      <c r="J267" s="256" t="s">
        <v>3969</v>
      </c>
      <c r="K267" s="257" t="s">
        <v>3990</v>
      </c>
      <c r="L267" s="238">
        <v>4</v>
      </c>
    </row>
    <row r="268" spans="1:12">
      <c r="A268" s="82" t="s">
        <v>871</v>
      </c>
      <c r="B268" s="152">
        <v>45761</v>
      </c>
      <c r="C268" s="82" t="s">
        <v>445</v>
      </c>
      <c r="D268" s="83" t="s">
        <v>1024</v>
      </c>
      <c r="E268" s="82" t="s">
        <v>1025</v>
      </c>
      <c r="F268" s="241">
        <v>1</v>
      </c>
      <c r="G268" s="241">
        <v>1</v>
      </c>
      <c r="H268" s="239" t="s">
        <v>3968</v>
      </c>
      <c r="I268" s="85"/>
      <c r="J268" s="256" t="s">
        <v>3969</v>
      </c>
      <c r="K268" s="257" t="s">
        <v>3990</v>
      </c>
      <c r="L268" s="238">
        <v>4</v>
      </c>
    </row>
    <row r="269" spans="1:12">
      <c r="A269" s="82">
        <v>44000058</v>
      </c>
      <c r="B269" s="152">
        <v>45761</v>
      </c>
      <c r="C269" s="82" t="s">
        <v>569</v>
      </c>
      <c r="D269" s="83" t="s">
        <v>1032</v>
      </c>
      <c r="E269" s="82" t="s">
        <v>1033</v>
      </c>
      <c r="F269" s="241">
        <v>3</v>
      </c>
      <c r="G269" s="241">
        <v>3</v>
      </c>
      <c r="H269" s="239" t="s">
        <v>3968</v>
      </c>
      <c r="I269" s="85"/>
      <c r="J269" s="256" t="s">
        <v>3969</v>
      </c>
      <c r="K269" s="257" t="s">
        <v>3990</v>
      </c>
      <c r="L269" s="238">
        <v>4</v>
      </c>
    </row>
    <row r="270" spans="1:12">
      <c r="A270" s="82">
        <v>61000037</v>
      </c>
      <c r="B270" s="152">
        <v>45750</v>
      </c>
      <c r="C270" s="82" t="s">
        <v>515</v>
      </c>
      <c r="D270" s="83" t="s">
        <v>1036</v>
      </c>
      <c r="E270" s="82" t="s">
        <v>1037</v>
      </c>
      <c r="F270" s="241">
        <v>1</v>
      </c>
      <c r="G270" s="241">
        <v>1</v>
      </c>
      <c r="H270" s="239" t="s">
        <v>3968</v>
      </c>
      <c r="I270" s="85"/>
      <c r="J270" s="256" t="s">
        <v>3969</v>
      </c>
      <c r="K270" s="257" t="s">
        <v>3990</v>
      </c>
      <c r="L270" s="238">
        <v>4</v>
      </c>
    </row>
    <row r="271" spans="1:12">
      <c r="A271" s="82">
        <v>46000053</v>
      </c>
      <c r="B271" s="152">
        <v>45761</v>
      </c>
      <c r="C271" s="82" t="s">
        <v>982</v>
      </c>
      <c r="D271" s="83" t="s">
        <v>572</v>
      </c>
      <c r="E271" s="82" t="s">
        <v>1042</v>
      </c>
      <c r="F271" s="241">
        <v>1</v>
      </c>
      <c r="G271" s="241">
        <v>1</v>
      </c>
      <c r="H271" s="239" t="s">
        <v>3968</v>
      </c>
      <c r="I271" s="85"/>
      <c r="J271" s="256" t="s">
        <v>3969</v>
      </c>
      <c r="K271" s="257" t="s">
        <v>3990</v>
      </c>
      <c r="L271" s="238">
        <v>4</v>
      </c>
    </row>
    <row r="272" spans="1:12">
      <c r="A272" s="82">
        <v>50110229</v>
      </c>
      <c r="B272" s="152">
        <v>45762</v>
      </c>
      <c r="C272" s="82" t="s">
        <v>109</v>
      </c>
      <c r="D272" s="83" t="s">
        <v>1052</v>
      </c>
      <c r="E272" s="82" t="s">
        <v>1053</v>
      </c>
      <c r="F272" s="241">
        <v>1</v>
      </c>
      <c r="G272" s="241">
        <v>1</v>
      </c>
      <c r="H272" s="239" t="s">
        <v>3968</v>
      </c>
      <c r="I272" s="85"/>
      <c r="J272" s="256" t="s">
        <v>3969</v>
      </c>
      <c r="K272" s="257" t="s">
        <v>3990</v>
      </c>
      <c r="L272" s="238">
        <v>4</v>
      </c>
    </row>
    <row r="273" spans="1:12">
      <c r="A273" s="82">
        <v>50110372</v>
      </c>
      <c r="B273" s="152">
        <v>45762</v>
      </c>
      <c r="C273" s="82" t="s">
        <v>73</v>
      </c>
      <c r="D273" s="83" t="s">
        <v>1056</v>
      </c>
      <c r="E273" s="82" t="s">
        <v>1057</v>
      </c>
      <c r="F273" s="241">
        <v>1</v>
      </c>
      <c r="G273" s="241">
        <v>1</v>
      </c>
      <c r="H273" s="239" t="s">
        <v>3968</v>
      </c>
      <c r="I273" s="85">
        <v>45758</v>
      </c>
      <c r="J273" s="256" t="s">
        <v>3969</v>
      </c>
      <c r="K273" s="257" t="s">
        <v>3990</v>
      </c>
      <c r="L273" s="238">
        <v>4</v>
      </c>
    </row>
    <row r="274" spans="1:12">
      <c r="A274" s="82">
        <v>50110372</v>
      </c>
      <c r="B274" s="152">
        <v>45762</v>
      </c>
      <c r="C274" s="82" t="s">
        <v>73</v>
      </c>
      <c r="D274" s="83" t="s">
        <v>1058</v>
      </c>
      <c r="E274" s="82" t="s">
        <v>1059</v>
      </c>
      <c r="F274" s="241">
        <v>1</v>
      </c>
      <c r="G274" s="241">
        <v>1</v>
      </c>
      <c r="H274" s="239" t="s">
        <v>3968</v>
      </c>
      <c r="I274" s="85">
        <v>45758</v>
      </c>
      <c r="J274" s="256" t="s">
        <v>3969</v>
      </c>
      <c r="K274" s="257" t="s">
        <v>3990</v>
      </c>
      <c r="L274" s="238">
        <v>4</v>
      </c>
    </row>
    <row r="275" spans="1:12">
      <c r="A275" s="82">
        <v>50110193</v>
      </c>
      <c r="B275" s="152">
        <v>45762</v>
      </c>
      <c r="C275" s="82" t="s">
        <v>33</v>
      </c>
      <c r="D275" s="83" t="s">
        <v>1052</v>
      </c>
      <c r="E275" s="82" t="s">
        <v>1053</v>
      </c>
      <c r="F275" s="241">
        <v>2</v>
      </c>
      <c r="G275" s="241">
        <v>2</v>
      </c>
      <c r="H275" s="239" t="s">
        <v>3968</v>
      </c>
      <c r="I275" s="85"/>
      <c r="J275" s="256" t="s">
        <v>3969</v>
      </c>
      <c r="K275" s="257" t="s">
        <v>3990</v>
      </c>
      <c r="L275" s="238">
        <v>4</v>
      </c>
    </row>
    <row r="276" spans="1:12">
      <c r="A276" s="82">
        <v>60002095</v>
      </c>
      <c r="B276" s="152">
        <v>45762</v>
      </c>
      <c r="C276" s="82" t="s">
        <v>73</v>
      </c>
      <c r="D276" s="83" t="s">
        <v>1058</v>
      </c>
      <c r="E276" s="82" t="s">
        <v>1059</v>
      </c>
      <c r="F276" s="241">
        <v>1</v>
      </c>
      <c r="G276" s="241">
        <v>1</v>
      </c>
      <c r="H276" s="239" t="s">
        <v>3968</v>
      </c>
      <c r="I276" s="85"/>
      <c r="J276" s="256" t="s">
        <v>3969</v>
      </c>
      <c r="K276" s="257" t="s">
        <v>3990</v>
      </c>
      <c r="L276" s="238">
        <v>4</v>
      </c>
    </row>
    <row r="277" spans="1:12">
      <c r="A277" s="82">
        <v>50110193</v>
      </c>
      <c r="B277" s="152">
        <v>45763</v>
      </c>
      <c r="C277" s="82" t="s">
        <v>33</v>
      </c>
      <c r="D277" s="83" t="s">
        <v>1066</v>
      </c>
      <c r="E277" s="82" t="s">
        <v>1067</v>
      </c>
      <c r="F277" s="241">
        <v>1</v>
      </c>
      <c r="G277" s="241">
        <v>0</v>
      </c>
      <c r="H277" s="239" t="s">
        <v>3968</v>
      </c>
      <c r="I277" s="85"/>
      <c r="J277" s="256" t="s">
        <v>3969</v>
      </c>
      <c r="K277" s="257" t="s">
        <v>3990</v>
      </c>
      <c r="L277" s="238">
        <v>4</v>
      </c>
    </row>
    <row r="278" spans="1:12">
      <c r="A278" s="82" t="s">
        <v>871</v>
      </c>
      <c r="B278" s="152">
        <v>45763</v>
      </c>
      <c r="C278" s="82" t="s">
        <v>445</v>
      </c>
      <c r="D278" s="83" t="s">
        <v>1070</v>
      </c>
      <c r="E278" s="82" t="s">
        <v>1071</v>
      </c>
      <c r="F278" s="241">
        <v>1</v>
      </c>
      <c r="G278" s="241">
        <v>1</v>
      </c>
      <c r="H278" s="239" t="s">
        <v>3968</v>
      </c>
      <c r="I278" s="85"/>
      <c r="J278" s="256" t="s">
        <v>3969</v>
      </c>
      <c r="K278" s="257" t="s">
        <v>3990</v>
      </c>
      <c r="L278" s="238">
        <v>4</v>
      </c>
    </row>
    <row r="279" spans="1:12">
      <c r="A279" s="82">
        <v>50000260</v>
      </c>
      <c r="B279" s="152">
        <v>45769</v>
      </c>
      <c r="C279" s="82" t="s">
        <v>85</v>
      </c>
      <c r="D279" s="83" t="s">
        <v>1103</v>
      </c>
      <c r="E279" s="82" t="s">
        <v>592</v>
      </c>
      <c r="F279" s="241">
        <v>1</v>
      </c>
      <c r="G279" s="241">
        <v>1</v>
      </c>
      <c r="H279" s="239" t="s">
        <v>3968</v>
      </c>
      <c r="I279" s="85"/>
      <c r="J279" s="256" t="s">
        <v>3969</v>
      </c>
      <c r="K279" s="257" t="s">
        <v>3990</v>
      </c>
      <c r="L279" s="238">
        <v>4</v>
      </c>
    </row>
    <row r="280" spans="1:12">
      <c r="A280" s="84">
        <v>51100110</v>
      </c>
      <c r="B280" s="152">
        <v>45769</v>
      </c>
      <c r="C280" s="82" t="s">
        <v>1106</v>
      </c>
      <c r="D280" s="83" t="s">
        <v>1108</v>
      </c>
      <c r="E280" s="82" t="s">
        <v>1109</v>
      </c>
      <c r="F280" s="241">
        <v>1</v>
      </c>
      <c r="G280" s="241">
        <v>1</v>
      </c>
      <c r="H280" s="239" t="s">
        <v>3968</v>
      </c>
      <c r="I280" s="85">
        <v>45764</v>
      </c>
      <c r="J280" s="256" t="s">
        <v>3969</v>
      </c>
      <c r="K280" s="257" t="s">
        <v>3990</v>
      </c>
      <c r="L280" s="238">
        <v>4</v>
      </c>
    </row>
    <row r="281" spans="1:12">
      <c r="A281" s="84">
        <v>51100110</v>
      </c>
      <c r="B281" s="152">
        <v>45769</v>
      </c>
      <c r="C281" s="82" t="s">
        <v>1106</v>
      </c>
      <c r="D281" s="83" t="s">
        <v>1112</v>
      </c>
      <c r="E281" s="82" t="s">
        <v>1113</v>
      </c>
      <c r="F281" s="241">
        <v>1</v>
      </c>
      <c r="G281" s="241">
        <v>0</v>
      </c>
      <c r="H281" s="239" t="s">
        <v>3968</v>
      </c>
      <c r="I281" s="85"/>
      <c r="J281" s="256" t="s">
        <v>3969</v>
      </c>
      <c r="K281" s="257" t="s">
        <v>3990</v>
      </c>
      <c r="L281" s="238">
        <v>4</v>
      </c>
    </row>
    <row r="282" spans="1:12">
      <c r="A282" s="82">
        <v>46000018</v>
      </c>
      <c r="B282" s="152">
        <v>45771</v>
      </c>
      <c r="C282" s="82" t="s">
        <v>982</v>
      </c>
      <c r="D282" s="83" t="s">
        <v>1000</v>
      </c>
      <c r="E282" s="82" t="s">
        <v>1001</v>
      </c>
      <c r="F282" s="241">
        <v>1</v>
      </c>
      <c r="G282" s="241">
        <v>0</v>
      </c>
      <c r="H282" s="239" t="s">
        <v>3968</v>
      </c>
      <c r="I282" s="85"/>
      <c r="J282" s="256" t="s">
        <v>3969</v>
      </c>
      <c r="K282" s="257" t="s">
        <v>3990</v>
      </c>
      <c r="L282" s="238">
        <v>4</v>
      </c>
    </row>
    <row r="283" spans="1:12">
      <c r="A283" s="82">
        <v>50110229</v>
      </c>
      <c r="B283" s="152">
        <v>45771</v>
      </c>
      <c r="C283" s="82" t="s">
        <v>109</v>
      </c>
      <c r="D283" s="83" t="s">
        <v>94</v>
      </c>
      <c r="E283" s="82" t="s">
        <v>1118</v>
      </c>
      <c r="F283" s="241">
        <v>1</v>
      </c>
      <c r="G283" s="241">
        <v>1</v>
      </c>
      <c r="H283" s="239" t="s">
        <v>3968</v>
      </c>
      <c r="I283" s="85"/>
      <c r="J283" s="256" t="s">
        <v>3969</v>
      </c>
      <c r="K283" s="257" t="s">
        <v>3990</v>
      </c>
      <c r="L283" s="238">
        <v>4</v>
      </c>
    </row>
    <row r="284" spans="1:12">
      <c r="A284" s="82">
        <v>50110057</v>
      </c>
      <c r="B284" s="152">
        <v>45771</v>
      </c>
      <c r="C284" s="82" t="s">
        <v>181</v>
      </c>
      <c r="D284" s="83" t="s">
        <v>1121</v>
      </c>
      <c r="E284" s="82" t="s">
        <v>1122</v>
      </c>
      <c r="F284" s="241">
        <v>2</v>
      </c>
      <c r="G284" s="241">
        <v>2</v>
      </c>
      <c r="H284" s="239" t="s">
        <v>3968</v>
      </c>
      <c r="I284" s="85">
        <v>45764</v>
      </c>
      <c r="J284" s="256" t="s">
        <v>3969</v>
      </c>
      <c r="K284" s="257" t="s">
        <v>3990</v>
      </c>
      <c r="L284" s="238">
        <v>4</v>
      </c>
    </row>
    <row r="285" spans="1:12">
      <c r="A285" s="82">
        <v>50110057</v>
      </c>
      <c r="B285" s="152">
        <v>45771</v>
      </c>
      <c r="C285" s="82" t="s">
        <v>181</v>
      </c>
      <c r="D285" s="83" t="s">
        <v>1124</v>
      </c>
      <c r="E285" s="82" t="s">
        <v>1125</v>
      </c>
      <c r="F285" s="241">
        <v>1</v>
      </c>
      <c r="G285" s="241">
        <v>0</v>
      </c>
      <c r="H285" s="239" t="s">
        <v>3968</v>
      </c>
      <c r="I285" s="85"/>
      <c r="J285" s="256" t="s">
        <v>3969</v>
      </c>
      <c r="K285" s="257" t="s">
        <v>3990</v>
      </c>
      <c r="L285" s="238">
        <v>4</v>
      </c>
    </row>
    <row r="286" spans="1:12">
      <c r="A286" s="82">
        <v>50110057</v>
      </c>
      <c r="B286" s="152">
        <v>45771</v>
      </c>
      <c r="C286" s="82" t="s">
        <v>181</v>
      </c>
      <c r="D286" s="83" t="s">
        <v>879</v>
      </c>
      <c r="E286" s="82" t="s">
        <v>1126</v>
      </c>
      <c r="F286" s="241">
        <v>2</v>
      </c>
      <c r="G286" s="241">
        <v>1</v>
      </c>
      <c r="H286" s="239" t="s">
        <v>3968</v>
      </c>
      <c r="I286" s="85"/>
      <c r="J286" s="256" t="s">
        <v>3969</v>
      </c>
      <c r="K286" s="257" t="s">
        <v>3990</v>
      </c>
      <c r="L286" s="238">
        <v>4</v>
      </c>
    </row>
    <row r="287" spans="1:12">
      <c r="A287" s="82">
        <v>50110057</v>
      </c>
      <c r="B287" s="152">
        <v>45771</v>
      </c>
      <c r="C287" s="82" t="s">
        <v>181</v>
      </c>
      <c r="D287" s="83" t="s">
        <v>1131</v>
      </c>
      <c r="E287" s="82" t="s">
        <v>1132</v>
      </c>
      <c r="F287" s="241">
        <v>1</v>
      </c>
      <c r="G287" s="241">
        <v>0</v>
      </c>
      <c r="H287" s="239" t="s">
        <v>3968</v>
      </c>
      <c r="I287" s="85"/>
      <c r="J287" s="256" t="s">
        <v>3969</v>
      </c>
      <c r="K287" s="257" t="s">
        <v>3990</v>
      </c>
      <c r="L287" s="238">
        <v>4</v>
      </c>
    </row>
    <row r="288" spans="1:12">
      <c r="A288" s="82">
        <v>44000059</v>
      </c>
      <c r="B288" s="152">
        <v>45772</v>
      </c>
      <c r="C288" s="82" t="s">
        <v>63</v>
      </c>
      <c r="D288" s="83" t="s">
        <v>1135</v>
      </c>
      <c r="E288" s="82" t="s">
        <v>1136</v>
      </c>
      <c r="F288" s="241">
        <v>1</v>
      </c>
      <c r="G288" s="241">
        <v>1</v>
      </c>
      <c r="H288" s="239" t="s">
        <v>3968</v>
      </c>
      <c r="I288" s="85"/>
      <c r="J288" s="256" t="s">
        <v>3969</v>
      </c>
      <c r="K288" s="257" t="s">
        <v>3990</v>
      </c>
      <c r="L288" s="238">
        <v>4</v>
      </c>
    </row>
    <row r="289" spans="1:12">
      <c r="A289" s="82">
        <v>50110372</v>
      </c>
      <c r="B289" s="152">
        <v>45775</v>
      </c>
      <c r="C289" s="82" t="s">
        <v>73</v>
      </c>
      <c r="D289" s="83" t="s">
        <v>265</v>
      </c>
      <c r="E289" s="82" t="s">
        <v>266</v>
      </c>
      <c r="F289" s="241">
        <v>1</v>
      </c>
      <c r="G289" s="241">
        <v>1</v>
      </c>
      <c r="H289" s="239" t="s">
        <v>3968</v>
      </c>
      <c r="I289" s="85"/>
      <c r="J289" s="256" t="s">
        <v>3969</v>
      </c>
      <c r="K289" s="257" t="s">
        <v>3990</v>
      </c>
      <c r="L289" s="238">
        <v>4</v>
      </c>
    </row>
    <row r="290" spans="1:12">
      <c r="A290" s="82">
        <v>60002095</v>
      </c>
      <c r="B290" s="152">
        <v>45775</v>
      </c>
      <c r="C290" s="82" t="s">
        <v>73</v>
      </c>
      <c r="D290" s="83" t="s">
        <v>1141</v>
      </c>
      <c r="E290" s="82" t="s">
        <v>1142</v>
      </c>
      <c r="F290" s="241">
        <v>1</v>
      </c>
      <c r="G290" s="241">
        <v>1</v>
      </c>
      <c r="H290" s="239" t="s">
        <v>3968</v>
      </c>
      <c r="I290" s="85">
        <v>45764</v>
      </c>
      <c r="J290" s="256" t="s">
        <v>3969</v>
      </c>
      <c r="K290" s="257" t="s">
        <v>3990</v>
      </c>
      <c r="L290" s="238">
        <v>4</v>
      </c>
    </row>
    <row r="291" spans="1:12">
      <c r="A291" s="82">
        <v>46000018</v>
      </c>
      <c r="B291" s="152">
        <v>45776</v>
      </c>
      <c r="C291" s="82" t="s">
        <v>982</v>
      </c>
      <c r="D291" s="83" t="s">
        <v>996</v>
      </c>
      <c r="E291" s="82" t="s">
        <v>1145</v>
      </c>
      <c r="F291" s="241">
        <v>1</v>
      </c>
      <c r="G291" s="241">
        <v>1</v>
      </c>
      <c r="H291" s="239" t="s">
        <v>3968</v>
      </c>
      <c r="I291" s="85"/>
      <c r="J291" s="256" t="s">
        <v>3969</v>
      </c>
      <c r="K291" s="257" t="s">
        <v>3990</v>
      </c>
      <c r="L291" s="238">
        <v>4</v>
      </c>
    </row>
    <row r="292" spans="1:12">
      <c r="A292" s="82">
        <v>50110193</v>
      </c>
      <c r="B292" s="152">
        <v>45776</v>
      </c>
      <c r="C292" s="82" t="s">
        <v>33</v>
      </c>
      <c r="D292" s="83" t="s">
        <v>1148</v>
      </c>
      <c r="E292" s="82" t="s">
        <v>1149</v>
      </c>
      <c r="F292" s="241">
        <v>1</v>
      </c>
      <c r="G292" s="241">
        <v>1</v>
      </c>
      <c r="H292" s="239" t="s">
        <v>3968</v>
      </c>
      <c r="I292" s="85">
        <v>45772</v>
      </c>
      <c r="J292" s="256" t="s">
        <v>3969</v>
      </c>
      <c r="K292" s="257" t="s">
        <v>3990</v>
      </c>
      <c r="L292" s="238">
        <v>4</v>
      </c>
    </row>
    <row r="293" spans="1:12">
      <c r="A293" s="82">
        <v>50110193</v>
      </c>
      <c r="B293" s="152">
        <v>45776</v>
      </c>
      <c r="C293" s="82" t="s">
        <v>33</v>
      </c>
      <c r="D293" s="83" t="s">
        <v>1151</v>
      </c>
      <c r="E293" s="82" t="s">
        <v>1152</v>
      </c>
      <c r="F293" s="241">
        <v>1</v>
      </c>
      <c r="G293" s="241">
        <v>0</v>
      </c>
      <c r="H293" s="239" t="s">
        <v>3968</v>
      </c>
      <c r="I293" s="85"/>
      <c r="J293" s="256" t="s">
        <v>3969</v>
      </c>
      <c r="K293" s="257" t="s">
        <v>3990</v>
      </c>
      <c r="L293" s="238">
        <v>4</v>
      </c>
    </row>
    <row r="294" spans="1:12">
      <c r="A294" s="82">
        <v>61000037</v>
      </c>
      <c r="B294" s="152">
        <v>45776</v>
      </c>
      <c r="C294" s="82" t="s">
        <v>515</v>
      </c>
      <c r="D294" s="83" t="s">
        <v>1156</v>
      </c>
      <c r="E294" s="82" t="s">
        <v>1157</v>
      </c>
      <c r="F294" s="241">
        <v>1</v>
      </c>
      <c r="G294" s="241">
        <v>1</v>
      </c>
      <c r="H294" s="239" t="s">
        <v>3968</v>
      </c>
      <c r="I294" s="85"/>
      <c r="J294" s="256" t="s">
        <v>3969</v>
      </c>
      <c r="K294" s="257" t="s">
        <v>3990</v>
      </c>
      <c r="L294" s="238">
        <v>4</v>
      </c>
    </row>
    <row r="295" spans="1:12">
      <c r="A295" s="86">
        <v>61000037</v>
      </c>
      <c r="B295" s="153">
        <v>45776</v>
      </c>
      <c r="C295" s="86" t="s">
        <v>515</v>
      </c>
      <c r="D295" s="87" t="s">
        <v>1159</v>
      </c>
      <c r="E295" s="86" t="s">
        <v>1160</v>
      </c>
      <c r="F295" s="242">
        <v>1</v>
      </c>
      <c r="G295" s="242">
        <v>1</v>
      </c>
      <c r="H295" s="240" t="s">
        <v>3968</v>
      </c>
      <c r="I295" s="88"/>
      <c r="J295" s="257" t="s">
        <v>3969</v>
      </c>
      <c r="K295" s="257" t="s">
        <v>3990</v>
      </c>
      <c r="L295" s="237">
        <v>4</v>
      </c>
    </row>
    <row r="296" spans="1:12">
      <c r="A296" s="14">
        <v>50110229</v>
      </c>
      <c r="B296" s="154">
        <v>45782</v>
      </c>
      <c r="C296" s="14" t="s">
        <v>109</v>
      </c>
      <c r="D296" s="14" t="s">
        <v>330</v>
      </c>
      <c r="E296" s="14" t="s">
        <v>1163</v>
      </c>
      <c r="F296" s="238">
        <v>1</v>
      </c>
      <c r="G296" s="238">
        <v>1</v>
      </c>
      <c r="H296" s="238" t="s">
        <v>3968</v>
      </c>
      <c r="I296" s="85"/>
      <c r="J296" s="258" t="s">
        <v>3969</v>
      </c>
      <c r="K296" s="258" t="s">
        <v>3990</v>
      </c>
      <c r="L296" s="238">
        <v>5</v>
      </c>
    </row>
    <row r="297" spans="1:12">
      <c r="A297" s="14">
        <v>50110229</v>
      </c>
      <c r="B297" s="154">
        <v>45782</v>
      </c>
      <c r="C297" s="14" t="s">
        <v>109</v>
      </c>
      <c r="D297" s="14" t="s">
        <v>75</v>
      </c>
      <c r="E297" s="14" t="s">
        <v>1166</v>
      </c>
      <c r="F297" s="238">
        <v>1</v>
      </c>
      <c r="G297" s="238">
        <v>1</v>
      </c>
      <c r="H297" s="238" t="s">
        <v>3968</v>
      </c>
      <c r="I297" s="85"/>
      <c r="J297" s="258" t="s">
        <v>3969</v>
      </c>
      <c r="K297" s="258" t="s">
        <v>3990</v>
      </c>
      <c r="L297" s="238">
        <v>5</v>
      </c>
    </row>
    <row r="298" spans="1:12">
      <c r="A298" s="14">
        <v>48300400</v>
      </c>
      <c r="B298" s="154">
        <v>45782</v>
      </c>
      <c r="C298" s="14" t="s">
        <v>1169</v>
      </c>
      <c r="D298" s="14" t="s">
        <v>280</v>
      </c>
      <c r="E298" s="14" t="s">
        <v>1170</v>
      </c>
      <c r="F298" s="238">
        <v>1</v>
      </c>
      <c r="G298" s="238">
        <v>1</v>
      </c>
      <c r="H298" s="238" t="s">
        <v>3968</v>
      </c>
      <c r="I298" s="85"/>
      <c r="J298" s="258" t="s">
        <v>3969</v>
      </c>
      <c r="K298" s="258" t="s">
        <v>3990</v>
      </c>
      <c r="L298" s="238">
        <v>5</v>
      </c>
    </row>
    <row r="299" spans="1:12">
      <c r="A299" s="14">
        <v>50110229</v>
      </c>
      <c r="B299" s="154">
        <v>45782</v>
      </c>
      <c r="C299" s="14" t="s">
        <v>109</v>
      </c>
      <c r="D299" s="14" t="s">
        <v>1174</v>
      </c>
      <c r="E299" s="14" t="s">
        <v>1175</v>
      </c>
      <c r="F299" s="238">
        <v>2</v>
      </c>
      <c r="G299" s="238">
        <v>1</v>
      </c>
      <c r="H299" s="238" t="s">
        <v>3968</v>
      </c>
      <c r="I299" s="85"/>
      <c r="J299" s="258" t="s">
        <v>3969</v>
      </c>
      <c r="K299" s="258" t="s">
        <v>3990</v>
      </c>
      <c r="L299" s="238">
        <v>5</v>
      </c>
    </row>
    <row r="300" spans="1:12">
      <c r="A300" s="14">
        <v>50110229</v>
      </c>
      <c r="B300" s="154">
        <v>45782</v>
      </c>
      <c r="C300" s="14" t="s">
        <v>109</v>
      </c>
      <c r="D300" s="14" t="s">
        <v>1178</v>
      </c>
      <c r="E300" s="14" t="s">
        <v>1179</v>
      </c>
      <c r="F300" s="238">
        <v>1</v>
      </c>
      <c r="G300" s="238">
        <v>1</v>
      </c>
      <c r="H300" s="238" t="s">
        <v>3968</v>
      </c>
      <c r="I300" s="85"/>
      <c r="J300" s="258" t="s">
        <v>3969</v>
      </c>
      <c r="K300" s="258" t="s">
        <v>3990</v>
      </c>
      <c r="L300" s="238">
        <v>5</v>
      </c>
    </row>
    <row r="301" spans="1:12">
      <c r="A301" s="14">
        <v>60002095</v>
      </c>
      <c r="B301" s="154">
        <v>45782</v>
      </c>
      <c r="C301" s="14" t="s">
        <v>73</v>
      </c>
      <c r="D301" s="14" t="s">
        <v>446</v>
      </c>
      <c r="E301" s="14" t="s">
        <v>1182</v>
      </c>
      <c r="F301" s="238">
        <v>1</v>
      </c>
      <c r="G301" s="238">
        <v>1</v>
      </c>
      <c r="H301" s="238" t="s">
        <v>3968</v>
      </c>
      <c r="I301" s="85"/>
      <c r="J301" s="258" t="s">
        <v>3969</v>
      </c>
      <c r="K301" s="258" t="s">
        <v>3990</v>
      </c>
      <c r="L301" s="238">
        <v>5</v>
      </c>
    </row>
    <row r="302" spans="1:12">
      <c r="A302" s="14">
        <v>50110229</v>
      </c>
      <c r="B302" s="149">
        <v>45782</v>
      </c>
      <c r="C302" s="14" t="s">
        <v>109</v>
      </c>
      <c r="D302" s="14" t="s">
        <v>1185</v>
      </c>
      <c r="E302" s="14" t="s">
        <v>1186</v>
      </c>
      <c r="F302" s="238">
        <v>1</v>
      </c>
      <c r="G302" s="238">
        <v>1</v>
      </c>
      <c r="H302" s="238" t="s">
        <v>3968</v>
      </c>
      <c r="I302" s="85"/>
      <c r="J302" s="258" t="s">
        <v>3969</v>
      </c>
      <c r="K302" s="258" t="s">
        <v>3990</v>
      </c>
      <c r="L302" s="238">
        <v>5</v>
      </c>
    </row>
    <row r="303" spans="1:12">
      <c r="A303" s="14">
        <v>50110229</v>
      </c>
      <c r="B303" s="149">
        <v>45782</v>
      </c>
      <c r="C303" s="14" t="s">
        <v>109</v>
      </c>
      <c r="D303" s="14" t="s">
        <v>1187</v>
      </c>
      <c r="E303" s="14" t="s">
        <v>1188</v>
      </c>
      <c r="F303" s="238">
        <v>1</v>
      </c>
      <c r="G303" s="238">
        <v>1</v>
      </c>
      <c r="H303" s="238" t="s">
        <v>3968</v>
      </c>
      <c r="I303" s="85"/>
      <c r="J303" s="258" t="s">
        <v>3969</v>
      </c>
      <c r="K303" s="258" t="s">
        <v>3990</v>
      </c>
      <c r="L303" s="238">
        <v>5</v>
      </c>
    </row>
    <row r="304" spans="1:12">
      <c r="A304" s="14">
        <v>50110229</v>
      </c>
      <c r="B304" s="149">
        <v>45782</v>
      </c>
      <c r="C304" s="14" t="s">
        <v>109</v>
      </c>
      <c r="D304" s="14" t="s">
        <v>1189</v>
      </c>
      <c r="E304" s="14" t="s">
        <v>1190</v>
      </c>
      <c r="F304" s="238">
        <v>1</v>
      </c>
      <c r="G304" s="238">
        <v>1</v>
      </c>
      <c r="H304" s="238" t="s">
        <v>3971</v>
      </c>
      <c r="I304" s="85"/>
      <c r="J304" s="258" t="s">
        <v>3969</v>
      </c>
      <c r="K304" s="258" t="s">
        <v>3990</v>
      </c>
      <c r="L304" s="238">
        <v>5</v>
      </c>
    </row>
    <row r="305" spans="1:12">
      <c r="A305" s="14">
        <v>50110229</v>
      </c>
      <c r="B305" s="149">
        <v>45783</v>
      </c>
      <c r="C305" s="14" t="s">
        <v>109</v>
      </c>
      <c r="D305" s="14" t="s">
        <v>1193</v>
      </c>
      <c r="E305" s="14" t="s">
        <v>1194</v>
      </c>
      <c r="F305" s="238">
        <v>1</v>
      </c>
      <c r="G305" s="238">
        <v>1</v>
      </c>
      <c r="H305" s="238" t="s">
        <v>3968</v>
      </c>
      <c r="I305" s="85"/>
      <c r="J305" s="258" t="s">
        <v>3969</v>
      </c>
      <c r="K305" s="258" t="s">
        <v>3990</v>
      </c>
      <c r="L305" s="238">
        <v>5</v>
      </c>
    </row>
    <row r="306" spans="1:12">
      <c r="A306" s="14">
        <v>51100064</v>
      </c>
      <c r="B306" s="149">
        <v>45783</v>
      </c>
      <c r="C306" s="14" t="s">
        <v>1196</v>
      </c>
      <c r="D306" s="14" t="s">
        <v>4077</v>
      </c>
      <c r="E306" s="14" t="s">
        <v>4078</v>
      </c>
      <c r="F306" s="238">
        <v>1</v>
      </c>
      <c r="G306" s="238">
        <v>1</v>
      </c>
      <c r="H306" s="238" t="s">
        <v>3968</v>
      </c>
      <c r="I306" s="85"/>
      <c r="J306" s="258" t="s">
        <v>3969</v>
      </c>
      <c r="K306" s="258" t="s">
        <v>3990</v>
      </c>
      <c r="L306" s="238">
        <v>5</v>
      </c>
    </row>
    <row r="307" spans="1:12">
      <c r="A307" s="14">
        <v>48000432</v>
      </c>
      <c r="B307" s="149">
        <v>45783</v>
      </c>
      <c r="C307" s="14" t="s">
        <v>63</v>
      </c>
      <c r="D307" s="14" t="s">
        <v>1201</v>
      </c>
      <c r="E307" s="14" t="s">
        <v>1001</v>
      </c>
      <c r="F307" s="238">
        <v>1</v>
      </c>
      <c r="G307" s="238">
        <v>1</v>
      </c>
      <c r="H307" s="238" t="s">
        <v>3968</v>
      </c>
      <c r="I307" s="85"/>
      <c r="J307" s="258" t="s">
        <v>3969</v>
      </c>
      <c r="K307" s="258" t="s">
        <v>3990</v>
      </c>
      <c r="L307" s="238">
        <v>5</v>
      </c>
    </row>
    <row r="308" spans="1:12">
      <c r="A308" s="14">
        <v>50000351</v>
      </c>
      <c r="B308" s="149">
        <v>45784</v>
      </c>
      <c r="C308" s="14" t="s">
        <v>445</v>
      </c>
      <c r="D308" s="14" t="s">
        <v>1204</v>
      </c>
      <c r="E308" s="14" t="s">
        <v>1205</v>
      </c>
      <c r="F308" s="238">
        <v>5</v>
      </c>
      <c r="G308" s="238">
        <v>5</v>
      </c>
      <c r="H308" s="238" t="s">
        <v>3968</v>
      </c>
      <c r="I308" s="85"/>
      <c r="J308" s="258" t="s">
        <v>3969</v>
      </c>
      <c r="K308" s="258" t="s">
        <v>3990</v>
      </c>
      <c r="L308" s="238">
        <v>5</v>
      </c>
    </row>
    <row r="309" spans="1:12">
      <c r="A309" s="14">
        <v>50000351</v>
      </c>
      <c r="B309" s="149">
        <v>45784</v>
      </c>
      <c r="C309" s="14" t="s">
        <v>445</v>
      </c>
      <c r="D309" s="14" t="s">
        <v>1206</v>
      </c>
      <c r="E309" s="14" t="s">
        <v>1207</v>
      </c>
      <c r="F309" s="238">
        <v>5</v>
      </c>
      <c r="G309" s="238">
        <v>5</v>
      </c>
      <c r="H309" s="238" t="s">
        <v>3968</v>
      </c>
      <c r="I309" s="85"/>
      <c r="J309" s="258" t="s">
        <v>3969</v>
      </c>
      <c r="K309" s="258" t="s">
        <v>3990</v>
      </c>
      <c r="L309" s="238">
        <v>5</v>
      </c>
    </row>
    <row r="310" spans="1:12">
      <c r="A310" s="14">
        <v>51000136</v>
      </c>
      <c r="B310" s="149">
        <v>45784</v>
      </c>
      <c r="C310" s="14" t="s">
        <v>103</v>
      </c>
      <c r="D310" s="14" t="s">
        <v>1211</v>
      </c>
      <c r="E310" s="14" t="s">
        <v>1212</v>
      </c>
      <c r="F310" s="238">
        <v>8</v>
      </c>
      <c r="G310" s="238">
        <v>8</v>
      </c>
      <c r="H310" s="238" t="s">
        <v>3968</v>
      </c>
      <c r="I310" s="85"/>
      <c r="J310" s="258" t="s">
        <v>3969</v>
      </c>
      <c r="K310" s="258" t="s">
        <v>3990</v>
      </c>
      <c r="L310" s="238">
        <v>5</v>
      </c>
    </row>
    <row r="311" spans="1:12">
      <c r="A311" s="14">
        <v>51000136</v>
      </c>
      <c r="B311" s="149">
        <v>45784</v>
      </c>
      <c r="C311" s="14" t="s">
        <v>103</v>
      </c>
      <c r="D311" s="14" t="s">
        <v>436</v>
      </c>
      <c r="E311" s="14" t="s">
        <v>1215</v>
      </c>
      <c r="F311" s="238">
        <v>2</v>
      </c>
      <c r="G311" s="238">
        <v>2</v>
      </c>
      <c r="H311" s="238" t="s">
        <v>3968</v>
      </c>
      <c r="I311" s="85"/>
      <c r="J311" s="258" t="s">
        <v>3969</v>
      </c>
      <c r="K311" s="258" t="s">
        <v>3990</v>
      </c>
      <c r="L311" s="238">
        <v>5</v>
      </c>
    </row>
    <row r="312" spans="1:12">
      <c r="A312" s="14">
        <v>50110229</v>
      </c>
      <c r="B312" s="149">
        <v>45784</v>
      </c>
      <c r="C312" s="14" t="s">
        <v>109</v>
      </c>
      <c r="D312" s="14" t="s">
        <v>1066</v>
      </c>
      <c r="E312" s="14" t="s">
        <v>1218</v>
      </c>
      <c r="F312" s="238">
        <v>1</v>
      </c>
      <c r="G312" s="238">
        <v>0</v>
      </c>
      <c r="H312" s="238" t="s">
        <v>3968</v>
      </c>
      <c r="I312" s="85"/>
      <c r="J312" s="258" t="s">
        <v>3969</v>
      </c>
      <c r="K312" s="258" t="s">
        <v>3990</v>
      </c>
      <c r="L312" s="238">
        <v>5</v>
      </c>
    </row>
    <row r="313" spans="1:12">
      <c r="A313" s="14">
        <v>48000482</v>
      </c>
      <c r="B313" s="149">
        <v>45785</v>
      </c>
      <c r="C313" s="14" t="s">
        <v>152</v>
      </c>
      <c r="D313" s="14" t="s">
        <v>1221</v>
      </c>
      <c r="E313" s="14" t="s">
        <v>1222</v>
      </c>
      <c r="F313" s="238">
        <v>1</v>
      </c>
      <c r="G313" s="238">
        <v>0</v>
      </c>
      <c r="H313" s="238" t="s">
        <v>3968</v>
      </c>
      <c r="I313" s="85"/>
      <c r="J313" s="258" t="s">
        <v>3969</v>
      </c>
      <c r="K313" s="258" t="s">
        <v>3990</v>
      </c>
      <c r="L313" s="238">
        <v>5</v>
      </c>
    </row>
    <row r="314" spans="1:12">
      <c r="A314" s="14">
        <v>50000260</v>
      </c>
      <c r="B314" s="149">
        <v>45785</v>
      </c>
      <c r="C314" s="14" t="s">
        <v>85</v>
      </c>
      <c r="D314" s="14" t="s">
        <v>1226</v>
      </c>
      <c r="E314" s="14" t="s">
        <v>1227</v>
      </c>
      <c r="F314" s="238">
        <v>1</v>
      </c>
      <c r="G314" s="238">
        <v>1</v>
      </c>
      <c r="H314" s="238" t="s">
        <v>3968</v>
      </c>
      <c r="I314" s="85"/>
      <c r="J314" s="258" t="s">
        <v>3969</v>
      </c>
      <c r="K314" s="258" t="s">
        <v>3990</v>
      </c>
      <c r="L314" s="238">
        <v>5</v>
      </c>
    </row>
    <row r="315" spans="1:12">
      <c r="A315" s="14">
        <v>50110229</v>
      </c>
      <c r="B315" s="149">
        <v>45785</v>
      </c>
      <c r="C315" s="14" t="s">
        <v>109</v>
      </c>
      <c r="D315" s="14" t="s">
        <v>1230</v>
      </c>
      <c r="E315" s="14" t="s">
        <v>1231</v>
      </c>
      <c r="F315" s="238">
        <v>1</v>
      </c>
      <c r="G315" s="238">
        <v>0</v>
      </c>
      <c r="H315" s="238" t="s">
        <v>3968</v>
      </c>
      <c r="I315" s="85"/>
      <c r="J315" s="258" t="s">
        <v>3969</v>
      </c>
      <c r="K315" s="258" t="s">
        <v>3990</v>
      </c>
      <c r="L315" s="238">
        <v>5</v>
      </c>
    </row>
    <row r="316" spans="1:12">
      <c r="A316" s="14">
        <v>44000059</v>
      </c>
      <c r="B316" s="149">
        <v>45789</v>
      </c>
      <c r="C316" s="14" t="s">
        <v>63</v>
      </c>
      <c r="D316" s="14" t="s">
        <v>540</v>
      </c>
      <c r="E316" s="14" t="s">
        <v>1234</v>
      </c>
      <c r="F316" s="238">
        <v>1</v>
      </c>
      <c r="G316" s="238">
        <v>1</v>
      </c>
      <c r="H316" s="238" t="s">
        <v>3968</v>
      </c>
      <c r="I316" s="85"/>
      <c r="J316" s="258" t="s">
        <v>3969</v>
      </c>
      <c r="K316" s="258" t="s">
        <v>3990</v>
      </c>
      <c r="L316" s="238">
        <v>5</v>
      </c>
    </row>
    <row r="317" spans="1:12">
      <c r="A317" s="14">
        <v>60002072</v>
      </c>
      <c r="B317" s="149">
        <v>45789</v>
      </c>
      <c r="C317" s="14" t="s">
        <v>202</v>
      </c>
      <c r="D317" s="14" t="s">
        <v>1237</v>
      </c>
      <c r="E317" s="14" t="s">
        <v>1238</v>
      </c>
      <c r="F317" s="238">
        <v>4</v>
      </c>
      <c r="G317" s="238">
        <v>4</v>
      </c>
      <c r="H317" s="238" t="s">
        <v>3968</v>
      </c>
      <c r="I317" s="85"/>
      <c r="J317" s="258" t="s">
        <v>3969</v>
      </c>
      <c r="K317" s="258" t="s">
        <v>3990</v>
      </c>
      <c r="L317" s="238">
        <v>5</v>
      </c>
    </row>
    <row r="318" spans="1:12">
      <c r="A318" s="14">
        <v>51000323</v>
      </c>
      <c r="B318" s="149">
        <v>45789</v>
      </c>
      <c r="C318" s="14" t="s">
        <v>103</v>
      </c>
      <c r="D318" s="14" t="s">
        <v>1241</v>
      </c>
      <c r="E318" s="14" t="s">
        <v>4021</v>
      </c>
      <c r="F318" s="238">
        <v>2</v>
      </c>
      <c r="G318" s="238">
        <v>2</v>
      </c>
      <c r="H318" s="238" t="s">
        <v>3968</v>
      </c>
      <c r="I318" s="85"/>
      <c r="J318" s="258" t="s">
        <v>3969</v>
      </c>
      <c r="K318" s="258" t="s">
        <v>3990</v>
      </c>
      <c r="L318" s="238">
        <v>5</v>
      </c>
    </row>
    <row r="319" spans="1:12">
      <c r="A319" s="14">
        <v>51000136</v>
      </c>
      <c r="B319" s="149">
        <v>45789</v>
      </c>
      <c r="C319" s="14" t="s">
        <v>103</v>
      </c>
      <c r="D319" s="14" t="s">
        <v>1241</v>
      </c>
      <c r="E319" s="14" t="s">
        <v>4021</v>
      </c>
      <c r="F319" s="238">
        <v>2</v>
      </c>
      <c r="G319" s="238">
        <v>2</v>
      </c>
      <c r="H319" s="238" t="s">
        <v>3968</v>
      </c>
      <c r="I319" s="85"/>
      <c r="J319" s="258" t="s">
        <v>3969</v>
      </c>
      <c r="K319" s="258" t="s">
        <v>3990</v>
      </c>
      <c r="L319" s="238">
        <v>5</v>
      </c>
    </row>
    <row r="320" spans="1:12">
      <c r="A320" s="14">
        <v>48000432</v>
      </c>
      <c r="B320" s="149">
        <v>45789</v>
      </c>
      <c r="C320" s="14" t="s">
        <v>63</v>
      </c>
      <c r="D320" s="14" t="s">
        <v>1246</v>
      </c>
      <c r="E320" s="14" t="s">
        <v>1247</v>
      </c>
      <c r="F320" s="238">
        <v>1</v>
      </c>
      <c r="G320" s="238">
        <v>1</v>
      </c>
      <c r="H320" s="238" t="s">
        <v>3968</v>
      </c>
      <c r="I320" s="85"/>
      <c r="J320" s="258" t="s">
        <v>3969</v>
      </c>
      <c r="K320" s="258" t="s">
        <v>3990</v>
      </c>
      <c r="L320" s="238">
        <v>5</v>
      </c>
    </row>
    <row r="321" spans="1:12">
      <c r="A321" s="14">
        <v>50110057</v>
      </c>
      <c r="B321" s="149">
        <v>45789</v>
      </c>
      <c r="C321" s="82" t="s">
        <v>181</v>
      </c>
      <c r="D321" s="14" t="s">
        <v>4079</v>
      </c>
      <c r="E321" s="14" t="s">
        <v>1251</v>
      </c>
      <c r="F321" s="238">
        <v>1</v>
      </c>
      <c r="G321" s="238">
        <v>1</v>
      </c>
      <c r="H321" s="238" t="s">
        <v>3968</v>
      </c>
      <c r="I321" s="85"/>
      <c r="J321" s="258" t="s">
        <v>3969</v>
      </c>
      <c r="K321" s="258" t="s">
        <v>3990</v>
      </c>
      <c r="L321" s="238">
        <v>5</v>
      </c>
    </row>
    <row r="322" spans="1:12">
      <c r="A322" s="14">
        <v>60002095</v>
      </c>
      <c r="B322" s="149">
        <v>45789</v>
      </c>
      <c r="C322" s="14" t="s">
        <v>73</v>
      </c>
      <c r="D322" s="14" t="s">
        <v>1254</v>
      </c>
      <c r="E322" s="14" t="s">
        <v>1255</v>
      </c>
      <c r="F322" s="238">
        <v>1</v>
      </c>
      <c r="G322" s="238">
        <v>1</v>
      </c>
      <c r="H322" s="238" t="s">
        <v>3968</v>
      </c>
      <c r="I322" s="85"/>
      <c r="J322" s="258" t="s">
        <v>3969</v>
      </c>
      <c r="K322" s="258" t="s">
        <v>3990</v>
      </c>
      <c r="L322" s="238">
        <v>5</v>
      </c>
    </row>
    <row r="323" spans="1:12">
      <c r="A323" s="14">
        <v>50110372</v>
      </c>
      <c r="B323" s="149">
        <v>45789</v>
      </c>
      <c r="C323" s="14" t="s">
        <v>73</v>
      </c>
      <c r="D323" s="14" t="s">
        <v>1178</v>
      </c>
      <c r="E323" s="14" t="s">
        <v>1179</v>
      </c>
      <c r="F323" s="238">
        <v>1</v>
      </c>
      <c r="G323" s="238">
        <v>1</v>
      </c>
      <c r="H323" s="238" t="s">
        <v>3968</v>
      </c>
      <c r="I323" s="85"/>
      <c r="J323" s="258" t="s">
        <v>3969</v>
      </c>
      <c r="K323" s="258" t="s">
        <v>3990</v>
      </c>
      <c r="L323" s="238">
        <v>5</v>
      </c>
    </row>
    <row r="324" spans="1:12">
      <c r="A324" s="14">
        <v>50110372</v>
      </c>
      <c r="B324" s="149">
        <v>45789</v>
      </c>
      <c r="C324" s="14" t="s">
        <v>73</v>
      </c>
      <c r="D324" s="14" t="s">
        <v>126</v>
      </c>
      <c r="E324" s="14" t="s">
        <v>127</v>
      </c>
      <c r="F324" s="238">
        <v>1</v>
      </c>
      <c r="G324" s="238">
        <v>1</v>
      </c>
      <c r="H324" s="238" t="s">
        <v>3968</v>
      </c>
      <c r="I324" s="85"/>
      <c r="J324" s="258" t="s">
        <v>3969</v>
      </c>
      <c r="K324" s="258" t="s">
        <v>3990</v>
      </c>
      <c r="L324" s="238">
        <v>5</v>
      </c>
    </row>
    <row r="325" spans="1:12">
      <c r="A325" s="14">
        <v>60002095</v>
      </c>
      <c r="B325" s="149">
        <v>45792</v>
      </c>
      <c r="C325" s="14" t="s">
        <v>73</v>
      </c>
      <c r="D325" s="14" t="s">
        <v>1261</v>
      </c>
      <c r="E325" s="14" t="s">
        <v>1262</v>
      </c>
      <c r="F325" s="238">
        <v>1</v>
      </c>
      <c r="G325" s="238">
        <v>1</v>
      </c>
      <c r="H325" s="238" t="s">
        <v>3968</v>
      </c>
      <c r="I325" s="85"/>
      <c r="J325" s="258" t="s">
        <v>3969</v>
      </c>
      <c r="K325" s="258" t="s">
        <v>3990</v>
      </c>
      <c r="L325" s="238">
        <v>5</v>
      </c>
    </row>
    <row r="326" spans="1:12">
      <c r="A326" s="14">
        <v>50110193</v>
      </c>
      <c r="B326" s="149">
        <v>45792</v>
      </c>
      <c r="C326" s="14" t="s">
        <v>33</v>
      </c>
      <c r="D326" s="14" t="s">
        <v>136</v>
      </c>
      <c r="E326" s="14" t="s">
        <v>4080</v>
      </c>
      <c r="F326" s="238">
        <v>1</v>
      </c>
      <c r="G326" s="238">
        <v>1</v>
      </c>
      <c r="H326" s="238" t="s">
        <v>3968</v>
      </c>
      <c r="I326" s="85"/>
      <c r="J326" s="258" t="s">
        <v>3969</v>
      </c>
      <c r="K326" s="258" t="s">
        <v>3990</v>
      </c>
      <c r="L326" s="238">
        <v>5</v>
      </c>
    </row>
    <row r="327" spans="1:12">
      <c r="A327" s="14">
        <v>50110193</v>
      </c>
      <c r="B327" s="149">
        <v>45792</v>
      </c>
      <c r="C327" s="14" t="s">
        <v>33</v>
      </c>
      <c r="D327" s="14" t="s">
        <v>1265</v>
      </c>
      <c r="E327" s="14" t="s">
        <v>1266</v>
      </c>
      <c r="F327" s="238">
        <v>1</v>
      </c>
      <c r="G327" s="238">
        <v>1</v>
      </c>
      <c r="H327" s="238" t="s">
        <v>3968</v>
      </c>
      <c r="I327" s="85"/>
      <c r="J327" s="258" t="s">
        <v>3969</v>
      </c>
      <c r="K327" s="258" t="s">
        <v>3990</v>
      </c>
      <c r="L327" s="238">
        <v>5</v>
      </c>
    </row>
    <row r="328" spans="1:12">
      <c r="A328" s="14">
        <v>51000323</v>
      </c>
      <c r="B328" s="149">
        <v>45792</v>
      </c>
      <c r="C328" s="14" t="s">
        <v>103</v>
      </c>
      <c r="D328" s="14" t="s">
        <v>1269</v>
      </c>
      <c r="E328" s="14" t="s">
        <v>1270</v>
      </c>
      <c r="F328" s="238">
        <v>2</v>
      </c>
      <c r="G328" s="238">
        <v>2</v>
      </c>
      <c r="H328" s="238" t="s">
        <v>3968</v>
      </c>
      <c r="I328" s="85"/>
      <c r="J328" s="258" t="s">
        <v>3969</v>
      </c>
      <c r="K328" s="258" t="s">
        <v>3990</v>
      </c>
      <c r="L328" s="238">
        <v>5</v>
      </c>
    </row>
    <row r="329" spans="1:12">
      <c r="A329" s="14">
        <v>50110193</v>
      </c>
      <c r="B329" s="149">
        <v>45793</v>
      </c>
      <c r="C329" s="14" t="s">
        <v>33</v>
      </c>
      <c r="D329" s="14" t="s">
        <v>1273</v>
      </c>
      <c r="E329" s="14" t="s">
        <v>1274</v>
      </c>
      <c r="F329" s="238">
        <v>1</v>
      </c>
      <c r="G329" s="238">
        <v>1</v>
      </c>
      <c r="H329" s="238" t="s">
        <v>3968</v>
      </c>
      <c r="I329" s="85"/>
      <c r="J329" s="258" t="s">
        <v>3969</v>
      </c>
      <c r="K329" s="258" t="s">
        <v>3990</v>
      </c>
      <c r="L329" s="238">
        <v>5</v>
      </c>
    </row>
    <row r="330" spans="1:12">
      <c r="A330" s="14">
        <v>50300097</v>
      </c>
      <c r="B330" s="149">
        <v>45793</v>
      </c>
      <c r="C330" s="14" t="s">
        <v>445</v>
      </c>
      <c r="D330" s="14" t="s">
        <v>1277</v>
      </c>
      <c r="E330" s="14" t="s">
        <v>767</v>
      </c>
      <c r="F330" s="238">
        <v>1</v>
      </c>
      <c r="G330" s="237">
        <v>0</v>
      </c>
      <c r="H330" s="237" t="s">
        <v>3968</v>
      </c>
      <c r="I330" s="88"/>
      <c r="J330" s="259" t="s">
        <v>3969</v>
      </c>
      <c r="K330" s="259" t="s">
        <v>3990</v>
      </c>
      <c r="L330" s="237">
        <v>5</v>
      </c>
    </row>
    <row r="331" spans="1:12">
      <c r="A331" s="14">
        <v>50300098</v>
      </c>
      <c r="B331" s="149">
        <v>45793</v>
      </c>
      <c r="C331" s="14" t="s">
        <v>445</v>
      </c>
      <c r="D331" s="14" t="s">
        <v>1148</v>
      </c>
      <c r="E331" s="14" t="s">
        <v>1279</v>
      </c>
      <c r="F331" s="243">
        <v>1</v>
      </c>
      <c r="G331" s="238">
        <v>1</v>
      </c>
      <c r="H331" s="238" t="s">
        <v>3968</v>
      </c>
      <c r="I331" s="85"/>
      <c r="J331" s="258" t="s">
        <v>3969</v>
      </c>
      <c r="K331" s="258" t="s">
        <v>3990</v>
      </c>
      <c r="L331" s="238">
        <v>5</v>
      </c>
    </row>
    <row r="332" spans="1:12">
      <c r="A332" s="14">
        <v>48000044</v>
      </c>
      <c r="B332" s="149">
        <v>45793</v>
      </c>
      <c r="C332" s="14" t="s">
        <v>118</v>
      </c>
      <c r="D332" s="14" t="s">
        <v>153</v>
      </c>
      <c r="E332" s="14" t="s">
        <v>154</v>
      </c>
      <c r="F332" s="243">
        <v>1</v>
      </c>
      <c r="G332" s="238">
        <v>1</v>
      </c>
      <c r="H332" s="238" t="s">
        <v>3968</v>
      </c>
      <c r="I332" s="85"/>
      <c r="J332" s="258" t="s">
        <v>3969</v>
      </c>
      <c r="K332" s="258" t="s">
        <v>3990</v>
      </c>
      <c r="L332" s="238">
        <v>5</v>
      </c>
    </row>
    <row r="333" spans="1:12">
      <c r="A333" s="14">
        <v>50110229</v>
      </c>
      <c r="B333" s="149">
        <v>45793</v>
      </c>
      <c r="C333" s="14" t="s">
        <v>109</v>
      </c>
      <c r="D333" s="14" t="s">
        <v>1293</v>
      </c>
      <c r="E333" s="14" t="s">
        <v>1294</v>
      </c>
      <c r="F333" s="243">
        <v>1</v>
      </c>
      <c r="G333" s="252">
        <v>1</v>
      </c>
      <c r="H333" s="252" t="s">
        <v>3968</v>
      </c>
      <c r="I333" s="158"/>
      <c r="J333" s="252" t="s">
        <v>3969</v>
      </c>
      <c r="K333" s="252" t="s">
        <v>3990</v>
      </c>
      <c r="L333" s="252">
        <v>5</v>
      </c>
    </row>
    <row r="334" spans="1:12">
      <c r="A334" s="14">
        <v>51000136</v>
      </c>
      <c r="B334" s="26">
        <v>45793</v>
      </c>
      <c r="C334" s="14" t="s">
        <v>103</v>
      </c>
      <c r="D334" s="14" t="s">
        <v>597</v>
      </c>
      <c r="E334" s="14" t="s">
        <v>1297</v>
      </c>
      <c r="F334" s="243">
        <v>1</v>
      </c>
      <c r="G334" s="253">
        <v>1</v>
      </c>
      <c r="H334" s="253" t="s">
        <v>3968</v>
      </c>
      <c r="I334" s="157"/>
      <c r="J334" s="260" t="s">
        <v>3969</v>
      </c>
      <c r="K334" s="260" t="s">
        <v>3990</v>
      </c>
      <c r="L334" s="253">
        <v>5</v>
      </c>
    </row>
    <row r="335" spans="1:12">
      <c r="A335" s="14">
        <v>51000136</v>
      </c>
      <c r="B335" s="26">
        <v>45793</v>
      </c>
      <c r="C335" s="14" t="s">
        <v>103</v>
      </c>
      <c r="D335" s="14" t="s">
        <v>1298</v>
      </c>
      <c r="E335" s="14" t="s">
        <v>1299</v>
      </c>
      <c r="F335" s="243">
        <v>1</v>
      </c>
      <c r="G335" s="238">
        <v>1</v>
      </c>
      <c r="H335" s="238" t="s">
        <v>3968</v>
      </c>
      <c r="I335" s="160"/>
      <c r="J335" s="238" t="s">
        <v>3969</v>
      </c>
      <c r="K335" s="238" t="s">
        <v>3990</v>
      </c>
      <c r="L335" s="238">
        <v>5</v>
      </c>
    </row>
    <row r="336" spans="1:12">
      <c r="A336" s="14">
        <v>50110193</v>
      </c>
      <c r="B336" s="26">
        <v>45797</v>
      </c>
      <c r="C336" s="14" t="s">
        <v>33</v>
      </c>
      <c r="D336" s="14" t="s">
        <v>1302</v>
      </c>
      <c r="E336" s="14" t="s">
        <v>1303</v>
      </c>
      <c r="F336" s="243">
        <v>1</v>
      </c>
      <c r="G336" s="238">
        <v>1</v>
      </c>
      <c r="H336" s="238" t="s">
        <v>3968</v>
      </c>
      <c r="I336" s="160"/>
      <c r="J336" s="238" t="s">
        <v>3969</v>
      </c>
      <c r="K336" s="238" t="s">
        <v>3990</v>
      </c>
      <c r="L336" s="238">
        <v>5</v>
      </c>
    </row>
    <row r="337" spans="1:12">
      <c r="A337" s="14">
        <v>50110372</v>
      </c>
      <c r="B337" s="26">
        <v>45797</v>
      </c>
      <c r="C337" s="14" t="s">
        <v>73</v>
      </c>
      <c r="D337" s="14" t="s">
        <v>1306</v>
      </c>
      <c r="E337" s="14" t="s">
        <v>1307</v>
      </c>
      <c r="F337" s="243">
        <v>1</v>
      </c>
      <c r="G337" s="238">
        <v>1</v>
      </c>
      <c r="H337" s="238" t="s">
        <v>3968</v>
      </c>
      <c r="I337" s="160"/>
      <c r="J337" s="238" t="s">
        <v>3969</v>
      </c>
      <c r="K337" s="238" t="s">
        <v>3990</v>
      </c>
      <c r="L337" s="238">
        <v>5</v>
      </c>
    </row>
    <row r="338" spans="1:12">
      <c r="A338" s="14">
        <v>44000216</v>
      </c>
      <c r="B338" s="26">
        <v>45797</v>
      </c>
      <c r="C338" s="14" t="s">
        <v>54</v>
      </c>
      <c r="D338" s="14" t="s">
        <v>736</v>
      </c>
      <c r="E338" s="14" t="s">
        <v>1310</v>
      </c>
      <c r="F338" s="243">
        <v>1</v>
      </c>
      <c r="G338" s="238">
        <v>1</v>
      </c>
      <c r="H338" s="238" t="s">
        <v>3968</v>
      </c>
      <c r="I338" s="160"/>
      <c r="J338" s="238" t="s">
        <v>3969</v>
      </c>
      <c r="K338" s="238" t="s">
        <v>3990</v>
      </c>
      <c r="L338" s="238">
        <v>5</v>
      </c>
    </row>
    <row r="339" spans="1:12">
      <c r="A339" s="14">
        <v>50110372</v>
      </c>
      <c r="B339" s="26">
        <v>45800</v>
      </c>
      <c r="C339" s="14" t="s">
        <v>73</v>
      </c>
      <c r="D339" s="14" t="s">
        <v>80</v>
      </c>
      <c r="E339" s="14" t="s">
        <v>907</v>
      </c>
      <c r="F339" s="243">
        <v>1</v>
      </c>
      <c r="G339" s="238">
        <v>1</v>
      </c>
      <c r="H339" s="238" t="s">
        <v>3968</v>
      </c>
      <c r="I339" s="160"/>
      <c r="J339" s="238" t="s">
        <v>3969</v>
      </c>
      <c r="K339" s="238" t="s">
        <v>3990</v>
      </c>
      <c r="L339" s="238">
        <v>5</v>
      </c>
    </row>
    <row r="340" spans="1:12">
      <c r="A340" s="14">
        <v>50110057</v>
      </c>
      <c r="B340" s="26">
        <v>45803</v>
      </c>
      <c r="C340" s="14" t="s">
        <v>181</v>
      </c>
      <c r="D340" s="14" t="s">
        <v>1315</v>
      </c>
      <c r="E340" s="14" t="s">
        <v>1316</v>
      </c>
      <c r="F340" s="243">
        <v>1</v>
      </c>
      <c r="G340" s="238">
        <v>1</v>
      </c>
      <c r="H340" s="238" t="s">
        <v>3968</v>
      </c>
      <c r="I340" s="160"/>
      <c r="J340" s="238" t="s">
        <v>3969</v>
      </c>
      <c r="K340" s="238" t="s">
        <v>3990</v>
      </c>
      <c r="L340" s="238">
        <v>5</v>
      </c>
    </row>
    <row r="341" spans="1:12">
      <c r="A341" s="14">
        <v>50000530</v>
      </c>
      <c r="B341" s="26">
        <v>45803</v>
      </c>
      <c r="C341" s="14" t="s">
        <v>79</v>
      </c>
      <c r="D341" s="14" t="s">
        <v>879</v>
      </c>
      <c r="E341" s="14" t="s">
        <v>1320</v>
      </c>
      <c r="F341" s="243">
        <v>2</v>
      </c>
      <c r="G341" s="238">
        <v>1</v>
      </c>
      <c r="H341" s="238" t="s">
        <v>3968</v>
      </c>
      <c r="I341" s="160"/>
      <c r="J341" s="238" t="s">
        <v>3969</v>
      </c>
      <c r="K341" s="238" t="s">
        <v>3990</v>
      </c>
      <c r="L341" s="238">
        <v>5</v>
      </c>
    </row>
    <row r="342" spans="1:12">
      <c r="A342" s="14">
        <v>50000530</v>
      </c>
      <c r="B342" s="26">
        <v>45803</v>
      </c>
      <c r="C342" s="14" t="s">
        <v>79</v>
      </c>
      <c r="D342" s="14" t="s">
        <v>1174</v>
      </c>
      <c r="E342" s="14" t="s">
        <v>1322</v>
      </c>
      <c r="F342" s="243">
        <v>4</v>
      </c>
      <c r="G342" s="238">
        <v>2</v>
      </c>
      <c r="H342" s="238" t="s">
        <v>3968</v>
      </c>
      <c r="I342" s="160"/>
      <c r="J342" s="238" t="s">
        <v>3969</v>
      </c>
      <c r="K342" s="238" t="s">
        <v>3990</v>
      </c>
      <c r="L342" s="238">
        <v>5</v>
      </c>
    </row>
    <row r="343" spans="1:12">
      <c r="A343" s="14">
        <v>47100399</v>
      </c>
      <c r="B343" s="26">
        <v>45803</v>
      </c>
      <c r="C343" s="14" t="s">
        <v>233</v>
      </c>
      <c r="D343" s="14" t="s">
        <v>1325</v>
      </c>
      <c r="E343" s="14" t="s">
        <v>1326</v>
      </c>
      <c r="F343" s="243">
        <v>2</v>
      </c>
      <c r="G343" s="238">
        <v>4</v>
      </c>
      <c r="H343" s="238" t="s">
        <v>3968</v>
      </c>
      <c r="I343" s="160"/>
      <c r="J343" s="238" t="s">
        <v>3969</v>
      </c>
      <c r="K343" s="238" t="s">
        <v>3990</v>
      </c>
      <c r="L343" s="238">
        <v>5</v>
      </c>
    </row>
    <row r="344" spans="1:12">
      <c r="A344" s="14">
        <v>50110229</v>
      </c>
      <c r="B344" s="26">
        <v>45799</v>
      </c>
      <c r="C344" s="14" t="s">
        <v>109</v>
      </c>
      <c r="D344" s="14" t="s">
        <v>94</v>
      </c>
      <c r="E344" s="14" t="s">
        <v>1118</v>
      </c>
      <c r="F344" s="243">
        <v>1</v>
      </c>
      <c r="G344" s="238">
        <v>2</v>
      </c>
      <c r="H344" s="238" t="s">
        <v>3968</v>
      </c>
      <c r="I344" s="160"/>
      <c r="J344" s="238" t="s">
        <v>3969</v>
      </c>
      <c r="K344" s="238" t="s">
        <v>3990</v>
      </c>
      <c r="L344" s="238">
        <v>5</v>
      </c>
    </row>
    <row r="345" spans="1:12">
      <c r="A345" s="14">
        <v>60002072</v>
      </c>
      <c r="B345" s="26">
        <v>45803</v>
      </c>
      <c r="C345" s="14" t="s">
        <v>202</v>
      </c>
      <c r="D345" s="14" t="s">
        <v>1331</v>
      </c>
      <c r="E345" s="14" t="s">
        <v>1332</v>
      </c>
      <c r="F345" s="243">
        <v>1</v>
      </c>
      <c r="G345" s="238">
        <v>1</v>
      </c>
      <c r="H345" s="238" t="s">
        <v>3968</v>
      </c>
      <c r="I345" s="160"/>
      <c r="J345" s="238" t="s">
        <v>3969</v>
      </c>
      <c r="K345" s="238" t="s">
        <v>3990</v>
      </c>
      <c r="L345" s="238">
        <v>5</v>
      </c>
    </row>
    <row r="346" spans="1:12">
      <c r="A346" s="14">
        <v>60002072</v>
      </c>
      <c r="B346" s="26">
        <v>45803</v>
      </c>
      <c r="C346" s="14" t="s">
        <v>202</v>
      </c>
      <c r="D346" s="14" t="s">
        <v>1331</v>
      </c>
      <c r="E346" s="14" t="s">
        <v>1332</v>
      </c>
      <c r="F346" s="243">
        <v>1</v>
      </c>
      <c r="G346" s="238">
        <v>1</v>
      </c>
      <c r="H346" s="238" t="s">
        <v>3968</v>
      </c>
      <c r="I346" s="160"/>
      <c r="J346" s="238" t="s">
        <v>3969</v>
      </c>
      <c r="K346" s="238" t="s">
        <v>3990</v>
      </c>
      <c r="L346" s="238">
        <v>5</v>
      </c>
    </row>
    <row r="347" spans="1:12">
      <c r="A347" s="14">
        <v>51000323</v>
      </c>
      <c r="B347" s="26">
        <v>45803</v>
      </c>
      <c r="C347" s="14" t="s">
        <v>103</v>
      </c>
      <c r="D347" s="14" t="s">
        <v>158</v>
      </c>
      <c r="E347" s="14" t="s">
        <v>159</v>
      </c>
      <c r="F347" s="243">
        <v>1</v>
      </c>
      <c r="G347" s="238">
        <v>1</v>
      </c>
      <c r="H347" s="238" t="s">
        <v>3968</v>
      </c>
      <c r="I347" s="160"/>
      <c r="J347" s="238" t="s">
        <v>3969</v>
      </c>
      <c r="K347" s="238" t="s">
        <v>3990</v>
      </c>
      <c r="L347" s="238">
        <v>5</v>
      </c>
    </row>
    <row r="348" spans="1:12">
      <c r="A348" s="14">
        <v>48500556</v>
      </c>
      <c r="B348" s="26">
        <v>45804</v>
      </c>
      <c r="C348" s="14" t="s">
        <v>1339</v>
      </c>
      <c r="D348" s="14" t="s">
        <v>1340</v>
      </c>
      <c r="E348" s="14" t="s">
        <v>1341</v>
      </c>
      <c r="F348" s="243">
        <v>1</v>
      </c>
      <c r="G348" s="238">
        <v>1</v>
      </c>
      <c r="H348" s="238" t="s">
        <v>3968</v>
      </c>
      <c r="I348" s="160"/>
      <c r="J348" s="238" t="s">
        <v>3969</v>
      </c>
      <c r="K348" s="238" t="s">
        <v>3990</v>
      </c>
      <c r="L348" s="238">
        <v>5</v>
      </c>
    </row>
    <row r="349" spans="1:12">
      <c r="A349" s="14">
        <v>48300375</v>
      </c>
      <c r="B349" s="26">
        <v>45804</v>
      </c>
      <c r="C349" s="14" t="s">
        <v>4016</v>
      </c>
      <c r="D349" s="14" t="s">
        <v>304</v>
      </c>
      <c r="E349" s="14" t="s">
        <v>1344</v>
      </c>
      <c r="F349" s="243">
        <v>1</v>
      </c>
      <c r="G349" s="238">
        <v>1</v>
      </c>
      <c r="H349" s="238" t="s">
        <v>3968</v>
      </c>
      <c r="I349" s="160"/>
      <c r="J349" s="238" t="s">
        <v>3969</v>
      </c>
      <c r="K349" s="238" t="s">
        <v>3990</v>
      </c>
      <c r="L349" s="238">
        <v>5</v>
      </c>
    </row>
    <row r="350" spans="1:12">
      <c r="A350" s="14">
        <v>48300253</v>
      </c>
      <c r="B350" s="26">
        <v>45804</v>
      </c>
      <c r="C350" s="14" t="s">
        <v>4081</v>
      </c>
      <c r="D350" s="14" t="s">
        <v>1348</v>
      </c>
      <c r="E350" s="14" t="s">
        <v>1349</v>
      </c>
      <c r="F350" s="243">
        <v>1</v>
      </c>
      <c r="G350" s="238">
        <v>1</v>
      </c>
      <c r="H350" s="238" t="s">
        <v>3968</v>
      </c>
      <c r="I350" s="160"/>
      <c r="J350" s="238" t="s">
        <v>3969</v>
      </c>
      <c r="K350" s="238" t="s">
        <v>3990</v>
      </c>
      <c r="L350" s="238">
        <v>5</v>
      </c>
    </row>
    <row r="351" spans="1:12">
      <c r="A351" s="14">
        <v>50300129</v>
      </c>
      <c r="B351" s="26">
        <v>45804</v>
      </c>
      <c r="C351" s="14" t="s">
        <v>780</v>
      </c>
      <c r="D351" s="14" t="s">
        <v>1352</v>
      </c>
      <c r="E351" s="14" t="s">
        <v>4082</v>
      </c>
      <c r="F351" s="243">
        <v>1</v>
      </c>
      <c r="G351" s="238">
        <v>1</v>
      </c>
      <c r="H351" s="238" t="s">
        <v>3968</v>
      </c>
      <c r="I351" s="160"/>
      <c r="J351" s="238" t="s">
        <v>3969</v>
      </c>
      <c r="K351" s="238" t="s">
        <v>3990</v>
      </c>
      <c r="L351" s="238">
        <v>5</v>
      </c>
    </row>
    <row r="352" spans="1:12">
      <c r="A352" s="14">
        <v>50300129</v>
      </c>
      <c r="B352" s="26">
        <v>45804</v>
      </c>
      <c r="C352" s="14" t="s">
        <v>780</v>
      </c>
      <c r="D352" s="14" t="s">
        <v>1354</v>
      </c>
      <c r="E352" s="14" t="s">
        <v>1355</v>
      </c>
      <c r="F352" s="243">
        <v>1</v>
      </c>
      <c r="G352" s="238">
        <v>1</v>
      </c>
      <c r="H352" s="238" t="s">
        <v>3968</v>
      </c>
      <c r="I352" s="160"/>
      <c r="J352" s="238" t="s">
        <v>3969</v>
      </c>
      <c r="K352" s="238" t="s">
        <v>3990</v>
      </c>
      <c r="L352" s="238">
        <v>5</v>
      </c>
    </row>
    <row r="353" spans="1:12">
      <c r="A353" s="14">
        <v>50300129</v>
      </c>
      <c r="B353" s="26">
        <v>45804</v>
      </c>
      <c r="C353" s="14" t="s">
        <v>780</v>
      </c>
      <c r="D353" s="14" t="s">
        <v>1356</v>
      </c>
      <c r="E353" s="14" t="s">
        <v>1357</v>
      </c>
      <c r="F353" s="243">
        <v>1</v>
      </c>
      <c r="G353" s="238">
        <v>1</v>
      </c>
      <c r="H353" s="238" t="s">
        <v>3968</v>
      </c>
      <c r="I353" s="160"/>
      <c r="J353" s="238" t="s">
        <v>3969</v>
      </c>
      <c r="K353" s="238" t="s">
        <v>3990</v>
      </c>
      <c r="L353" s="238">
        <v>5</v>
      </c>
    </row>
    <row r="354" spans="1:12">
      <c r="A354" s="14">
        <v>50300129</v>
      </c>
      <c r="B354" s="26">
        <v>45804</v>
      </c>
      <c r="C354" s="14" t="s">
        <v>780</v>
      </c>
      <c r="D354" s="14" t="s">
        <v>1358</v>
      </c>
      <c r="E354" s="14" t="s">
        <v>1359</v>
      </c>
      <c r="F354" s="243">
        <v>1</v>
      </c>
      <c r="G354" s="238">
        <v>1</v>
      </c>
      <c r="H354" s="238" t="s">
        <v>3968</v>
      </c>
      <c r="I354" s="160"/>
      <c r="J354" s="238" t="s">
        <v>3969</v>
      </c>
      <c r="K354" s="238" t="s">
        <v>3990</v>
      </c>
      <c r="L354" s="238">
        <v>5</v>
      </c>
    </row>
    <row r="355" spans="1:12">
      <c r="A355" s="14">
        <v>50110057</v>
      </c>
      <c r="B355" s="26">
        <v>45805</v>
      </c>
      <c r="C355" s="14" t="s">
        <v>181</v>
      </c>
      <c r="D355" s="14" t="s">
        <v>1362</v>
      </c>
      <c r="E355" s="14" t="s">
        <v>1363</v>
      </c>
      <c r="F355" s="243">
        <v>1</v>
      </c>
      <c r="G355" s="237">
        <v>1</v>
      </c>
      <c r="H355" s="237" t="s">
        <v>3968</v>
      </c>
      <c r="I355" s="161"/>
      <c r="J355" s="237" t="s">
        <v>3969</v>
      </c>
      <c r="K355" s="237" t="s">
        <v>3990</v>
      </c>
      <c r="L355" s="237">
        <v>5</v>
      </c>
    </row>
    <row r="356" spans="1:12">
      <c r="A356" s="14">
        <v>50110261</v>
      </c>
      <c r="B356" s="26">
        <v>45805</v>
      </c>
      <c r="C356" s="14" t="s">
        <v>225</v>
      </c>
      <c r="D356" s="14" t="s">
        <v>1366</v>
      </c>
      <c r="E356" s="14" t="s">
        <v>1175</v>
      </c>
      <c r="F356" s="243">
        <v>4</v>
      </c>
      <c r="G356" s="238">
        <v>4</v>
      </c>
      <c r="H356" s="238" t="s">
        <v>3968</v>
      </c>
      <c r="I356" s="160"/>
      <c r="J356" s="238" t="s">
        <v>3969</v>
      </c>
      <c r="K356" s="238" t="s">
        <v>3990</v>
      </c>
      <c r="L356" s="238">
        <v>5</v>
      </c>
    </row>
    <row r="357" spans="1:12" s="169" customFormat="1">
      <c r="A357" s="167">
        <v>50110261</v>
      </c>
      <c r="B357" s="168">
        <v>45806</v>
      </c>
      <c r="C357" s="167" t="s">
        <v>225</v>
      </c>
      <c r="D357" s="167" t="s">
        <v>80</v>
      </c>
      <c r="E357" s="167" t="s">
        <v>81</v>
      </c>
      <c r="F357" s="244">
        <v>1</v>
      </c>
      <c r="G357" s="254">
        <v>1</v>
      </c>
      <c r="H357" s="254" t="s">
        <v>3968</v>
      </c>
      <c r="I357" s="192"/>
      <c r="J357" s="261" t="s">
        <v>3969</v>
      </c>
      <c r="K357" s="261" t="s">
        <v>3990</v>
      </c>
      <c r="L357" s="261">
        <v>5</v>
      </c>
    </row>
    <row r="358" spans="1:12">
      <c r="A358" s="41">
        <v>51000136</v>
      </c>
      <c r="B358" s="165">
        <v>45810</v>
      </c>
      <c r="C358" s="41" t="s">
        <v>103</v>
      </c>
      <c r="D358" s="41" t="s">
        <v>1376</v>
      </c>
      <c r="E358" s="41" t="s">
        <v>1377</v>
      </c>
      <c r="F358" s="245">
        <v>4</v>
      </c>
      <c r="G358" s="245">
        <v>0</v>
      </c>
      <c r="H358" s="247" t="s">
        <v>3968</v>
      </c>
      <c r="I358" s="190"/>
      <c r="J358" s="245" t="s">
        <v>3969</v>
      </c>
      <c r="K358" s="245" t="s">
        <v>3990</v>
      </c>
      <c r="L358" s="245">
        <v>6</v>
      </c>
    </row>
    <row r="359" spans="1:12">
      <c r="A359" s="41">
        <v>48000482</v>
      </c>
      <c r="B359" s="165">
        <v>45810</v>
      </c>
      <c r="C359" s="41" t="s">
        <v>152</v>
      </c>
      <c r="D359" s="41" t="s">
        <v>1380</v>
      </c>
      <c r="E359" s="41" t="s">
        <v>1381</v>
      </c>
      <c r="F359" s="245">
        <v>4</v>
      </c>
      <c r="G359" s="245">
        <v>0</v>
      </c>
      <c r="H359" s="247" t="s">
        <v>3968</v>
      </c>
      <c r="I359" s="190"/>
      <c r="J359" s="245" t="s">
        <v>3969</v>
      </c>
      <c r="K359" s="245" t="s">
        <v>3990</v>
      </c>
      <c r="L359" s="245">
        <v>6</v>
      </c>
    </row>
    <row r="360" spans="1:12">
      <c r="A360" s="41">
        <v>48000482</v>
      </c>
      <c r="B360" s="165">
        <v>45810</v>
      </c>
      <c r="C360" s="41" t="s">
        <v>152</v>
      </c>
      <c r="D360" s="41" t="s">
        <v>1382</v>
      </c>
      <c r="E360" s="41" t="s">
        <v>1383</v>
      </c>
      <c r="F360" s="245">
        <v>1</v>
      </c>
      <c r="G360" s="245">
        <v>0</v>
      </c>
      <c r="H360" s="247" t="s">
        <v>3968</v>
      </c>
      <c r="I360" s="190"/>
      <c r="J360" s="245" t="s">
        <v>3969</v>
      </c>
      <c r="K360" s="245" t="s">
        <v>3990</v>
      </c>
      <c r="L360" s="245">
        <v>6</v>
      </c>
    </row>
    <row r="361" spans="1:12">
      <c r="A361" s="41">
        <v>50110372</v>
      </c>
      <c r="B361" s="166">
        <v>45810</v>
      </c>
      <c r="C361" s="41" t="s">
        <v>73</v>
      </c>
      <c r="D361" s="41" t="s">
        <v>134</v>
      </c>
      <c r="E361" s="41" t="s">
        <v>1386</v>
      </c>
      <c r="F361" s="245">
        <v>1</v>
      </c>
      <c r="G361" s="245">
        <v>1</v>
      </c>
      <c r="H361" s="247" t="s">
        <v>3968</v>
      </c>
      <c r="I361" s="190"/>
      <c r="J361" s="245" t="s">
        <v>3969</v>
      </c>
      <c r="K361" s="245" t="s">
        <v>3990</v>
      </c>
      <c r="L361" s="245">
        <v>6</v>
      </c>
    </row>
    <row r="362" spans="1:12">
      <c r="A362" s="41">
        <v>51100110</v>
      </c>
      <c r="B362" s="166">
        <v>45811</v>
      </c>
      <c r="C362" s="41" t="s">
        <v>1106</v>
      </c>
      <c r="D362" s="41" t="s">
        <v>1108</v>
      </c>
      <c r="E362" s="41" t="s">
        <v>1389</v>
      </c>
      <c r="F362" s="245">
        <v>1</v>
      </c>
      <c r="G362" s="245">
        <v>1</v>
      </c>
      <c r="H362" s="247" t="s">
        <v>3968</v>
      </c>
      <c r="I362" s="190"/>
      <c r="J362" s="245" t="s">
        <v>3969</v>
      </c>
      <c r="K362" s="245" t="s">
        <v>3990</v>
      </c>
      <c r="L362" s="245">
        <v>6</v>
      </c>
    </row>
    <row r="363" spans="1:12">
      <c r="A363" s="41">
        <v>51100110</v>
      </c>
      <c r="B363" s="166">
        <v>45811</v>
      </c>
      <c r="C363" s="41" t="s">
        <v>1106</v>
      </c>
      <c r="D363" s="41" t="s">
        <v>1112</v>
      </c>
      <c r="E363" s="41" t="s">
        <v>1113</v>
      </c>
      <c r="F363" s="245">
        <v>1</v>
      </c>
      <c r="G363" s="245">
        <v>1</v>
      </c>
      <c r="H363" s="247" t="s">
        <v>3968</v>
      </c>
      <c r="I363" s="190"/>
      <c r="J363" s="245" t="s">
        <v>3969</v>
      </c>
      <c r="K363" s="245" t="s">
        <v>3990</v>
      </c>
      <c r="L363" s="245">
        <v>6</v>
      </c>
    </row>
    <row r="364" spans="1:12">
      <c r="A364" s="41">
        <v>50110372</v>
      </c>
      <c r="B364" s="166">
        <v>45812</v>
      </c>
      <c r="C364" s="41" t="s">
        <v>73</v>
      </c>
      <c r="D364" s="41" t="s">
        <v>130</v>
      </c>
      <c r="E364" s="41" t="s">
        <v>4083</v>
      </c>
      <c r="F364" s="245">
        <v>1</v>
      </c>
      <c r="G364" s="245">
        <v>1</v>
      </c>
      <c r="H364" s="247" t="s">
        <v>3968</v>
      </c>
      <c r="I364" s="190"/>
      <c r="J364" s="245" t="s">
        <v>3969</v>
      </c>
      <c r="K364" s="245" t="s">
        <v>3990</v>
      </c>
      <c r="L364" s="245">
        <v>6</v>
      </c>
    </row>
    <row r="365" spans="1:12">
      <c r="A365" s="41">
        <v>50110372</v>
      </c>
      <c r="B365" s="166">
        <v>45812</v>
      </c>
      <c r="C365" s="41" t="s">
        <v>73</v>
      </c>
      <c r="D365" s="41" t="s">
        <v>446</v>
      </c>
      <c r="E365" s="41" t="s">
        <v>1392</v>
      </c>
      <c r="F365" s="245">
        <v>1</v>
      </c>
      <c r="G365" s="245">
        <v>1</v>
      </c>
      <c r="H365" s="247" t="s">
        <v>3968</v>
      </c>
      <c r="I365" s="190"/>
      <c r="J365" s="245" t="s">
        <v>3969</v>
      </c>
      <c r="K365" s="245" t="s">
        <v>3990</v>
      </c>
      <c r="L365" s="245">
        <v>6</v>
      </c>
    </row>
    <row r="366" spans="1:12">
      <c r="A366" s="41">
        <v>50110193</v>
      </c>
      <c r="B366" s="166">
        <v>45812</v>
      </c>
      <c r="C366" s="41" t="s">
        <v>33</v>
      </c>
      <c r="D366" s="41" t="s">
        <v>134</v>
      </c>
      <c r="E366" s="41" t="s">
        <v>1395</v>
      </c>
      <c r="F366" s="245">
        <v>1</v>
      </c>
      <c r="G366" s="245">
        <v>1</v>
      </c>
      <c r="H366" s="247" t="s">
        <v>3968</v>
      </c>
      <c r="I366" s="190"/>
      <c r="J366" s="245" t="s">
        <v>3969</v>
      </c>
      <c r="K366" s="245" t="s">
        <v>3990</v>
      </c>
      <c r="L366" s="245">
        <v>6</v>
      </c>
    </row>
    <row r="367" spans="1:12">
      <c r="A367" s="41">
        <v>51000136</v>
      </c>
      <c r="B367" s="166">
        <v>45812</v>
      </c>
      <c r="C367" s="41" t="s">
        <v>103</v>
      </c>
      <c r="D367" s="41" t="s">
        <v>1398</v>
      </c>
      <c r="E367" s="41" t="s">
        <v>1399</v>
      </c>
      <c r="F367" s="245">
        <v>2</v>
      </c>
      <c r="G367" s="245">
        <v>0</v>
      </c>
      <c r="H367" s="247" t="s">
        <v>3968</v>
      </c>
      <c r="I367" s="190"/>
      <c r="J367" s="245" t="s">
        <v>3969</v>
      </c>
      <c r="K367" s="245" t="s">
        <v>3990</v>
      </c>
      <c r="L367" s="245">
        <v>6</v>
      </c>
    </row>
    <row r="368" spans="1:12">
      <c r="A368" s="41">
        <v>51000136</v>
      </c>
      <c r="B368" s="166">
        <v>45812</v>
      </c>
      <c r="C368" s="41" t="s">
        <v>103</v>
      </c>
      <c r="D368" s="41" t="s">
        <v>1400</v>
      </c>
      <c r="E368" s="41" t="s">
        <v>1401</v>
      </c>
      <c r="F368" s="245">
        <v>2</v>
      </c>
      <c r="G368" s="245">
        <v>0</v>
      </c>
      <c r="H368" s="247" t="s">
        <v>3968</v>
      </c>
      <c r="I368" s="190"/>
      <c r="J368" s="245" t="s">
        <v>3969</v>
      </c>
      <c r="K368" s="245" t="s">
        <v>3990</v>
      </c>
      <c r="L368" s="245">
        <v>6</v>
      </c>
    </row>
    <row r="369" spans="1:12">
      <c r="A369" s="41">
        <v>50110372</v>
      </c>
      <c r="B369" s="166">
        <v>45812</v>
      </c>
      <c r="C369" s="41" t="s">
        <v>73</v>
      </c>
      <c r="D369" s="41" t="s">
        <v>1404</v>
      </c>
      <c r="E369" s="41" t="s">
        <v>1405</v>
      </c>
      <c r="F369" s="245">
        <v>4</v>
      </c>
      <c r="G369" s="245">
        <v>4</v>
      </c>
      <c r="H369" s="247" t="s">
        <v>3968</v>
      </c>
      <c r="I369" s="190"/>
      <c r="J369" s="245" t="s">
        <v>3969</v>
      </c>
      <c r="K369" s="245" t="s">
        <v>3990</v>
      </c>
      <c r="L369" s="245">
        <v>6</v>
      </c>
    </row>
    <row r="370" spans="1:12">
      <c r="A370" s="41">
        <v>50110261</v>
      </c>
      <c r="B370" s="166">
        <v>45812</v>
      </c>
      <c r="C370" s="41" t="s">
        <v>225</v>
      </c>
      <c r="D370" s="41" t="s">
        <v>1408</v>
      </c>
      <c r="E370" s="41" t="s">
        <v>1409</v>
      </c>
      <c r="F370" s="245">
        <v>1</v>
      </c>
      <c r="G370" s="245">
        <v>1</v>
      </c>
      <c r="H370" s="247" t="s">
        <v>3968</v>
      </c>
      <c r="I370" s="190"/>
      <c r="J370" s="245" t="s">
        <v>3969</v>
      </c>
      <c r="K370" s="245" t="s">
        <v>3990</v>
      </c>
      <c r="L370" s="245">
        <v>6</v>
      </c>
    </row>
    <row r="371" spans="1:12">
      <c r="A371" s="41">
        <v>50110261</v>
      </c>
      <c r="B371" s="166">
        <v>45812</v>
      </c>
      <c r="C371" s="41" t="s">
        <v>225</v>
      </c>
      <c r="D371" s="41" t="s">
        <v>1410</v>
      </c>
      <c r="E371" s="41" t="s">
        <v>1411</v>
      </c>
      <c r="F371" s="245">
        <v>1</v>
      </c>
      <c r="G371" s="245">
        <v>1</v>
      </c>
      <c r="H371" s="247" t="s">
        <v>3968</v>
      </c>
      <c r="I371" s="190"/>
      <c r="J371" s="245" t="s">
        <v>3969</v>
      </c>
      <c r="K371" s="245" t="s">
        <v>3990</v>
      </c>
      <c r="L371" s="245">
        <v>6</v>
      </c>
    </row>
    <row r="372" spans="1:12">
      <c r="A372" s="41">
        <v>50110372</v>
      </c>
      <c r="B372" s="166">
        <v>45813</v>
      </c>
      <c r="C372" s="41" t="s">
        <v>73</v>
      </c>
      <c r="D372" s="41" t="s">
        <v>100</v>
      </c>
      <c r="E372" s="41" t="s">
        <v>99</v>
      </c>
      <c r="F372" s="245">
        <v>2</v>
      </c>
      <c r="G372" s="245">
        <v>2</v>
      </c>
      <c r="H372" s="247" t="s">
        <v>3968</v>
      </c>
      <c r="I372" s="190"/>
      <c r="J372" s="245" t="s">
        <v>3969</v>
      </c>
      <c r="K372" s="245" t="s">
        <v>3990</v>
      </c>
      <c r="L372" s="245">
        <v>6</v>
      </c>
    </row>
    <row r="373" spans="1:12">
      <c r="A373" s="41">
        <v>50110193</v>
      </c>
      <c r="B373" s="166">
        <v>45813</v>
      </c>
      <c r="C373" s="41" t="s">
        <v>33</v>
      </c>
      <c r="D373" s="41" t="s">
        <v>1416</v>
      </c>
      <c r="E373" s="41" t="s">
        <v>1417</v>
      </c>
      <c r="F373" s="245">
        <v>2</v>
      </c>
      <c r="G373" s="245">
        <v>0</v>
      </c>
      <c r="H373" s="247" t="s">
        <v>3968</v>
      </c>
      <c r="I373" s="190"/>
      <c r="J373" s="245" t="s">
        <v>3969</v>
      </c>
      <c r="K373" s="245" t="s">
        <v>3990</v>
      </c>
      <c r="L373" s="245">
        <v>6</v>
      </c>
    </row>
    <row r="374" spans="1:12">
      <c r="A374" s="41">
        <v>50110193</v>
      </c>
      <c r="B374" s="166">
        <v>45813</v>
      </c>
      <c r="C374" s="41" t="s">
        <v>33</v>
      </c>
      <c r="D374" s="41" t="s">
        <v>1418</v>
      </c>
      <c r="E374" s="41" t="s">
        <v>1419</v>
      </c>
      <c r="F374" s="245">
        <v>1</v>
      </c>
      <c r="G374" s="245">
        <v>0</v>
      </c>
      <c r="H374" s="247" t="s">
        <v>3968</v>
      </c>
      <c r="I374" s="190"/>
      <c r="J374" s="245" t="s">
        <v>3969</v>
      </c>
      <c r="K374" s="245" t="s">
        <v>3990</v>
      </c>
      <c r="L374" s="245">
        <v>6</v>
      </c>
    </row>
    <row r="375" spans="1:12">
      <c r="A375" s="41">
        <v>50110193</v>
      </c>
      <c r="B375" s="166">
        <v>45813</v>
      </c>
      <c r="C375" s="41" t="s">
        <v>33</v>
      </c>
      <c r="D375" s="41" t="s">
        <v>245</v>
      </c>
      <c r="E375" s="41" t="s">
        <v>246</v>
      </c>
      <c r="F375" s="245">
        <v>1</v>
      </c>
      <c r="G375" s="245">
        <v>0</v>
      </c>
      <c r="H375" s="247" t="s">
        <v>3968</v>
      </c>
      <c r="I375" s="190"/>
      <c r="J375" s="245" t="s">
        <v>3969</v>
      </c>
      <c r="K375" s="245" t="s">
        <v>3990</v>
      </c>
      <c r="L375" s="245">
        <v>6</v>
      </c>
    </row>
    <row r="376" spans="1:12">
      <c r="A376" s="41">
        <v>50110193</v>
      </c>
      <c r="B376" s="166">
        <v>45813</v>
      </c>
      <c r="C376" s="41" t="s">
        <v>33</v>
      </c>
      <c r="D376" s="41" t="s">
        <v>1420</v>
      </c>
      <c r="E376" s="41" t="s">
        <v>1421</v>
      </c>
      <c r="F376" s="245">
        <v>4</v>
      </c>
      <c r="G376" s="245">
        <v>0</v>
      </c>
      <c r="H376" s="247" t="s">
        <v>3968</v>
      </c>
      <c r="I376" s="190"/>
      <c r="J376" s="245" t="s">
        <v>3969</v>
      </c>
      <c r="K376" s="245" t="s">
        <v>3990</v>
      </c>
      <c r="L376" s="245">
        <v>6</v>
      </c>
    </row>
    <row r="377" spans="1:12">
      <c r="A377" s="41">
        <v>51000323</v>
      </c>
      <c r="B377" s="166">
        <v>45813</v>
      </c>
      <c r="C377" s="41" t="s">
        <v>103</v>
      </c>
      <c r="D377" s="41" t="s">
        <v>1424</v>
      </c>
      <c r="E377" s="41" t="s">
        <v>1425</v>
      </c>
      <c r="F377" s="245">
        <v>1</v>
      </c>
      <c r="G377" s="245">
        <v>1</v>
      </c>
      <c r="H377" s="247" t="s">
        <v>3968</v>
      </c>
      <c r="I377" s="190"/>
      <c r="J377" s="245" t="s">
        <v>3969</v>
      </c>
      <c r="K377" s="245" t="s">
        <v>3990</v>
      </c>
      <c r="L377" s="245">
        <v>6</v>
      </c>
    </row>
    <row r="378" spans="1:12">
      <c r="A378" s="41">
        <v>44000058</v>
      </c>
      <c r="B378" s="166">
        <v>45814</v>
      </c>
      <c r="C378" s="41" t="s">
        <v>569</v>
      </c>
      <c r="D378" s="41" t="s">
        <v>1429</v>
      </c>
      <c r="E378" s="41" t="s">
        <v>1430</v>
      </c>
      <c r="F378" s="245">
        <v>1</v>
      </c>
      <c r="G378" s="245">
        <v>0</v>
      </c>
      <c r="H378" s="247" t="s">
        <v>3968</v>
      </c>
      <c r="I378" s="190"/>
      <c r="J378" s="245" t="s">
        <v>3969</v>
      </c>
      <c r="K378" s="245" t="s">
        <v>3990</v>
      </c>
      <c r="L378" s="245">
        <v>6</v>
      </c>
    </row>
    <row r="379" spans="1:12">
      <c r="A379" s="41">
        <v>51000136</v>
      </c>
      <c r="B379" s="166">
        <v>45814</v>
      </c>
      <c r="C379" s="41" t="s">
        <v>103</v>
      </c>
      <c r="D379" s="41" t="s">
        <v>1433</v>
      </c>
      <c r="E379" s="41" t="s">
        <v>1434</v>
      </c>
      <c r="F379" s="245">
        <v>1</v>
      </c>
      <c r="G379" s="245">
        <v>0</v>
      </c>
      <c r="H379" s="247" t="s">
        <v>3968</v>
      </c>
      <c r="I379" s="190"/>
      <c r="J379" s="245" t="s">
        <v>3969</v>
      </c>
      <c r="K379" s="245" t="s">
        <v>3990</v>
      </c>
      <c r="L379" s="245">
        <v>6</v>
      </c>
    </row>
    <row r="380" spans="1:12">
      <c r="A380" s="41">
        <v>50000351</v>
      </c>
      <c r="B380" s="166">
        <v>45814</v>
      </c>
      <c r="C380" s="41" t="s">
        <v>445</v>
      </c>
      <c r="D380" s="41" t="s">
        <v>75</v>
      </c>
      <c r="E380" s="41" t="s">
        <v>4084</v>
      </c>
      <c r="F380" s="245">
        <v>1</v>
      </c>
      <c r="G380" s="245">
        <v>1</v>
      </c>
      <c r="H380" s="247" t="s">
        <v>3968</v>
      </c>
      <c r="I380" s="190"/>
      <c r="J380" s="245" t="s">
        <v>3969</v>
      </c>
      <c r="K380" s="245" t="s">
        <v>3990</v>
      </c>
      <c r="L380" s="245">
        <v>6</v>
      </c>
    </row>
    <row r="381" spans="1:12">
      <c r="A381" s="41">
        <v>44000059</v>
      </c>
      <c r="B381" s="166">
        <v>45817</v>
      </c>
      <c r="C381" s="41" t="s">
        <v>63</v>
      </c>
      <c r="D381" s="41" t="s">
        <v>1439</v>
      </c>
      <c r="E381" s="41" t="s">
        <v>1440</v>
      </c>
      <c r="F381" s="245">
        <v>2</v>
      </c>
      <c r="G381" s="245">
        <v>2</v>
      </c>
      <c r="H381" s="247" t="s">
        <v>3968</v>
      </c>
      <c r="I381" s="190"/>
      <c r="J381" s="245" t="s">
        <v>3969</v>
      </c>
      <c r="K381" s="245" t="s">
        <v>3990</v>
      </c>
      <c r="L381" s="245">
        <v>6</v>
      </c>
    </row>
    <row r="382" spans="1:12">
      <c r="A382" s="41">
        <v>44000059</v>
      </c>
      <c r="B382" s="166">
        <v>45817</v>
      </c>
      <c r="C382" s="41" t="s">
        <v>63</v>
      </c>
      <c r="D382" s="41" t="s">
        <v>1442</v>
      </c>
      <c r="E382" s="41" t="s">
        <v>1443</v>
      </c>
      <c r="F382" s="245">
        <v>1</v>
      </c>
      <c r="G382" s="245">
        <v>1</v>
      </c>
      <c r="H382" s="247" t="s">
        <v>3968</v>
      </c>
      <c r="I382" s="190"/>
      <c r="J382" s="245" t="s">
        <v>3969</v>
      </c>
      <c r="K382" s="245" t="s">
        <v>3990</v>
      </c>
      <c r="L382" s="245">
        <v>6</v>
      </c>
    </row>
    <row r="383" spans="1:12">
      <c r="A383" s="41">
        <v>50110261</v>
      </c>
      <c r="B383" s="166">
        <v>45817</v>
      </c>
      <c r="C383" s="41" t="s">
        <v>225</v>
      </c>
      <c r="D383" s="41" t="s">
        <v>1103</v>
      </c>
      <c r="E383" s="41" t="s">
        <v>592</v>
      </c>
      <c r="F383" s="245">
        <v>1</v>
      </c>
      <c r="G383" s="245">
        <v>0</v>
      </c>
      <c r="H383" s="247" t="s">
        <v>3968</v>
      </c>
      <c r="I383" s="190"/>
      <c r="J383" s="245" t="s">
        <v>3969</v>
      </c>
      <c r="K383" s="245" t="s">
        <v>3990</v>
      </c>
      <c r="L383" s="245">
        <v>6</v>
      </c>
    </row>
    <row r="384" spans="1:12">
      <c r="A384" s="41">
        <v>60002072</v>
      </c>
      <c r="B384" s="166">
        <v>45817</v>
      </c>
      <c r="C384" s="41" t="s">
        <v>202</v>
      </c>
      <c r="D384" s="41" t="s">
        <v>158</v>
      </c>
      <c r="E384" s="41" t="s">
        <v>159</v>
      </c>
      <c r="F384" s="245">
        <v>1</v>
      </c>
      <c r="G384" s="245">
        <v>1</v>
      </c>
      <c r="H384" s="247" t="s">
        <v>3968</v>
      </c>
      <c r="I384" s="190"/>
      <c r="J384" s="245" t="s">
        <v>3969</v>
      </c>
      <c r="K384" s="245" t="s">
        <v>3990</v>
      </c>
      <c r="L384" s="245">
        <v>6</v>
      </c>
    </row>
    <row r="385" spans="1:12">
      <c r="A385" s="41">
        <v>48000482</v>
      </c>
      <c r="B385" s="166">
        <v>45817</v>
      </c>
      <c r="C385" s="41" t="s">
        <v>152</v>
      </c>
      <c r="D385" s="41" t="s">
        <v>570</v>
      </c>
      <c r="E385" s="41" t="s">
        <v>1450</v>
      </c>
      <c r="F385" s="245">
        <v>1</v>
      </c>
      <c r="G385" s="245">
        <v>1</v>
      </c>
      <c r="H385" s="247" t="s">
        <v>3968</v>
      </c>
      <c r="I385" s="190"/>
      <c r="J385" s="245" t="s">
        <v>3969</v>
      </c>
      <c r="K385" s="245" t="s">
        <v>3990</v>
      </c>
      <c r="L385" s="245">
        <v>6</v>
      </c>
    </row>
    <row r="386" spans="1:12">
      <c r="A386" s="41">
        <v>48000482</v>
      </c>
      <c r="B386" s="166">
        <v>45817</v>
      </c>
      <c r="C386" s="41" t="s">
        <v>152</v>
      </c>
      <c r="D386" s="41" t="s">
        <v>1451</v>
      </c>
      <c r="E386" s="41" t="s">
        <v>1452</v>
      </c>
      <c r="F386" s="245">
        <v>1</v>
      </c>
      <c r="G386" s="245">
        <v>1</v>
      </c>
      <c r="H386" s="247" t="s">
        <v>3968</v>
      </c>
      <c r="I386" s="190"/>
      <c r="J386" s="245" t="s">
        <v>3969</v>
      </c>
      <c r="K386" s="245" t="s">
        <v>3990</v>
      </c>
      <c r="L386" s="245">
        <v>6</v>
      </c>
    </row>
    <row r="387" spans="1:12">
      <c r="A387" s="41">
        <v>50110193</v>
      </c>
      <c r="B387" s="165">
        <v>45818</v>
      </c>
      <c r="C387" s="41" t="s">
        <v>33</v>
      </c>
      <c r="D387" s="41" t="s">
        <v>1455</v>
      </c>
      <c r="E387" s="41" t="s">
        <v>1456</v>
      </c>
      <c r="F387" s="245">
        <v>1</v>
      </c>
      <c r="G387" s="245">
        <v>1</v>
      </c>
      <c r="H387" s="247" t="s">
        <v>3968</v>
      </c>
      <c r="I387" s="190"/>
      <c r="J387" s="245" t="s">
        <v>3969</v>
      </c>
      <c r="K387" s="245" t="s">
        <v>3990</v>
      </c>
      <c r="L387" s="245">
        <v>6</v>
      </c>
    </row>
    <row r="388" spans="1:12">
      <c r="A388" s="41">
        <v>50110372</v>
      </c>
      <c r="B388" s="165">
        <v>45818</v>
      </c>
      <c r="C388" s="41" t="s">
        <v>73</v>
      </c>
      <c r="D388" s="41" t="s">
        <v>1459</v>
      </c>
      <c r="E388" s="41" t="s">
        <v>1460</v>
      </c>
      <c r="F388" s="245">
        <v>2</v>
      </c>
      <c r="G388" s="245">
        <v>2</v>
      </c>
      <c r="H388" s="247" t="s">
        <v>3968</v>
      </c>
      <c r="I388" s="190"/>
      <c r="J388" s="245" t="s">
        <v>3969</v>
      </c>
      <c r="K388" s="245" t="s">
        <v>3990</v>
      </c>
      <c r="L388" s="245">
        <v>6</v>
      </c>
    </row>
    <row r="389" spans="1:12">
      <c r="A389" s="41">
        <v>60002095</v>
      </c>
      <c r="B389" s="165">
        <v>45818</v>
      </c>
      <c r="C389" s="41" t="s">
        <v>73</v>
      </c>
      <c r="D389" s="41" t="s">
        <v>691</v>
      </c>
      <c r="E389" s="41" t="s">
        <v>1463</v>
      </c>
      <c r="F389" s="245">
        <v>1</v>
      </c>
      <c r="G389" s="245">
        <v>1</v>
      </c>
      <c r="H389" s="247" t="s">
        <v>3968</v>
      </c>
      <c r="I389" s="190"/>
      <c r="J389" s="245" t="s">
        <v>3969</v>
      </c>
      <c r="K389" s="245" t="s">
        <v>3990</v>
      </c>
      <c r="L389" s="245">
        <v>6</v>
      </c>
    </row>
    <row r="390" spans="1:12">
      <c r="A390" s="41">
        <v>60002095</v>
      </c>
      <c r="B390" s="165">
        <v>45818</v>
      </c>
      <c r="C390" s="41" t="s">
        <v>73</v>
      </c>
      <c r="D390" s="41" t="s">
        <v>136</v>
      </c>
      <c r="E390" s="41" t="s">
        <v>4085</v>
      </c>
      <c r="F390" s="245">
        <v>1</v>
      </c>
      <c r="G390" s="245">
        <v>1</v>
      </c>
      <c r="H390" s="247" t="s">
        <v>3968</v>
      </c>
      <c r="I390" s="190"/>
      <c r="J390" s="245" t="s">
        <v>3969</v>
      </c>
      <c r="K390" s="245" t="s">
        <v>3990</v>
      </c>
      <c r="L390" s="245">
        <v>6</v>
      </c>
    </row>
    <row r="391" spans="1:12">
      <c r="A391" s="41">
        <v>60002095</v>
      </c>
      <c r="B391" s="165">
        <v>45818</v>
      </c>
      <c r="C391" s="41" t="s">
        <v>73</v>
      </c>
      <c r="D391" s="41" t="s">
        <v>114</v>
      </c>
      <c r="E391" s="41" t="s">
        <v>1466</v>
      </c>
      <c r="F391" s="245">
        <v>1</v>
      </c>
      <c r="G391" s="245">
        <v>1</v>
      </c>
      <c r="H391" s="247" t="s">
        <v>3968</v>
      </c>
      <c r="I391" s="190"/>
      <c r="J391" s="245" t="s">
        <v>3969</v>
      </c>
      <c r="K391" s="245" t="s">
        <v>3990</v>
      </c>
      <c r="L391" s="245">
        <v>6</v>
      </c>
    </row>
    <row r="392" spans="1:12">
      <c r="A392" s="41">
        <v>50110372</v>
      </c>
      <c r="B392" s="165">
        <v>45819</v>
      </c>
      <c r="C392" s="41" t="s">
        <v>73</v>
      </c>
      <c r="D392" s="41" t="s">
        <v>1469</v>
      </c>
      <c r="E392" s="41" t="s">
        <v>1470</v>
      </c>
      <c r="F392" s="245">
        <v>1</v>
      </c>
      <c r="G392" s="245">
        <v>1</v>
      </c>
      <c r="H392" s="247" t="s">
        <v>3968</v>
      </c>
      <c r="I392" s="190"/>
      <c r="J392" s="245" t="s">
        <v>3969</v>
      </c>
      <c r="K392" s="245" t="s">
        <v>3990</v>
      </c>
      <c r="L392" s="245">
        <v>6</v>
      </c>
    </row>
    <row r="393" spans="1:12">
      <c r="A393" s="41">
        <v>50110372</v>
      </c>
      <c r="B393" s="165">
        <v>45819</v>
      </c>
      <c r="C393" s="41" t="s">
        <v>73</v>
      </c>
      <c r="D393" s="41" t="s">
        <v>1473</v>
      </c>
      <c r="E393" s="41" t="s">
        <v>1474</v>
      </c>
      <c r="F393" s="245">
        <v>1</v>
      </c>
      <c r="G393" s="245">
        <v>1</v>
      </c>
      <c r="H393" s="247" t="s">
        <v>3968</v>
      </c>
      <c r="I393" s="190"/>
      <c r="J393" s="245" t="s">
        <v>3969</v>
      </c>
      <c r="K393" s="245" t="s">
        <v>3990</v>
      </c>
      <c r="L393" s="245">
        <v>6</v>
      </c>
    </row>
    <row r="394" spans="1:12">
      <c r="A394" s="41">
        <v>60002095</v>
      </c>
      <c r="B394" s="165">
        <v>45819</v>
      </c>
      <c r="C394" s="41" t="s">
        <v>73</v>
      </c>
      <c r="D394" s="41" t="s">
        <v>1478</v>
      </c>
      <c r="E394" s="41" t="s">
        <v>1479</v>
      </c>
      <c r="F394" s="245">
        <v>2</v>
      </c>
      <c r="G394" s="245">
        <v>2</v>
      </c>
      <c r="H394" s="247" t="s">
        <v>3968</v>
      </c>
      <c r="I394" s="190"/>
      <c r="J394" s="245" t="s">
        <v>3969</v>
      </c>
      <c r="K394" s="245" t="s">
        <v>3990</v>
      </c>
      <c r="L394" s="245">
        <v>6</v>
      </c>
    </row>
    <row r="395" spans="1:12">
      <c r="A395" s="41">
        <v>50300097</v>
      </c>
      <c r="B395" s="165">
        <v>45819</v>
      </c>
      <c r="C395" s="41" t="s">
        <v>445</v>
      </c>
      <c r="D395" s="41" t="s">
        <v>1058</v>
      </c>
      <c r="E395" s="41" t="s">
        <v>1483</v>
      </c>
      <c r="F395" s="245">
        <v>1</v>
      </c>
      <c r="G395" s="245">
        <v>1</v>
      </c>
      <c r="H395" s="247" t="s">
        <v>3968</v>
      </c>
      <c r="I395" s="190"/>
      <c r="J395" s="245" t="s">
        <v>3969</v>
      </c>
      <c r="K395" s="245" t="s">
        <v>3990</v>
      </c>
      <c r="L395" s="245">
        <v>6</v>
      </c>
    </row>
    <row r="396" spans="1:12">
      <c r="A396" s="41">
        <v>50300097</v>
      </c>
      <c r="B396" s="165">
        <v>45819</v>
      </c>
      <c r="C396" s="41" t="s">
        <v>445</v>
      </c>
      <c r="D396" s="41" t="s">
        <v>1486</v>
      </c>
      <c r="E396" s="41" t="s">
        <v>1487</v>
      </c>
      <c r="F396" s="245">
        <v>1</v>
      </c>
      <c r="G396" s="245">
        <v>0</v>
      </c>
      <c r="H396" s="247" t="s">
        <v>3968</v>
      </c>
      <c r="I396" s="190"/>
      <c r="J396" s="245" t="s">
        <v>3969</v>
      </c>
      <c r="K396" s="245" t="s">
        <v>3990</v>
      </c>
      <c r="L396" s="245">
        <v>6</v>
      </c>
    </row>
    <row r="397" spans="1:12">
      <c r="A397" s="41">
        <v>60002095</v>
      </c>
      <c r="B397" s="165">
        <v>45820</v>
      </c>
      <c r="C397" s="41" t="s">
        <v>109</v>
      </c>
      <c r="D397" s="41" t="s">
        <v>80</v>
      </c>
      <c r="E397" s="41" t="s">
        <v>1490</v>
      </c>
      <c r="F397" s="245">
        <v>1</v>
      </c>
      <c r="G397" s="245">
        <v>1</v>
      </c>
      <c r="H397" s="247" t="s">
        <v>3968</v>
      </c>
      <c r="I397" s="190"/>
      <c r="J397" s="245" t="s">
        <v>3969</v>
      </c>
      <c r="K397" s="245" t="s">
        <v>3990</v>
      </c>
      <c r="L397" s="245">
        <v>6</v>
      </c>
    </row>
    <row r="398" spans="1:12">
      <c r="A398" s="41">
        <v>60002095</v>
      </c>
      <c r="B398" s="165">
        <v>45820</v>
      </c>
      <c r="C398" s="41" t="s">
        <v>109</v>
      </c>
      <c r="D398" s="41" t="s">
        <v>136</v>
      </c>
      <c r="E398" s="41" t="s">
        <v>4086</v>
      </c>
      <c r="F398" s="245">
        <v>1</v>
      </c>
      <c r="G398" s="245">
        <v>1</v>
      </c>
      <c r="H398" s="247" t="s">
        <v>3968</v>
      </c>
      <c r="I398" s="190"/>
      <c r="J398" s="245" t="s">
        <v>3969</v>
      </c>
      <c r="K398" s="245" t="s">
        <v>3990</v>
      </c>
      <c r="L398" s="245">
        <v>6</v>
      </c>
    </row>
    <row r="399" spans="1:12">
      <c r="A399" s="41">
        <v>60002095</v>
      </c>
      <c r="B399" s="165">
        <v>45820</v>
      </c>
      <c r="C399" s="41" t="s">
        <v>109</v>
      </c>
      <c r="D399" s="41" t="s">
        <v>1491</v>
      </c>
      <c r="E399" s="41" t="s">
        <v>1492</v>
      </c>
      <c r="F399" s="245">
        <v>2</v>
      </c>
      <c r="G399" s="245">
        <v>2</v>
      </c>
      <c r="H399" s="247" t="s">
        <v>3968</v>
      </c>
      <c r="I399" s="190"/>
      <c r="J399" s="245" t="s">
        <v>3969</v>
      </c>
      <c r="K399" s="245" t="s">
        <v>3990</v>
      </c>
      <c r="L399" s="245">
        <v>6</v>
      </c>
    </row>
    <row r="400" spans="1:12">
      <c r="A400" s="41">
        <v>60002072</v>
      </c>
      <c r="B400" s="165">
        <v>45820</v>
      </c>
      <c r="C400" s="41" t="s">
        <v>202</v>
      </c>
      <c r="D400" s="41" t="s">
        <v>1495</v>
      </c>
      <c r="E400" s="41" t="s">
        <v>1496</v>
      </c>
      <c r="F400" s="245">
        <v>1</v>
      </c>
      <c r="G400" s="245">
        <v>1</v>
      </c>
      <c r="H400" s="247" t="s">
        <v>3968</v>
      </c>
      <c r="I400" s="190"/>
      <c r="J400" s="245" t="s">
        <v>3969</v>
      </c>
      <c r="K400" s="245" t="s">
        <v>3990</v>
      </c>
      <c r="L400" s="245">
        <v>6</v>
      </c>
    </row>
    <row r="401" spans="1:12">
      <c r="A401" s="41">
        <v>50110057</v>
      </c>
      <c r="B401" s="166">
        <v>45820</v>
      </c>
      <c r="C401" s="41" t="s">
        <v>181</v>
      </c>
      <c r="D401" s="41" t="s">
        <v>1499</v>
      </c>
      <c r="E401" s="41" t="s">
        <v>1500</v>
      </c>
      <c r="F401" s="245">
        <v>1</v>
      </c>
      <c r="G401" s="245">
        <v>1</v>
      </c>
      <c r="H401" s="247" t="s">
        <v>3968</v>
      </c>
      <c r="I401" s="190"/>
      <c r="J401" s="245" t="s">
        <v>3969</v>
      </c>
      <c r="K401" s="245" t="s">
        <v>3990</v>
      </c>
      <c r="L401" s="245">
        <v>6</v>
      </c>
    </row>
    <row r="402" spans="1:12">
      <c r="A402" s="41">
        <v>50000530</v>
      </c>
      <c r="B402" s="166">
        <v>45820</v>
      </c>
      <c r="C402" s="41" t="s">
        <v>79</v>
      </c>
      <c r="D402" s="41" t="s">
        <v>1503</v>
      </c>
      <c r="E402" s="41" t="s">
        <v>1504</v>
      </c>
      <c r="F402" s="245">
        <v>1</v>
      </c>
      <c r="G402" s="245">
        <v>1</v>
      </c>
      <c r="H402" s="247" t="s">
        <v>3968</v>
      </c>
      <c r="I402" s="190"/>
      <c r="J402" s="245" t="s">
        <v>3969</v>
      </c>
      <c r="K402" s="245" t="s">
        <v>3990</v>
      </c>
      <c r="L402" s="245">
        <v>6</v>
      </c>
    </row>
    <row r="403" spans="1:12">
      <c r="A403" s="41">
        <v>50000530</v>
      </c>
      <c r="B403" s="166">
        <v>45821</v>
      </c>
      <c r="C403" s="41" t="s">
        <v>79</v>
      </c>
      <c r="D403" s="41" t="s">
        <v>4087</v>
      </c>
      <c r="E403" s="41" t="s">
        <v>4088</v>
      </c>
      <c r="F403" s="245">
        <v>3</v>
      </c>
      <c r="G403" s="245">
        <v>0</v>
      </c>
      <c r="H403" s="247" t="s">
        <v>3968</v>
      </c>
      <c r="I403" s="190"/>
      <c r="J403" s="245" t="s">
        <v>3969</v>
      </c>
      <c r="K403" s="245" t="s">
        <v>3990</v>
      </c>
      <c r="L403" s="245">
        <v>6</v>
      </c>
    </row>
    <row r="404" spans="1:12">
      <c r="A404" s="41">
        <v>50000530</v>
      </c>
      <c r="B404" s="166">
        <v>45821</v>
      </c>
      <c r="C404" s="41" t="s">
        <v>79</v>
      </c>
      <c r="D404" s="41" t="s">
        <v>354</v>
      </c>
      <c r="E404" s="41" t="s">
        <v>1509</v>
      </c>
      <c r="F404" s="245">
        <v>1</v>
      </c>
      <c r="G404" s="245">
        <v>0</v>
      </c>
      <c r="H404" s="247" t="s">
        <v>3968</v>
      </c>
      <c r="I404" s="190"/>
      <c r="J404" s="245" t="s">
        <v>3969</v>
      </c>
      <c r="K404" s="245" t="s">
        <v>3990</v>
      </c>
      <c r="L404" s="245">
        <v>6</v>
      </c>
    </row>
    <row r="405" spans="1:12">
      <c r="A405" s="41">
        <v>50000530</v>
      </c>
      <c r="B405" s="166">
        <v>45821</v>
      </c>
      <c r="C405" s="41" t="s">
        <v>79</v>
      </c>
      <c r="D405" s="41" t="s">
        <v>610</v>
      </c>
      <c r="E405" s="41" t="s">
        <v>4089</v>
      </c>
      <c r="F405" s="245">
        <v>1</v>
      </c>
      <c r="G405" s="245">
        <v>0</v>
      </c>
      <c r="H405" s="247" t="s">
        <v>3968</v>
      </c>
      <c r="I405" s="190"/>
      <c r="J405" s="245" t="s">
        <v>3969</v>
      </c>
      <c r="K405" s="245" t="s">
        <v>3990</v>
      </c>
      <c r="L405" s="245">
        <v>6</v>
      </c>
    </row>
    <row r="406" spans="1:12">
      <c r="A406" s="41">
        <v>50000530</v>
      </c>
      <c r="B406" s="166">
        <v>45821</v>
      </c>
      <c r="C406" s="41" t="s">
        <v>79</v>
      </c>
      <c r="D406" s="41" t="s">
        <v>1511</v>
      </c>
      <c r="E406" s="41" t="s">
        <v>1355</v>
      </c>
      <c r="F406" s="245">
        <v>8</v>
      </c>
      <c r="G406" s="245">
        <v>0</v>
      </c>
      <c r="H406" s="247" t="s">
        <v>3968</v>
      </c>
      <c r="I406" s="190"/>
      <c r="J406" s="245" t="s">
        <v>3969</v>
      </c>
      <c r="K406" s="245" t="s">
        <v>3990</v>
      </c>
      <c r="L406" s="245">
        <v>6</v>
      </c>
    </row>
    <row r="407" spans="1:12">
      <c r="A407" s="41">
        <v>50000530</v>
      </c>
      <c r="B407" s="166">
        <v>45821</v>
      </c>
      <c r="C407" s="41" t="s">
        <v>79</v>
      </c>
      <c r="D407" s="41" t="s">
        <v>1512</v>
      </c>
      <c r="E407" s="41" t="s">
        <v>1513</v>
      </c>
      <c r="F407" s="245">
        <v>1</v>
      </c>
      <c r="G407" s="245">
        <v>0</v>
      </c>
      <c r="H407" s="247" t="s">
        <v>3968</v>
      </c>
      <c r="I407" s="190"/>
      <c r="J407" s="245" t="s">
        <v>3969</v>
      </c>
      <c r="K407" s="245" t="s">
        <v>3990</v>
      </c>
      <c r="L407" s="245">
        <v>6</v>
      </c>
    </row>
    <row r="408" spans="1:12">
      <c r="A408" s="41">
        <v>50000530</v>
      </c>
      <c r="B408" s="166">
        <v>45821</v>
      </c>
      <c r="C408" s="41" t="s">
        <v>79</v>
      </c>
      <c r="D408" s="41" t="s">
        <v>4090</v>
      </c>
      <c r="E408" s="41" t="s">
        <v>1514</v>
      </c>
      <c r="F408" s="245">
        <v>1</v>
      </c>
      <c r="G408" s="245">
        <v>0</v>
      </c>
      <c r="H408" s="247" t="s">
        <v>3968</v>
      </c>
      <c r="I408" s="190"/>
      <c r="J408" s="245" t="s">
        <v>3969</v>
      </c>
      <c r="K408" s="245" t="s">
        <v>3990</v>
      </c>
      <c r="L408" s="245">
        <v>6</v>
      </c>
    </row>
    <row r="409" spans="1:12">
      <c r="A409" s="41">
        <v>50000530</v>
      </c>
      <c r="B409" s="166">
        <v>45821</v>
      </c>
      <c r="C409" s="41" t="s">
        <v>79</v>
      </c>
      <c r="D409" s="41" t="s">
        <v>1515</v>
      </c>
      <c r="E409" s="41" t="s">
        <v>1516</v>
      </c>
      <c r="F409" s="245">
        <v>5</v>
      </c>
      <c r="G409" s="245">
        <v>0</v>
      </c>
      <c r="H409" s="247" t="s">
        <v>3968</v>
      </c>
      <c r="I409" s="190"/>
      <c r="J409" s="245" t="s">
        <v>3969</v>
      </c>
      <c r="K409" s="245" t="s">
        <v>3990</v>
      </c>
      <c r="L409" s="245">
        <v>6</v>
      </c>
    </row>
    <row r="410" spans="1:12">
      <c r="A410" s="41">
        <v>50000530</v>
      </c>
      <c r="B410" s="166">
        <v>45821</v>
      </c>
      <c r="C410" s="41" t="s">
        <v>79</v>
      </c>
      <c r="D410" s="41" t="s">
        <v>1517</v>
      </c>
      <c r="E410" s="41" t="s">
        <v>1518</v>
      </c>
      <c r="F410" s="245">
        <v>1</v>
      </c>
      <c r="G410" s="245">
        <v>0</v>
      </c>
      <c r="H410" s="247" t="s">
        <v>3968</v>
      </c>
      <c r="I410" s="190"/>
      <c r="J410" s="245" t="s">
        <v>3969</v>
      </c>
      <c r="K410" s="245" t="s">
        <v>3990</v>
      </c>
      <c r="L410" s="245">
        <v>6</v>
      </c>
    </row>
    <row r="411" spans="1:12">
      <c r="A411" s="41">
        <v>50000530</v>
      </c>
      <c r="B411" s="166">
        <v>45821</v>
      </c>
      <c r="C411" s="41" t="s">
        <v>79</v>
      </c>
      <c r="D411" s="41" t="s">
        <v>1520</v>
      </c>
      <c r="E411" s="41" t="s">
        <v>1521</v>
      </c>
      <c r="F411" s="245">
        <v>1</v>
      </c>
      <c r="G411" s="245">
        <v>0</v>
      </c>
      <c r="H411" s="247" t="s">
        <v>3968</v>
      </c>
      <c r="I411" s="190"/>
      <c r="J411" s="245" t="s">
        <v>3969</v>
      </c>
      <c r="K411" s="245" t="s">
        <v>3990</v>
      </c>
      <c r="L411" s="245">
        <v>6</v>
      </c>
    </row>
    <row r="412" spans="1:12">
      <c r="A412" s="41">
        <v>50000530</v>
      </c>
      <c r="B412" s="166">
        <v>45821</v>
      </c>
      <c r="C412" s="41" t="s">
        <v>79</v>
      </c>
      <c r="D412" s="41" t="s">
        <v>1522</v>
      </c>
      <c r="E412" s="41" t="s">
        <v>1523</v>
      </c>
      <c r="F412" s="245">
        <v>2</v>
      </c>
      <c r="G412" s="245">
        <v>0</v>
      </c>
      <c r="H412" s="247" t="s">
        <v>3968</v>
      </c>
      <c r="I412" s="190"/>
      <c r="J412" s="245" t="s">
        <v>3969</v>
      </c>
      <c r="K412" s="245" t="s">
        <v>3990</v>
      </c>
      <c r="L412" s="245">
        <v>6</v>
      </c>
    </row>
    <row r="413" spans="1:12">
      <c r="A413" s="41">
        <v>50000530</v>
      </c>
      <c r="B413" s="166">
        <v>45821</v>
      </c>
      <c r="C413" s="41" t="s">
        <v>79</v>
      </c>
      <c r="D413" s="41" t="s">
        <v>4091</v>
      </c>
      <c r="E413" s="41" t="s">
        <v>1525</v>
      </c>
      <c r="F413" s="245">
        <v>1</v>
      </c>
      <c r="G413" s="245">
        <v>0</v>
      </c>
      <c r="H413" s="247" t="s">
        <v>3968</v>
      </c>
      <c r="I413" s="190"/>
      <c r="J413" s="245" t="s">
        <v>3969</v>
      </c>
      <c r="K413" s="245" t="s">
        <v>3990</v>
      </c>
      <c r="L413" s="245">
        <v>6</v>
      </c>
    </row>
    <row r="414" spans="1:12">
      <c r="A414" s="41">
        <v>60002095</v>
      </c>
      <c r="B414" s="166">
        <v>45824</v>
      </c>
      <c r="C414" s="41" t="s">
        <v>73</v>
      </c>
      <c r="D414" s="41" t="s">
        <v>1478</v>
      </c>
      <c r="E414" s="41" t="s">
        <v>1528</v>
      </c>
      <c r="F414" s="245">
        <v>1</v>
      </c>
      <c r="G414" s="245">
        <v>1</v>
      </c>
      <c r="H414" s="247" t="s">
        <v>3968</v>
      </c>
      <c r="I414" s="190"/>
      <c r="J414" s="245" t="s">
        <v>3969</v>
      </c>
      <c r="K414" s="245" t="s">
        <v>3990</v>
      </c>
      <c r="L414" s="245">
        <v>6</v>
      </c>
    </row>
    <row r="415" spans="1:12">
      <c r="A415" s="41">
        <v>48000482</v>
      </c>
      <c r="B415" s="166">
        <v>45824</v>
      </c>
      <c r="C415" s="41" t="s">
        <v>152</v>
      </c>
      <c r="D415" s="41" t="s">
        <v>1531</v>
      </c>
      <c r="E415" s="41" t="s">
        <v>1532</v>
      </c>
      <c r="F415" s="245">
        <v>1</v>
      </c>
      <c r="G415" s="245">
        <v>1</v>
      </c>
      <c r="H415" s="247" t="s">
        <v>3968</v>
      </c>
      <c r="I415" s="190"/>
      <c r="J415" s="245" t="s">
        <v>3969</v>
      </c>
      <c r="K415" s="245" t="s">
        <v>3990</v>
      </c>
      <c r="L415" s="245">
        <v>6</v>
      </c>
    </row>
    <row r="416" spans="1:12">
      <c r="A416" s="41">
        <v>48000482</v>
      </c>
      <c r="B416" s="166">
        <v>45824</v>
      </c>
      <c r="C416" s="41" t="s">
        <v>152</v>
      </c>
      <c r="D416" s="41" t="s">
        <v>1533</v>
      </c>
      <c r="E416" s="41" t="s">
        <v>1534</v>
      </c>
      <c r="F416" s="245">
        <v>1</v>
      </c>
      <c r="G416" s="245">
        <v>1</v>
      </c>
      <c r="H416" s="247" t="s">
        <v>3968</v>
      </c>
      <c r="I416" s="190"/>
      <c r="J416" s="245" t="s">
        <v>3969</v>
      </c>
      <c r="K416" s="245" t="s">
        <v>3990</v>
      </c>
      <c r="L416" s="245">
        <v>6</v>
      </c>
    </row>
    <row r="417" spans="1:12">
      <c r="A417" s="41">
        <v>50110372</v>
      </c>
      <c r="B417" s="166">
        <v>45824</v>
      </c>
      <c r="C417" s="41" t="s">
        <v>73</v>
      </c>
      <c r="D417" s="41" t="s">
        <v>1293</v>
      </c>
      <c r="E417" s="41" t="s">
        <v>1294</v>
      </c>
      <c r="F417" s="245">
        <v>1</v>
      </c>
      <c r="G417" s="245">
        <v>1</v>
      </c>
      <c r="H417" s="247" t="s">
        <v>3968</v>
      </c>
      <c r="I417" s="190"/>
      <c r="J417" s="245" t="s">
        <v>3969</v>
      </c>
      <c r="K417" s="245" t="s">
        <v>3990</v>
      </c>
      <c r="L417" s="245">
        <v>6</v>
      </c>
    </row>
    <row r="418" spans="1:12">
      <c r="A418" s="41">
        <v>60002095</v>
      </c>
      <c r="B418" s="166">
        <v>45824</v>
      </c>
      <c r="C418" s="41" t="s">
        <v>73</v>
      </c>
      <c r="D418" s="41" t="s">
        <v>1539</v>
      </c>
      <c r="E418" s="41" t="s">
        <v>1540</v>
      </c>
      <c r="F418" s="245">
        <v>1</v>
      </c>
      <c r="G418" s="245">
        <v>1</v>
      </c>
      <c r="H418" s="247" t="s">
        <v>3968</v>
      </c>
      <c r="I418" s="190"/>
      <c r="J418" s="245" t="s">
        <v>3969</v>
      </c>
      <c r="K418" s="245" t="s">
        <v>3990</v>
      </c>
      <c r="L418" s="245">
        <v>6</v>
      </c>
    </row>
    <row r="419" spans="1:12">
      <c r="A419" s="41">
        <v>51000323</v>
      </c>
      <c r="B419" s="166">
        <v>45824</v>
      </c>
      <c r="C419" s="41" t="s">
        <v>103</v>
      </c>
      <c r="D419" s="41" t="s">
        <v>1543</v>
      </c>
      <c r="E419" s="41" t="s">
        <v>1544</v>
      </c>
      <c r="F419" s="245">
        <v>2</v>
      </c>
      <c r="G419" s="245">
        <v>0</v>
      </c>
      <c r="H419" s="247" t="s">
        <v>3968</v>
      </c>
      <c r="I419" s="190"/>
      <c r="J419" s="245" t="s">
        <v>3969</v>
      </c>
      <c r="K419" s="245" t="s">
        <v>3990</v>
      </c>
      <c r="L419" s="245">
        <v>6</v>
      </c>
    </row>
    <row r="420" spans="1:12">
      <c r="A420" s="41">
        <v>50000202</v>
      </c>
      <c r="B420" s="166">
        <v>45825</v>
      </c>
      <c r="C420" s="41" t="s">
        <v>93</v>
      </c>
      <c r="D420" s="41" t="s">
        <v>1547</v>
      </c>
      <c r="E420" s="41" t="s">
        <v>1548</v>
      </c>
      <c r="F420" s="245">
        <v>1</v>
      </c>
      <c r="G420" s="245">
        <v>0</v>
      </c>
      <c r="H420" s="247" t="s">
        <v>3968</v>
      </c>
      <c r="I420" s="190"/>
      <c r="J420" s="245" t="s">
        <v>3969</v>
      </c>
      <c r="K420" s="245" t="s">
        <v>3990</v>
      </c>
      <c r="L420" s="245">
        <v>6</v>
      </c>
    </row>
    <row r="421" spans="1:12">
      <c r="A421" s="41">
        <v>61000037</v>
      </c>
      <c r="B421" s="166">
        <v>45825</v>
      </c>
      <c r="C421" s="41" t="s">
        <v>515</v>
      </c>
      <c r="D421" s="41" t="s">
        <v>1551</v>
      </c>
      <c r="E421" s="41" t="s">
        <v>1552</v>
      </c>
      <c r="F421" s="245">
        <v>1</v>
      </c>
      <c r="G421" s="245">
        <v>0</v>
      </c>
      <c r="H421" s="247" t="s">
        <v>3968</v>
      </c>
      <c r="I421" s="190"/>
      <c r="J421" s="245" t="s">
        <v>3969</v>
      </c>
      <c r="K421" s="245" t="s">
        <v>3990</v>
      </c>
      <c r="L421" s="245">
        <v>6</v>
      </c>
    </row>
    <row r="422" spans="1:12">
      <c r="A422" s="41">
        <v>48500742</v>
      </c>
      <c r="B422" s="166">
        <v>45825</v>
      </c>
      <c r="C422" s="41" t="s">
        <v>4092</v>
      </c>
      <c r="D422" s="41" t="s">
        <v>1555</v>
      </c>
      <c r="E422" s="41" t="s">
        <v>1556</v>
      </c>
      <c r="F422" s="245">
        <v>1</v>
      </c>
      <c r="G422" s="245">
        <v>0</v>
      </c>
      <c r="H422" s="247" t="s">
        <v>3968</v>
      </c>
      <c r="I422" s="190"/>
      <c r="J422" s="245" t="s">
        <v>3969</v>
      </c>
      <c r="K422" s="245" t="s">
        <v>3990</v>
      </c>
      <c r="L422" s="245">
        <v>6</v>
      </c>
    </row>
    <row r="423" spans="1:12">
      <c r="A423" s="41">
        <v>60002072</v>
      </c>
      <c r="B423" s="165">
        <v>45831</v>
      </c>
      <c r="C423" s="41" t="s">
        <v>202</v>
      </c>
      <c r="D423" s="41" t="s">
        <v>1356</v>
      </c>
      <c r="E423" s="41" t="s">
        <v>1563</v>
      </c>
      <c r="F423" s="245">
        <v>8</v>
      </c>
      <c r="G423" s="245">
        <v>0</v>
      </c>
      <c r="H423" s="247" t="s">
        <v>3968</v>
      </c>
      <c r="I423" s="191"/>
      <c r="J423" s="245" t="s">
        <v>3969</v>
      </c>
      <c r="K423" s="245" t="s">
        <v>3990</v>
      </c>
      <c r="L423" s="245">
        <v>6</v>
      </c>
    </row>
    <row r="424" spans="1:12">
      <c r="A424" s="41">
        <v>60002072</v>
      </c>
      <c r="B424" s="165">
        <v>45831</v>
      </c>
      <c r="C424" s="41" t="s">
        <v>202</v>
      </c>
      <c r="D424" s="41" t="s">
        <v>1566</v>
      </c>
      <c r="E424" s="41" t="s">
        <v>1567</v>
      </c>
      <c r="F424" s="245">
        <v>2</v>
      </c>
      <c r="G424" s="245">
        <v>2</v>
      </c>
      <c r="H424" s="247" t="s">
        <v>3968</v>
      </c>
      <c r="I424" s="191"/>
      <c r="J424" s="245" t="s">
        <v>3969</v>
      </c>
      <c r="K424" s="245" t="s">
        <v>3990</v>
      </c>
      <c r="L424" s="245">
        <v>6</v>
      </c>
    </row>
    <row r="425" spans="1:12">
      <c r="A425" s="41">
        <v>50110372</v>
      </c>
      <c r="B425" s="166">
        <v>45831</v>
      </c>
      <c r="C425" s="41" t="s">
        <v>73</v>
      </c>
      <c r="D425" s="41" t="s">
        <v>130</v>
      </c>
      <c r="E425" s="41" t="s">
        <v>4093</v>
      </c>
      <c r="F425" s="245">
        <v>1</v>
      </c>
      <c r="G425" s="245">
        <v>0</v>
      </c>
      <c r="H425" s="247" t="s">
        <v>3968</v>
      </c>
      <c r="I425" s="191"/>
      <c r="J425" s="245" t="s">
        <v>3969</v>
      </c>
      <c r="K425" s="245" t="s">
        <v>3990</v>
      </c>
      <c r="L425" s="245">
        <v>6</v>
      </c>
    </row>
    <row r="426" spans="1:12">
      <c r="A426" s="41">
        <v>50000260</v>
      </c>
      <c r="B426" s="166">
        <v>45834</v>
      </c>
      <c r="C426" s="41" t="s">
        <v>4094</v>
      </c>
      <c r="D426" s="41" t="s">
        <v>1572</v>
      </c>
      <c r="E426" s="41" t="s">
        <v>1573</v>
      </c>
      <c r="F426" s="245">
        <v>2</v>
      </c>
      <c r="G426" s="245">
        <v>1</v>
      </c>
      <c r="H426" s="247" t="s">
        <v>3968</v>
      </c>
      <c r="I426" s="191"/>
      <c r="J426" s="245" t="s">
        <v>3969</v>
      </c>
      <c r="K426" s="245" t="s">
        <v>3990</v>
      </c>
      <c r="L426" s="245">
        <v>6</v>
      </c>
    </row>
    <row r="427" spans="1:12">
      <c r="A427" s="41">
        <v>50110193</v>
      </c>
      <c r="B427" s="166">
        <v>45834</v>
      </c>
      <c r="C427" s="41" t="s">
        <v>33</v>
      </c>
      <c r="D427" s="41" t="s">
        <v>887</v>
      </c>
      <c r="E427" s="41" t="s">
        <v>888</v>
      </c>
      <c r="F427" s="245">
        <v>1</v>
      </c>
      <c r="G427" s="245">
        <v>1</v>
      </c>
      <c r="H427" s="247" t="s">
        <v>3968</v>
      </c>
      <c r="I427" s="191"/>
      <c r="J427" s="245" t="s">
        <v>3969</v>
      </c>
      <c r="K427" s="245" t="s">
        <v>3990</v>
      </c>
      <c r="L427" s="245">
        <v>6</v>
      </c>
    </row>
    <row r="428" spans="1:12">
      <c r="A428" s="41">
        <v>51100110</v>
      </c>
      <c r="B428" s="166">
        <v>45834</v>
      </c>
      <c r="C428" s="41" t="s">
        <v>1106</v>
      </c>
      <c r="D428" s="41" t="s">
        <v>1578</v>
      </c>
      <c r="E428" s="41" t="s">
        <v>1579</v>
      </c>
      <c r="F428" s="245">
        <v>1</v>
      </c>
      <c r="G428" s="245">
        <v>0</v>
      </c>
      <c r="H428" s="247" t="s">
        <v>3968</v>
      </c>
      <c r="I428" s="191"/>
      <c r="J428" s="245" t="s">
        <v>3969</v>
      </c>
      <c r="K428" s="245" t="s">
        <v>3990</v>
      </c>
      <c r="L428" s="245">
        <v>6</v>
      </c>
    </row>
    <row r="429" spans="1:12">
      <c r="A429" s="41">
        <v>44000059</v>
      </c>
      <c r="B429" s="166">
        <v>45834</v>
      </c>
      <c r="C429" s="41" t="s">
        <v>63</v>
      </c>
      <c r="D429" s="41" t="s">
        <v>1439</v>
      </c>
      <c r="E429" s="41" t="s">
        <v>1582</v>
      </c>
      <c r="F429" s="245">
        <v>2</v>
      </c>
      <c r="G429" s="245">
        <v>2</v>
      </c>
      <c r="H429" s="247" t="s">
        <v>3968</v>
      </c>
      <c r="I429" s="191"/>
      <c r="J429" s="245" t="s">
        <v>3969</v>
      </c>
      <c r="K429" s="245" t="s">
        <v>3990</v>
      </c>
      <c r="L429" s="245">
        <v>6</v>
      </c>
    </row>
    <row r="430" spans="1:12">
      <c r="A430" s="41">
        <v>50110057</v>
      </c>
      <c r="B430" s="166">
        <v>45834</v>
      </c>
      <c r="C430" s="41" t="s">
        <v>181</v>
      </c>
      <c r="D430" s="41" t="s">
        <v>1174</v>
      </c>
      <c r="E430" s="41" t="s">
        <v>1322</v>
      </c>
      <c r="F430" s="245">
        <v>4</v>
      </c>
      <c r="G430" s="245">
        <v>0</v>
      </c>
      <c r="H430" s="247" t="s">
        <v>3968</v>
      </c>
      <c r="I430" s="191"/>
      <c r="J430" s="245" t="s">
        <v>3969</v>
      </c>
      <c r="K430" s="245" t="s">
        <v>3990</v>
      </c>
      <c r="L430" s="245">
        <v>6</v>
      </c>
    </row>
    <row r="431" spans="1:12">
      <c r="A431" s="41">
        <v>50110057</v>
      </c>
      <c r="B431" s="166">
        <v>45834</v>
      </c>
      <c r="C431" s="41" t="s">
        <v>181</v>
      </c>
      <c r="D431" s="41" t="s">
        <v>1226</v>
      </c>
      <c r="E431" s="41" t="s">
        <v>1227</v>
      </c>
      <c r="F431" s="245">
        <v>1</v>
      </c>
      <c r="G431" s="245">
        <v>0</v>
      </c>
      <c r="H431" s="247" t="s">
        <v>3968</v>
      </c>
      <c r="I431" s="191"/>
      <c r="J431" s="245" t="s">
        <v>3969</v>
      </c>
      <c r="K431" s="245" t="s">
        <v>3990</v>
      </c>
      <c r="L431" s="245">
        <v>6</v>
      </c>
    </row>
    <row r="432" spans="1:12">
      <c r="A432" s="41">
        <v>50110057</v>
      </c>
      <c r="B432" s="166">
        <v>45834</v>
      </c>
      <c r="C432" s="41" t="s">
        <v>181</v>
      </c>
      <c r="D432" s="41" t="s">
        <v>114</v>
      </c>
      <c r="E432" s="41" t="s">
        <v>270</v>
      </c>
      <c r="F432" s="245">
        <v>1</v>
      </c>
      <c r="G432" s="245">
        <v>0</v>
      </c>
      <c r="H432" s="247" t="s">
        <v>3968</v>
      </c>
      <c r="I432" s="191"/>
      <c r="J432" s="245" t="s">
        <v>3969</v>
      </c>
      <c r="K432" s="245" t="s">
        <v>3990</v>
      </c>
      <c r="L432" s="245">
        <v>6</v>
      </c>
    </row>
    <row r="433" spans="1:12">
      <c r="A433" s="41">
        <v>50110057</v>
      </c>
      <c r="B433" s="166">
        <v>45834</v>
      </c>
      <c r="C433" s="41" t="s">
        <v>181</v>
      </c>
      <c r="D433" s="41" t="s">
        <v>1585</v>
      </c>
      <c r="E433" s="41" t="s">
        <v>1586</v>
      </c>
      <c r="F433" s="245">
        <v>15</v>
      </c>
      <c r="G433" s="245">
        <v>0</v>
      </c>
      <c r="H433" s="247" t="s">
        <v>3968</v>
      </c>
      <c r="I433" s="191"/>
      <c r="J433" s="245" t="s">
        <v>3969</v>
      </c>
      <c r="K433" s="245" t="s">
        <v>3990</v>
      </c>
      <c r="L433" s="245">
        <v>6</v>
      </c>
    </row>
    <row r="434" spans="1:12">
      <c r="A434" s="41">
        <v>50110057</v>
      </c>
      <c r="B434" s="166">
        <v>45834</v>
      </c>
      <c r="C434" s="41" t="s">
        <v>181</v>
      </c>
      <c r="D434" s="41" t="s">
        <v>1587</v>
      </c>
      <c r="E434" s="41" t="s">
        <v>1588</v>
      </c>
      <c r="F434" s="245">
        <v>2</v>
      </c>
      <c r="G434" s="245">
        <v>0</v>
      </c>
      <c r="H434" s="247" t="s">
        <v>3968</v>
      </c>
      <c r="I434" s="191"/>
      <c r="J434" s="245" t="s">
        <v>3969</v>
      </c>
      <c r="K434" s="245" t="s">
        <v>3990</v>
      </c>
      <c r="L434" s="245">
        <v>6</v>
      </c>
    </row>
    <row r="435" spans="1:12">
      <c r="A435" s="41">
        <v>44000216</v>
      </c>
      <c r="B435" s="166">
        <v>45834</v>
      </c>
      <c r="C435" s="41" t="s">
        <v>54</v>
      </c>
      <c r="D435" s="41" t="s">
        <v>1591</v>
      </c>
      <c r="E435" s="41" t="s">
        <v>4095</v>
      </c>
      <c r="F435" s="245">
        <v>1</v>
      </c>
      <c r="G435" s="245">
        <v>1</v>
      </c>
      <c r="H435" s="247" t="s">
        <v>3968</v>
      </c>
      <c r="I435" s="191"/>
      <c r="J435" s="245" t="s">
        <v>3969</v>
      </c>
      <c r="K435" s="245" t="s">
        <v>3990</v>
      </c>
      <c r="L435" s="245">
        <v>6</v>
      </c>
    </row>
    <row r="436" spans="1:12">
      <c r="A436" s="41">
        <v>50110372</v>
      </c>
      <c r="B436" s="166">
        <v>45835</v>
      </c>
      <c r="C436" s="41" t="s">
        <v>73</v>
      </c>
      <c r="D436" s="41" t="s">
        <v>94</v>
      </c>
      <c r="E436" s="41" t="s">
        <v>162</v>
      </c>
      <c r="F436" s="245">
        <v>2</v>
      </c>
      <c r="G436" s="245">
        <v>2</v>
      </c>
      <c r="H436" s="247" t="s">
        <v>3968</v>
      </c>
      <c r="I436" s="191"/>
      <c r="J436" s="245" t="s">
        <v>3969</v>
      </c>
      <c r="K436" s="245" t="s">
        <v>3990</v>
      </c>
      <c r="L436" s="245">
        <v>6</v>
      </c>
    </row>
    <row r="437" spans="1:12">
      <c r="A437" s="41">
        <v>50110372</v>
      </c>
      <c r="B437" s="166">
        <v>45835</v>
      </c>
      <c r="C437" s="41" t="s">
        <v>73</v>
      </c>
      <c r="D437" s="41" t="s">
        <v>330</v>
      </c>
      <c r="E437" s="41" t="s">
        <v>1595</v>
      </c>
      <c r="F437" s="245">
        <v>1</v>
      </c>
      <c r="G437" s="245">
        <v>1</v>
      </c>
      <c r="H437" s="247" t="s">
        <v>3968</v>
      </c>
      <c r="I437" s="191"/>
      <c r="J437" s="245" t="s">
        <v>3969</v>
      </c>
      <c r="K437" s="245" t="s">
        <v>3990</v>
      </c>
      <c r="L437" s="245">
        <v>6</v>
      </c>
    </row>
    <row r="438" spans="1:12">
      <c r="A438" s="41">
        <v>51000174</v>
      </c>
      <c r="B438" s="166">
        <v>45835</v>
      </c>
      <c r="C438" s="41" t="s">
        <v>118</v>
      </c>
      <c r="D438" s="41" t="s">
        <v>130</v>
      </c>
      <c r="E438" s="41" t="s">
        <v>4096</v>
      </c>
      <c r="F438" s="245">
        <v>2</v>
      </c>
      <c r="G438" s="245">
        <v>2</v>
      </c>
      <c r="H438" s="247" t="s">
        <v>3968</v>
      </c>
      <c r="I438" s="191"/>
      <c r="J438" s="245" t="s">
        <v>3969</v>
      </c>
      <c r="K438" s="245" t="s">
        <v>3990</v>
      </c>
      <c r="L438" s="245">
        <v>6</v>
      </c>
    </row>
    <row r="439" spans="1:12">
      <c r="A439" s="41">
        <v>60002095</v>
      </c>
      <c r="B439" s="166">
        <v>45835</v>
      </c>
      <c r="C439" s="41" t="s">
        <v>73</v>
      </c>
      <c r="D439" s="41" t="s">
        <v>1600</v>
      </c>
      <c r="E439" s="41" t="s">
        <v>1601</v>
      </c>
      <c r="F439" s="245">
        <v>1</v>
      </c>
      <c r="G439" s="245">
        <v>1</v>
      </c>
      <c r="H439" s="247" t="s">
        <v>3968</v>
      </c>
      <c r="I439" s="191"/>
      <c r="J439" s="245" t="s">
        <v>3969</v>
      </c>
      <c r="K439" s="245" t="s">
        <v>3990</v>
      </c>
      <c r="L439" s="245">
        <v>6</v>
      </c>
    </row>
    <row r="440" spans="1:12">
      <c r="A440" s="41">
        <v>50110372</v>
      </c>
      <c r="B440" s="166">
        <v>45838</v>
      </c>
      <c r="C440" s="41" t="s">
        <v>73</v>
      </c>
      <c r="D440" s="41" t="s">
        <v>75</v>
      </c>
      <c r="E440" s="41" t="s">
        <v>76</v>
      </c>
      <c r="F440" s="245">
        <v>1</v>
      </c>
      <c r="G440" s="245">
        <v>1</v>
      </c>
      <c r="H440" s="247" t="s">
        <v>3968</v>
      </c>
      <c r="I440" s="191"/>
      <c r="J440" s="245" t="s">
        <v>3969</v>
      </c>
      <c r="K440" s="245" t="s">
        <v>3990</v>
      </c>
      <c r="L440" s="245">
        <v>6</v>
      </c>
    </row>
    <row r="441" spans="1:12" s="47" customFormat="1">
      <c r="A441" s="195">
        <v>50110193</v>
      </c>
      <c r="B441" s="194">
        <v>45838</v>
      </c>
      <c r="C441" s="195" t="s">
        <v>33</v>
      </c>
      <c r="D441" s="195" t="s">
        <v>1607</v>
      </c>
      <c r="E441" s="195" t="s">
        <v>1608</v>
      </c>
      <c r="F441" s="246">
        <v>1</v>
      </c>
      <c r="G441" s="246">
        <v>0</v>
      </c>
      <c r="H441" s="248" t="s">
        <v>3968</v>
      </c>
      <c r="I441" s="200"/>
      <c r="J441" s="246" t="s">
        <v>3969</v>
      </c>
      <c r="K441" s="246" t="s">
        <v>3990</v>
      </c>
      <c r="L441" s="246">
        <v>6</v>
      </c>
    </row>
    <row r="442" spans="1:12">
      <c r="A442" s="14">
        <v>50000351</v>
      </c>
      <c r="B442" s="26">
        <v>45852</v>
      </c>
      <c r="C442" s="14" t="s">
        <v>381</v>
      </c>
      <c r="D442" s="14" t="s">
        <v>1559</v>
      </c>
      <c r="E442" s="14" t="s">
        <v>1560</v>
      </c>
      <c r="F442" s="238">
        <v>1</v>
      </c>
      <c r="G442" s="238">
        <v>1</v>
      </c>
      <c r="H442" s="243" t="s">
        <v>3971</v>
      </c>
      <c r="I442" s="198"/>
      <c r="J442" s="262" t="s">
        <v>3969</v>
      </c>
      <c r="K442" s="238" t="s">
        <v>3990</v>
      </c>
      <c r="L442" s="245">
        <f>MONTH(B442)</f>
        <v>7</v>
      </c>
    </row>
    <row r="443" spans="1:12">
      <c r="A443" s="14">
        <v>50110261</v>
      </c>
      <c r="B443" s="26">
        <v>45839</v>
      </c>
      <c r="C443" s="14" t="s">
        <v>225</v>
      </c>
      <c r="D443" s="14" t="s">
        <v>245</v>
      </c>
      <c r="E443" s="14" t="s">
        <v>1612</v>
      </c>
      <c r="F443" s="238">
        <v>4</v>
      </c>
      <c r="G443" s="238">
        <v>4</v>
      </c>
      <c r="H443" s="247" t="s">
        <v>3968</v>
      </c>
      <c r="I443" s="198"/>
      <c r="J443" s="262" t="s">
        <v>3969</v>
      </c>
      <c r="K443" s="238" t="s">
        <v>3990</v>
      </c>
      <c r="L443" s="245">
        <f t="shared" ref="L443:L506" si="0">MONTH(B443)</f>
        <v>7</v>
      </c>
    </row>
    <row r="444" spans="1:12">
      <c r="A444" s="14">
        <v>50110261</v>
      </c>
      <c r="B444" s="26">
        <v>45839</v>
      </c>
      <c r="C444" s="14" t="s">
        <v>225</v>
      </c>
      <c r="D444" s="14" t="s">
        <v>1615</v>
      </c>
      <c r="E444" s="14" t="s">
        <v>1616</v>
      </c>
      <c r="F444" s="238">
        <v>1</v>
      </c>
      <c r="G444" s="238">
        <v>1</v>
      </c>
      <c r="H444" s="247" t="s">
        <v>3968</v>
      </c>
      <c r="I444" s="198"/>
      <c r="J444" s="262" t="s">
        <v>3969</v>
      </c>
      <c r="K444" s="238" t="s">
        <v>3990</v>
      </c>
      <c r="L444" s="245">
        <f t="shared" si="0"/>
        <v>7</v>
      </c>
    </row>
    <row r="445" spans="1:12">
      <c r="A445" s="14">
        <v>50110193</v>
      </c>
      <c r="B445" s="26">
        <v>45839</v>
      </c>
      <c r="C445" s="14" t="s">
        <v>33</v>
      </c>
      <c r="D445" s="14" t="s">
        <v>114</v>
      </c>
      <c r="E445" s="14" t="s">
        <v>1466</v>
      </c>
      <c r="F445" s="238">
        <v>1</v>
      </c>
      <c r="G445" s="238">
        <v>1</v>
      </c>
      <c r="H445" s="247" t="s">
        <v>3968</v>
      </c>
      <c r="I445" s="198"/>
      <c r="J445" s="262" t="s">
        <v>3969</v>
      </c>
      <c r="K445" s="238" t="s">
        <v>3990</v>
      </c>
      <c r="L445" s="245">
        <f t="shared" si="0"/>
        <v>7</v>
      </c>
    </row>
    <row r="446" spans="1:12">
      <c r="A446" s="14">
        <v>48300301</v>
      </c>
      <c r="B446" s="26">
        <v>45840</v>
      </c>
      <c r="C446" s="14" t="s">
        <v>63</v>
      </c>
      <c r="D446" s="14" t="s">
        <v>1621</v>
      </c>
      <c r="E446" s="14" t="s">
        <v>1622</v>
      </c>
      <c r="F446" s="238">
        <v>1</v>
      </c>
      <c r="G446" s="238">
        <v>1</v>
      </c>
      <c r="H446" s="247" t="s">
        <v>3968</v>
      </c>
      <c r="I446" s="198"/>
      <c r="J446" s="262" t="s">
        <v>3969</v>
      </c>
      <c r="K446" s="238" t="s">
        <v>3990</v>
      </c>
      <c r="L446" s="245">
        <f t="shared" si="0"/>
        <v>7</v>
      </c>
    </row>
    <row r="447" spans="1:12">
      <c r="A447" s="14">
        <v>48300301</v>
      </c>
      <c r="B447" s="26">
        <v>45840</v>
      </c>
      <c r="C447" s="14" t="s">
        <v>63</v>
      </c>
      <c r="D447" s="14" t="s">
        <v>736</v>
      </c>
      <c r="E447" s="14" t="s">
        <v>1145</v>
      </c>
      <c r="F447" s="238">
        <v>1</v>
      </c>
      <c r="G447" s="238">
        <v>1</v>
      </c>
      <c r="H447" s="247" t="s">
        <v>3968</v>
      </c>
      <c r="I447" s="198"/>
      <c r="J447" s="262" t="s">
        <v>3969</v>
      </c>
      <c r="K447" s="238" t="s">
        <v>3990</v>
      </c>
      <c r="L447" s="245">
        <f t="shared" si="0"/>
        <v>7</v>
      </c>
    </row>
    <row r="448" spans="1:12">
      <c r="A448" s="14">
        <v>50110229</v>
      </c>
      <c r="B448" s="26">
        <v>45841</v>
      </c>
      <c r="C448" s="14" t="s">
        <v>109</v>
      </c>
      <c r="D448" s="14" t="s">
        <v>1625</v>
      </c>
      <c r="E448" s="14" t="s">
        <v>1626</v>
      </c>
      <c r="F448" s="238">
        <v>1</v>
      </c>
      <c r="G448" s="238">
        <v>1</v>
      </c>
      <c r="H448" s="247" t="s">
        <v>3968</v>
      </c>
      <c r="I448" s="198"/>
      <c r="J448" s="262" t="s">
        <v>3969</v>
      </c>
      <c r="K448" s="238" t="s">
        <v>3990</v>
      </c>
      <c r="L448" s="245">
        <f t="shared" si="0"/>
        <v>7</v>
      </c>
    </row>
    <row r="449" spans="1:12">
      <c r="A449" s="14">
        <v>48300301</v>
      </c>
      <c r="B449" s="26">
        <v>45842</v>
      </c>
      <c r="C449" s="14" t="s">
        <v>63</v>
      </c>
      <c r="D449" s="14" t="s">
        <v>1629</v>
      </c>
      <c r="E449" s="14" t="s">
        <v>1630</v>
      </c>
      <c r="F449" s="238">
        <v>1</v>
      </c>
      <c r="G449" s="238">
        <v>1</v>
      </c>
      <c r="H449" s="247" t="s">
        <v>3968</v>
      </c>
      <c r="I449" s="198"/>
      <c r="J449" s="262" t="s">
        <v>3969</v>
      </c>
      <c r="K449" s="238" t="s">
        <v>3990</v>
      </c>
      <c r="L449" s="245">
        <f t="shared" si="0"/>
        <v>7</v>
      </c>
    </row>
    <row r="450" spans="1:12">
      <c r="A450" s="82">
        <v>50200003</v>
      </c>
      <c r="B450" s="196">
        <v>45841</v>
      </c>
      <c r="C450" s="82" t="s">
        <v>982</v>
      </c>
      <c r="D450" s="82" t="s">
        <v>4097</v>
      </c>
      <c r="E450" s="82" t="s">
        <v>4098</v>
      </c>
      <c r="F450" s="241">
        <v>1</v>
      </c>
      <c r="G450" s="238">
        <v>1</v>
      </c>
      <c r="H450" s="247" t="s">
        <v>3968</v>
      </c>
      <c r="I450" s="198"/>
      <c r="J450" s="262" t="s">
        <v>3969</v>
      </c>
      <c r="K450" s="238" t="s">
        <v>3990</v>
      </c>
      <c r="L450" s="245">
        <f t="shared" si="0"/>
        <v>7</v>
      </c>
    </row>
    <row r="451" spans="1:12">
      <c r="A451" s="14">
        <v>50000530</v>
      </c>
      <c r="B451" s="26">
        <v>45845</v>
      </c>
      <c r="C451" s="14" t="s">
        <v>79</v>
      </c>
      <c r="D451" s="14" t="s">
        <v>766</v>
      </c>
      <c r="E451" s="14" t="s">
        <v>4099</v>
      </c>
      <c r="F451" s="238">
        <v>1</v>
      </c>
      <c r="G451" s="238">
        <v>1</v>
      </c>
      <c r="H451" s="247" t="s">
        <v>3968</v>
      </c>
      <c r="I451" s="198"/>
      <c r="J451" s="262" t="s">
        <v>3969</v>
      </c>
      <c r="K451" s="238" t="s">
        <v>3990</v>
      </c>
      <c r="L451" s="245">
        <f t="shared" si="0"/>
        <v>7</v>
      </c>
    </row>
    <row r="452" spans="1:12">
      <c r="A452" s="14">
        <v>50000530</v>
      </c>
      <c r="B452" s="26">
        <v>45845</v>
      </c>
      <c r="C452" s="14" t="s">
        <v>79</v>
      </c>
      <c r="D452" s="14" t="s">
        <v>1637</v>
      </c>
      <c r="E452" s="14" t="s">
        <v>1638</v>
      </c>
      <c r="F452" s="238">
        <v>1</v>
      </c>
      <c r="G452" s="238">
        <v>1</v>
      </c>
      <c r="H452" s="247" t="s">
        <v>3968</v>
      </c>
      <c r="I452" s="198"/>
      <c r="J452" s="262" t="s">
        <v>3969</v>
      </c>
      <c r="K452" s="238" t="s">
        <v>3990</v>
      </c>
      <c r="L452" s="245">
        <f t="shared" si="0"/>
        <v>7</v>
      </c>
    </row>
    <row r="453" spans="1:12">
      <c r="A453" s="14">
        <v>48000482</v>
      </c>
      <c r="B453" s="26">
        <v>45846</v>
      </c>
      <c r="C453" s="14" t="s">
        <v>152</v>
      </c>
      <c r="D453" s="14" t="s">
        <v>1642</v>
      </c>
      <c r="E453" s="14" t="s">
        <v>1643</v>
      </c>
      <c r="F453" s="238">
        <v>1</v>
      </c>
      <c r="G453" s="238">
        <v>1</v>
      </c>
      <c r="H453" s="247" t="s">
        <v>3968</v>
      </c>
      <c r="I453" s="198"/>
      <c r="J453" s="262" t="s">
        <v>3969</v>
      </c>
      <c r="K453" s="238" t="s">
        <v>3990</v>
      </c>
      <c r="L453" s="245">
        <f t="shared" si="0"/>
        <v>7</v>
      </c>
    </row>
    <row r="454" spans="1:12">
      <c r="A454" s="14">
        <v>50110193</v>
      </c>
      <c r="B454" s="26">
        <v>45846</v>
      </c>
      <c r="C454" s="14" t="s">
        <v>33</v>
      </c>
      <c r="D454" s="14" t="s">
        <v>1646</v>
      </c>
      <c r="E454" s="14" t="s">
        <v>1647</v>
      </c>
      <c r="F454" s="238">
        <v>1</v>
      </c>
      <c r="G454" s="238">
        <v>1</v>
      </c>
      <c r="H454" s="247" t="s">
        <v>3968</v>
      </c>
      <c r="I454" s="198"/>
      <c r="J454" s="262" t="s">
        <v>3969</v>
      </c>
      <c r="K454" s="238" t="s">
        <v>3990</v>
      </c>
      <c r="L454" s="245">
        <f t="shared" si="0"/>
        <v>7</v>
      </c>
    </row>
    <row r="455" spans="1:12">
      <c r="A455" s="14">
        <v>50300129</v>
      </c>
      <c r="B455" s="26">
        <v>45846</v>
      </c>
      <c r="C455" s="14" t="s">
        <v>780</v>
      </c>
      <c r="D455" s="14" t="s">
        <v>114</v>
      </c>
      <c r="E455" s="14" t="s">
        <v>1650</v>
      </c>
      <c r="F455" s="238">
        <v>2</v>
      </c>
      <c r="G455" s="238">
        <v>2</v>
      </c>
      <c r="H455" s="247" t="s">
        <v>3968</v>
      </c>
      <c r="I455" s="198"/>
      <c r="J455" s="262" t="s">
        <v>3969</v>
      </c>
      <c r="K455" s="238" t="s">
        <v>3990</v>
      </c>
      <c r="L455" s="245">
        <f t="shared" si="0"/>
        <v>7</v>
      </c>
    </row>
    <row r="456" spans="1:12">
      <c r="A456" s="14">
        <v>50110229</v>
      </c>
      <c r="B456" s="26">
        <v>45846</v>
      </c>
      <c r="C456" s="14" t="s">
        <v>109</v>
      </c>
      <c r="D456" s="14" t="s">
        <v>1455</v>
      </c>
      <c r="E456" s="14" t="s">
        <v>1456</v>
      </c>
      <c r="F456" s="238">
        <v>1</v>
      </c>
      <c r="G456" s="238">
        <v>1</v>
      </c>
      <c r="H456" s="247" t="s">
        <v>3968</v>
      </c>
      <c r="I456" s="198"/>
      <c r="J456" s="262" t="s">
        <v>3969</v>
      </c>
      <c r="K456" s="238" t="s">
        <v>3990</v>
      </c>
      <c r="L456" s="245">
        <f t="shared" si="0"/>
        <v>7</v>
      </c>
    </row>
    <row r="457" spans="1:12">
      <c r="A457" s="14">
        <v>51000323</v>
      </c>
      <c r="B457" s="26">
        <v>45846</v>
      </c>
      <c r="C457" s="14" t="s">
        <v>103</v>
      </c>
      <c r="D457" s="14" t="s">
        <v>1655</v>
      </c>
      <c r="E457" s="14" t="s">
        <v>1299</v>
      </c>
      <c r="F457" s="238">
        <v>1</v>
      </c>
      <c r="G457" s="238">
        <v>1</v>
      </c>
      <c r="H457" s="247" t="s">
        <v>3968</v>
      </c>
      <c r="I457" s="198"/>
      <c r="J457" s="262" t="s">
        <v>3969</v>
      </c>
      <c r="K457" s="238" t="s">
        <v>3990</v>
      </c>
      <c r="L457" s="245">
        <f t="shared" si="0"/>
        <v>7</v>
      </c>
    </row>
    <row r="458" spans="1:12">
      <c r="A458" s="14">
        <v>51000323</v>
      </c>
      <c r="B458" s="26">
        <v>45846</v>
      </c>
      <c r="C458" s="14" t="s">
        <v>103</v>
      </c>
      <c r="D458" s="14" t="s">
        <v>1656</v>
      </c>
      <c r="E458" s="14" t="s">
        <v>1657</v>
      </c>
      <c r="F458" s="238">
        <v>1</v>
      </c>
      <c r="G458" s="238">
        <v>1</v>
      </c>
      <c r="H458" s="247" t="s">
        <v>3968</v>
      </c>
      <c r="I458" s="198"/>
      <c r="J458" s="262" t="s">
        <v>3969</v>
      </c>
      <c r="K458" s="238" t="s">
        <v>3990</v>
      </c>
      <c r="L458" s="245">
        <f t="shared" si="0"/>
        <v>7</v>
      </c>
    </row>
    <row r="459" spans="1:12">
      <c r="A459" s="14">
        <v>50110229</v>
      </c>
      <c r="B459" s="26">
        <v>45846</v>
      </c>
      <c r="C459" s="14" t="s">
        <v>109</v>
      </c>
      <c r="D459" s="14" t="s">
        <v>1660</v>
      </c>
      <c r="E459" s="14" t="s">
        <v>1661</v>
      </c>
      <c r="F459" s="238">
        <v>1</v>
      </c>
      <c r="G459" s="238">
        <v>1</v>
      </c>
      <c r="H459" s="247" t="s">
        <v>3968</v>
      </c>
      <c r="I459" s="198"/>
      <c r="J459" s="262" t="s">
        <v>3969</v>
      </c>
      <c r="K459" s="238" t="s">
        <v>3990</v>
      </c>
      <c r="L459" s="245">
        <f t="shared" si="0"/>
        <v>7</v>
      </c>
    </row>
    <row r="460" spans="1:12">
      <c r="A460" s="14">
        <v>50000260</v>
      </c>
      <c r="B460" s="26">
        <v>45848</v>
      </c>
      <c r="C460" s="14" t="s">
        <v>4100</v>
      </c>
      <c r="D460" s="14" t="s">
        <v>1664</v>
      </c>
      <c r="E460" s="14" t="s">
        <v>1409</v>
      </c>
      <c r="F460" s="238">
        <v>1</v>
      </c>
      <c r="G460" s="238">
        <v>1</v>
      </c>
      <c r="H460" s="247" t="s">
        <v>3968</v>
      </c>
      <c r="I460" s="198"/>
      <c r="J460" s="262" t="s">
        <v>3969</v>
      </c>
      <c r="K460" s="238" t="s">
        <v>3990</v>
      </c>
      <c r="L460" s="245">
        <f t="shared" si="0"/>
        <v>7</v>
      </c>
    </row>
    <row r="461" spans="1:12">
      <c r="A461" s="14">
        <v>50000260</v>
      </c>
      <c r="B461" s="26">
        <v>45848</v>
      </c>
      <c r="C461" s="14" t="s">
        <v>4100</v>
      </c>
      <c r="D461" s="14" t="s">
        <v>1410</v>
      </c>
      <c r="E461" s="14" t="s">
        <v>1411</v>
      </c>
      <c r="F461" s="238">
        <v>1</v>
      </c>
      <c r="G461" s="238">
        <v>1</v>
      </c>
      <c r="H461" s="247" t="s">
        <v>3968</v>
      </c>
      <c r="I461" s="198"/>
      <c r="J461" s="262" t="s">
        <v>3969</v>
      </c>
      <c r="K461" s="238" t="s">
        <v>3990</v>
      </c>
      <c r="L461" s="245">
        <f t="shared" si="0"/>
        <v>7</v>
      </c>
    </row>
    <row r="462" spans="1:12">
      <c r="A462" s="14">
        <v>50000260</v>
      </c>
      <c r="B462" s="26">
        <v>45848</v>
      </c>
      <c r="C462" s="14" t="s">
        <v>4100</v>
      </c>
      <c r="D462" s="14" t="s">
        <v>1665</v>
      </c>
      <c r="E462" s="14" t="s">
        <v>1666</v>
      </c>
      <c r="F462" s="238">
        <v>1</v>
      </c>
      <c r="G462" s="238">
        <v>1</v>
      </c>
      <c r="H462" s="247" t="s">
        <v>3968</v>
      </c>
      <c r="I462" s="198"/>
      <c r="J462" s="262" t="s">
        <v>3969</v>
      </c>
      <c r="K462" s="238" t="s">
        <v>3990</v>
      </c>
      <c r="L462" s="245">
        <f t="shared" si="0"/>
        <v>7</v>
      </c>
    </row>
    <row r="463" spans="1:12">
      <c r="A463" s="14">
        <v>50110193</v>
      </c>
      <c r="B463" s="26">
        <v>45849</v>
      </c>
      <c r="C463" s="14" t="s">
        <v>33</v>
      </c>
      <c r="D463" s="14" t="s">
        <v>358</v>
      </c>
      <c r="E463" s="14" t="s">
        <v>359</v>
      </c>
      <c r="F463" s="238">
        <v>1</v>
      </c>
      <c r="G463" s="238">
        <v>0</v>
      </c>
      <c r="H463" s="247" t="s">
        <v>3968</v>
      </c>
      <c r="I463" s="198"/>
      <c r="J463" s="262" t="s">
        <v>3969</v>
      </c>
      <c r="K463" s="238" t="s">
        <v>3990</v>
      </c>
      <c r="L463" s="245">
        <f t="shared" si="0"/>
        <v>7</v>
      </c>
    </row>
    <row r="464" spans="1:12">
      <c r="A464" s="14">
        <v>50110372</v>
      </c>
      <c r="B464" s="26">
        <v>45849</v>
      </c>
      <c r="C464" s="14" t="s">
        <v>73</v>
      </c>
      <c r="D464" s="14" t="s">
        <v>1671</v>
      </c>
      <c r="E464" s="14" t="s">
        <v>620</v>
      </c>
      <c r="F464" s="238">
        <v>1</v>
      </c>
      <c r="G464" s="238">
        <v>1</v>
      </c>
      <c r="H464" s="247" t="s">
        <v>3968</v>
      </c>
      <c r="I464" s="198"/>
      <c r="J464" s="262" t="s">
        <v>3969</v>
      </c>
      <c r="K464" s="238" t="s">
        <v>3990</v>
      </c>
      <c r="L464" s="245">
        <f t="shared" si="0"/>
        <v>7</v>
      </c>
    </row>
    <row r="465" spans="1:12">
      <c r="A465" s="14">
        <v>50110057</v>
      </c>
      <c r="B465" s="26">
        <v>45849</v>
      </c>
      <c r="C465" s="14" t="s">
        <v>181</v>
      </c>
      <c r="D465" s="14" t="s">
        <v>265</v>
      </c>
      <c r="E465" s="14" t="s">
        <v>1674</v>
      </c>
      <c r="F465" s="238">
        <v>2</v>
      </c>
      <c r="G465" s="238">
        <v>2</v>
      </c>
      <c r="H465" s="247" t="s">
        <v>3968</v>
      </c>
      <c r="I465" s="198"/>
      <c r="J465" s="262" t="s">
        <v>3969</v>
      </c>
      <c r="K465" s="238" t="s">
        <v>3990</v>
      </c>
      <c r="L465" s="245">
        <f t="shared" si="0"/>
        <v>7</v>
      </c>
    </row>
    <row r="466" spans="1:12">
      <c r="A466" s="14">
        <v>50110229</v>
      </c>
      <c r="B466" s="26">
        <v>45852</v>
      </c>
      <c r="C466" s="14" t="s">
        <v>109</v>
      </c>
      <c r="D466" s="14" t="s">
        <v>545</v>
      </c>
      <c r="E466" s="14" t="s">
        <v>1677</v>
      </c>
      <c r="F466" s="238">
        <v>1</v>
      </c>
      <c r="G466" s="238">
        <v>1</v>
      </c>
      <c r="H466" s="247" t="s">
        <v>3968</v>
      </c>
      <c r="I466" s="198"/>
      <c r="J466" s="262" t="s">
        <v>3969</v>
      </c>
      <c r="K466" s="238" t="s">
        <v>3990</v>
      </c>
      <c r="L466" s="245">
        <f t="shared" si="0"/>
        <v>7</v>
      </c>
    </row>
    <row r="467" spans="1:12">
      <c r="A467" s="14">
        <v>48300315</v>
      </c>
      <c r="B467" s="26">
        <v>45852</v>
      </c>
      <c r="C467" s="14" t="s">
        <v>54</v>
      </c>
      <c r="D467" s="14" t="s">
        <v>1680</v>
      </c>
      <c r="E467" s="14" t="s">
        <v>1681</v>
      </c>
      <c r="F467" s="238">
        <v>1</v>
      </c>
      <c r="G467" s="238">
        <v>1</v>
      </c>
      <c r="H467" s="247" t="s">
        <v>3968</v>
      </c>
      <c r="I467" s="198"/>
      <c r="J467" s="262" t="s">
        <v>3969</v>
      </c>
      <c r="K467" s="238" t="s">
        <v>3990</v>
      </c>
      <c r="L467" s="245">
        <f t="shared" si="0"/>
        <v>7</v>
      </c>
    </row>
    <row r="468" spans="1:12">
      <c r="A468" s="14">
        <v>48300315</v>
      </c>
      <c r="B468" s="26">
        <v>45852</v>
      </c>
      <c r="C468" s="14" t="s">
        <v>54</v>
      </c>
      <c r="D468" s="14" t="s">
        <v>1683</v>
      </c>
      <c r="E468" s="14" t="s">
        <v>1684</v>
      </c>
      <c r="F468" s="238">
        <v>1</v>
      </c>
      <c r="G468" s="238">
        <v>1</v>
      </c>
      <c r="H468" s="247" t="s">
        <v>3968</v>
      </c>
      <c r="I468" s="198"/>
      <c r="J468" s="262" t="s">
        <v>3969</v>
      </c>
      <c r="K468" s="238" t="s">
        <v>3990</v>
      </c>
      <c r="L468" s="245">
        <f t="shared" si="0"/>
        <v>7</v>
      </c>
    </row>
    <row r="469" spans="1:12">
      <c r="A469" s="14">
        <v>50000260</v>
      </c>
      <c r="B469" s="26">
        <v>45852</v>
      </c>
      <c r="C469" s="14" t="s">
        <v>85</v>
      </c>
      <c r="D469" s="14" t="s">
        <v>484</v>
      </c>
      <c r="E469" s="14" t="s">
        <v>485</v>
      </c>
      <c r="F469" s="238">
        <v>1</v>
      </c>
      <c r="G469" s="238">
        <v>1</v>
      </c>
      <c r="H469" s="247" t="s">
        <v>3968</v>
      </c>
      <c r="I469" s="198"/>
      <c r="J469" s="262" t="s">
        <v>3969</v>
      </c>
      <c r="K469" s="238" t="s">
        <v>3990</v>
      </c>
      <c r="L469" s="245">
        <f t="shared" si="0"/>
        <v>7</v>
      </c>
    </row>
    <row r="470" spans="1:12">
      <c r="A470" s="14">
        <v>50110193</v>
      </c>
      <c r="B470" s="26">
        <v>45852</v>
      </c>
      <c r="C470" s="14" t="s">
        <v>33</v>
      </c>
      <c r="D470" s="14" t="s">
        <v>727</v>
      </c>
      <c r="E470" s="14" t="s">
        <v>1689</v>
      </c>
      <c r="F470" s="238">
        <v>1</v>
      </c>
      <c r="G470" s="238">
        <v>1</v>
      </c>
      <c r="H470" s="247" t="s">
        <v>3968</v>
      </c>
      <c r="I470" s="198"/>
      <c r="J470" s="262" t="s">
        <v>3969</v>
      </c>
      <c r="K470" s="238" t="s">
        <v>3990</v>
      </c>
      <c r="L470" s="245">
        <f t="shared" si="0"/>
        <v>7</v>
      </c>
    </row>
    <row r="471" spans="1:12">
      <c r="A471" s="14">
        <v>48000044</v>
      </c>
      <c r="B471" s="26">
        <v>45852</v>
      </c>
      <c r="C471" s="14" t="s">
        <v>118</v>
      </c>
      <c r="D471" s="14" t="s">
        <v>542</v>
      </c>
      <c r="E471" s="14" t="s">
        <v>1692</v>
      </c>
      <c r="F471" s="238">
        <v>1</v>
      </c>
      <c r="G471" s="238">
        <v>1</v>
      </c>
      <c r="H471" s="247" t="s">
        <v>3968</v>
      </c>
      <c r="I471" s="198"/>
      <c r="J471" s="262" t="s">
        <v>3969</v>
      </c>
      <c r="K471" s="238" t="s">
        <v>3990</v>
      </c>
      <c r="L471" s="245">
        <f t="shared" si="0"/>
        <v>7</v>
      </c>
    </row>
    <row r="472" spans="1:12">
      <c r="A472" s="14">
        <v>44000216</v>
      </c>
      <c r="B472" s="26">
        <v>45852</v>
      </c>
      <c r="C472" s="14" t="s">
        <v>54</v>
      </c>
      <c r="D472" s="14" t="s">
        <v>174</v>
      </c>
      <c r="E472" s="14" t="s">
        <v>1695</v>
      </c>
      <c r="F472" s="238">
        <v>1</v>
      </c>
      <c r="G472" s="238">
        <v>1</v>
      </c>
      <c r="H472" s="247" t="s">
        <v>3968</v>
      </c>
      <c r="I472" s="198"/>
      <c r="J472" s="262" t="s">
        <v>3969</v>
      </c>
      <c r="K472" s="238" t="s">
        <v>3990</v>
      </c>
      <c r="L472" s="245">
        <f t="shared" si="0"/>
        <v>7</v>
      </c>
    </row>
    <row r="473" spans="1:12">
      <c r="A473" s="14">
        <v>48300315</v>
      </c>
      <c r="B473" s="26">
        <v>45852</v>
      </c>
      <c r="C473" s="14" t="s">
        <v>54</v>
      </c>
      <c r="D473" s="14" t="s">
        <v>369</v>
      </c>
      <c r="E473" s="14" t="s">
        <v>1698</v>
      </c>
      <c r="F473" s="238">
        <v>1</v>
      </c>
      <c r="G473" s="238">
        <v>1</v>
      </c>
      <c r="H473" s="247" t="s">
        <v>3968</v>
      </c>
      <c r="I473" s="198"/>
      <c r="J473" s="262" t="s">
        <v>3969</v>
      </c>
      <c r="K473" s="238" t="s">
        <v>3990</v>
      </c>
      <c r="L473" s="245">
        <f t="shared" si="0"/>
        <v>7</v>
      </c>
    </row>
    <row r="474" spans="1:12">
      <c r="A474" s="14">
        <v>60002072</v>
      </c>
      <c r="B474" s="26">
        <v>45852</v>
      </c>
      <c r="C474" s="14" t="s">
        <v>202</v>
      </c>
      <c r="D474" s="14" t="s">
        <v>820</v>
      </c>
      <c r="E474" s="14" t="s">
        <v>1701</v>
      </c>
      <c r="F474" s="238">
        <v>2</v>
      </c>
      <c r="G474" s="238">
        <v>2</v>
      </c>
      <c r="H474" s="247" t="s">
        <v>3968</v>
      </c>
      <c r="I474" s="198"/>
      <c r="J474" s="262" t="s">
        <v>3969</v>
      </c>
      <c r="K474" s="238" t="s">
        <v>3990</v>
      </c>
      <c r="L474" s="245">
        <f t="shared" si="0"/>
        <v>7</v>
      </c>
    </row>
    <row r="475" spans="1:12">
      <c r="A475" s="14">
        <v>60002072</v>
      </c>
      <c r="B475" s="26">
        <v>45852</v>
      </c>
      <c r="C475" s="14" t="s">
        <v>202</v>
      </c>
      <c r="D475" s="14" t="s">
        <v>1237</v>
      </c>
      <c r="E475" s="14" t="s">
        <v>1238</v>
      </c>
      <c r="F475" s="238">
        <v>3</v>
      </c>
      <c r="G475" s="238">
        <v>3</v>
      </c>
      <c r="H475" s="247" t="s">
        <v>3968</v>
      </c>
      <c r="I475" s="198"/>
      <c r="J475" s="262" t="s">
        <v>3969</v>
      </c>
      <c r="K475" s="238" t="s">
        <v>3990</v>
      </c>
      <c r="L475" s="245">
        <f t="shared" si="0"/>
        <v>7</v>
      </c>
    </row>
    <row r="476" spans="1:12">
      <c r="A476" s="14">
        <v>48300315</v>
      </c>
      <c r="B476" s="26">
        <v>45853</v>
      </c>
      <c r="C476" s="14" t="s">
        <v>54</v>
      </c>
      <c r="D476" s="14" t="s">
        <v>1704</v>
      </c>
      <c r="E476" s="14" t="s">
        <v>1705</v>
      </c>
      <c r="F476" s="238">
        <v>1</v>
      </c>
      <c r="G476" s="238">
        <v>0</v>
      </c>
      <c r="H476" s="247" t="s">
        <v>3968</v>
      </c>
      <c r="I476" s="198"/>
      <c r="J476" s="262" t="s">
        <v>3969</v>
      </c>
      <c r="K476" s="238" t="s">
        <v>3990</v>
      </c>
      <c r="L476" s="245">
        <f t="shared" si="0"/>
        <v>7</v>
      </c>
    </row>
    <row r="477" spans="1:12">
      <c r="A477" s="14">
        <v>51000136</v>
      </c>
      <c r="B477" s="26">
        <v>45855</v>
      </c>
      <c r="C477" s="14" t="s">
        <v>103</v>
      </c>
      <c r="D477" s="14" t="s">
        <v>1708</v>
      </c>
      <c r="E477" s="14" t="s">
        <v>1709</v>
      </c>
      <c r="F477" s="238">
        <v>1</v>
      </c>
      <c r="G477" s="238">
        <v>1</v>
      </c>
      <c r="H477" s="247" t="s">
        <v>3968</v>
      </c>
      <c r="I477" s="198"/>
      <c r="J477" s="262" t="s">
        <v>3969</v>
      </c>
      <c r="K477" s="238" t="s">
        <v>3990</v>
      </c>
      <c r="L477" s="245">
        <f t="shared" si="0"/>
        <v>7</v>
      </c>
    </row>
    <row r="478" spans="1:12">
      <c r="A478" s="14">
        <v>50110193</v>
      </c>
      <c r="B478" s="26">
        <v>45855</v>
      </c>
      <c r="C478" s="14" t="s">
        <v>33</v>
      </c>
      <c r="D478" s="14" t="s">
        <v>1712</v>
      </c>
      <c r="E478" s="14" t="s">
        <v>1713</v>
      </c>
      <c r="F478" s="238">
        <v>1</v>
      </c>
      <c r="G478" s="238">
        <v>1</v>
      </c>
      <c r="H478" s="247" t="s">
        <v>3968</v>
      </c>
      <c r="I478" s="198"/>
      <c r="J478" s="262" t="s">
        <v>3969</v>
      </c>
      <c r="K478" s="238" t="s">
        <v>3990</v>
      </c>
      <c r="L478" s="245">
        <f t="shared" si="0"/>
        <v>7</v>
      </c>
    </row>
    <row r="479" spans="1:12">
      <c r="A479" s="14">
        <v>50110193</v>
      </c>
      <c r="B479" s="26">
        <v>45855</v>
      </c>
      <c r="C479" s="14" t="s">
        <v>33</v>
      </c>
      <c r="D479" s="14" t="s">
        <v>134</v>
      </c>
      <c r="E479" s="14" t="s">
        <v>740</v>
      </c>
      <c r="F479" s="238">
        <v>1</v>
      </c>
      <c r="G479" s="238">
        <v>1</v>
      </c>
      <c r="H479" s="247" t="s">
        <v>3968</v>
      </c>
      <c r="I479" s="198"/>
      <c r="J479" s="262" t="s">
        <v>3969</v>
      </c>
      <c r="K479" s="238" t="s">
        <v>3990</v>
      </c>
      <c r="L479" s="245">
        <f t="shared" si="0"/>
        <v>7</v>
      </c>
    </row>
    <row r="480" spans="1:12">
      <c r="A480" s="14">
        <v>50110372</v>
      </c>
      <c r="B480" s="26">
        <v>45855</v>
      </c>
      <c r="C480" s="14" t="s">
        <v>73</v>
      </c>
      <c r="D480" s="14" t="s">
        <v>94</v>
      </c>
      <c r="E480" s="14" t="s">
        <v>1718</v>
      </c>
      <c r="F480" s="238">
        <v>1</v>
      </c>
      <c r="G480" s="238">
        <v>1</v>
      </c>
      <c r="H480" s="247" t="s">
        <v>3968</v>
      </c>
      <c r="I480" s="198"/>
      <c r="J480" s="262" t="s">
        <v>3969</v>
      </c>
      <c r="K480" s="238" t="s">
        <v>3990</v>
      </c>
      <c r="L480" s="245">
        <f t="shared" si="0"/>
        <v>7</v>
      </c>
    </row>
    <row r="481" spans="1:12">
      <c r="A481" s="14">
        <v>50110372</v>
      </c>
      <c r="B481" s="26">
        <v>45855</v>
      </c>
      <c r="C481" s="14" t="s">
        <v>73</v>
      </c>
      <c r="D481" s="14" t="s">
        <v>126</v>
      </c>
      <c r="E481" s="14" t="s">
        <v>127</v>
      </c>
      <c r="F481" s="238">
        <v>1</v>
      </c>
      <c r="G481" s="238">
        <v>1</v>
      </c>
      <c r="H481" s="247" t="s">
        <v>3968</v>
      </c>
      <c r="I481" s="198"/>
      <c r="J481" s="262" t="s">
        <v>3969</v>
      </c>
      <c r="K481" s="238" t="s">
        <v>3990</v>
      </c>
      <c r="L481" s="245">
        <f t="shared" si="0"/>
        <v>7</v>
      </c>
    </row>
    <row r="482" spans="1:12">
      <c r="A482" s="14">
        <v>50110372</v>
      </c>
      <c r="B482" s="26">
        <v>45855</v>
      </c>
      <c r="C482" s="14" t="s">
        <v>73</v>
      </c>
      <c r="D482" s="14" t="s">
        <v>130</v>
      </c>
      <c r="E482" s="14" t="s">
        <v>633</v>
      </c>
      <c r="F482" s="238">
        <v>2</v>
      </c>
      <c r="G482" s="238">
        <v>2</v>
      </c>
      <c r="H482" s="247" t="s">
        <v>3968</v>
      </c>
      <c r="I482" s="198"/>
      <c r="J482" s="262" t="s">
        <v>3969</v>
      </c>
      <c r="K482" s="238" t="s">
        <v>3990</v>
      </c>
      <c r="L482" s="245">
        <f t="shared" si="0"/>
        <v>7</v>
      </c>
    </row>
    <row r="483" spans="1:12">
      <c r="A483" s="14">
        <v>50110057</v>
      </c>
      <c r="B483" s="26">
        <v>45855</v>
      </c>
      <c r="C483" s="14" t="s">
        <v>181</v>
      </c>
      <c r="D483" s="14" t="s">
        <v>354</v>
      </c>
      <c r="E483" s="14" t="s">
        <v>1731</v>
      </c>
      <c r="F483" s="238">
        <v>1</v>
      </c>
      <c r="G483" s="238">
        <v>1</v>
      </c>
      <c r="H483" s="247" t="s">
        <v>3968</v>
      </c>
      <c r="I483" s="198"/>
      <c r="J483" s="262" t="s">
        <v>3969</v>
      </c>
      <c r="K483" s="238" t="s">
        <v>3990</v>
      </c>
      <c r="L483" s="245">
        <f t="shared" si="0"/>
        <v>7</v>
      </c>
    </row>
    <row r="484" spans="1:12">
      <c r="A484" s="14">
        <v>51000136</v>
      </c>
      <c r="B484" s="26">
        <v>45856</v>
      </c>
      <c r="C484" s="14" t="s">
        <v>103</v>
      </c>
      <c r="D484" s="14" t="s">
        <v>743</v>
      </c>
      <c r="E484" s="14" t="s">
        <v>1734</v>
      </c>
      <c r="F484" s="238">
        <v>1</v>
      </c>
      <c r="G484" s="238">
        <v>1</v>
      </c>
      <c r="H484" s="247" t="s">
        <v>3968</v>
      </c>
      <c r="I484" s="198"/>
      <c r="J484" s="262" t="s">
        <v>3969</v>
      </c>
      <c r="K484" s="238" t="s">
        <v>3990</v>
      </c>
      <c r="L484" s="245">
        <f t="shared" si="0"/>
        <v>7</v>
      </c>
    </row>
    <row r="485" spans="1:12">
      <c r="A485" s="14">
        <v>51100064</v>
      </c>
      <c r="B485" s="26">
        <v>45856</v>
      </c>
      <c r="C485" s="14" t="s">
        <v>4016</v>
      </c>
      <c r="D485" s="14" t="s">
        <v>130</v>
      </c>
      <c r="E485" s="14" t="s">
        <v>4101</v>
      </c>
      <c r="F485" s="238">
        <v>2</v>
      </c>
      <c r="G485" s="238">
        <v>2</v>
      </c>
      <c r="H485" s="247" t="s">
        <v>3968</v>
      </c>
      <c r="I485" s="198"/>
      <c r="J485" s="262" t="s">
        <v>3969</v>
      </c>
      <c r="K485" s="238" t="s">
        <v>3990</v>
      </c>
      <c r="L485" s="245">
        <f t="shared" si="0"/>
        <v>7</v>
      </c>
    </row>
    <row r="486" spans="1:12">
      <c r="A486" s="14">
        <v>51100064</v>
      </c>
      <c r="B486" s="26">
        <v>45856</v>
      </c>
      <c r="C486" s="14" t="s">
        <v>4016</v>
      </c>
      <c r="D486" s="14" t="s">
        <v>545</v>
      </c>
      <c r="E486" s="14" t="s">
        <v>1677</v>
      </c>
      <c r="F486" s="238">
        <v>1</v>
      </c>
      <c r="G486" s="238">
        <v>1</v>
      </c>
      <c r="H486" s="247" t="s">
        <v>3968</v>
      </c>
      <c r="I486" s="198"/>
      <c r="J486" s="262" t="s">
        <v>3969</v>
      </c>
      <c r="K486" s="238" t="s">
        <v>3990</v>
      </c>
      <c r="L486" s="245">
        <f t="shared" si="0"/>
        <v>7</v>
      </c>
    </row>
    <row r="487" spans="1:12">
      <c r="A487" s="14">
        <v>48000482</v>
      </c>
      <c r="B487" s="26">
        <v>45856</v>
      </c>
      <c r="C487" s="14" t="s">
        <v>152</v>
      </c>
      <c r="D487" s="14" t="s">
        <v>943</v>
      </c>
      <c r="E487" s="14" t="s">
        <v>1741</v>
      </c>
      <c r="F487" s="238">
        <v>1</v>
      </c>
      <c r="G487" s="238">
        <v>1</v>
      </c>
      <c r="H487" s="247" t="s">
        <v>3968</v>
      </c>
      <c r="I487" s="198"/>
      <c r="J487" s="262" t="s">
        <v>3969</v>
      </c>
      <c r="K487" s="238" t="s">
        <v>3990</v>
      </c>
      <c r="L487" s="245">
        <f t="shared" si="0"/>
        <v>7</v>
      </c>
    </row>
    <row r="488" spans="1:12">
      <c r="A488" s="14">
        <v>51000136</v>
      </c>
      <c r="B488" s="26">
        <v>45856</v>
      </c>
      <c r="C488" s="14" t="s">
        <v>103</v>
      </c>
      <c r="D488" s="14" t="s">
        <v>1070</v>
      </c>
      <c r="E488" s="14" t="s">
        <v>1744</v>
      </c>
      <c r="F488" s="238">
        <v>1</v>
      </c>
      <c r="G488" s="238">
        <v>1</v>
      </c>
      <c r="H488" s="247" t="s">
        <v>3968</v>
      </c>
      <c r="I488" s="198"/>
      <c r="J488" s="262" t="s">
        <v>3969</v>
      </c>
      <c r="K488" s="238" t="s">
        <v>3990</v>
      </c>
      <c r="L488" s="245">
        <f t="shared" si="0"/>
        <v>7</v>
      </c>
    </row>
    <row r="489" spans="1:12">
      <c r="A489" s="14">
        <v>44000010</v>
      </c>
      <c r="B489" s="26">
        <v>45856</v>
      </c>
      <c r="C489" s="14" t="s">
        <v>334</v>
      </c>
      <c r="D489" s="14" t="s">
        <v>1747</v>
      </c>
      <c r="E489" s="14" t="s">
        <v>1748</v>
      </c>
      <c r="F489" s="238">
        <v>1</v>
      </c>
      <c r="G489" s="238">
        <v>1</v>
      </c>
      <c r="H489" s="247" t="s">
        <v>3968</v>
      </c>
      <c r="I489" s="198"/>
      <c r="J489" s="262" t="s">
        <v>3969</v>
      </c>
      <c r="K489" s="238" t="s">
        <v>3990</v>
      </c>
      <c r="L489" s="245">
        <f t="shared" si="0"/>
        <v>7</v>
      </c>
    </row>
    <row r="490" spans="1:12">
      <c r="A490" s="14">
        <v>44000010</v>
      </c>
      <c r="B490" s="26">
        <v>45856</v>
      </c>
      <c r="C490" s="14" t="s">
        <v>334</v>
      </c>
      <c r="D490" s="14" t="s">
        <v>1749</v>
      </c>
      <c r="E490" s="14" t="s">
        <v>1750</v>
      </c>
      <c r="F490" s="238">
        <v>1</v>
      </c>
      <c r="G490" s="238">
        <v>1</v>
      </c>
      <c r="H490" s="247" t="s">
        <v>3968</v>
      </c>
      <c r="I490" s="198"/>
      <c r="J490" s="262" t="s">
        <v>3969</v>
      </c>
      <c r="K490" s="238" t="s">
        <v>3990</v>
      </c>
      <c r="L490" s="245">
        <f t="shared" si="0"/>
        <v>7</v>
      </c>
    </row>
    <row r="491" spans="1:12">
      <c r="A491" s="14">
        <v>50000260</v>
      </c>
      <c r="B491" s="26">
        <v>45859</v>
      </c>
      <c r="C491" s="14" t="s">
        <v>85</v>
      </c>
      <c r="D491" s="14" t="s">
        <v>1753</v>
      </c>
      <c r="E491" s="14" t="s">
        <v>1754</v>
      </c>
      <c r="F491" s="238">
        <v>1</v>
      </c>
      <c r="G491" s="238">
        <v>1</v>
      </c>
      <c r="H491" s="247" t="s">
        <v>3968</v>
      </c>
      <c r="I491" s="198"/>
      <c r="J491" s="262" t="s">
        <v>3969</v>
      </c>
      <c r="K491" s="238" t="s">
        <v>3990</v>
      </c>
      <c r="L491" s="245">
        <f t="shared" si="0"/>
        <v>7</v>
      </c>
    </row>
    <row r="492" spans="1:12">
      <c r="A492" s="14">
        <v>48500616</v>
      </c>
      <c r="B492" s="26">
        <v>45859</v>
      </c>
      <c r="C492" s="14" t="s">
        <v>569</v>
      </c>
      <c r="D492" s="14" t="s">
        <v>1555</v>
      </c>
      <c r="E492" s="14" t="s">
        <v>1556</v>
      </c>
      <c r="F492" s="238">
        <v>1</v>
      </c>
      <c r="G492" s="238">
        <v>1</v>
      </c>
      <c r="H492" s="247" t="s">
        <v>3968</v>
      </c>
      <c r="I492" s="198"/>
      <c r="J492" s="262" t="s">
        <v>3969</v>
      </c>
      <c r="K492" s="238" t="s">
        <v>3990</v>
      </c>
      <c r="L492" s="245">
        <f t="shared" si="0"/>
        <v>7</v>
      </c>
    </row>
    <row r="493" spans="1:12">
      <c r="A493" s="14">
        <v>51100064</v>
      </c>
      <c r="B493" s="26">
        <v>45860</v>
      </c>
      <c r="C493" s="14" t="s">
        <v>4016</v>
      </c>
      <c r="D493" s="14" t="s">
        <v>928</v>
      </c>
      <c r="E493" s="14" t="s">
        <v>929</v>
      </c>
      <c r="F493" s="238">
        <v>1</v>
      </c>
      <c r="G493" s="238">
        <v>1</v>
      </c>
      <c r="H493" s="243" t="s">
        <v>3971</v>
      </c>
      <c r="I493" s="198"/>
      <c r="J493" s="262" t="s">
        <v>3969</v>
      </c>
      <c r="K493" s="238" t="s">
        <v>3990</v>
      </c>
      <c r="L493" s="245">
        <f t="shared" si="0"/>
        <v>7</v>
      </c>
    </row>
    <row r="494" spans="1:12">
      <c r="A494" s="14">
        <v>60002072</v>
      </c>
      <c r="B494" s="26">
        <v>45861</v>
      </c>
      <c r="C494" s="14" t="s">
        <v>202</v>
      </c>
      <c r="D494" s="14" t="s">
        <v>1767</v>
      </c>
      <c r="E494" s="14" t="s">
        <v>1768</v>
      </c>
      <c r="F494" s="238">
        <v>1</v>
      </c>
      <c r="G494" s="238">
        <v>1</v>
      </c>
      <c r="H494" s="247" t="s">
        <v>3968</v>
      </c>
      <c r="I494" s="198"/>
      <c r="J494" s="262" t="s">
        <v>3969</v>
      </c>
      <c r="K494" s="238" t="s">
        <v>3990</v>
      </c>
      <c r="L494" s="245">
        <f t="shared" si="0"/>
        <v>7</v>
      </c>
    </row>
    <row r="495" spans="1:12">
      <c r="A495" s="14">
        <v>50110229</v>
      </c>
      <c r="B495" s="26">
        <v>45861</v>
      </c>
      <c r="C495" s="14" t="s">
        <v>109</v>
      </c>
      <c r="D495" s="14" t="s">
        <v>1772</v>
      </c>
      <c r="E495" s="14" t="s">
        <v>1773</v>
      </c>
      <c r="F495" s="238">
        <v>1</v>
      </c>
      <c r="G495" s="238">
        <v>1</v>
      </c>
      <c r="H495" s="247" t="s">
        <v>3968</v>
      </c>
      <c r="I495" s="198"/>
      <c r="J495" s="262" t="s">
        <v>3969</v>
      </c>
      <c r="K495" s="238" t="s">
        <v>3990</v>
      </c>
      <c r="L495" s="245">
        <f t="shared" si="0"/>
        <v>7</v>
      </c>
    </row>
    <row r="496" spans="1:12">
      <c r="A496" s="14">
        <v>51000136</v>
      </c>
      <c r="B496" s="26">
        <v>45861</v>
      </c>
      <c r="C496" s="14" t="s">
        <v>103</v>
      </c>
      <c r="D496" s="14" t="s">
        <v>939</v>
      </c>
      <c r="E496" s="14" t="s">
        <v>1778</v>
      </c>
      <c r="F496" s="238">
        <v>1</v>
      </c>
      <c r="G496" s="238">
        <v>1</v>
      </c>
      <c r="H496" s="247" t="s">
        <v>3968</v>
      </c>
      <c r="I496" s="198"/>
      <c r="J496" s="262" t="s">
        <v>3969</v>
      </c>
      <c r="K496" s="238" t="s">
        <v>3990</v>
      </c>
      <c r="L496" s="245">
        <f t="shared" si="0"/>
        <v>7</v>
      </c>
    </row>
    <row r="497" spans="1:12">
      <c r="A497" s="14">
        <v>50000260</v>
      </c>
      <c r="B497" s="26">
        <v>45862</v>
      </c>
      <c r="C497" s="14" t="s">
        <v>85</v>
      </c>
      <c r="D497" s="14" t="s">
        <v>75</v>
      </c>
      <c r="E497" s="14" t="s">
        <v>1781</v>
      </c>
      <c r="F497" s="238">
        <v>1</v>
      </c>
      <c r="G497" s="238">
        <v>0</v>
      </c>
      <c r="H497" s="247" t="s">
        <v>3968</v>
      </c>
      <c r="I497" s="198"/>
      <c r="J497" s="262" t="s">
        <v>3969</v>
      </c>
      <c r="K497" s="238" t="s">
        <v>3990</v>
      </c>
      <c r="L497" s="245">
        <f t="shared" si="0"/>
        <v>7</v>
      </c>
    </row>
    <row r="498" spans="1:12">
      <c r="A498" s="14">
        <v>46000018</v>
      </c>
      <c r="B498" s="26">
        <v>45862</v>
      </c>
      <c r="C498" s="14" t="s">
        <v>982</v>
      </c>
      <c r="D498" s="14" t="s">
        <v>856</v>
      </c>
      <c r="E498" s="14" t="s">
        <v>1784</v>
      </c>
      <c r="F498" s="238">
        <v>1</v>
      </c>
      <c r="G498" s="238">
        <v>1</v>
      </c>
      <c r="H498" s="247" t="s">
        <v>3968</v>
      </c>
      <c r="I498" s="198"/>
      <c r="J498" s="262" t="s">
        <v>3969</v>
      </c>
      <c r="K498" s="238" t="s">
        <v>3990</v>
      </c>
      <c r="L498" s="245">
        <f t="shared" si="0"/>
        <v>7</v>
      </c>
    </row>
    <row r="499" spans="1:12">
      <c r="A499" s="14">
        <v>50110193</v>
      </c>
      <c r="B499" s="26">
        <v>45863</v>
      </c>
      <c r="C499" s="14" t="s">
        <v>33</v>
      </c>
      <c r="D499" s="14" t="s">
        <v>136</v>
      </c>
      <c r="E499" s="14" t="s">
        <v>4102</v>
      </c>
      <c r="F499" s="238">
        <v>1</v>
      </c>
      <c r="G499" s="238">
        <v>1</v>
      </c>
      <c r="H499" s="247" t="s">
        <v>3968</v>
      </c>
      <c r="I499" s="198"/>
      <c r="J499" s="262" t="s">
        <v>3969</v>
      </c>
      <c r="K499" s="238" t="s">
        <v>3990</v>
      </c>
      <c r="L499" s="245">
        <f t="shared" si="0"/>
        <v>7</v>
      </c>
    </row>
    <row r="500" spans="1:12">
      <c r="A500" s="14">
        <v>50300097</v>
      </c>
      <c r="B500" s="26">
        <v>45863</v>
      </c>
      <c r="C500" s="14" t="s">
        <v>445</v>
      </c>
      <c r="D500" s="14" t="s">
        <v>464</v>
      </c>
      <c r="E500" s="14" t="s">
        <v>1789</v>
      </c>
      <c r="F500" s="238">
        <v>1</v>
      </c>
      <c r="G500" s="238">
        <v>1</v>
      </c>
      <c r="H500" s="247" t="s">
        <v>3968</v>
      </c>
      <c r="I500" s="198"/>
      <c r="J500" s="262" t="s">
        <v>3969</v>
      </c>
      <c r="K500" s="238" t="s">
        <v>3990</v>
      </c>
      <c r="L500" s="245">
        <f t="shared" si="0"/>
        <v>7</v>
      </c>
    </row>
    <row r="501" spans="1:12">
      <c r="A501" s="14">
        <v>48300301</v>
      </c>
      <c r="B501" s="26">
        <v>45863</v>
      </c>
      <c r="C501" s="14" t="s">
        <v>63</v>
      </c>
      <c r="D501" s="14" t="s">
        <v>335</v>
      </c>
      <c r="E501" s="14" t="s">
        <v>1136</v>
      </c>
      <c r="F501" s="238">
        <v>1</v>
      </c>
      <c r="G501" s="238">
        <v>1</v>
      </c>
      <c r="H501" s="247" t="s">
        <v>3968</v>
      </c>
      <c r="I501" s="198"/>
      <c r="J501" s="262" t="s">
        <v>3969</v>
      </c>
      <c r="K501" s="238" t="s">
        <v>3990</v>
      </c>
      <c r="L501" s="245">
        <f t="shared" si="0"/>
        <v>7</v>
      </c>
    </row>
    <row r="502" spans="1:12">
      <c r="A502" s="14">
        <v>48300301</v>
      </c>
      <c r="B502" s="26">
        <v>45863</v>
      </c>
      <c r="C502" s="14" t="s">
        <v>63</v>
      </c>
      <c r="D502" s="14" t="s">
        <v>1792</v>
      </c>
      <c r="E502" s="14" t="s">
        <v>1705</v>
      </c>
      <c r="F502" s="238">
        <v>1</v>
      </c>
      <c r="G502" s="238">
        <v>1</v>
      </c>
      <c r="H502" s="247" t="s">
        <v>3968</v>
      </c>
      <c r="I502" s="198"/>
      <c r="J502" s="262" t="s">
        <v>3969</v>
      </c>
      <c r="K502" s="238" t="s">
        <v>3990</v>
      </c>
      <c r="L502" s="245">
        <f t="shared" si="0"/>
        <v>7</v>
      </c>
    </row>
    <row r="503" spans="1:12">
      <c r="A503" s="14">
        <v>48000432</v>
      </c>
      <c r="B503" s="26">
        <v>45863</v>
      </c>
      <c r="C503" s="14" t="s">
        <v>63</v>
      </c>
      <c r="D503" s="14" t="s">
        <v>1629</v>
      </c>
      <c r="E503" s="14" t="s">
        <v>1795</v>
      </c>
      <c r="F503" s="238">
        <v>1</v>
      </c>
      <c r="G503" s="238">
        <v>1</v>
      </c>
      <c r="H503" s="243" t="s">
        <v>3968</v>
      </c>
      <c r="I503" s="198"/>
      <c r="J503" s="262" t="s">
        <v>3969</v>
      </c>
      <c r="K503" s="238" t="s">
        <v>3990</v>
      </c>
      <c r="L503" s="245">
        <f t="shared" si="0"/>
        <v>7</v>
      </c>
    </row>
    <row r="504" spans="1:12">
      <c r="A504" s="14">
        <v>51000323</v>
      </c>
      <c r="B504" s="26">
        <v>45863</v>
      </c>
      <c r="C504" s="14" t="s">
        <v>103</v>
      </c>
      <c r="D504" s="14" t="s">
        <v>130</v>
      </c>
      <c r="E504" s="14" t="s">
        <v>633</v>
      </c>
      <c r="F504" s="238">
        <v>2</v>
      </c>
      <c r="G504" s="238">
        <v>2</v>
      </c>
      <c r="H504" s="243" t="s">
        <v>3968</v>
      </c>
      <c r="I504" s="198"/>
      <c r="J504" s="262" t="s">
        <v>3969</v>
      </c>
      <c r="K504" s="238" t="s">
        <v>3990</v>
      </c>
      <c r="L504" s="245">
        <f t="shared" si="0"/>
        <v>7</v>
      </c>
    </row>
    <row r="505" spans="1:12">
      <c r="A505" s="14">
        <v>48300253</v>
      </c>
      <c r="B505" s="26">
        <v>45866</v>
      </c>
      <c r="C505" s="14" t="s">
        <v>192</v>
      </c>
      <c r="D505" s="14" t="s">
        <v>1800</v>
      </c>
      <c r="E505" s="14" t="s">
        <v>1801</v>
      </c>
      <c r="F505" s="238">
        <v>1</v>
      </c>
      <c r="G505" s="238">
        <v>0</v>
      </c>
      <c r="H505" s="243" t="s">
        <v>3968</v>
      </c>
      <c r="I505" s="198"/>
      <c r="J505" s="262" t="s">
        <v>3969</v>
      </c>
      <c r="K505" s="238" t="s">
        <v>3990</v>
      </c>
      <c r="L505" s="245">
        <f t="shared" si="0"/>
        <v>7</v>
      </c>
    </row>
    <row r="506" spans="1:12">
      <c r="A506" s="14">
        <v>50000530</v>
      </c>
      <c r="B506" s="26">
        <v>45866</v>
      </c>
      <c r="C506" s="14" t="s">
        <v>79</v>
      </c>
      <c r="D506" s="14" t="s">
        <v>165</v>
      </c>
      <c r="E506" s="14" t="s">
        <v>166</v>
      </c>
      <c r="F506" s="238">
        <v>1</v>
      </c>
      <c r="G506" s="238">
        <v>1</v>
      </c>
      <c r="H506" s="243" t="s">
        <v>3968</v>
      </c>
      <c r="I506" s="198"/>
      <c r="J506" s="262" t="s">
        <v>3969</v>
      </c>
      <c r="K506" s="238" t="s">
        <v>3990</v>
      </c>
      <c r="L506" s="245">
        <f t="shared" si="0"/>
        <v>7</v>
      </c>
    </row>
    <row r="507" spans="1:12">
      <c r="A507" s="14">
        <v>60002072</v>
      </c>
      <c r="B507" s="26">
        <v>45866</v>
      </c>
      <c r="C507" s="14" t="s">
        <v>202</v>
      </c>
      <c r="D507" s="14" t="s">
        <v>134</v>
      </c>
      <c r="E507" s="14" t="s">
        <v>1806</v>
      </c>
      <c r="F507" s="238">
        <v>1</v>
      </c>
      <c r="G507" s="238">
        <v>1</v>
      </c>
      <c r="H507" s="243" t="s">
        <v>3968</v>
      </c>
      <c r="I507" s="198"/>
      <c r="J507" s="262" t="s">
        <v>3969</v>
      </c>
      <c r="K507" s="238" t="s">
        <v>3990</v>
      </c>
      <c r="L507" s="245">
        <f t="shared" ref="L507:L570" si="1">MONTH(B507)</f>
        <v>7</v>
      </c>
    </row>
    <row r="508" spans="1:12">
      <c r="A508" s="14">
        <v>60002072</v>
      </c>
      <c r="B508" s="26">
        <v>45866</v>
      </c>
      <c r="C508" s="14" t="s">
        <v>202</v>
      </c>
      <c r="D508" s="14" t="s">
        <v>4103</v>
      </c>
      <c r="E508" s="14" t="s">
        <v>137</v>
      </c>
      <c r="F508" s="238">
        <v>1</v>
      </c>
      <c r="G508" s="238">
        <v>1</v>
      </c>
      <c r="H508" s="243" t="s">
        <v>3968</v>
      </c>
      <c r="I508" s="198"/>
      <c r="J508" s="262" t="s">
        <v>3969</v>
      </c>
      <c r="K508" s="238" t="s">
        <v>3990</v>
      </c>
      <c r="L508" s="245">
        <f t="shared" si="1"/>
        <v>7</v>
      </c>
    </row>
    <row r="509" spans="1:12">
      <c r="A509" s="14">
        <v>50110057</v>
      </c>
      <c r="B509" s="26">
        <v>45867</v>
      </c>
      <c r="C509" s="14" t="s">
        <v>181</v>
      </c>
      <c r="D509" s="14" t="s">
        <v>35</v>
      </c>
      <c r="E509" s="14" t="s">
        <v>1809</v>
      </c>
      <c r="F509" s="238">
        <v>1</v>
      </c>
      <c r="G509" s="238">
        <v>0</v>
      </c>
      <c r="H509" s="243" t="s">
        <v>3971</v>
      </c>
      <c r="I509" s="198"/>
      <c r="J509" s="262" t="s">
        <v>3969</v>
      </c>
      <c r="K509" s="238" t="s">
        <v>3990</v>
      </c>
      <c r="L509" s="245">
        <f t="shared" si="1"/>
        <v>7</v>
      </c>
    </row>
    <row r="510" spans="1:12">
      <c r="A510" s="14">
        <v>50110057</v>
      </c>
      <c r="B510" s="26">
        <v>45867</v>
      </c>
      <c r="C510" s="14" t="s">
        <v>181</v>
      </c>
      <c r="D510" s="14" t="s">
        <v>1503</v>
      </c>
      <c r="E510" s="14" t="s">
        <v>1810</v>
      </c>
      <c r="F510" s="238">
        <v>1</v>
      </c>
      <c r="G510" s="238">
        <v>0</v>
      </c>
      <c r="H510" s="243" t="s">
        <v>3968</v>
      </c>
      <c r="I510" s="198"/>
      <c r="J510" s="262" t="s">
        <v>3969</v>
      </c>
      <c r="K510" s="238" t="s">
        <v>3990</v>
      </c>
      <c r="L510" s="245">
        <f t="shared" si="1"/>
        <v>7</v>
      </c>
    </row>
    <row r="511" spans="1:12">
      <c r="A511" s="14">
        <v>50110057</v>
      </c>
      <c r="B511" s="26">
        <v>45867</v>
      </c>
      <c r="C511" s="14" t="s">
        <v>181</v>
      </c>
      <c r="D511" s="14" t="s">
        <v>1811</v>
      </c>
      <c r="E511" s="14" t="s">
        <v>1812</v>
      </c>
      <c r="F511" s="238">
        <v>1</v>
      </c>
      <c r="G511" s="238">
        <v>1</v>
      </c>
      <c r="H511" s="243" t="s">
        <v>3968</v>
      </c>
      <c r="I511" s="198"/>
      <c r="J511" s="262" t="s">
        <v>3969</v>
      </c>
      <c r="K511" s="238" t="s">
        <v>3990</v>
      </c>
      <c r="L511" s="245">
        <f t="shared" si="1"/>
        <v>7</v>
      </c>
    </row>
    <row r="512" spans="1:12">
      <c r="A512" s="14">
        <v>50110057</v>
      </c>
      <c r="B512" s="26">
        <v>45867</v>
      </c>
      <c r="C512" s="14" t="s">
        <v>181</v>
      </c>
      <c r="D512" s="14" t="s">
        <v>1813</v>
      </c>
      <c r="E512" s="14" t="s">
        <v>592</v>
      </c>
      <c r="F512" s="238">
        <v>1</v>
      </c>
      <c r="G512" s="238">
        <v>0</v>
      </c>
      <c r="H512" s="243" t="s">
        <v>3971</v>
      </c>
      <c r="I512" s="198"/>
      <c r="J512" s="262" t="s">
        <v>3969</v>
      </c>
      <c r="K512" s="238" t="s">
        <v>3990</v>
      </c>
      <c r="L512" s="245">
        <f t="shared" si="1"/>
        <v>7</v>
      </c>
    </row>
    <row r="513" spans="1:12">
      <c r="A513" s="14">
        <v>50110057</v>
      </c>
      <c r="B513" s="26">
        <v>45867</v>
      </c>
      <c r="C513" s="14" t="s">
        <v>181</v>
      </c>
      <c r="D513" s="14" t="s">
        <v>1814</v>
      </c>
      <c r="E513" s="14" t="s">
        <v>1815</v>
      </c>
      <c r="F513" s="238">
        <v>1</v>
      </c>
      <c r="G513" s="238">
        <v>1</v>
      </c>
      <c r="H513" s="243" t="s">
        <v>3968</v>
      </c>
      <c r="I513" s="198"/>
      <c r="J513" s="262" t="s">
        <v>3969</v>
      </c>
      <c r="K513" s="238" t="s">
        <v>3990</v>
      </c>
      <c r="L513" s="245">
        <f t="shared" si="1"/>
        <v>7</v>
      </c>
    </row>
    <row r="514" spans="1:12">
      <c r="A514" s="14">
        <v>48300253</v>
      </c>
      <c r="B514" s="26">
        <v>45867</v>
      </c>
      <c r="C514" s="14" t="s">
        <v>192</v>
      </c>
      <c r="D514" s="14" t="s">
        <v>1818</v>
      </c>
      <c r="E514" s="14" t="s">
        <v>1819</v>
      </c>
      <c r="F514" s="238">
        <v>1</v>
      </c>
      <c r="G514" s="238">
        <v>1</v>
      </c>
      <c r="H514" s="243" t="s">
        <v>3968</v>
      </c>
      <c r="I514" s="198"/>
      <c r="J514" s="262" t="s">
        <v>3969</v>
      </c>
      <c r="K514" s="238" t="s">
        <v>3990</v>
      </c>
      <c r="L514" s="245">
        <f t="shared" si="1"/>
        <v>7</v>
      </c>
    </row>
    <row r="515" spans="1:12">
      <c r="A515" s="14">
        <v>50300129</v>
      </c>
      <c r="B515" s="26">
        <v>45870</v>
      </c>
      <c r="C515" s="14" t="s">
        <v>780</v>
      </c>
      <c r="D515" s="14" t="s">
        <v>1826</v>
      </c>
      <c r="E515" s="14" t="s">
        <v>1827</v>
      </c>
      <c r="F515" s="238">
        <v>1</v>
      </c>
      <c r="G515" s="238">
        <v>0</v>
      </c>
      <c r="H515" s="243" t="s">
        <v>3971</v>
      </c>
      <c r="I515" s="198"/>
      <c r="J515" s="262" t="s">
        <v>3969</v>
      </c>
      <c r="K515" s="238" t="s">
        <v>3990</v>
      </c>
      <c r="L515" s="245">
        <f t="shared" si="1"/>
        <v>8</v>
      </c>
    </row>
    <row r="516" spans="1:12">
      <c r="A516" s="14">
        <v>50000530</v>
      </c>
      <c r="B516" s="26">
        <v>45870</v>
      </c>
      <c r="C516" s="14" t="s">
        <v>79</v>
      </c>
      <c r="D516" s="14" t="s">
        <v>134</v>
      </c>
      <c r="E516" s="14" t="s">
        <v>1849</v>
      </c>
      <c r="F516" s="238">
        <v>1</v>
      </c>
      <c r="G516" s="238">
        <v>1</v>
      </c>
      <c r="H516" s="243" t="s">
        <v>3968</v>
      </c>
      <c r="I516" s="198"/>
      <c r="J516" s="262" t="s">
        <v>3969</v>
      </c>
      <c r="K516" s="238" t="s">
        <v>3990</v>
      </c>
      <c r="L516" s="245">
        <f t="shared" si="1"/>
        <v>8</v>
      </c>
    </row>
    <row r="517" spans="1:12">
      <c r="A517" s="14">
        <v>48300315</v>
      </c>
      <c r="B517" s="26">
        <v>45873</v>
      </c>
      <c r="C517" s="14" t="s">
        <v>54</v>
      </c>
      <c r="D517" s="14" t="s">
        <v>369</v>
      </c>
      <c r="E517" s="14" t="s">
        <v>1698</v>
      </c>
      <c r="F517" s="238">
        <v>1</v>
      </c>
      <c r="G517" s="238">
        <v>1</v>
      </c>
      <c r="H517" s="243" t="s">
        <v>3968</v>
      </c>
      <c r="I517" s="198"/>
      <c r="J517" s="262" t="s">
        <v>3969</v>
      </c>
      <c r="K517" s="238" t="s">
        <v>3990</v>
      </c>
      <c r="L517" s="245">
        <f t="shared" si="1"/>
        <v>8</v>
      </c>
    </row>
    <row r="518" spans="1:12">
      <c r="A518" s="14">
        <v>51000136</v>
      </c>
      <c r="B518" s="26">
        <v>45873</v>
      </c>
      <c r="C518" s="14" t="s">
        <v>103</v>
      </c>
      <c r="D518" s="14" t="s">
        <v>1858</v>
      </c>
      <c r="E518" s="14" t="s">
        <v>1859</v>
      </c>
      <c r="F518" s="238">
        <v>1</v>
      </c>
      <c r="G518" s="238">
        <v>1</v>
      </c>
      <c r="H518" s="243" t="s">
        <v>3968</v>
      </c>
      <c r="I518" s="198"/>
      <c r="J518" s="262" t="s">
        <v>3969</v>
      </c>
      <c r="K518" s="238" t="s">
        <v>3990</v>
      </c>
      <c r="L518" s="245">
        <f t="shared" si="1"/>
        <v>8</v>
      </c>
    </row>
    <row r="519" spans="1:12">
      <c r="A519" s="14">
        <v>50110261</v>
      </c>
      <c r="B519" s="26">
        <v>45873</v>
      </c>
      <c r="C519" s="14" t="s">
        <v>225</v>
      </c>
      <c r="D519" s="14" t="s">
        <v>1089</v>
      </c>
      <c r="E519" s="14" t="s">
        <v>1523</v>
      </c>
      <c r="F519" s="238">
        <v>1</v>
      </c>
      <c r="G519" s="238">
        <v>0</v>
      </c>
      <c r="H519" s="243" t="s">
        <v>3968</v>
      </c>
      <c r="I519" s="198"/>
      <c r="J519" s="262" t="s">
        <v>3969</v>
      </c>
      <c r="K519" s="238" t="s">
        <v>3990</v>
      </c>
      <c r="L519" s="245">
        <f t="shared" si="1"/>
        <v>8</v>
      </c>
    </row>
    <row r="520" spans="1:12">
      <c r="A520" s="14">
        <v>50110261</v>
      </c>
      <c r="B520" s="26">
        <v>45873</v>
      </c>
      <c r="C520" s="14" t="s">
        <v>225</v>
      </c>
      <c r="D520" s="14" t="s">
        <v>1646</v>
      </c>
      <c r="E520" s="14" t="s">
        <v>4104</v>
      </c>
      <c r="F520" s="238">
        <v>1</v>
      </c>
      <c r="G520" s="238">
        <v>0</v>
      </c>
      <c r="H520" s="243" t="s">
        <v>3968</v>
      </c>
      <c r="I520" s="198"/>
      <c r="J520" s="262" t="s">
        <v>3969</v>
      </c>
      <c r="K520" s="238" t="s">
        <v>3990</v>
      </c>
      <c r="L520" s="245">
        <f t="shared" si="1"/>
        <v>8</v>
      </c>
    </row>
    <row r="521" spans="1:12">
      <c r="A521" s="14">
        <v>50110261</v>
      </c>
      <c r="B521" s="26">
        <v>45873</v>
      </c>
      <c r="C521" s="14" t="s">
        <v>225</v>
      </c>
      <c r="D521" s="14" t="s">
        <v>1866</v>
      </c>
      <c r="E521" s="14" t="s">
        <v>1867</v>
      </c>
      <c r="F521" s="238">
        <v>1</v>
      </c>
      <c r="G521" s="238">
        <v>0</v>
      </c>
      <c r="H521" s="243" t="s">
        <v>3968</v>
      </c>
      <c r="I521" s="198"/>
      <c r="J521" s="262" t="s">
        <v>3969</v>
      </c>
      <c r="K521" s="238" t="s">
        <v>3990</v>
      </c>
      <c r="L521" s="245">
        <f t="shared" si="1"/>
        <v>8</v>
      </c>
    </row>
    <row r="522" spans="1:12">
      <c r="A522" s="14">
        <v>50110261</v>
      </c>
      <c r="B522" s="26">
        <v>45873</v>
      </c>
      <c r="C522" s="14" t="s">
        <v>225</v>
      </c>
      <c r="D522" s="14" t="s">
        <v>1868</v>
      </c>
      <c r="E522" s="14" t="s">
        <v>1869</v>
      </c>
      <c r="F522" s="238">
        <v>1</v>
      </c>
      <c r="G522" s="238">
        <v>0</v>
      </c>
      <c r="H522" s="243" t="s">
        <v>3968</v>
      </c>
      <c r="I522" s="198"/>
      <c r="J522" s="262" t="s">
        <v>3969</v>
      </c>
      <c r="K522" s="238" t="s">
        <v>3990</v>
      </c>
      <c r="L522" s="245">
        <f t="shared" si="1"/>
        <v>8</v>
      </c>
    </row>
    <row r="523" spans="1:12">
      <c r="A523" s="14">
        <v>50110193</v>
      </c>
      <c r="B523" s="26">
        <v>45873</v>
      </c>
      <c r="C523" s="14" t="s">
        <v>33</v>
      </c>
      <c r="D523" s="14" t="s">
        <v>1872</v>
      </c>
      <c r="E523" s="14" t="s">
        <v>1873</v>
      </c>
      <c r="F523" s="238">
        <v>3</v>
      </c>
      <c r="G523" s="238">
        <v>1</v>
      </c>
      <c r="H523" s="243" t="s">
        <v>3968</v>
      </c>
      <c r="I523" s="198"/>
      <c r="J523" s="262" t="s">
        <v>3969</v>
      </c>
      <c r="K523" s="238" t="s">
        <v>3990</v>
      </c>
      <c r="L523" s="245">
        <f t="shared" si="1"/>
        <v>8</v>
      </c>
    </row>
    <row r="524" spans="1:12">
      <c r="A524" s="14">
        <v>48300301</v>
      </c>
      <c r="B524" s="26">
        <v>45873</v>
      </c>
      <c r="C524" s="14" t="s">
        <v>63</v>
      </c>
      <c r="D524" s="14" t="s">
        <v>856</v>
      </c>
      <c r="E524" s="14" t="s">
        <v>1877</v>
      </c>
      <c r="F524" s="238">
        <v>1</v>
      </c>
      <c r="G524" s="238">
        <v>1</v>
      </c>
      <c r="H524" s="243" t="s">
        <v>3968</v>
      </c>
      <c r="I524" s="198"/>
      <c r="J524" s="262" t="s">
        <v>3969</v>
      </c>
      <c r="K524" s="238" t="s">
        <v>3990</v>
      </c>
      <c r="L524" s="245">
        <f t="shared" si="1"/>
        <v>8</v>
      </c>
    </row>
    <row r="525" spans="1:12">
      <c r="A525" s="14">
        <v>47200274</v>
      </c>
      <c r="B525" s="26">
        <v>45874</v>
      </c>
      <c r="C525" s="14" t="s">
        <v>916</v>
      </c>
      <c r="D525" s="14" t="s">
        <v>1880</v>
      </c>
      <c r="E525" s="14" t="s">
        <v>4105</v>
      </c>
      <c r="F525" s="238">
        <v>1</v>
      </c>
      <c r="G525" s="238">
        <v>1</v>
      </c>
      <c r="H525" s="243" t="s">
        <v>3968</v>
      </c>
      <c r="I525" s="198"/>
      <c r="J525" s="262" t="s">
        <v>3969</v>
      </c>
      <c r="K525" s="238" t="s">
        <v>3990</v>
      </c>
      <c r="L525" s="245">
        <f t="shared" si="1"/>
        <v>8</v>
      </c>
    </row>
    <row r="526" spans="1:12">
      <c r="A526" s="14">
        <v>47200274</v>
      </c>
      <c r="B526" s="26">
        <v>45874</v>
      </c>
      <c r="C526" s="14" t="s">
        <v>916</v>
      </c>
      <c r="D526" s="14" t="s">
        <v>1884</v>
      </c>
      <c r="E526" s="14" t="s">
        <v>1885</v>
      </c>
      <c r="F526" s="238">
        <v>1</v>
      </c>
      <c r="G526" s="238">
        <v>1</v>
      </c>
      <c r="H526" s="243" t="s">
        <v>3971</v>
      </c>
      <c r="I526" s="198"/>
      <c r="J526" s="262" t="s">
        <v>3969</v>
      </c>
      <c r="K526" s="238" t="s">
        <v>3990</v>
      </c>
      <c r="L526" s="245">
        <f t="shared" si="1"/>
        <v>8</v>
      </c>
    </row>
    <row r="527" spans="1:12">
      <c r="A527" s="14">
        <v>47200274</v>
      </c>
      <c r="B527" s="26">
        <v>45874</v>
      </c>
      <c r="C527" s="14" t="s">
        <v>916</v>
      </c>
      <c r="D527" s="14" t="s">
        <v>1886</v>
      </c>
      <c r="E527" s="14" t="s">
        <v>1887</v>
      </c>
      <c r="F527" s="238">
        <v>1</v>
      </c>
      <c r="G527" s="238">
        <v>1</v>
      </c>
      <c r="H527" s="243" t="s">
        <v>3971</v>
      </c>
      <c r="I527" s="198"/>
      <c r="J527" s="262" t="s">
        <v>3969</v>
      </c>
      <c r="K527" s="238" t="s">
        <v>3990</v>
      </c>
      <c r="L527" s="245">
        <f t="shared" si="1"/>
        <v>8</v>
      </c>
    </row>
    <row r="528" spans="1:12">
      <c r="A528" s="14">
        <v>48500271</v>
      </c>
      <c r="B528" s="26">
        <v>45874</v>
      </c>
      <c r="C528" s="14" t="s">
        <v>898</v>
      </c>
      <c r="D528" s="14" t="s">
        <v>1890</v>
      </c>
      <c r="E528" s="14" t="s">
        <v>1891</v>
      </c>
      <c r="F528" s="238">
        <v>1</v>
      </c>
      <c r="G528" s="238">
        <v>0</v>
      </c>
      <c r="H528" s="243" t="s">
        <v>3971</v>
      </c>
      <c r="I528" s="198"/>
      <c r="J528" s="262" t="s">
        <v>3969</v>
      </c>
      <c r="K528" s="238" t="s">
        <v>3990</v>
      </c>
      <c r="L528" s="245">
        <f t="shared" si="1"/>
        <v>8</v>
      </c>
    </row>
    <row r="529" spans="1:12">
      <c r="A529" s="14">
        <v>50110193</v>
      </c>
      <c r="B529" s="26">
        <v>45875</v>
      </c>
      <c r="C529" s="14" t="s">
        <v>33</v>
      </c>
      <c r="D529" s="14" t="s">
        <v>1894</v>
      </c>
      <c r="E529" s="14" t="s">
        <v>1895</v>
      </c>
      <c r="F529" s="238">
        <v>1</v>
      </c>
      <c r="G529" s="238">
        <v>1</v>
      </c>
      <c r="H529" s="243" t="s">
        <v>3968</v>
      </c>
      <c r="I529" s="198"/>
      <c r="J529" s="262" t="s">
        <v>3969</v>
      </c>
      <c r="K529" s="238" t="s">
        <v>3990</v>
      </c>
      <c r="L529" s="245">
        <f t="shared" si="1"/>
        <v>8</v>
      </c>
    </row>
    <row r="530" spans="1:12">
      <c r="A530" s="14">
        <v>48300301</v>
      </c>
      <c r="B530" s="26">
        <v>45876</v>
      </c>
      <c r="C530" s="14" t="s">
        <v>63</v>
      </c>
      <c r="D530" s="14" t="s">
        <v>304</v>
      </c>
      <c r="E530" s="14" t="s">
        <v>4106</v>
      </c>
      <c r="F530" s="238">
        <v>1</v>
      </c>
      <c r="G530" s="238">
        <v>1</v>
      </c>
      <c r="H530" s="243" t="s">
        <v>3968</v>
      </c>
      <c r="I530" s="198"/>
      <c r="J530" s="262" t="s">
        <v>3969</v>
      </c>
      <c r="K530" s="238" t="s">
        <v>3990</v>
      </c>
      <c r="L530" s="245">
        <f t="shared" si="1"/>
        <v>8</v>
      </c>
    </row>
    <row r="531" spans="1:12">
      <c r="A531" s="14">
        <v>48300301</v>
      </c>
      <c r="B531" s="26">
        <v>45876</v>
      </c>
      <c r="C531" s="14" t="s">
        <v>63</v>
      </c>
      <c r="D531" s="14" t="s">
        <v>1900</v>
      </c>
      <c r="E531" s="14" t="s">
        <v>1901</v>
      </c>
      <c r="F531" s="238">
        <v>1</v>
      </c>
      <c r="G531" s="238">
        <v>1</v>
      </c>
      <c r="H531" s="243" t="s">
        <v>3968</v>
      </c>
      <c r="I531" s="198"/>
      <c r="J531" s="262" t="s">
        <v>3969</v>
      </c>
      <c r="K531" s="238" t="s">
        <v>3990</v>
      </c>
      <c r="L531" s="245">
        <f t="shared" si="1"/>
        <v>8</v>
      </c>
    </row>
    <row r="532" spans="1:12">
      <c r="A532" s="14">
        <v>48500783</v>
      </c>
      <c r="B532" s="26">
        <v>45876</v>
      </c>
      <c r="C532" s="14" t="s">
        <v>63</v>
      </c>
      <c r="D532" s="14" t="s">
        <v>1905</v>
      </c>
      <c r="E532" s="14" t="s">
        <v>4076</v>
      </c>
      <c r="F532" s="238">
        <v>1</v>
      </c>
      <c r="G532" s="238">
        <v>1</v>
      </c>
      <c r="H532" s="243" t="s">
        <v>3968</v>
      </c>
      <c r="I532" s="198"/>
      <c r="J532" s="262" t="s">
        <v>3969</v>
      </c>
      <c r="K532" s="238" t="s">
        <v>3990</v>
      </c>
      <c r="L532" s="245">
        <f t="shared" si="1"/>
        <v>8</v>
      </c>
    </row>
    <row r="533" spans="1:12">
      <c r="A533" s="14">
        <v>50110229</v>
      </c>
      <c r="B533" s="26">
        <v>45877</v>
      </c>
      <c r="C533" s="14" t="s">
        <v>109</v>
      </c>
      <c r="D533" s="14" t="s">
        <v>1908</v>
      </c>
      <c r="E533" s="14" t="s">
        <v>485</v>
      </c>
      <c r="F533" s="238">
        <v>1</v>
      </c>
      <c r="G533" s="238">
        <v>1</v>
      </c>
      <c r="H533" s="243" t="s">
        <v>3968</v>
      </c>
      <c r="I533" s="198"/>
      <c r="J533" s="262" t="s">
        <v>3969</v>
      </c>
      <c r="K533" s="238" t="s">
        <v>3990</v>
      </c>
      <c r="L533" s="245">
        <f t="shared" si="1"/>
        <v>8</v>
      </c>
    </row>
    <row r="534" spans="1:12">
      <c r="A534" s="14">
        <v>50000260</v>
      </c>
      <c r="B534" s="26">
        <v>45877</v>
      </c>
      <c r="C534" s="14" t="s">
        <v>85</v>
      </c>
      <c r="D534" s="14" t="s">
        <v>1911</v>
      </c>
      <c r="E534" s="14" t="s">
        <v>1912</v>
      </c>
      <c r="F534" s="238">
        <v>1</v>
      </c>
      <c r="G534" s="238">
        <v>0</v>
      </c>
      <c r="H534" s="243" t="s">
        <v>3968</v>
      </c>
      <c r="I534" s="198"/>
      <c r="J534" s="262" t="s">
        <v>3969</v>
      </c>
      <c r="K534" s="238" t="s">
        <v>3990</v>
      </c>
      <c r="L534" s="245">
        <f t="shared" si="1"/>
        <v>8</v>
      </c>
    </row>
    <row r="535" spans="1:12">
      <c r="A535" s="14">
        <v>50110057</v>
      </c>
      <c r="B535" s="26">
        <v>45877</v>
      </c>
      <c r="C535" s="14" t="s">
        <v>181</v>
      </c>
      <c r="D535" s="14" t="s">
        <v>80</v>
      </c>
      <c r="E535" s="14" t="s">
        <v>81</v>
      </c>
      <c r="F535" s="238">
        <v>1</v>
      </c>
      <c r="G535" s="238">
        <v>1</v>
      </c>
      <c r="H535" s="243" t="s">
        <v>3968</v>
      </c>
      <c r="I535" s="198"/>
      <c r="J535" s="262" t="s">
        <v>3969</v>
      </c>
      <c r="K535" s="238" t="s">
        <v>3990</v>
      </c>
      <c r="L535" s="245">
        <f t="shared" si="1"/>
        <v>8</v>
      </c>
    </row>
    <row r="536" spans="1:12">
      <c r="A536" s="14">
        <v>50110057</v>
      </c>
      <c r="B536" s="26">
        <v>45877</v>
      </c>
      <c r="C536" s="14" t="s">
        <v>181</v>
      </c>
      <c r="D536" s="14" t="s">
        <v>1916</v>
      </c>
      <c r="E536" s="14" t="s">
        <v>1917</v>
      </c>
      <c r="F536" s="238">
        <v>1</v>
      </c>
      <c r="G536" s="238">
        <v>1</v>
      </c>
      <c r="H536" s="243" t="s">
        <v>3968</v>
      </c>
      <c r="I536" s="198"/>
      <c r="J536" s="262" t="s">
        <v>3969</v>
      </c>
      <c r="K536" s="238" t="s">
        <v>3990</v>
      </c>
      <c r="L536" s="245">
        <f t="shared" si="1"/>
        <v>8</v>
      </c>
    </row>
    <row r="537" spans="1:12">
      <c r="A537" s="14">
        <v>50110057</v>
      </c>
      <c r="B537" s="26">
        <v>45877</v>
      </c>
      <c r="C537" s="14" t="s">
        <v>181</v>
      </c>
      <c r="D537" s="14" t="s">
        <v>1920</v>
      </c>
      <c r="E537" s="14" t="s">
        <v>1921</v>
      </c>
      <c r="F537" s="238">
        <v>1</v>
      </c>
      <c r="G537" s="238">
        <v>1</v>
      </c>
      <c r="H537" s="243" t="s">
        <v>3968</v>
      </c>
      <c r="I537" s="198"/>
      <c r="J537" s="262" t="s">
        <v>3969</v>
      </c>
      <c r="K537" s="238" t="s">
        <v>3990</v>
      </c>
      <c r="L537" s="245">
        <f t="shared" si="1"/>
        <v>8</v>
      </c>
    </row>
    <row r="538" spans="1:12">
      <c r="A538" s="14">
        <v>48000044</v>
      </c>
      <c r="B538" s="26">
        <v>45877</v>
      </c>
      <c r="C538" s="14" t="s">
        <v>118</v>
      </c>
      <c r="D538" s="14" t="s">
        <v>1000</v>
      </c>
      <c r="E538" s="14" t="s">
        <v>1001</v>
      </c>
      <c r="F538" s="238">
        <v>1</v>
      </c>
      <c r="G538" s="238">
        <v>1</v>
      </c>
      <c r="H538" s="243" t="s">
        <v>3968</v>
      </c>
      <c r="I538" s="198"/>
      <c r="J538" s="262" t="s">
        <v>3969</v>
      </c>
      <c r="K538" s="238" t="s">
        <v>3990</v>
      </c>
      <c r="L538" s="245">
        <f t="shared" si="1"/>
        <v>8</v>
      </c>
    </row>
    <row r="539" spans="1:12">
      <c r="A539" s="14">
        <v>50110057</v>
      </c>
      <c r="B539" s="26">
        <v>45877</v>
      </c>
      <c r="C539" s="14" t="s">
        <v>181</v>
      </c>
      <c r="D539" s="14" t="s">
        <v>1926</v>
      </c>
      <c r="E539" s="14" t="s">
        <v>1927</v>
      </c>
      <c r="F539" s="238">
        <v>1</v>
      </c>
      <c r="G539" s="238">
        <v>0</v>
      </c>
      <c r="H539" s="243" t="s">
        <v>3971</v>
      </c>
      <c r="I539" s="198"/>
      <c r="J539" s="262" t="s">
        <v>3969</v>
      </c>
      <c r="K539" s="238" t="s">
        <v>3990</v>
      </c>
      <c r="L539" s="245">
        <f t="shared" si="1"/>
        <v>8</v>
      </c>
    </row>
    <row r="540" spans="1:12">
      <c r="A540" s="14">
        <v>60002072</v>
      </c>
      <c r="B540" s="26">
        <v>45877</v>
      </c>
      <c r="C540" s="14" t="s">
        <v>202</v>
      </c>
      <c r="D540" s="14" t="s">
        <v>1331</v>
      </c>
      <c r="E540" s="14" t="s">
        <v>4107</v>
      </c>
      <c r="F540" s="238">
        <v>1</v>
      </c>
      <c r="G540" s="238">
        <v>1</v>
      </c>
      <c r="H540" s="243" t="s">
        <v>3968</v>
      </c>
      <c r="I540" s="198"/>
      <c r="J540" s="262" t="s">
        <v>3969</v>
      </c>
      <c r="K540" s="238" t="s">
        <v>3990</v>
      </c>
      <c r="L540" s="245">
        <f t="shared" si="1"/>
        <v>8</v>
      </c>
    </row>
    <row r="541" spans="1:12">
      <c r="A541" s="14">
        <v>50200095</v>
      </c>
      <c r="B541" s="26">
        <v>45877</v>
      </c>
      <c r="C541" s="14" t="s">
        <v>1837</v>
      </c>
      <c r="D541" s="14" t="s">
        <v>1932</v>
      </c>
      <c r="E541" s="14" t="s">
        <v>1933</v>
      </c>
      <c r="F541" s="238">
        <v>1</v>
      </c>
      <c r="G541" s="238">
        <v>1</v>
      </c>
      <c r="H541" s="243" t="s">
        <v>3968</v>
      </c>
      <c r="I541" s="198"/>
      <c r="J541" s="262" t="s">
        <v>3969</v>
      </c>
      <c r="K541" s="238" t="s">
        <v>3990</v>
      </c>
      <c r="L541" s="245">
        <f t="shared" si="1"/>
        <v>8</v>
      </c>
    </row>
    <row r="542" spans="1:12">
      <c r="A542" s="14">
        <v>50000530</v>
      </c>
      <c r="B542" s="26">
        <v>45877</v>
      </c>
      <c r="C542" s="14" t="s">
        <v>79</v>
      </c>
      <c r="D542" s="14" t="s">
        <v>1936</v>
      </c>
      <c r="E542" s="14" t="s">
        <v>1937</v>
      </c>
      <c r="F542" s="238">
        <v>1</v>
      </c>
      <c r="G542" s="238">
        <v>1</v>
      </c>
      <c r="H542" s="243" t="s">
        <v>3968</v>
      </c>
      <c r="I542" s="198"/>
      <c r="J542" s="262" t="s">
        <v>3969</v>
      </c>
      <c r="K542" s="238" t="s">
        <v>3990</v>
      </c>
      <c r="L542" s="245">
        <f t="shared" si="1"/>
        <v>8</v>
      </c>
    </row>
    <row r="543" spans="1:12">
      <c r="A543" s="14">
        <v>60002072</v>
      </c>
      <c r="B543" s="26">
        <v>45880</v>
      </c>
      <c r="C543" s="14" t="s">
        <v>202</v>
      </c>
      <c r="D543" s="14" t="s">
        <v>1331</v>
      </c>
      <c r="E543" s="14" t="s">
        <v>4107</v>
      </c>
      <c r="F543" s="238">
        <v>1</v>
      </c>
      <c r="G543" s="238">
        <v>1</v>
      </c>
      <c r="H543" s="243" t="s">
        <v>3968</v>
      </c>
      <c r="I543" s="198"/>
      <c r="J543" s="262" t="s">
        <v>3969</v>
      </c>
      <c r="K543" s="238" t="s">
        <v>3990</v>
      </c>
      <c r="L543" s="245">
        <f t="shared" si="1"/>
        <v>8</v>
      </c>
    </row>
    <row r="544" spans="1:12">
      <c r="A544" s="14">
        <v>50000260</v>
      </c>
      <c r="B544" s="26">
        <v>45880</v>
      </c>
      <c r="C544" s="14" t="s">
        <v>85</v>
      </c>
      <c r="D544" s="14" t="s">
        <v>597</v>
      </c>
      <c r="E544" s="14" t="s">
        <v>1657</v>
      </c>
      <c r="F544" s="238">
        <v>1</v>
      </c>
      <c r="G544" s="238">
        <v>1</v>
      </c>
      <c r="H544" s="243" t="s">
        <v>3968</v>
      </c>
      <c r="I544" s="198"/>
      <c r="J544" s="262" t="s">
        <v>3969</v>
      </c>
      <c r="K544" s="238" t="s">
        <v>3990</v>
      </c>
      <c r="L544" s="245">
        <f t="shared" si="1"/>
        <v>8</v>
      </c>
    </row>
    <row r="545" spans="1:12">
      <c r="A545" s="14">
        <v>50000260</v>
      </c>
      <c r="B545" s="26">
        <v>45880</v>
      </c>
      <c r="C545" s="14" t="s">
        <v>85</v>
      </c>
      <c r="D545" s="14" t="s">
        <v>1298</v>
      </c>
      <c r="E545" s="14" t="s">
        <v>1299</v>
      </c>
      <c r="F545" s="238">
        <v>1</v>
      </c>
      <c r="G545" s="238">
        <v>1</v>
      </c>
      <c r="H545" s="243" t="s">
        <v>3968</v>
      </c>
      <c r="I545" s="198"/>
      <c r="J545" s="262" t="s">
        <v>3969</v>
      </c>
      <c r="K545" s="238" t="s">
        <v>3990</v>
      </c>
      <c r="L545" s="245">
        <f t="shared" si="1"/>
        <v>8</v>
      </c>
    </row>
    <row r="546" spans="1:12">
      <c r="A546" s="14">
        <v>50110229</v>
      </c>
      <c r="B546" s="26">
        <v>45880</v>
      </c>
      <c r="C546" s="14" t="s">
        <v>109</v>
      </c>
      <c r="D546" s="14" t="s">
        <v>879</v>
      </c>
      <c r="E546" s="14" t="s">
        <v>1126</v>
      </c>
      <c r="F546" s="238">
        <v>2</v>
      </c>
      <c r="G546" s="238">
        <v>2</v>
      </c>
      <c r="H546" s="243" t="s">
        <v>3968</v>
      </c>
      <c r="I546" s="198"/>
      <c r="J546" s="262" t="s">
        <v>3969</v>
      </c>
      <c r="K546" s="238" t="s">
        <v>3990</v>
      </c>
      <c r="L546" s="245">
        <f t="shared" si="1"/>
        <v>8</v>
      </c>
    </row>
    <row r="547" spans="1:12">
      <c r="A547" s="14">
        <v>50300097</v>
      </c>
      <c r="B547" s="26">
        <v>45880</v>
      </c>
      <c r="C547" s="14" t="s">
        <v>445</v>
      </c>
      <c r="D547" s="14" t="s">
        <v>1946</v>
      </c>
      <c r="E547" s="14" t="s">
        <v>1947</v>
      </c>
      <c r="F547" s="238">
        <v>1</v>
      </c>
      <c r="G547" s="238">
        <v>0</v>
      </c>
      <c r="H547" s="243" t="s">
        <v>3971</v>
      </c>
      <c r="I547" s="198"/>
      <c r="J547" s="262" t="s">
        <v>3969</v>
      </c>
      <c r="K547" s="238" t="s">
        <v>3990</v>
      </c>
      <c r="L547" s="245">
        <f t="shared" si="1"/>
        <v>8</v>
      </c>
    </row>
    <row r="548" spans="1:12">
      <c r="A548" s="14"/>
      <c r="B548" s="26">
        <v>45881</v>
      </c>
      <c r="C548" s="14" t="s">
        <v>381</v>
      </c>
      <c r="D548" s="14" t="s">
        <v>392</v>
      </c>
      <c r="E548" s="14" t="s">
        <v>4108</v>
      </c>
      <c r="F548" s="238">
        <v>2</v>
      </c>
      <c r="G548" s="238">
        <v>2</v>
      </c>
      <c r="H548" s="238"/>
      <c r="I548" s="198"/>
      <c r="J548" s="262" t="s">
        <v>3969</v>
      </c>
      <c r="K548" s="238" t="s">
        <v>3990</v>
      </c>
      <c r="L548" s="245">
        <f t="shared" si="1"/>
        <v>8</v>
      </c>
    </row>
    <row r="549" spans="1:12">
      <c r="A549" s="14">
        <v>51100110</v>
      </c>
      <c r="B549" s="26">
        <v>45881</v>
      </c>
      <c r="C549" s="14" t="s">
        <v>1106</v>
      </c>
      <c r="D549" s="14" t="s">
        <v>1952</v>
      </c>
      <c r="E549" s="14" t="s">
        <v>1953</v>
      </c>
      <c r="F549" s="238">
        <v>1</v>
      </c>
      <c r="G549" s="238">
        <v>1</v>
      </c>
      <c r="H549" s="243" t="s">
        <v>3968</v>
      </c>
      <c r="I549" s="198"/>
      <c r="J549" s="262" t="s">
        <v>3969</v>
      </c>
      <c r="K549" s="238" t="s">
        <v>3990</v>
      </c>
      <c r="L549" s="245">
        <f t="shared" si="1"/>
        <v>8</v>
      </c>
    </row>
    <row r="550" spans="1:12">
      <c r="A550" s="14">
        <v>50110229</v>
      </c>
      <c r="B550" s="26">
        <v>45881</v>
      </c>
      <c r="C550" s="14" t="s">
        <v>109</v>
      </c>
      <c r="D550" s="14" t="s">
        <v>354</v>
      </c>
      <c r="E550" s="14" t="s">
        <v>1956</v>
      </c>
      <c r="F550" s="238">
        <v>1</v>
      </c>
      <c r="G550" s="238">
        <v>1</v>
      </c>
      <c r="H550" s="243" t="s">
        <v>3968</v>
      </c>
      <c r="I550" s="198"/>
      <c r="J550" s="262" t="s">
        <v>3969</v>
      </c>
      <c r="K550" s="238" t="s">
        <v>3990</v>
      </c>
      <c r="L550" s="245">
        <f t="shared" si="1"/>
        <v>8</v>
      </c>
    </row>
    <row r="551" spans="1:12">
      <c r="A551" s="14">
        <v>48300375</v>
      </c>
      <c r="B551" s="26">
        <v>45881</v>
      </c>
      <c r="C551" s="14" t="s">
        <v>4016</v>
      </c>
      <c r="D551" s="14" t="s">
        <v>335</v>
      </c>
      <c r="E551" s="14" t="s">
        <v>1136</v>
      </c>
      <c r="F551" s="238">
        <v>1</v>
      </c>
      <c r="G551" s="238">
        <v>1</v>
      </c>
      <c r="H551" s="243" t="s">
        <v>3968</v>
      </c>
      <c r="I551" s="198"/>
      <c r="J551" s="262" t="s">
        <v>3969</v>
      </c>
      <c r="K551" s="238" t="s">
        <v>3990</v>
      </c>
      <c r="L551" s="245">
        <f t="shared" si="1"/>
        <v>8</v>
      </c>
    </row>
    <row r="552" spans="1:12">
      <c r="A552" s="14">
        <v>50110229</v>
      </c>
      <c r="B552" s="26">
        <v>45881</v>
      </c>
      <c r="C552" s="14" t="s">
        <v>109</v>
      </c>
      <c r="D552" s="14" t="s">
        <v>545</v>
      </c>
      <c r="E552" s="14" t="s">
        <v>1677</v>
      </c>
      <c r="F552" s="238">
        <v>1</v>
      </c>
      <c r="G552" s="238">
        <v>1</v>
      </c>
      <c r="H552" s="243" t="s">
        <v>3968</v>
      </c>
      <c r="I552" s="198"/>
      <c r="J552" s="262" t="s">
        <v>3969</v>
      </c>
      <c r="K552" s="238" t="s">
        <v>3990</v>
      </c>
      <c r="L552" s="245">
        <f t="shared" si="1"/>
        <v>8</v>
      </c>
    </row>
    <row r="553" spans="1:12">
      <c r="A553" s="14">
        <v>48500271</v>
      </c>
      <c r="B553" s="26">
        <v>45881</v>
      </c>
      <c r="C553" s="14" t="s">
        <v>898</v>
      </c>
      <c r="D553" s="14" t="s">
        <v>1704</v>
      </c>
      <c r="E553" s="14" t="s">
        <v>1705</v>
      </c>
      <c r="F553" s="238">
        <v>1</v>
      </c>
      <c r="G553" s="238">
        <v>1</v>
      </c>
      <c r="H553" s="243" t="s">
        <v>3968</v>
      </c>
      <c r="I553" s="198"/>
      <c r="J553" s="262" t="s">
        <v>3969</v>
      </c>
      <c r="K553" s="238" t="s">
        <v>3990</v>
      </c>
      <c r="L553" s="245">
        <f t="shared" si="1"/>
        <v>8</v>
      </c>
    </row>
    <row r="554" spans="1:12">
      <c r="A554" s="14">
        <v>48000044</v>
      </c>
      <c r="B554" s="26">
        <v>45881</v>
      </c>
      <c r="C554" s="14" t="s">
        <v>118</v>
      </c>
      <c r="D554" s="14" t="s">
        <v>1966</v>
      </c>
      <c r="E554" s="14" t="s">
        <v>1967</v>
      </c>
      <c r="F554" s="238">
        <v>1</v>
      </c>
      <c r="G554" s="238">
        <v>1</v>
      </c>
      <c r="H554" s="243" t="s">
        <v>3968</v>
      </c>
      <c r="I554" s="198"/>
      <c r="J554" s="262" t="s">
        <v>3969</v>
      </c>
      <c r="K554" s="238" t="s">
        <v>3990</v>
      </c>
      <c r="L554" s="245">
        <f t="shared" si="1"/>
        <v>8</v>
      </c>
    </row>
    <row r="555" spans="1:12">
      <c r="A555" s="14">
        <v>60002072</v>
      </c>
      <c r="B555" s="26">
        <v>45882</v>
      </c>
      <c r="C555" s="14" t="s">
        <v>202</v>
      </c>
      <c r="D555" s="14" t="s">
        <v>464</v>
      </c>
      <c r="E555" s="14" t="s">
        <v>1789</v>
      </c>
      <c r="F555" s="238">
        <v>1</v>
      </c>
      <c r="G555" s="238">
        <v>1</v>
      </c>
      <c r="H555" s="243" t="s">
        <v>3968</v>
      </c>
      <c r="I555" s="198"/>
      <c r="J555" s="262" t="s">
        <v>3969</v>
      </c>
      <c r="K555" s="238" t="s">
        <v>3990</v>
      </c>
      <c r="L555" s="245">
        <f t="shared" si="1"/>
        <v>8</v>
      </c>
    </row>
    <row r="556" spans="1:12">
      <c r="A556" s="14">
        <v>50200095</v>
      </c>
      <c r="B556" s="26">
        <v>45882</v>
      </c>
      <c r="C556" s="14" t="s">
        <v>1837</v>
      </c>
      <c r="D556" s="14" t="s">
        <v>1972</v>
      </c>
      <c r="E556" s="14" t="s">
        <v>1973</v>
      </c>
      <c r="F556" s="238">
        <v>1</v>
      </c>
      <c r="G556" s="238">
        <v>1</v>
      </c>
      <c r="H556" s="243" t="s">
        <v>3968</v>
      </c>
      <c r="I556" s="198"/>
      <c r="J556" s="262" t="s">
        <v>3969</v>
      </c>
      <c r="K556" s="238" t="s">
        <v>3990</v>
      </c>
      <c r="L556" s="245">
        <f t="shared" si="1"/>
        <v>8</v>
      </c>
    </row>
    <row r="557" spans="1:12">
      <c r="A557" s="14">
        <v>50200095</v>
      </c>
      <c r="B557" s="25">
        <v>45876</v>
      </c>
      <c r="C557" s="14" t="s">
        <v>1837</v>
      </c>
      <c r="D557" s="14" t="s">
        <v>1976</v>
      </c>
      <c r="E557" s="14" t="s">
        <v>1977</v>
      </c>
      <c r="F557" s="238">
        <v>1</v>
      </c>
      <c r="G557" s="238">
        <v>0</v>
      </c>
      <c r="H557" s="238"/>
      <c r="I557" s="198"/>
      <c r="J557" s="262" t="s">
        <v>3969</v>
      </c>
      <c r="K557" s="238" t="s">
        <v>3990</v>
      </c>
      <c r="L557" s="245">
        <f t="shared" si="1"/>
        <v>8</v>
      </c>
    </row>
    <row r="558" spans="1:12">
      <c r="A558" s="14">
        <v>51000323</v>
      </c>
      <c r="B558" s="26">
        <v>45882</v>
      </c>
      <c r="C558" s="14" t="s">
        <v>103</v>
      </c>
      <c r="D558" s="14" t="s">
        <v>1981</v>
      </c>
      <c r="E558" s="14" t="s">
        <v>1982</v>
      </c>
      <c r="F558" s="238">
        <v>1</v>
      </c>
      <c r="G558" s="238">
        <v>0</v>
      </c>
      <c r="H558" s="243" t="s">
        <v>3971</v>
      </c>
      <c r="I558" s="198"/>
      <c r="J558" s="262" t="s">
        <v>3969</v>
      </c>
      <c r="K558" s="238" t="s">
        <v>3990</v>
      </c>
      <c r="L558" s="245">
        <f t="shared" si="1"/>
        <v>8</v>
      </c>
    </row>
    <row r="559" spans="1:12">
      <c r="A559" s="14">
        <v>50110372</v>
      </c>
      <c r="B559" s="26">
        <v>45882</v>
      </c>
      <c r="C559" s="14" t="s">
        <v>73</v>
      </c>
      <c r="D559" s="14" t="s">
        <v>80</v>
      </c>
      <c r="E559" s="14" t="s">
        <v>907</v>
      </c>
      <c r="F559" s="238">
        <v>1</v>
      </c>
      <c r="G559" s="238">
        <v>1</v>
      </c>
      <c r="H559" s="243" t="s">
        <v>3968</v>
      </c>
      <c r="I559" s="198"/>
      <c r="J559" s="262" t="s">
        <v>3969</v>
      </c>
      <c r="K559" s="238" t="s">
        <v>3990</v>
      </c>
      <c r="L559" s="245">
        <f t="shared" si="1"/>
        <v>8</v>
      </c>
    </row>
    <row r="560" spans="1:12">
      <c r="A560" s="14">
        <v>50110229</v>
      </c>
      <c r="B560" s="26">
        <v>45884</v>
      </c>
      <c r="C560" s="14" t="s">
        <v>109</v>
      </c>
      <c r="D560" s="14" t="s">
        <v>1052</v>
      </c>
      <c r="E560" s="14" t="s">
        <v>1053</v>
      </c>
      <c r="F560" s="238">
        <v>1</v>
      </c>
      <c r="G560" s="238">
        <v>1</v>
      </c>
      <c r="H560" s="243" t="s">
        <v>3968</v>
      </c>
      <c r="I560" s="198"/>
      <c r="J560" s="262" t="s">
        <v>3969</v>
      </c>
      <c r="K560" s="238" t="s">
        <v>3990</v>
      </c>
      <c r="L560" s="245">
        <f t="shared" si="1"/>
        <v>8</v>
      </c>
    </row>
    <row r="561" spans="1:12">
      <c r="A561" s="14">
        <v>44000216</v>
      </c>
      <c r="B561" s="26">
        <v>45884</v>
      </c>
      <c r="C561" s="14" t="s">
        <v>54</v>
      </c>
      <c r="D561" s="14" t="s">
        <v>1890</v>
      </c>
      <c r="E561" s="14" t="s">
        <v>1891</v>
      </c>
      <c r="F561" s="238">
        <v>1</v>
      </c>
      <c r="G561" s="238">
        <v>1</v>
      </c>
      <c r="H561" s="243" t="s">
        <v>3971</v>
      </c>
      <c r="I561" s="198"/>
      <c r="J561" s="262" t="s">
        <v>3969</v>
      </c>
      <c r="K561" s="238" t="s">
        <v>3990</v>
      </c>
      <c r="L561" s="245">
        <f t="shared" si="1"/>
        <v>8</v>
      </c>
    </row>
    <row r="562" spans="1:12">
      <c r="A562" s="14">
        <v>60002095</v>
      </c>
      <c r="B562" s="26">
        <v>45884</v>
      </c>
      <c r="C562" s="14" t="s">
        <v>73</v>
      </c>
      <c r="D562" s="14" t="s">
        <v>1991</v>
      </c>
      <c r="E562" s="14" t="s">
        <v>1992</v>
      </c>
      <c r="F562" s="238">
        <v>1</v>
      </c>
      <c r="G562" s="238">
        <v>1</v>
      </c>
      <c r="H562" s="243" t="s">
        <v>3968</v>
      </c>
      <c r="I562" s="198"/>
      <c r="J562" s="262" t="s">
        <v>3969</v>
      </c>
      <c r="K562" s="238" t="s">
        <v>3990</v>
      </c>
      <c r="L562" s="245">
        <f t="shared" si="1"/>
        <v>8</v>
      </c>
    </row>
    <row r="563" spans="1:12">
      <c r="A563" s="14">
        <v>60002095</v>
      </c>
      <c r="B563" s="26">
        <v>45884</v>
      </c>
      <c r="C563" s="14" t="s">
        <v>73</v>
      </c>
      <c r="D563" s="14" t="s">
        <v>134</v>
      </c>
      <c r="E563" s="14" t="s">
        <v>1849</v>
      </c>
      <c r="F563" s="238">
        <v>1</v>
      </c>
      <c r="G563" s="238">
        <v>1</v>
      </c>
      <c r="H563" s="243" t="s">
        <v>3968</v>
      </c>
      <c r="I563" s="198"/>
      <c r="J563" s="262" t="s">
        <v>3969</v>
      </c>
      <c r="K563" s="238" t="s">
        <v>3990</v>
      </c>
      <c r="L563" s="245">
        <f t="shared" si="1"/>
        <v>8</v>
      </c>
    </row>
    <row r="564" spans="1:12">
      <c r="A564" s="14">
        <v>60002095</v>
      </c>
      <c r="B564" s="26">
        <v>45884</v>
      </c>
      <c r="C564" s="14" t="s">
        <v>73</v>
      </c>
      <c r="D564" s="14" t="s">
        <v>136</v>
      </c>
      <c r="E564" s="14" t="s">
        <v>4080</v>
      </c>
      <c r="F564" s="238">
        <v>1</v>
      </c>
      <c r="G564" s="238">
        <v>1</v>
      </c>
      <c r="H564" s="243" t="s">
        <v>3968</v>
      </c>
      <c r="I564" s="198"/>
      <c r="J564" s="262" t="s">
        <v>3969</v>
      </c>
      <c r="K564" s="238" t="s">
        <v>3990</v>
      </c>
      <c r="L564" s="245">
        <f t="shared" si="1"/>
        <v>8</v>
      </c>
    </row>
    <row r="565" spans="1:12">
      <c r="A565" s="14">
        <v>50110193</v>
      </c>
      <c r="B565" s="26">
        <v>45884</v>
      </c>
      <c r="C565" s="14" t="s">
        <v>33</v>
      </c>
      <c r="D565" s="14" t="s">
        <v>1997</v>
      </c>
      <c r="E565" s="14" t="s">
        <v>1998</v>
      </c>
      <c r="F565" s="238">
        <v>1</v>
      </c>
      <c r="G565" s="238">
        <v>1</v>
      </c>
      <c r="H565" s="243" t="s">
        <v>3968</v>
      </c>
      <c r="I565" s="198"/>
      <c r="J565" s="262" t="s">
        <v>3969</v>
      </c>
      <c r="K565" s="238" t="s">
        <v>3990</v>
      </c>
      <c r="L565" s="245">
        <f t="shared" si="1"/>
        <v>8</v>
      </c>
    </row>
    <row r="566" spans="1:12">
      <c r="A566" s="14">
        <v>50110193</v>
      </c>
      <c r="B566" s="26">
        <v>45884</v>
      </c>
      <c r="C566" s="14" t="s">
        <v>33</v>
      </c>
      <c r="D566" s="14" t="s">
        <v>1999</v>
      </c>
      <c r="E566" s="14" t="s">
        <v>2000</v>
      </c>
      <c r="F566" s="238">
        <v>1</v>
      </c>
      <c r="G566" s="238">
        <v>1</v>
      </c>
      <c r="H566" s="243" t="s">
        <v>3968</v>
      </c>
      <c r="I566" s="198"/>
      <c r="J566" s="262" t="s">
        <v>3969</v>
      </c>
      <c r="K566" s="238" t="s">
        <v>3990</v>
      </c>
      <c r="L566" s="245">
        <f t="shared" si="1"/>
        <v>8</v>
      </c>
    </row>
    <row r="567" spans="1:12">
      <c r="A567" s="14">
        <v>50110193</v>
      </c>
      <c r="B567" s="26">
        <v>45884</v>
      </c>
      <c r="C567" s="14" t="s">
        <v>33</v>
      </c>
      <c r="D567" s="14" t="s">
        <v>94</v>
      </c>
      <c r="E567" s="14" t="s">
        <v>1718</v>
      </c>
      <c r="F567" s="238">
        <v>1</v>
      </c>
      <c r="G567" s="238">
        <v>1</v>
      </c>
      <c r="H567" s="243" t="s">
        <v>3968</v>
      </c>
      <c r="I567" s="198"/>
      <c r="J567" s="262" t="s">
        <v>3969</v>
      </c>
      <c r="K567" s="238" t="s">
        <v>3990</v>
      </c>
      <c r="L567" s="245">
        <f t="shared" si="1"/>
        <v>8</v>
      </c>
    </row>
    <row r="568" spans="1:12">
      <c r="A568" s="14">
        <v>50110193</v>
      </c>
      <c r="B568" s="26">
        <v>45884</v>
      </c>
      <c r="C568" s="14" t="s">
        <v>33</v>
      </c>
      <c r="D568" s="14" t="s">
        <v>2001</v>
      </c>
      <c r="E568" s="14" t="s">
        <v>2002</v>
      </c>
      <c r="F568" s="238">
        <v>1</v>
      </c>
      <c r="G568" s="238">
        <v>1</v>
      </c>
      <c r="H568" s="243" t="s">
        <v>3968</v>
      </c>
      <c r="I568" s="198"/>
      <c r="J568" s="262" t="s">
        <v>3969</v>
      </c>
      <c r="K568" s="238" t="s">
        <v>3990</v>
      </c>
      <c r="L568" s="245">
        <f t="shared" si="1"/>
        <v>8</v>
      </c>
    </row>
    <row r="569" spans="1:12">
      <c r="A569" s="14">
        <v>60002095</v>
      </c>
      <c r="B569" s="26">
        <v>45887</v>
      </c>
      <c r="C569" s="14" t="s">
        <v>73</v>
      </c>
      <c r="D569" s="14" t="s">
        <v>2005</v>
      </c>
      <c r="E569" s="14" t="s">
        <v>2006</v>
      </c>
      <c r="F569" s="238">
        <v>1</v>
      </c>
      <c r="G569" s="238">
        <v>1</v>
      </c>
      <c r="H569" s="243" t="s">
        <v>3968</v>
      </c>
      <c r="I569" s="198"/>
      <c r="J569" s="262" t="s">
        <v>3969</v>
      </c>
      <c r="K569" s="238" t="s">
        <v>3990</v>
      </c>
      <c r="L569" s="245">
        <f t="shared" si="1"/>
        <v>8</v>
      </c>
    </row>
    <row r="570" spans="1:12">
      <c r="A570" s="14">
        <v>50000260</v>
      </c>
      <c r="B570" s="26">
        <v>45887</v>
      </c>
      <c r="C570" s="14" t="s">
        <v>85</v>
      </c>
      <c r="D570" s="14" t="s">
        <v>130</v>
      </c>
      <c r="E570" s="14" t="s">
        <v>4109</v>
      </c>
      <c r="F570" s="238">
        <v>1</v>
      </c>
      <c r="G570" s="238">
        <v>1</v>
      </c>
      <c r="H570" s="243" t="s">
        <v>3968</v>
      </c>
      <c r="I570" s="198"/>
      <c r="J570" s="262" t="s">
        <v>3969</v>
      </c>
      <c r="K570" s="238" t="s">
        <v>3990</v>
      </c>
      <c r="L570" s="245">
        <f t="shared" si="1"/>
        <v>8</v>
      </c>
    </row>
    <row r="571" spans="1:12">
      <c r="A571" s="14">
        <v>51100064</v>
      </c>
      <c r="B571" s="26">
        <v>45887</v>
      </c>
      <c r="C571" s="14" t="s">
        <v>1196</v>
      </c>
      <c r="D571" s="14" t="s">
        <v>2011</v>
      </c>
      <c r="E571" s="14" t="s">
        <v>2012</v>
      </c>
      <c r="F571" s="238">
        <v>1</v>
      </c>
      <c r="G571" s="238">
        <v>1</v>
      </c>
      <c r="H571" s="243" t="s">
        <v>3968</v>
      </c>
      <c r="I571" s="198"/>
      <c r="J571" s="262" t="s">
        <v>3969</v>
      </c>
      <c r="K571" s="238" t="s">
        <v>3990</v>
      </c>
      <c r="L571" s="245">
        <f t="shared" ref="L571:L607" si="2">MONTH(B571)</f>
        <v>8</v>
      </c>
    </row>
    <row r="572" spans="1:12">
      <c r="A572" s="14">
        <v>50110193</v>
      </c>
      <c r="B572" s="26">
        <v>45887</v>
      </c>
      <c r="C572" s="14" t="s">
        <v>33</v>
      </c>
      <c r="D572" s="14" t="s">
        <v>98</v>
      </c>
      <c r="E572" s="14" t="s">
        <v>99</v>
      </c>
      <c r="F572" s="238">
        <v>1</v>
      </c>
      <c r="G572" s="238">
        <v>1</v>
      </c>
      <c r="H572" s="243" t="s">
        <v>3968</v>
      </c>
      <c r="I572" s="198"/>
      <c r="J572" s="262" t="s">
        <v>3969</v>
      </c>
      <c r="K572" s="238" t="s">
        <v>3990</v>
      </c>
      <c r="L572" s="245">
        <f t="shared" si="2"/>
        <v>8</v>
      </c>
    </row>
    <row r="573" spans="1:12">
      <c r="A573" s="14">
        <v>50110372</v>
      </c>
      <c r="B573" s="26">
        <v>45888</v>
      </c>
      <c r="C573" s="14" t="s">
        <v>73</v>
      </c>
      <c r="D573" s="14" t="s">
        <v>330</v>
      </c>
      <c r="E573" s="14" t="s">
        <v>2017</v>
      </c>
      <c r="F573" s="238">
        <v>1</v>
      </c>
      <c r="G573" s="238">
        <v>1</v>
      </c>
      <c r="H573" s="243" t="s">
        <v>3968</v>
      </c>
      <c r="I573" s="198"/>
      <c r="J573" s="262" t="s">
        <v>3969</v>
      </c>
      <c r="K573" s="238" t="s">
        <v>3990</v>
      </c>
      <c r="L573" s="245">
        <f t="shared" si="2"/>
        <v>8</v>
      </c>
    </row>
    <row r="574" spans="1:12">
      <c r="A574" s="14">
        <v>51000323</v>
      </c>
      <c r="B574" s="26">
        <v>45888</v>
      </c>
      <c r="C574" s="14" t="s">
        <v>103</v>
      </c>
      <c r="D574" s="14" t="s">
        <v>105</v>
      </c>
      <c r="E574" s="14" t="s">
        <v>2020</v>
      </c>
      <c r="F574" s="238">
        <v>1</v>
      </c>
      <c r="G574" s="238">
        <v>1</v>
      </c>
      <c r="H574" s="243" t="s">
        <v>3968</v>
      </c>
      <c r="I574" s="198"/>
      <c r="J574" s="262" t="s">
        <v>3969</v>
      </c>
      <c r="K574" s="238" t="s">
        <v>3990</v>
      </c>
      <c r="L574" s="245">
        <f t="shared" si="2"/>
        <v>8</v>
      </c>
    </row>
    <row r="575" spans="1:12">
      <c r="A575" s="14">
        <v>50110193</v>
      </c>
      <c r="B575" s="26">
        <v>45889</v>
      </c>
      <c r="C575" s="14" t="s">
        <v>33</v>
      </c>
      <c r="D575" s="14" t="s">
        <v>2023</v>
      </c>
      <c r="E575" s="14" t="s">
        <v>2024</v>
      </c>
      <c r="F575" s="238">
        <v>1</v>
      </c>
      <c r="G575" s="238">
        <v>1</v>
      </c>
      <c r="H575" s="243" t="s">
        <v>3968</v>
      </c>
      <c r="I575" s="198"/>
      <c r="J575" s="262" t="s">
        <v>3969</v>
      </c>
      <c r="K575" s="238" t="s">
        <v>3990</v>
      </c>
      <c r="L575" s="245">
        <f t="shared" si="2"/>
        <v>8</v>
      </c>
    </row>
    <row r="576" spans="1:12">
      <c r="A576" s="14">
        <v>50110193</v>
      </c>
      <c r="B576" s="26">
        <v>45889</v>
      </c>
      <c r="C576" s="14" t="s">
        <v>33</v>
      </c>
      <c r="D576" s="14" t="s">
        <v>1459</v>
      </c>
      <c r="E576" s="14" t="s">
        <v>1460</v>
      </c>
      <c r="F576" s="238">
        <v>2</v>
      </c>
      <c r="G576" s="238">
        <v>2</v>
      </c>
      <c r="H576" s="243" t="s">
        <v>3968</v>
      </c>
      <c r="I576" s="198"/>
      <c r="J576" s="262" t="s">
        <v>3969</v>
      </c>
      <c r="K576" s="238" t="s">
        <v>3990</v>
      </c>
      <c r="L576" s="245">
        <f t="shared" si="2"/>
        <v>8</v>
      </c>
    </row>
    <row r="577" spans="1:12">
      <c r="A577" s="14">
        <v>50110193</v>
      </c>
      <c r="B577" s="26">
        <v>45889</v>
      </c>
      <c r="C577" s="14" t="s">
        <v>33</v>
      </c>
      <c r="D577" s="14" t="s">
        <v>2027</v>
      </c>
      <c r="E577" s="14" t="s">
        <v>2028</v>
      </c>
      <c r="F577" s="238">
        <v>2</v>
      </c>
      <c r="G577" s="238">
        <v>2</v>
      </c>
      <c r="H577" s="243" t="s">
        <v>3968</v>
      </c>
      <c r="I577" s="198"/>
      <c r="J577" s="262" t="s">
        <v>3969</v>
      </c>
      <c r="K577" s="238" t="s">
        <v>3990</v>
      </c>
      <c r="L577" s="245">
        <f t="shared" si="2"/>
        <v>8</v>
      </c>
    </row>
    <row r="578" spans="1:12">
      <c r="A578" s="14">
        <v>50110193</v>
      </c>
      <c r="B578" s="26">
        <v>45889</v>
      </c>
      <c r="C578" s="14" t="s">
        <v>33</v>
      </c>
      <c r="D578" s="14" t="s">
        <v>2029</v>
      </c>
      <c r="E578" s="14" t="s">
        <v>2030</v>
      </c>
      <c r="F578" s="238">
        <v>2</v>
      </c>
      <c r="G578" s="238">
        <v>2</v>
      </c>
      <c r="H578" s="243" t="s">
        <v>3968</v>
      </c>
      <c r="I578" s="198"/>
      <c r="J578" s="262" t="s">
        <v>3969</v>
      </c>
      <c r="K578" s="238" t="s">
        <v>3990</v>
      </c>
      <c r="L578" s="245">
        <f t="shared" si="2"/>
        <v>8</v>
      </c>
    </row>
    <row r="579" spans="1:12">
      <c r="A579" s="14">
        <v>50110193</v>
      </c>
      <c r="B579" s="26">
        <v>45889</v>
      </c>
      <c r="C579" s="14" t="s">
        <v>33</v>
      </c>
      <c r="D579" s="14" t="s">
        <v>2032</v>
      </c>
      <c r="E579" s="14" t="s">
        <v>2033</v>
      </c>
      <c r="F579" s="238">
        <v>2</v>
      </c>
      <c r="G579" s="238">
        <v>2</v>
      </c>
      <c r="H579" s="243" t="s">
        <v>3968</v>
      </c>
      <c r="I579" s="198"/>
      <c r="J579" s="262" t="s">
        <v>3969</v>
      </c>
      <c r="K579" s="238" t="s">
        <v>3990</v>
      </c>
      <c r="L579" s="245">
        <f t="shared" si="2"/>
        <v>8</v>
      </c>
    </row>
    <row r="580" spans="1:12">
      <c r="A580" s="14">
        <v>50110193</v>
      </c>
      <c r="B580" s="26">
        <v>45889</v>
      </c>
      <c r="C580" s="14" t="s">
        <v>33</v>
      </c>
      <c r="D580" s="14" t="s">
        <v>2035</v>
      </c>
      <c r="E580" s="14" t="s">
        <v>2036</v>
      </c>
      <c r="F580" s="238">
        <v>1</v>
      </c>
      <c r="G580" s="238">
        <v>1</v>
      </c>
      <c r="H580" s="243" t="s">
        <v>3968</v>
      </c>
      <c r="I580" s="198"/>
      <c r="J580" s="262" t="s">
        <v>3969</v>
      </c>
      <c r="K580" s="238" t="s">
        <v>3990</v>
      </c>
      <c r="L580" s="245">
        <f t="shared" si="2"/>
        <v>8</v>
      </c>
    </row>
    <row r="581" spans="1:12">
      <c r="A581" s="14">
        <v>51000174</v>
      </c>
      <c r="B581" s="26">
        <v>45889</v>
      </c>
      <c r="C581" s="14" t="s">
        <v>118</v>
      </c>
      <c r="D581" s="14" t="s">
        <v>2040</v>
      </c>
      <c r="E581" s="14" t="s">
        <v>2041</v>
      </c>
      <c r="F581" s="238">
        <v>1</v>
      </c>
      <c r="G581" s="238">
        <v>1</v>
      </c>
      <c r="H581" s="243" t="s">
        <v>3968</v>
      </c>
      <c r="I581" s="198"/>
      <c r="J581" s="262" t="s">
        <v>3969</v>
      </c>
      <c r="K581" s="238" t="s">
        <v>3990</v>
      </c>
      <c r="L581" s="245">
        <f t="shared" si="2"/>
        <v>8</v>
      </c>
    </row>
    <row r="582" spans="1:12">
      <c r="A582" s="14">
        <v>44000216</v>
      </c>
      <c r="B582" s="26">
        <v>45889</v>
      </c>
      <c r="C582" s="14" t="s">
        <v>54</v>
      </c>
      <c r="D582" s="14" t="s">
        <v>2044</v>
      </c>
      <c r="E582" s="14" t="s">
        <v>2045</v>
      </c>
      <c r="F582" s="238">
        <v>1</v>
      </c>
      <c r="G582" s="238">
        <v>1</v>
      </c>
      <c r="H582" s="243" t="s">
        <v>3968</v>
      </c>
      <c r="I582" s="198"/>
      <c r="J582" s="262" t="s">
        <v>3969</v>
      </c>
      <c r="K582" s="238" t="s">
        <v>3990</v>
      </c>
      <c r="L582" s="245">
        <f t="shared" si="2"/>
        <v>8</v>
      </c>
    </row>
    <row r="583" spans="1:12">
      <c r="A583" s="14">
        <v>50110057</v>
      </c>
      <c r="B583" s="26">
        <v>45889</v>
      </c>
      <c r="C583" s="14" t="s">
        <v>181</v>
      </c>
      <c r="D583" s="14" t="s">
        <v>2035</v>
      </c>
      <c r="E583" s="14" t="s">
        <v>4110</v>
      </c>
      <c r="F583" s="238">
        <v>1</v>
      </c>
      <c r="G583" s="238">
        <v>1</v>
      </c>
      <c r="H583" s="243" t="s">
        <v>3968</v>
      </c>
      <c r="I583" s="198"/>
      <c r="J583" s="262" t="s">
        <v>3969</v>
      </c>
      <c r="K583" s="238" t="s">
        <v>3990</v>
      </c>
      <c r="L583" s="245">
        <f t="shared" si="2"/>
        <v>8</v>
      </c>
    </row>
    <row r="584" spans="1:12">
      <c r="A584" s="14">
        <v>50110057</v>
      </c>
      <c r="B584" s="26">
        <v>45889</v>
      </c>
      <c r="C584" s="14" t="s">
        <v>181</v>
      </c>
      <c r="D584" s="14" t="s">
        <v>545</v>
      </c>
      <c r="E584" s="14" t="s">
        <v>4111</v>
      </c>
      <c r="F584" s="238">
        <v>1</v>
      </c>
      <c r="G584" s="238">
        <v>1</v>
      </c>
      <c r="H584" s="243" t="s">
        <v>3968</v>
      </c>
      <c r="I584" s="198"/>
      <c r="J584" s="262" t="s">
        <v>3969</v>
      </c>
      <c r="K584" s="238" t="s">
        <v>3990</v>
      </c>
      <c r="L584" s="245">
        <f t="shared" si="2"/>
        <v>8</v>
      </c>
    </row>
    <row r="585" spans="1:12">
      <c r="A585" s="14">
        <v>50110261</v>
      </c>
      <c r="B585" s="26">
        <v>45890</v>
      </c>
      <c r="C585" s="14" t="s">
        <v>225</v>
      </c>
      <c r="D585" s="14" t="s">
        <v>2051</v>
      </c>
      <c r="E585" s="14" t="s">
        <v>2052</v>
      </c>
      <c r="F585" s="238">
        <v>2</v>
      </c>
      <c r="G585" s="238">
        <v>2</v>
      </c>
      <c r="H585" s="243" t="s">
        <v>3968</v>
      </c>
      <c r="I585" s="198"/>
      <c r="J585" s="262" t="s">
        <v>3969</v>
      </c>
      <c r="K585" s="238" t="s">
        <v>3990</v>
      </c>
      <c r="L585" s="245">
        <f t="shared" si="2"/>
        <v>8</v>
      </c>
    </row>
    <row r="586" spans="1:12">
      <c r="A586" s="14">
        <v>48300315</v>
      </c>
      <c r="B586" s="26">
        <v>45890</v>
      </c>
      <c r="C586" s="14" t="s">
        <v>54</v>
      </c>
      <c r="D586" s="14" t="s">
        <v>335</v>
      </c>
      <c r="E586" s="14" t="s">
        <v>1136</v>
      </c>
      <c r="F586" s="238">
        <v>1</v>
      </c>
      <c r="G586" s="238">
        <v>1</v>
      </c>
      <c r="H586" s="243" t="s">
        <v>3968</v>
      </c>
      <c r="I586" s="198"/>
      <c r="J586" s="262" t="s">
        <v>3969</v>
      </c>
      <c r="K586" s="238" t="s">
        <v>3990</v>
      </c>
      <c r="L586" s="245">
        <f t="shared" si="2"/>
        <v>8</v>
      </c>
    </row>
    <row r="587" spans="1:12">
      <c r="A587" s="14">
        <v>48300301</v>
      </c>
      <c r="B587" s="26">
        <v>45890</v>
      </c>
      <c r="C587" s="14" t="s">
        <v>63</v>
      </c>
      <c r="D587" s="14" t="s">
        <v>2057</v>
      </c>
      <c r="E587" s="14" t="s">
        <v>2058</v>
      </c>
      <c r="F587" s="238">
        <v>1</v>
      </c>
      <c r="G587" s="238">
        <v>1</v>
      </c>
      <c r="H587" s="243" t="s">
        <v>3968</v>
      </c>
      <c r="I587" s="198"/>
      <c r="J587" s="262" t="s">
        <v>3969</v>
      </c>
      <c r="K587" s="238" t="s">
        <v>3990</v>
      </c>
      <c r="L587" s="245">
        <f t="shared" si="2"/>
        <v>8</v>
      </c>
    </row>
    <row r="588" spans="1:12">
      <c r="A588" s="14">
        <v>50110229</v>
      </c>
      <c r="B588" s="26">
        <v>45890</v>
      </c>
      <c r="C588" s="14" t="s">
        <v>109</v>
      </c>
      <c r="D588" s="14" t="s">
        <v>35</v>
      </c>
      <c r="E588" s="14" t="s">
        <v>682</v>
      </c>
      <c r="F588" s="238">
        <v>1</v>
      </c>
      <c r="G588" s="238">
        <v>1</v>
      </c>
      <c r="H588" s="243" t="s">
        <v>3968</v>
      </c>
      <c r="I588" s="198"/>
      <c r="J588" s="262" t="s">
        <v>3969</v>
      </c>
      <c r="K588" s="238" t="s">
        <v>3990</v>
      </c>
      <c r="L588" s="245">
        <f t="shared" si="2"/>
        <v>8</v>
      </c>
    </row>
    <row r="589" spans="1:12">
      <c r="A589" s="14">
        <v>48500706</v>
      </c>
      <c r="B589" s="25">
        <v>45895</v>
      </c>
      <c r="C589" s="14" t="s">
        <v>2066</v>
      </c>
      <c r="D589" s="14" t="s">
        <v>856</v>
      </c>
      <c r="E589" s="14" t="s">
        <v>1877</v>
      </c>
      <c r="F589" s="238">
        <v>1</v>
      </c>
      <c r="G589" s="238">
        <v>1</v>
      </c>
      <c r="H589" s="243" t="s">
        <v>3968</v>
      </c>
      <c r="I589" s="198"/>
      <c r="J589" s="262" t="s">
        <v>3969</v>
      </c>
      <c r="K589" s="238" t="s">
        <v>3990</v>
      </c>
      <c r="L589" s="245">
        <f t="shared" si="2"/>
        <v>8</v>
      </c>
    </row>
    <row r="590" spans="1:12">
      <c r="A590" s="14">
        <v>50000202</v>
      </c>
      <c r="B590" s="25">
        <v>45891</v>
      </c>
      <c r="C590" s="14" t="s">
        <v>93</v>
      </c>
      <c r="D590" s="14" t="s">
        <v>2074</v>
      </c>
      <c r="E590" s="14" t="s">
        <v>2075</v>
      </c>
      <c r="F590" s="238">
        <v>2</v>
      </c>
      <c r="G590" s="238">
        <v>1</v>
      </c>
      <c r="H590" s="243" t="s">
        <v>3968</v>
      </c>
      <c r="I590" s="198"/>
      <c r="J590" s="262" t="s">
        <v>3969</v>
      </c>
      <c r="K590" s="238" t="s">
        <v>3990</v>
      </c>
      <c r="L590" s="245">
        <f t="shared" si="2"/>
        <v>8</v>
      </c>
    </row>
    <row r="591" spans="1:12">
      <c r="A591" s="14">
        <v>50000202</v>
      </c>
      <c r="B591" s="25">
        <v>45891</v>
      </c>
      <c r="C591" s="14" t="s">
        <v>93</v>
      </c>
      <c r="D591" s="14" t="s">
        <v>2076</v>
      </c>
      <c r="E591" s="14" t="s">
        <v>2077</v>
      </c>
      <c r="F591" s="238">
        <v>1</v>
      </c>
      <c r="G591" s="238">
        <v>1</v>
      </c>
      <c r="H591" s="243" t="s">
        <v>3968</v>
      </c>
      <c r="I591" s="198"/>
      <c r="J591" s="262" t="s">
        <v>3969</v>
      </c>
      <c r="K591" s="238" t="s">
        <v>3990</v>
      </c>
      <c r="L591" s="245">
        <f t="shared" si="2"/>
        <v>8</v>
      </c>
    </row>
    <row r="592" spans="1:12">
      <c r="A592" s="14">
        <v>50000202</v>
      </c>
      <c r="B592" s="25">
        <v>45891</v>
      </c>
      <c r="C592" s="14" t="s">
        <v>93</v>
      </c>
      <c r="D592" s="14" t="s">
        <v>2078</v>
      </c>
      <c r="E592" s="14" t="s">
        <v>2079</v>
      </c>
      <c r="F592" s="238">
        <v>1</v>
      </c>
      <c r="G592" s="238">
        <v>1</v>
      </c>
      <c r="H592" s="243" t="s">
        <v>3968</v>
      </c>
      <c r="I592" s="198"/>
      <c r="J592" s="262" t="s">
        <v>3969</v>
      </c>
      <c r="K592" s="238" t="s">
        <v>3990</v>
      </c>
      <c r="L592" s="245">
        <f t="shared" si="2"/>
        <v>8</v>
      </c>
    </row>
    <row r="593" spans="1:12">
      <c r="A593" s="14">
        <v>50000202</v>
      </c>
      <c r="B593" s="25">
        <v>45891</v>
      </c>
      <c r="C593" s="14" t="s">
        <v>93</v>
      </c>
      <c r="D593" s="14" t="s">
        <v>1936</v>
      </c>
      <c r="E593" s="14" t="s">
        <v>2080</v>
      </c>
      <c r="F593" s="238">
        <v>2</v>
      </c>
      <c r="G593" s="238">
        <v>1</v>
      </c>
      <c r="H593" s="243" t="s">
        <v>3968</v>
      </c>
      <c r="I593" s="198"/>
      <c r="J593" s="262" t="s">
        <v>3969</v>
      </c>
      <c r="K593" s="238" t="s">
        <v>3990</v>
      </c>
      <c r="L593" s="245">
        <f t="shared" si="2"/>
        <v>8</v>
      </c>
    </row>
    <row r="594" spans="1:12">
      <c r="A594" s="14">
        <v>50000202</v>
      </c>
      <c r="B594" s="25">
        <v>45891</v>
      </c>
      <c r="C594" s="14" t="s">
        <v>93</v>
      </c>
      <c r="D594" s="14" t="s">
        <v>624</v>
      </c>
      <c r="E594" s="14" t="s">
        <v>2081</v>
      </c>
      <c r="F594" s="238">
        <v>1</v>
      </c>
      <c r="G594" s="238">
        <v>1</v>
      </c>
      <c r="H594" s="243" t="s">
        <v>3968</v>
      </c>
      <c r="I594" s="198"/>
      <c r="J594" s="262" t="s">
        <v>3969</v>
      </c>
      <c r="K594" s="238" t="s">
        <v>3990</v>
      </c>
      <c r="L594" s="245">
        <f t="shared" si="2"/>
        <v>8</v>
      </c>
    </row>
    <row r="595" spans="1:12">
      <c r="A595" s="14">
        <v>50000202</v>
      </c>
      <c r="B595" s="25">
        <v>45891</v>
      </c>
      <c r="C595" s="14" t="s">
        <v>93</v>
      </c>
      <c r="D595" s="14" t="s">
        <v>2082</v>
      </c>
      <c r="E595" s="14" t="s">
        <v>2083</v>
      </c>
      <c r="F595" s="238">
        <v>1</v>
      </c>
      <c r="G595" s="238">
        <v>1</v>
      </c>
      <c r="H595" s="243" t="s">
        <v>3968</v>
      </c>
      <c r="I595" s="198"/>
      <c r="J595" s="262" t="s">
        <v>3969</v>
      </c>
      <c r="K595" s="238" t="s">
        <v>3990</v>
      </c>
      <c r="L595" s="245">
        <f t="shared" si="2"/>
        <v>8</v>
      </c>
    </row>
    <row r="596" spans="1:12">
      <c r="A596" s="14">
        <v>50000202</v>
      </c>
      <c r="B596" s="25">
        <v>45891</v>
      </c>
      <c r="C596" s="14" t="s">
        <v>93</v>
      </c>
      <c r="D596" s="14" t="s">
        <v>2084</v>
      </c>
      <c r="E596" s="14" t="s">
        <v>2085</v>
      </c>
      <c r="F596" s="238">
        <v>1</v>
      </c>
      <c r="G596" s="238">
        <v>1</v>
      </c>
      <c r="H596" s="243" t="s">
        <v>3968</v>
      </c>
      <c r="I596" s="198"/>
      <c r="J596" s="262" t="s">
        <v>3969</v>
      </c>
      <c r="K596" s="238" t="s">
        <v>3990</v>
      </c>
      <c r="L596" s="245">
        <f t="shared" si="2"/>
        <v>8</v>
      </c>
    </row>
    <row r="597" spans="1:12">
      <c r="A597" s="14">
        <v>50000202</v>
      </c>
      <c r="B597" s="25">
        <v>45891</v>
      </c>
      <c r="C597" s="14" t="s">
        <v>93</v>
      </c>
      <c r="D597" s="14" t="s">
        <v>2086</v>
      </c>
      <c r="E597" s="14" t="s">
        <v>2087</v>
      </c>
      <c r="F597" s="238">
        <v>1</v>
      </c>
      <c r="G597" s="238">
        <v>1</v>
      </c>
      <c r="H597" s="243" t="s">
        <v>3968</v>
      </c>
      <c r="I597" s="198"/>
      <c r="J597" s="262" t="s">
        <v>3969</v>
      </c>
      <c r="K597" s="238" t="s">
        <v>3990</v>
      </c>
      <c r="L597" s="245">
        <f t="shared" si="2"/>
        <v>8</v>
      </c>
    </row>
    <row r="598" spans="1:12">
      <c r="A598" s="14">
        <v>60002072</v>
      </c>
      <c r="B598" s="26">
        <v>45895</v>
      </c>
      <c r="C598" s="14" t="s">
        <v>202</v>
      </c>
      <c r="D598" s="14" t="s">
        <v>1141</v>
      </c>
      <c r="E598" s="14" t="s">
        <v>1142</v>
      </c>
      <c r="F598" s="238">
        <v>1</v>
      </c>
      <c r="G598" s="238">
        <v>1</v>
      </c>
      <c r="H598" s="243" t="s">
        <v>3968</v>
      </c>
      <c r="I598" s="198"/>
      <c r="J598" s="262" t="s">
        <v>3969</v>
      </c>
      <c r="K598" s="238" t="s">
        <v>3990</v>
      </c>
      <c r="L598" s="245">
        <f t="shared" si="2"/>
        <v>8</v>
      </c>
    </row>
    <row r="599" spans="1:12">
      <c r="A599" s="14">
        <v>60002072</v>
      </c>
      <c r="B599" s="26">
        <v>45895</v>
      </c>
      <c r="C599" s="14" t="s">
        <v>202</v>
      </c>
      <c r="D599" s="14" t="s">
        <v>484</v>
      </c>
      <c r="E599" s="14" t="s">
        <v>485</v>
      </c>
      <c r="F599" s="238">
        <v>1</v>
      </c>
      <c r="G599" s="238">
        <v>1</v>
      </c>
      <c r="H599" s="243" t="s">
        <v>3968</v>
      </c>
      <c r="I599" s="198"/>
      <c r="J599" s="262" t="s">
        <v>3969</v>
      </c>
      <c r="K599" s="238" t="s">
        <v>3990</v>
      </c>
      <c r="L599" s="245">
        <f t="shared" si="2"/>
        <v>8</v>
      </c>
    </row>
    <row r="600" spans="1:12">
      <c r="A600" s="14">
        <v>51000136</v>
      </c>
      <c r="B600" s="26">
        <v>45895</v>
      </c>
      <c r="C600" s="14" t="s">
        <v>103</v>
      </c>
      <c r="D600" s="14" t="s">
        <v>2094</v>
      </c>
      <c r="E600" s="14" t="s">
        <v>2095</v>
      </c>
      <c r="F600" s="238">
        <v>1</v>
      </c>
      <c r="G600" s="238">
        <v>0</v>
      </c>
      <c r="H600" s="243" t="s">
        <v>3968</v>
      </c>
      <c r="I600" s="198"/>
      <c r="J600" s="262" t="s">
        <v>3969</v>
      </c>
      <c r="K600" s="238" t="s">
        <v>3990</v>
      </c>
      <c r="L600" s="245">
        <f t="shared" si="2"/>
        <v>8</v>
      </c>
    </row>
    <row r="601" spans="1:12">
      <c r="A601" s="14">
        <v>60002072</v>
      </c>
      <c r="B601" s="26">
        <v>45895</v>
      </c>
      <c r="C601" s="14" t="s">
        <v>202</v>
      </c>
      <c r="D601" s="14" t="s">
        <v>136</v>
      </c>
      <c r="E601" s="14" t="s">
        <v>4080</v>
      </c>
      <c r="F601" s="238">
        <v>1</v>
      </c>
      <c r="G601" s="238">
        <v>1</v>
      </c>
      <c r="H601" s="243" t="s">
        <v>3968</v>
      </c>
      <c r="I601" s="198"/>
      <c r="J601" s="262" t="s">
        <v>3969</v>
      </c>
      <c r="K601" s="238" t="s">
        <v>3990</v>
      </c>
      <c r="L601" s="245">
        <f t="shared" si="2"/>
        <v>8</v>
      </c>
    </row>
    <row r="602" spans="1:12">
      <c r="A602" s="14">
        <v>60002072</v>
      </c>
      <c r="B602" s="26">
        <v>45895</v>
      </c>
      <c r="C602" s="14" t="s">
        <v>202</v>
      </c>
      <c r="D602" s="14" t="s">
        <v>134</v>
      </c>
      <c r="E602" s="14" t="s">
        <v>2098</v>
      </c>
      <c r="F602" s="238">
        <v>1</v>
      </c>
      <c r="G602" s="238">
        <v>1</v>
      </c>
      <c r="H602" s="243" t="s">
        <v>3968</v>
      </c>
      <c r="I602" s="198"/>
      <c r="J602" s="262" t="s">
        <v>3969</v>
      </c>
      <c r="K602" s="238" t="s">
        <v>3990</v>
      </c>
      <c r="L602" s="245">
        <f t="shared" si="2"/>
        <v>8</v>
      </c>
    </row>
    <row r="603" spans="1:12">
      <c r="A603" s="14">
        <v>48500709</v>
      </c>
      <c r="B603" s="26">
        <v>45895</v>
      </c>
      <c r="C603" s="14" t="s">
        <v>2101</v>
      </c>
      <c r="D603" s="14" t="s">
        <v>2102</v>
      </c>
      <c r="E603" s="14" t="s">
        <v>2103</v>
      </c>
      <c r="F603" s="238">
        <v>1</v>
      </c>
      <c r="G603" s="238">
        <v>1</v>
      </c>
      <c r="H603" s="243" t="s">
        <v>3968</v>
      </c>
      <c r="I603" s="198"/>
      <c r="J603" s="262" t="s">
        <v>3969</v>
      </c>
      <c r="K603" s="238" t="s">
        <v>3990</v>
      </c>
      <c r="L603" s="245">
        <f t="shared" si="2"/>
        <v>8</v>
      </c>
    </row>
    <row r="604" spans="1:12">
      <c r="A604" s="14">
        <v>50000530</v>
      </c>
      <c r="B604" s="26">
        <v>45895</v>
      </c>
      <c r="C604" s="14" t="s">
        <v>79</v>
      </c>
      <c r="D604" s="14" t="s">
        <v>2106</v>
      </c>
      <c r="E604" s="14" t="s">
        <v>331</v>
      </c>
      <c r="F604" s="238">
        <v>1</v>
      </c>
      <c r="G604" s="238">
        <v>1</v>
      </c>
      <c r="H604" s="243" t="s">
        <v>3968</v>
      </c>
      <c r="I604" s="198"/>
      <c r="J604" s="262" t="s">
        <v>3969</v>
      </c>
      <c r="K604" s="238" t="s">
        <v>3990</v>
      </c>
      <c r="L604" s="245">
        <f t="shared" si="2"/>
        <v>8</v>
      </c>
    </row>
    <row r="605" spans="1:12">
      <c r="A605" s="14">
        <v>48500709</v>
      </c>
      <c r="B605" s="26">
        <v>45895</v>
      </c>
      <c r="C605" s="14" t="s">
        <v>2101</v>
      </c>
      <c r="D605" s="14" t="s">
        <v>2109</v>
      </c>
      <c r="E605" s="14" t="s">
        <v>4112</v>
      </c>
      <c r="F605" s="238">
        <v>1</v>
      </c>
      <c r="G605" s="238">
        <v>1</v>
      </c>
      <c r="H605" s="243" t="s">
        <v>3968</v>
      </c>
      <c r="I605" s="198"/>
      <c r="J605" s="262" t="s">
        <v>3969</v>
      </c>
      <c r="K605" s="238" t="s">
        <v>3990</v>
      </c>
      <c r="L605" s="245">
        <f t="shared" si="2"/>
        <v>8</v>
      </c>
    </row>
    <row r="606" spans="1:12">
      <c r="A606" s="14">
        <v>48500706</v>
      </c>
      <c r="B606" s="26">
        <v>45896</v>
      </c>
      <c r="C606" s="14" t="s">
        <v>2066</v>
      </c>
      <c r="D606" s="14" t="s">
        <v>2113</v>
      </c>
      <c r="E606" s="14" t="s">
        <v>2114</v>
      </c>
      <c r="F606" s="238">
        <v>1</v>
      </c>
      <c r="G606" s="238">
        <v>1</v>
      </c>
      <c r="H606" s="243" t="s">
        <v>3968</v>
      </c>
      <c r="I606" s="198"/>
      <c r="J606" s="262" t="s">
        <v>3969</v>
      </c>
      <c r="K606" s="238" t="s">
        <v>3990</v>
      </c>
      <c r="L606" s="245">
        <f t="shared" si="2"/>
        <v>8</v>
      </c>
    </row>
    <row r="607" spans="1:12">
      <c r="A607" s="40">
        <v>60002095</v>
      </c>
      <c r="B607" s="235">
        <v>45896</v>
      </c>
      <c r="C607" s="40" t="s">
        <v>4113</v>
      </c>
      <c r="D607" s="40" t="s">
        <v>2117</v>
      </c>
      <c r="E607" s="40" t="s">
        <v>2118</v>
      </c>
      <c r="F607" s="237">
        <v>1</v>
      </c>
      <c r="G607" s="237">
        <v>1</v>
      </c>
      <c r="H607" s="249" t="s">
        <v>3971</v>
      </c>
      <c r="I607" s="236"/>
      <c r="J607" s="263" t="s">
        <v>3969</v>
      </c>
      <c r="K607" s="237" t="s">
        <v>3990</v>
      </c>
      <c r="L607" s="266">
        <f t="shared" si="2"/>
        <v>8</v>
      </c>
    </row>
    <row r="608" spans="1:12">
      <c r="A608" s="15">
        <v>50300097</v>
      </c>
      <c r="B608" s="15">
        <v>45902</v>
      </c>
      <c r="C608" s="15" t="s">
        <v>445</v>
      </c>
      <c r="D608" s="15" t="s">
        <v>1058</v>
      </c>
      <c r="E608" s="15" t="s">
        <v>2121</v>
      </c>
      <c r="F608" s="238">
        <v>1</v>
      </c>
      <c r="G608" s="238">
        <v>1</v>
      </c>
      <c r="H608" s="243" t="s">
        <v>3968</v>
      </c>
      <c r="I608" s="278"/>
      <c r="J608" s="238" t="s">
        <v>3969</v>
      </c>
      <c r="K608" s="238" t="s">
        <v>3990</v>
      </c>
      <c r="L608" s="238">
        <v>9</v>
      </c>
    </row>
    <row r="609" spans="1:12">
      <c r="A609" s="15">
        <v>50300097</v>
      </c>
      <c r="B609" s="15">
        <v>45902</v>
      </c>
      <c r="C609" s="15" t="s">
        <v>445</v>
      </c>
      <c r="D609" s="15" t="s">
        <v>1056</v>
      </c>
      <c r="E609" s="15" t="s">
        <v>2122</v>
      </c>
      <c r="F609" s="238">
        <v>1</v>
      </c>
      <c r="G609" s="238">
        <v>1</v>
      </c>
      <c r="H609" s="243" t="s">
        <v>3968</v>
      </c>
      <c r="I609" s="278"/>
      <c r="J609" s="238" t="s">
        <v>3969</v>
      </c>
      <c r="K609" s="238" t="s">
        <v>3990</v>
      </c>
      <c r="L609" s="238">
        <v>9</v>
      </c>
    </row>
    <row r="610" spans="1:12">
      <c r="A610" s="15">
        <v>51000323</v>
      </c>
      <c r="B610" s="15">
        <v>45901</v>
      </c>
      <c r="C610" s="15" t="s">
        <v>103</v>
      </c>
      <c r="D610" s="15" t="s">
        <v>1813</v>
      </c>
      <c r="E610" s="15" t="s">
        <v>2129</v>
      </c>
      <c r="F610" s="238">
        <v>1</v>
      </c>
      <c r="G610" s="238">
        <v>1</v>
      </c>
      <c r="H610" s="243" t="s">
        <v>3968</v>
      </c>
      <c r="I610" s="278"/>
      <c r="J610" s="238" t="s">
        <v>3969</v>
      </c>
      <c r="K610" s="238" t="s">
        <v>3990</v>
      </c>
      <c r="L610" s="238">
        <v>9</v>
      </c>
    </row>
    <row r="611" spans="1:12">
      <c r="A611" s="15">
        <v>60001111</v>
      </c>
      <c r="B611" s="15">
        <v>45901</v>
      </c>
      <c r="C611" s="15" t="s">
        <v>2132</v>
      </c>
      <c r="D611" s="15" t="s">
        <v>2133</v>
      </c>
      <c r="E611" s="15" t="s">
        <v>2134</v>
      </c>
      <c r="F611" s="238">
        <v>1</v>
      </c>
      <c r="G611" s="238">
        <v>0</v>
      </c>
      <c r="H611" s="249" t="s">
        <v>3971</v>
      </c>
      <c r="I611" s="278"/>
      <c r="J611" s="238" t="s">
        <v>3969</v>
      </c>
      <c r="K611" s="238" t="s">
        <v>3990</v>
      </c>
      <c r="L611" s="238">
        <v>9</v>
      </c>
    </row>
    <row r="612" spans="1:12">
      <c r="A612" s="15">
        <v>60001111</v>
      </c>
      <c r="B612" s="15">
        <v>45901</v>
      </c>
      <c r="C612" s="15" t="s">
        <v>2132</v>
      </c>
      <c r="D612" s="15" t="s">
        <v>2135</v>
      </c>
      <c r="E612" s="15" t="s">
        <v>2136</v>
      </c>
      <c r="F612" s="238">
        <v>1</v>
      </c>
      <c r="G612" s="238">
        <v>0</v>
      </c>
      <c r="H612" s="249" t="s">
        <v>3971</v>
      </c>
      <c r="I612" s="278"/>
      <c r="J612" s="238" t="s">
        <v>3969</v>
      </c>
      <c r="K612" s="238" t="s">
        <v>3990</v>
      </c>
      <c r="L612" s="238">
        <v>9</v>
      </c>
    </row>
    <row r="613" spans="1:12">
      <c r="A613" s="15">
        <v>60002095</v>
      </c>
      <c r="B613" s="15">
        <v>45902</v>
      </c>
      <c r="C613" s="15" t="s">
        <v>73</v>
      </c>
      <c r="D613" s="15" t="s">
        <v>2139</v>
      </c>
      <c r="E613" s="15" t="s">
        <v>4114</v>
      </c>
      <c r="F613" s="238">
        <v>1</v>
      </c>
      <c r="G613" s="238">
        <v>0</v>
      </c>
      <c r="H613" s="243" t="s">
        <v>3968</v>
      </c>
      <c r="I613" s="278"/>
      <c r="J613" s="238" t="s">
        <v>3969</v>
      </c>
      <c r="K613" s="238" t="s">
        <v>3990</v>
      </c>
      <c r="L613" s="238">
        <v>9</v>
      </c>
    </row>
    <row r="614" spans="1:12">
      <c r="A614" s="15">
        <v>50000260</v>
      </c>
      <c r="B614" s="15">
        <v>45902</v>
      </c>
      <c r="C614" s="15" t="s">
        <v>85</v>
      </c>
      <c r="D614" s="15" t="s">
        <v>354</v>
      </c>
      <c r="E614" s="15" t="s">
        <v>1956</v>
      </c>
      <c r="F614" s="238">
        <v>1</v>
      </c>
      <c r="G614" s="238">
        <v>1</v>
      </c>
      <c r="H614" s="243" t="s">
        <v>3968</v>
      </c>
      <c r="I614" s="278"/>
      <c r="J614" s="238" t="s">
        <v>3969</v>
      </c>
      <c r="K614" s="238" t="s">
        <v>3990</v>
      </c>
      <c r="L614" s="238">
        <v>9</v>
      </c>
    </row>
    <row r="615" spans="1:12">
      <c r="A615" s="15">
        <v>50000260</v>
      </c>
      <c r="B615" s="15">
        <v>45902</v>
      </c>
      <c r="C615" s="15" t="s">
        <v>85</v>
      </c>
      <c r="D615" s="15" t="s">
        <v>261</v>
      </c>
      <c r="E615" s="15" t="s">
        <v>2143</v>
      </c>
      <c r="F615" s="238">
        <v>1</v>
      </c>
      <c r="G615" s="238">
        <v>1</v>
      </c>
      <c r="H615" s="243" t="s">
        <v>3968</v>
      </c>
      <c r="I615" s="278"/>
      <c r="J615" s="238" t="s">
        <v>3969</v>
      </c>
      <c r="K615" s="238" t="s">
        <v>3990</v>
      </c>
      <c r="L615" s="238">
        <v>9</v>
      </c>
    </row>
    <row r="616" spans="1:12">
      <c r="A616" s="15">
        <v>60002072</v>
      </c>
      <c r="B616" s="15">
        <v>45902</v>
      </c>
      <c r="C616" s="15" t="s">
        <v>202</v>
      </c>
      <c r="D616" s="15" t="s">
        <v>545</v>
      </c>
      <c r="E616" s="15" t="s">
        <v>4115</v>
      </c>
      <c r="F616" s="238">
        <v>1</v>
      </c>
      <c r="G616" s="238">
        <v>1</v>
      </c>
      <c r="H616" s="243" t="s">
        <v>3968</v>
      </c>
      <c r="I616" s="278"/>
      <c r="J616" s="238" t="s">
        <v>3969</v>
      </c>
      <c r="K616" s="238" t="s">
        <v>3990</v>
      </c>
      <c r="L616" s="238">
        <v>9</v>
      </c>
    </row>
    <row r="617" spans="1:12">
      <c r="A617" s="15">
        <v>51000323</v>
      </c>
      <c r="B617" s="15">
        <v>45903</v>
      </c>
      <c r="C617" s="15" t="s">
        <v>103</v>
      </c>
      <c r="D617" s="15" t="s">
        <v>1094</v>
      </c>
      <c r="E617" s="15" t="s">
        <v>2148</v>
      </c>
      <c r="F617" s="238">
        <v>1</v>
      </c>
      <c r="G617" s="238">
        <v>1</v>
      </c>
      <c r="H617" s="243" t="s">
        <v>3968</v>
      </c>
      <c r="I617" s="278"/>
      <c r="J617" s="238" t="s">
        <v>3969</v>
      </c>
      <c r="K617" s="238" t="s">
        <v>3990</v>
      </c>
      <c r="L617" s="238">
        <v>9</v>
      </c>
    </row>
    <row r="618" spans="1:12">
      <c r="A618" s="15">
        <v>60002095</v>
      </c>
      <c r="B618" s="15">
        <v>45903</v>
      </c>
      <c r="C618" s="15" t="s">
        <v>73</v>
      </c>
      <c r="D618" s="15" t="s">
        <v>136</v>
      </c>
      <c r="E618" s="15" t="s">
        <v>4116</v>
      </c>
      <c r="F618" s="238">
        <v>1</v>
      </c>
      <c r="G618" s="238">
        <v>1</v>
      </c>
      <c r="H618" s="243" t="s">
        <v>3968</v>
      </c>
      <c r="I618" s="278"/>
      <c r="J618" s="238" t="s">
        <v>3969</v>
      </c>
      <c r="K618" s="238" t="s">
        <v>3990</v>
      </c>
      <c r="L618" s="238">
        <v>9</v>
      </c>
    </row>
    <row r="619" spans="1:12">
      <c r="A619" s="15">
        <v>60002095</v>
      </c>
      <c r="B619" s="15">
        <v>45903</v>
      </c>
      <c r="C619" s="15" t="s">
        <v>73</v>
      </c>
      <c r="D619" s="15" t="s">
        <v>134</v>
      </c>
      <c r="E619" s="15" t="s">
        <v>1386</v>
      </c>
      <c r="F619" s="238">
        <v>1</v>
      </c>
      <c r="G619" s="238">
        <v>1</v>
      </c>
      <c r="H619" s="243" t="s">
        <v>3968</v>
      </c>
      <c r="I619" s="278"/>
      <c r="J619" s="238" t="s">
        <v>3969</v>
      </c>
      <c r="K619" s="238" t="s">
        <v>3990</v>
      </c>
      <c r="L619" s="238">
        <v>9</v>
      </c>
    </row>
    <row r="620" spans="1:12">
      <c r="A620" s="15">
        <v>50110229</v>
      </c>
      <c r="B620" s="15">
        <v>45903</v>
      </c>
      <c r="C620" s="15" t="s">
        <v>109</v>
      </c>
      <c r="D620" s="15" t="s">
        <v>2154</v>
      </c>
      <c r="E620" s="15" t="s">
        <v>2155</v>
      </c>
      <c r="F620" s="238">
        <v>1</v>
      </c>
      <c r="G620" s="238">
        <v>0</v>
      </c>
      <c r="H620" s="243" t="s">
        <v>3968</v>
      </c>
      <c r="I620" s="278"/>
      <c r="J620" s="238" t="s">
        <v>3969</v>
      </c>
      <c r="K620" s="238" t="s">
        <v>3990</v>
      </c>
      <c r="L620" s="238">
        <v>9</v>
      </c>
    </row>
    <row r="621" spans="1:12">
      <c r="A621" s="15">
        <v>50110193</v>
      </c>
      <c r="B621" s="15">
        <v>45903</v>
      </c>
      <c r="C621" s="15" t="s">
        <v>33</v>
      </c>
      <c r="D621" s="15" t="s">
        <v>545</v>
      </c>
      <c r="E621" s="15" t="s">
        <v>4117</v>
      </c>
      <c r="F621" s="238">
        <v>1</v>
      </c>
      <c r="G621" s="238">
        <v>1</v>
      </c>
      <c r="H621" s="243" t="s">
        <v>3968</v>
      </c>
      <c r="I621" s="278"/>
      <c r="J621" s="238" t="s">
        <v>3969</v>
      </c>
      <c r="K621" s="238" t="s">
        <v>3990</v>
      </c>
      <c r="L621" s="238">
        <v>9</v>
      </c>
    </row>
    <row r="622" spans="1:12">
      <c r="A622" s="15">
        <v>48500670</v>
      </c>
      <c r="B622" s="15">
        <v>45910</v>
      </c>
      <c r="C622" s="15" t="s">
        <v>4118</v>
      </c>
      <c r="D622" s="15" t="s">
        <v>2160</v>
      </c>
      <c r="E622" s="15" t="s">
        <v>4119</v>
      </c>
      <c r="F622" s="238">
        <v>1</v>
      </c>
      <c r="G622" s="238">
        <v>1</v>
      </c>
      <c r="H622" s="243" t="s">
        <v>3968</v>
      </c>
      <c r="I622" s="278"/>
      <c r="J622" s="238" t="s">
        <v>3969</v>
      </c>
      <c r="K622" s="238" t="s">
        <v>3990</v>
      </c>
      <c r="L622" s="238">
        <v>9</v>
      </c>
    </row>
    <row r="623" spans="1:12">
      <c r="A623" s="15">
        <v>48300301</v>
      </c>
      <c r="B623" s="15">
        <v>45910</v>
      </c>
      <c r="C623" s="15" t="s">
        <v>4120</v>
      </c>
      <c r="D623" s="15" t="s">
        <v>2163</v>
      </c>
      <c r="E623" s="15" t="s">
        <v>2164</v>
      </c>
      <c r="F623" s="238">
        <v>1</v>
      </c>
      <c r="G623" s="238">
        <v>1</v>
      </c>
      <c r="H623" s="243" t="s">
        <v>3968</v>
      </c>
      <c r="I623" s="278"/>
      <c r="J623" s="238" t="s">
        <v>3969</v>
      </c>
      <c r="K623" s="238" t="s">
        <v>3990</v>
      </c>
      <c r="L623" s="238">
        <v>9</v>
      </c>
    </row>
    <row r="624" spans="1:12">
      <c r="A624" s="15">
        <v>50000530</v>
      </c>
      <c r="B624" s="15">
        <v>45904</v>
      </c>
      <c r="C624" s="15" t="s">
        <v>79</v>
      </c>
      <c r="D624" s="15" t="s">
        <v>130</v>
      </c>
      <c r="E624" s="15" t="s">
        <v>4083</v>
      </c>
      <c r="F624" s="238">
        <v>2</v>
      </c>
      <c r="G624" s="238">
        <v>1</v>
      </c>
      <c r="H624" s="243" t="s">
        <v>3968</v>
      </c>
      <c r="I624" s="278"/>
      <c r="J624" s="238" t="s">
        <v>3969</v>
      </c>
      <c r="K624" s="238" t="s">
        <v>3990</v>
      </c>
      <c r="L624" s="238">
        <v>9</v>
      </c>
    </row>
    <row r="625" spans="1:12">
      <c r="A625" s="15">
        <v>60001111</v>
      </c>
      <c r="B625" s="15">
        <v>45904</v>
      </c>
      <c r="C625" s="15" t="s">
        <v>2132</v>
      </c>
      <c r="D625" s="15" t="s">
        <v>545</v>
      </c>
      <c r="E625" s="15" t="s">
        <v>2140</v>
      </c>
      <c r="F625" s="238">
        <v>1</v>
      </c>
      <c r="G625" s="238">
        <v>0</v>
      </c>
      <c r="H625" s="243" t="s">
        <v>3968</v>
      </c>
      <c r="I625" s="278"/>
      <c r="J625" s="238" t="s">
        <v>3969</v>
      </c>
      <c r="K625" s="238" t="s">
        <v>3990</v>
      </c>
      <c r="L625" s="238">
        <v>9</v>
      </c>
    </row>
    <row r="626" spans="1:12">
      <c r="A626" s="15"/>
      <c r="B626" s="15">
        <v>45903</v>
      </c>
      <c r="C626" s="15" t="s">
        <v>381</v>
      </c>
      <c r="D626" s="15" t="s">
        <v>2171</v>
      </c>
      <c r="E626" s="15" t="s">
        <v>2172</v>
      </c>
      <c r="F626" s="238">
        <v>3</v>
      </c>
      <c r="G626" s="238">
        <v>0</v>
      </c>
      <c r="H626" s="238"/>
      <c r="I626" s="278"/>
      <c r="J626" s="238" t="s">
        <v>3969</v>
      </c>
      <c r="K626" s="238" t="s">
        <v>3990</v>
      </c>
      <c r="L626" s="238">
        <v>9</v>
      </c>
    </row>
    <row r="627" spans="1:12">
      <c r="A627" s="15">
        <v>50300097</v>
      </c>
      <c r="B627" s="15">
        <v>45903</v>
      </c>
      <c r="C627" s="15" t="s">
        <v>445</v>
      </c>
      <c r="D627" s="15" t="s">
        <v>4121</v>
      </c>
      <c r="E627" s="15" t="s">
        <v>2177</v>
      </c>
      <c r="F627" s="238">
        <v>1</v>
      </c>
      <c r="G627" s="238">
        <v>0</v>
      </c>
      <c r="H627" s="238"/>
      <c r="I627" s="278"/>
      <c r="J627" s="238" t="s">
        <v>3969</v>
      </c>
      <c r="K627" s="238" t="s">
        <v>3990</v>
      </c>
      <c r="L627" s="238">
        <v>9</v>
      </c>
    </row>
    <row r="628" spans="1:12">
      <c r="A628" s="15">
        <v>48300375</v>
      </c>
      <c r="B628" s="15">
        <v>45905</v>
      </c>
      <c r="C628" s="15" t="s">
        <v>1196</v>
      </c>
      <c r="D628" s="15" t="s">
        <v>1439</v>
      </c>
      <c r="E628" s="15" t="s">
        <v>1582</v>
      </c>
      <c r="F628" s="238">
        <v>1</v>
      </c>
      <c r="G628" s="238">
        <v>1</v>
      </c>
      <c r="H628" s="243" t="s">
        <v>3968</v>
      </c>
      <c r="I628" s="278"/>
      <c r="J628" s="238" t="s">
        <v>3969</v>
      </c>
      <c r="K628" s="238" t="s">
        <v>3990</v>
      </c>
      <c r="L628" s="238">
        <v>9</v>
      </c>
    </row>
    <row r="629" spans="1:12">
      <c r="A629" s="15">
        <v>50200095</v>
      </c>
      <c r="B629" s="15">
        <v>45905</v>
      </c>
      <c r="C629" s="15" t="s">
        <v>1837</v>
      </c>
      <c r="D629" s="15" t="s">
        <v>2183</v>
      </c>
      <c r="E629" s="15" t="s">
        <v>2184</v>
      </c>
      <c r="F629" s="238">
        <v>1</v>
      </c>
      <c r="G629" s="238">
        <v>0</v>
      </c>
      <c r="H629" s="243" t="s">
        <v>3968</v>
      </c>
      <c r="I629" s="278"/>
      <c r="J629" s="238" t="s">
        <v>3969</v>
      </c>
      <c r="K629" s="238" t="s">
        <v>3990</v>
      </c>
      <c r="L629" s="238">
        <v>9</v>
      </c>
    </row>
    <row r="630" spans="1:12">
      <c r="A630" s="15">
        <v>50110261</v>
      </c>
      <c r="B630" s="15">
        <v>45905</v>
      </c>
      <c r="C630" s="15" t="s">
        <v>225</v>
      </c>
      <c r="D630" s="15" t="s">
        <v>292</v>
      </c>
      <c r="E630" s="15" t="s">
        <v>2188</v>
      </c>
      <c r="F630" s="238">
        <v>1</v>
      </c>
      <c r="G630" s="238">
        <v>0</v>
      </c>
      <c r="H630" s="243" t="s">
        <v>3968</v>
      </c>
      <c r="I630" s="278"/>
      <c r="J630" s="238" t="s">
        <v>3969</v>
      </c>
      <c r="K630" s="238" t="s">
        <v>3990</v>
      </c>
      <c r="L630" s="238">
        <v>9</v>
      </c>
    </row>
    <row r="631" spans="1:12">
      <c r="A631" s="15">
        <v>51000174</v>
      </c>
      <c r="B631" s="15">
        <v>45905</v>
      </c>
      <c r="C631" s="15" t="s">
        <v>118</v>
      </c>
      <c r="D631" s="15" t="s">
        <v>2192</v>
      </c>
      <c r="E631" s="15" t="s">
        <v>2193</v>
      </c>
      <c r="F631" s="238">
        <v>1</v>
      </c>
      <c r="G631" s="238">
        <v>1</v>
      </c>
      <c r="H631" s="243" t="s">
        <v>3968</v>
      </c>
      <c r="I631" s="278"/>
      <c r="J631" s="238" t="s">
        <v>3969</v>
      </c>
      <c r="K631" s="238" t="s">
        <v>3990</v>
      </c>
      <c r="L631" s="238">
        <v>9</v>
      </c>
    </row>
    <row r="632" spans="1:12">
      <c r="A632" s="15">
        <v>51000323</v>
      </c>
      <c r="B632" s="15">
        <v>45905</v>
      </c>
      <c r="C632" s="15" t="s">
        <v>103</v>
      </c>
      <c r="D632" s="15" t="s">
        <v>545</v>
      </c>
      <c r="E632" s="15" t="s">
        <v>3236</v>
      </c>
      <c r="F632" s="238">
        <v>1</v>
      </c>
      <c r="G632" s="238">
        <v>1</v>
      </c>
      <c r="H632" s="243" t="s">
        <v>3968</v>
      </c>
      <c r="I632" s="278"/>
      <c r="J632" s="238" t="s">
        <v>3969</v>
      </c>
      <c r="K632" s="238" t="s">
        <v>3990</v>
      </c>
      <c r="L632" s="238">
        <v>9</v>
      </c>
    </row>
    <row r="633" spans="1:12">
      <c r="A633" s="15">
        <v>46000018</v>
      </c>
      <c r="B633" s="15">
        <v>45905</v>
      </c>
      <c r="C633" s="15" t="s">
        <v>982</v>
      </c>
      <c r="D633" s="15" t="s">
        <v>2199</v>
      </c>
      <c r="E633" s="15" t="s">
        <v>2200</v>
      </c>
      <c r="F633" s="238">
        <v>1</v>
      </c>
      <c r="G633" s="238">
        <v>1</v>
      </c>
      <c r="H633" s="243" t="s">
        <v>3968</v>
      </c>
      <c r="I633" s="278"/>
      <c r="J633" s="238" t="s">
        <v>3969</v>
      </c>
      <c r="K633" s="238" t="s">
        <v>3990</v>
      </c>
      <c r="L633" s="238">
        <v>9</v>
      </c>
    </row>
    <row r="634" spans="1:12">
      <c r="A634" s="15">
        <v>50110261</v>
      </c>
      <c r="B634" s="15">
        <v>45909</v>
      </c>
      <c r="C634" s="15" t="s">
        <v>225</v>
      </c>
      <c r="D634" s="15" t="s">
        <v>629</v>
      </c>
      <c r="E634" s="15" t="s">
        <v>4122</v>
      </c>
      <c r="F634" s="238">
        <v>1</v>
      </c>
      <c r="G634" s="238">
        <v>1</v>
      </c>
      <c r="H634" s="243" t="s">
        <v>3968</v>
      </c>
      <c r="I634" s="278"/>
      <c r="J634" s="238" t="s">
        <v>3969</v>
      </c>
      <c r="K634" s="238" t="s">
        <v>3990</v>
      </c>
      <c r="L634" s="238">
        <v>9</v>
      </c>
    </row>
    <row r="635" spans="1:12">
      <c r="A635" s="15">
        <v>50110261</v>
      </c>
      <c r="B635" s="15">
        <v>45909</v>
      </c>
      <c r="C635" s="15" t="s">
        <v>225</v>
      </c>
      <c r="D635" s="15" t="s">
        <v>100</v>
      </c>
      <c r="E635" s="15" t="s">
        <v>2206</v>
      </c>
      <c r="F635" s="238">
        <v>2</v>
      </c>
      <c r="G635" s="238">
        <v>1</v>
      </c>
      <c r="H635" s="243" t="s">
        <v>3968</v>
      </c>
      <c r="I635" s="278"/>
      <c r="J635" s="238" t="s">
        <v>3969</v>
      </c>
      <c r="K635" s="238" t="s">
        <v>3990</v>
      </c>
      <c r="L635" s="238">
        <v>9</v>
      </c>
    </row>
    <row r="636" spans="1:12">
      <c r="A636" s="15">
        <v>50110057</v>
      </c>
      <c r="B636" s="15">
        <v>45909</v>
      </c>
      <c r="C636" s="15" t="s">
        <v>181</v>
      </c>
      <c r="D636" s="15" t="s">
        <v>2209</v>
      </c>
      <c r="E636" s="15" t="s">
        <v>1149</v>
      </c>
      <c r="F636" s="238">
        <v>1</v>
      </c>
      <c r="G636" s="238">
        <v>0</v>
      </c>
      <c r="H636" s="249" t="s">
        <v>3971</v>
      </c>
      <c r="I636" s="278"/>
      <c r="J636" s="238" t="s">
        <v>3969</v>
      </c>
      <c r="K636" s="238" t="s">
        <v>3990</v>
      </c>
      <c r="L636" s="238">
        <v>9</v>
      </c>
    </row>
    <row r="637" spans="1:12">
      <c r="A637" s="15">
        <v>60002072</v>
      </c>
      <c r="B637" s="15">
        <v>45909</v>
      </c>
      <c r="C637" s="15" t="s">
        <v>202</v>
      </c>
      <c r="D637" s="15" t="s">
        <v>211</v>
      </c>
      <c r="E637" s="15" t="s">
        <v>2213</v>
      </c>
      <c r="F637" s="238">
        <v>1</v>
      </c>
      <c r="G637" s="238">
        <v>1</v>
      </c>
      <c r="H637" s="243" t="s">
        <v>3968</v>
      </c>
      <c r="I637" s="278"/>
      <c r="J637" s="238" t="s">
        <v>3969</v>
      </c>
      <c r="K637" s="238" t="s">
        <v>3990</v>
      </c>
      <c r="L637" s="238">
        <v>9</v>
      </c>
    </row>
    <row r="638" spans="1:12">
      <c r="A638" s="15">
        <v>60002072</v>
      </c>
      <c r="B638" s="15">
        <v>45909</v>
      </c>
      <c r="C638" s="15" t="s">
        <v>202</v>
      </c>
      <c r="D638" s="15" t="s">
        <v>1495</v>
      </c>
      <c r="E638" s="15" t="s">
        <v>2214</v>
      </c>
      <c r="F638" s="238">
        <v>1</v>
      </c>
      <c r="G638" s="238">
        <v>1</v>
      </c>
      <c r="H638" s="243" t="s">
        <v>3968</v>
      </c>
      <c r="I638" s="278"/>
      <c r="J638" s="238" t="s">
        <v>3969</v>
      </c>
      <c r="K638" s="238" t="s">
        <v>3990</v>
      </c>
      <c r="L638" s="238">
        <v>9</v>
      </c>
    </row>
    <row r="639" spans="1:12">
      <c r="A639" s="15">
        <v>60002072</v>
      </c>
      <c r="B639" s="15">
        <v>45909</v>
      </c>
      <c r="C639" s="15" t="s">
        <v>202</v>
      </c>
      <c r="D639" s="15" t="s">
        <v>484</v>
      </c>
      <c r="E639" s="15" t="s">
        <v>2215</v>
      </c>
      <c r="F639" s="238">
        <v>1</v>
      </c>
      <c r="G639" s="238">
        <v>1</v>
      </c>
      <c r="H639" s="243" t="s">
        <v>3968</v>
      </c>
      <c r="I639" s="278"/>
      <c r="J639" s="238" t="s">
        <v>3969</v>
      </c>
      <c r="K639" s="238" t="s">
        <v>3990</v>
      </c>
      <c r="L639" s="238">
        <v>9</v>
      </c>
    </row>
    <row r="640" spans="1:12">
      <c r="A640" s="15">
        <v>48000482</v>
      </c>
      <c r="B640" s="15">
        <v>45909</v>
      </c>
      <c r="C640" s="15" t="s">
        <v>152</v>
      </c>
      <c r="D640" s="15" t="s">
        <v>2218</v>
      </c>
      <c r="E640" s="15" t="s">
        <v>2219</v>
      </c>
      <c r="F640" s="238">
        <v>1</v>
      </c>
      <c r="G640" s="238">
        <v>1</v>
      </c>
      <c r="H640" s="243" t="s">
        <v>3968</v>
      </c>
      <c r="I640" s="278"/>
      <c r="J640" s="238" t="s">
        <v>3969</v>
      </c>
      <c r="K640" s="238" t="s">
        <v>3990</v>
      </c>
      <c r="L640" s="238">
        <v>9</v>
      </c>
    </row>
    <row r="641" spans="1:12">
      <c r="A641" s="15">
        <v>50000202</v>
      </c>
      <c r="B641" s="15">
        <v>45910</v>
      </c>
      <c r="C641" s="15" t="s">
        <v>93</v>
      </c>
      <c r="D641" s="15" t="s">
        <v>392</v>
      </c>
      <c r="E641" s="15" t="s">
        <v>4123</v>
      </c>
      <c r="F641" s="238">
        <v>1</v>
      </c>
      <c r="G641" s="238">
        <v>0</v>
      </c>
      <c r="H641" s="238"/>
      <c r="I641" s="278"/>
      <c r="J641" s="238" t="s">
        <v>3969</v>
      </c>
      <c r="K641" s="238" t="s">
        <v>3990</v>
      </c>
      <c r="L641" s="238">
        <v>9</v>
      </c>
    </row>
    <row r="642" spans="1:12">
      <c r="A642" s="15">
        <v>51000136</v>
      </c>
      <c r="B642" s="15">
        <v>45910</v>
      </c>
      <c r="C642" s="15" t="s">
        <v>103</v>
      </c>
      <c r="D642" s="15" t="s">
        <v>1070</v>
      </c>
      <c r="E642" s="15" t="s">
        <v>2226</v>
      </c>
      <c r="F642" s="238">
        <v>1</v>
      </c>
      <c r="G642" s="238">
        <v>1</v>
      </c>
      <c r="H642" s="243" t="s">
        <v>3968</v>
      </c>
      <c r="I642" s="278"/>
      <c r="J642" s="238" t="s">
        <v>3969</v>
      </c>
      <c r="K642" s="238" t="s">
        <v>3990</v>
      </c>
      <c r="L642" s="238">
        <v>9</v>
      </c>
    </row>
    <row r="643" spans="1:12">
      <c r="A643" s="15">
        <v>50110261</v>
      </c>
      <c r="B643" s="15">
        <v>45912</v>
      </c>
      <c r="C643" s="15" t="s">
        <v>225</v>
      </c>
      <c r="D643" s="15" t="s">
        <v>2032</v>
      </c>
      <c r="E643" s="15" t="s">
        <v>2033</v>
      </c>
      <c r="F643" s="238">
        <v>2</v>
      </c>
      <c r="G643" s="238">
        <v>0</v>
      </c>
      <c r="H643" s="243" t="s">
        <v>3968</v>
      </c>
      <c r="I643" s="278"/>
      <c r="J643" s="238" t="s">
        <v>3969</v>
      </c>
      <c r="K643" s="238" t="s">
        <v>3990</v>
      </c>
      <c r="L643" s="238">
        <v>9</v>
      </c>
    </row>
    <row r="644" spans="1:12">
      <c r="A644" s="15">
        <v>50110261</v>
      </c>
      <c r="B644" s="15">
        <v>45917</v>
      </c>
      <c r="C644" s="15" t="s">
        <v>225</v>
      </c>
      <c r="D644" s="15" t="s">
        <v>2229</v>
      </c>
      <c r="E644" s="15" t="s">
        <v>2230</v>
      </c>
      <c r="F644" s="238">
        <v>2</v>
      </c>
      <c r="G644" s="238">
        <v>0</v>
      </c>
      <c r="H644" s="243" t="s">
        <v>3968</v>
      </c>
      <c r="I644" s="278"/>
      <c r="J644" s="238" t="s">
        <v>3969</v>
      </c>
      <c r="K644" s="238" t="s">
        <v>3990</v>
      </c>
      <c r="L644" s="238">
        <v>9</v>
      </c>
    </row>
    <row r="645" spans="1:12">
      <c r="A645" s="15">
        <v>60001111</v>
      </c>
      <c r="B645" s="15">
        <v>45912</v>
      </c>
      <c r="C645" s="15" t="s">
        <v>2132</v>
      </c>
      <c r="D645" s="15" t="s">
        <v>464</v>
      </c>
      <c r="E645" s="15" t="s">
        <v>1789</v>
      </c>
      <c r="F645" s="238">
        <v>1</v>
      </c>
      <c r="G645" s="238">
        <v>1</v>
      </c>
      <c r="H645" s="243" t="s">
        <v>3968</v>
      </c>
      <c r="I645" s="278"/>
      <c r="J645" s="238" t="s">
        <v>3969</v>
      </c>
      <c r="K645" s="238" t="s">
        <v>3990</v>
      </c>
      <c r="L645" s="238">
        <v>9</v>
      </c>
    </row>
    <row r="646" spans="1:12">
      <c r="A646" s="15">
        <v>48000482</v>
      </c>
      <c r="B646" s="15">
        <v>45912</v>
      </c>
      <c r="C646" s="15" t="s">
        <v>152</v>
      </c>
      <c r="D646" s="15" t="s">
        <v>2218</v>
      </c>
      <c r="E646" s="15" t="s">
        <v>2219</v>
      </c>
      <c r="F646" s="238">
        <v>1</v>
      </c>
      <c r="G646" s="238">
        <v>1</v>
      </c>
      <c r="H646" s="243" t="s">
        <v>3968</v>
      </c>
      <c r="I646" s="278"/>
      <c r="J646" s="238" t="s">
        <v>3969</v>
      </c>
      <c r="K646" s="238" t="s">
        <v>3990</v>
      </c>
      <c r="L646" s="238">
        <v>9</v>
      </c>
    </row>
    <row r="647" spans="1:12">
      <c r="A647" s="15">
        <v>48000044</v>
      </c>
      <c r="B647" s="15">
        <v>45912</v>
      </c>
      <c r="C647" s="15" t="s">
        <v>118</v>
      </c>
      <c r="D647" s="15" t="s">
        <v>2237</v>
      </c>
      <c r="E647" s="15" t="s">
        <v>2238</v>
      </c>
      <c r="F647" s="238">
        <v>1</v>
      </c>
      <c r="G647" s="238">
        <v>0</v>
      </c>
      <c r="H647" s="243" t="s">
        <v>3968</v>
      </c>
      <c r="I647" s="278"/>
      <c r="J647" s="238" t="s">
        <v>3969</v>
      </c>
      <c r="K647" s="238" t="s">
        <v>3990</v>
      </c>
      <c r="L647" s="238">
        <v>9</v>
      </c>
    </row>
    <row r="648" spans="1:12">
      <c r="A648" s="15">
        <v>48000044</v>
      </c>
      <c r="B648" s="15">
        <v>45912</v>
      </c>
      <c r="C648" s="15" t="s">
        <v>118</v>
      </c>
      <c r="D648" s="15" t="s">
        <v>2239</v>
      </c>
      <c r="E648" s="15" t="s">
        <v>2240</v>
      </c>
      <c r="F648" s="238">
        <v>1</v>
      </c>
      <c r="G648" s="238">
        <v>0</v>
      </c>
      <c r="H648" s="243" t="s">
        <v>3968</v>
      </c>
      <c r="I648" s="278"/>
      <c r="J648" s="238" t="s">
        <v>3969</v>
      </c>
      <c r="K648" s="238" t="s">
        <v>3990</v>
      </c>
      <c r="L648" s="238">
        <v>9</v>
      </c>
    </row>
    <row r="649" spans="1:12">
      <c r="A649" s="15">
        <v>51000174</v>
      </c>
      <c r="B649" s="15">
        <v>45912</v>
      </c>
      <c r="C649" s="15" t="s">
        <v>118</v>
      </c>
      <c r="D649" s="15" t="s">
        <v>130</v>
      </c>
      <c r="E649" s="15" t="s">
        <v>4083</v>
      </c>
      <c r="F649" s="238">
        <v>2</v>
      </c>
      <c r="G649" s="238">
        <v>1</v>
      </c>
      <c r="H649" s="249" t="s">
        <v>3971</v>
      </c>
      <c r="I649" s="278"/>
      <c r="J649" s="238" t="s">
        <v>3969</v>
      </c>
      <c r="K649" s="238" t="s">
        <v>3990</v>
      </c>
      <c r="L649" s="238">
        <v>9</v>
      </c>
    </row>
    <row r="650" spans="1:12">
      <c r="A650" s="15">
        <v>51000174</v>
      </c>
      <c r="B650" s="15">
        <v>45912</v>
      </c>
      <c r="C650" s="15" t="s">
        <v>118</v>
      </c>
      <c r="D650" s="15" t="s">
        <v>2243</v>
      </c>
      <c r="E650" s="15" t="s">
        <v>2244</v>
      </c>
      <c r="F650" s="238">
        <v>2</v>
      </c>
      <c r="G650" s="238">
        <v>1</v>
      </c>
      <c r="H650" s="249" t="s">
        <v>3971</v>
      </c>
      <c r="I650" s="278"/>
      <c r="J650" s="238" t="s">
        <v>3969</v>
      </c>
      <c r="K650" s="238" t="s">
        <v>3990</v>
      </c>
      <c r="L650" s="238">
        <v>9</v>
      </c>
    </row>
    <row r="651" spans="1:12">
      <c r="A651" s="15">
        <v>51000174</v>
      </c>
      <c r="B651" s="15">
        <v>45912</v>
      </c>
      <c r="C651" s="15" t="s">
        <v>118</v>
      </c>
      <c r="D651" s="15" t="s">
        <v>2245</v>
      </c>
      <c r="E651" s="15" t="s">
        <v>2246</v>
      </c>
      <c r="F651" s="238">
        <v>1</v>
      </c>
      <c r="G651" s="238">
        <v>0</v>
      </c>
      <c r="H651" s="249" t="s">
        <v>3971</v>
      </c>
      <c r="I651" s="278"/>
      <c r="J651" s="238" t="s">
        <v>3969</v>
      </c>
      <c r="K651" s="238" t="s">
        <v>3990</v>
      </c>
      <c r="L651" s="238">
        <v>9</v>
      </c>
    </row>
    <row r="652" spans="1:12">
      <c r="A652" s="15">
        <v>48000044</v>
      </c>
      <c r="B652" s="15">
        <v>45912</v>
      </c>
      <c r="C652" s="15" t="s">
        <v>118</v>
      </c>
      <c r="D652" s="15" t="s">
        <v>736</v>
      </c>
      <c r="E652" s="15" t="s">
        <v>1145</v>
      </c>
      <c r="F652" s="238">
        <v>1</v>
      </c>
      <c r="G652" s="238">
        <v>1</v>
      </c>
      <c r="H652" s="243" t="s">
        <v>3968</v>
      </c>
      <c r="I652" s="278"/>
      <c r="J652" s="238" t="s">
        <v>3969</v>
      </c>
      <c r="K652" s="238" t="s">
        <v>3990</v>
      </c>
      <c r="L652" s="238">
        <v>9</v>
      </c>
    </row>
    <row r="653" spans="1:12">
      <c r="A653" s="15">
        <v>50110193</v>
      </c>
      <c r="B653" s="15">
        <v>45915</v>
      </c>
      <c r="C653" s="15" t="s">
        <v>33</v>
      </c>
      <c r="D653" s="15" t="s">
        <v>2251</v>
      </c>
      <c r="E653" s="15" t="s">
        <v>2252</v>
      </c>
      <c r="F653" s="238">
        <v>1</v>
      </c>
      <c r="G653" s="238">
        <v>1</v>
      </c>
      <c r="H653" s="243" t="s">
        <v>3968</v>
      </c>
      <c r="I653" s="278"/>
      <c r="J653" s="238" t="s">
        <v>3969</v>
      </c>
      <c r="K653" s="238" t="s">
        <v>3990</v>
      </c>
      <c r="L653" s="238">
        <v>9</v>
      </c>
    </row>
    <row r="654" spans="1:12">
      <c r="A654" s="15">
        <v>47100399</v>
      </c>
      <c r="B654" s="15">
        <v>45915</v>
      </c>
      <c r="C654" s="15" t="s">
        <v>233</v>
      </c>
      <c r="D654" s="15" t="s">
        <v>312</v>
      </c>
      <c r="E654" s="15" t="s">
        <v>2255</v>
      </c>
      <c r="F654" s="238">
        <v>1</v>
      </c>
      <c r="G654" s="238">
        <v>0</v>
      </c>
      <c r="H654" s="243" t="s">
        <v>3968</v>
      </c>
      <c r="I654" s="278"/>
      <c r="J654" s="238" t="s">
        <v>3969</v>
      </c>
      <c r="K654" s="238" t="s">
        <v>3990</v>
      </c>
      <c r="L654" s="238">
        <v>9</v>
      </c>
    </row>
    <row r="655" spans="1:12">
      <c r="A655" s="15">
        <v>50110261</v>
      </c>
      <c r="B655" s="15">
        <v>45916</v>
      </c>
      <c r="C655" s="15" t="s">
        <v>225</v>
      </c>
      <c r="D655" s="15" t="s">
        <v>1646</v>
      </c>
      <c r="E655" s="15" t="s">
        <v>4104</v>
      </c>
      <c r="F655" s="238">
        <v>1</v>
      </c>
      <c r="G655" s="238">
        <v>0</v>
      </c>
      <c r="H655" s="243" t="s">
        <v>3968</v>
      </c>
      <c r="I655" s="278"/>
      <c r="J655" s="238" t="s">
        <v>3969</v>
      </c>
      <c r="K655" s="238" t="s">
        <v>3990</v>
      </c>
      <c r="L655" s="238">
        <v>9</v>
      </c>
    </row>
    <row r="656" spans="1:12">
      <c r="A656" s="15">
        <v>60001111</v>
      </c>
      <c r="B656" s="15">
        <v>45917</v>
      </c>
      <c r="C656" s="15" t="s">
        <v>2132</v>
      </c>
      <c r="D656" s="15" t="s">
        <v>2260</v>
      </c>
      <c r="E656" s="15" t="s">
        <v>2261</v>
      </c>
      <c r="F656" s="238">
        <v>1</v>
      </c>
      <c r="G656" s="238">
        <v>0</v>
      </c>
      <c r="H656" s="249" t="s">
        <v>3971</v>
      </c>
      <c r="I656" s="278"/>
      <c r="J656" s="238" t="s">
        <v>3969</v>
      </c>
      <c r="K656" s="238" t="s">
        <v>3990</v>
      </c>
      <c r="L656" s="238">
        <v>9</v>
      </c>
    </row>
    <row r="657" spans="1:12">
      <c r="A657" s="15">
        <v>50110261</v>
      </c>
      <c r="B657" s="15">
        <v>45917</v>
      </c>
      <c r="C657" s="15" t="s">
        <v>225</v>
      </c>
      <c r="D657" s="15" t="s">
        <v>2264</v>
      </c>
      <c r="E657" s="15" t="s">
        <v>2265</v>
      </c>
      <c r="F657" s="238">
        <v>1</v>
      </c>
      <c r="G657" s="238">
        <v>0</v>
      </c>
      <c r="H657" s="243" t="s">
        <v>3968</v>
      </c>
      <c r="I657" s="278"/>
      <c r="J657" s="238" t="s">
        <v>3969</v>
      </c>
      <c r="K657" s="238" t="s">
        <v>3990</v>
      </c>
      <c r="L657" s="238">
        <v>9</v>
      </c>
    </row>
    <row r="658" spans="1:12">
      <c r="A658" s="15">
        <v>50000202</v>
      </c>
      <c r="B658" s="15">
        <v>45917</v>
      </c>
      <c r="C658" s="15" t="s">
        <v>93</v>
      </c>
      <c r="D658" s="15" t="s">
        <v>1089</v>
      </c>
      <c r="E658" s="15" t="s">
        <v>2269</v>
      </c>
      <c r="F658" s="238">
        <v>1</v>
      </c>
      <c r="G658" s="238">
        <v>1</v>
      </c>
      <c r="H658" s="243" t="s">
        <v>3968</v>
      </c>
      <c r="I658" s="278"/>
      <c r="J658" s="238" t="s">
        <v>3969</v>
      </c>
      <c r="K658" s="238" t="s">
        <v>3990</v>
      </c>
      <c r="L658" s="238">
        <v>9</v>
      </c>
    </row>
    <row r="659" spans="1:12">
      <c r="A659" s="15">
        <v>50000530</v>
      </c>
      <c r="B659" s="15">
        <v>45917</v>
      </c>
      <c r="C659" s="15" t="s">
        <v>4069</v>
      </c>
      <c r="D659" s="15" t="s">
        <v>1089</v>
      </c>
      <c r="E659" s="15" t="s">
        <v>2269</v>
      </c>
      <c r="F659" s="238">
        <v>1</v>
      </c>
      <c r="G659" s="238">
        <v>1</v>
      </c>
      <c r="H659" s="243" t="s">
        <v>3968</v>
      </c>
      <c r="I659" s="278"/>
      <c r="J659" s="238" t="s">
        <v>3969</v>
      </c>
      <c r="K659" s="238" t="s">
        <v>3990</v>
      </c>
      <c r="L659" s="238">
        <v>9</v>
      </c>
    </row>
    <row r="660" spans="1:12">
      <c r="A660" s="15">
        <v>50000530</v>
      </c>
      <c r="B660" s="15">
        <v>45917</v>
      </c>
      <c r="C660" s="15" t="s">
        <v>4069</v>
      </c>
      <c r="D660" s="15" t="s">
        <v>2192</v>
      </c>
      <c r="E660" s="15" t="s">
        <v>2272</v>
      </c>
      <c r="F660" s="238">
        <v>1</v>
      </c>
      <c r="G660" s="238">
        <v>0</v>
      </c>
      <c r="H660" s="243" t="s">
        <v>3968</v>
      </c>
      <c r="I660" s="278"/>
      <c r="J660" s="238" t="s">
        <v>3969</v>
      </c>
      <c r="K660" s="238" t="s">
        <v>3990</v>
      </c>
      <c r="L660" s="238">
        <v>9</v>
      </c>
    </row>
    <row r="661" spans="1:12">
      <c r="A661" s="15">
        <v>51000316</v>
      </c>
      <c r="B661" s="15">
        <v>45917</v>
      </c>
      <c r="C661" s="15" t="s">
        <v>118</v>
      </c>
      <c r="D661" s="15" t="s">
        <v>2275</v>
      </c>
      <c r="E661" s="15" t="s">
        <v>2276</v>
      </c>
      <c r="F661" s="238">
        <v>1</v>
      </c>
      <c r="G661" s="238">
        <v>0</v>
      </c>
      <c r="H661" s="249" t="s">
        <v>3971</v>
      </c>
      <c r="I661" s="278"/>
      <c r="J661" s="238" t="s">
        <v>3969</v>
      </c>
      <c r="K661" s="238" t="s">
        <v>3990</v>
      </c>
      <c r="L661" s="238">
        <v>9</v>
      </c>
    </row>
    <row r="662" spans="1:12">
      <c r="A662" s="15">
        <v>48000482</v>
      </c>
      <c r="B662" s="15">
        <v>45918</v>
      </c>
      <c r="C662" s="15" t="s">
        <v>152</v>
      </c>
      <c r="D662" s="15" t="s">
        <v>2279</v>
      </c>
      <c r="E662" s="15" t="s">
        <v>4124</v>
      </c>
      <c r="F662" s="238">
        <v>1</v>
      </c>
      <c r="G662" s="238">
        <v>1</v>
      </c>
      <c r="H662" s="243" t="s">
        <v>3968</v>
      </c>
      <c r="I662" s="278"/>
      <c r="J662" s="238" t="s">
        <v>3969</v>
      </c>
      <c r="K662" s="238" t="s">
        <v>3990</v>
      </c>
      <c r="L662" s="238">
        <v>9</v>
      </c>
    </row>
    <row r="663" spans="1:12">
      <c r="A663" s="15">
        <v>48000482</v>
      </c>
      <c r="B663" s="15">
        <v>45918</v>
      </c>
      <c r="C663" s="15" t="s">
        <v>152</v>
      </c>
      <c r="D663" s="15" t="s">
        <v>2279</v>
      </c>
      <c r="E663" s="15" t="s">
        <v>4124</v>
      </c>
      <c r="F663" s="238">
        <v>1</v>
      </c>
      <c r="G663" s="238">
        <v>0</v>
      </c>
      <c r="H663" s="243" t="s">
        <v>3968</v>
      </c>
      <c r="I663" s="278"/>
      <c r="J663" s="238" t="s">
        <v>3969</v>
      </c>
      <c r="K663" s="238" t="s">
        <v>3990</v>
      </c>
      <c r="L663" s="238">
        <v>9</v>
      </c>
    </row>
    <row r="664" spans="1:12">
      <c r="A664" s="15">
        <v>48500670</v>
      </c>
      <c r="B664" s="15">
        <v>45918</v>
      </c>
      <c r="C664" s="15" t="s">
        <v>152</v>
      </c>
      <c r="D664" s="15" t="s">
        <v>854</v>
      </c>
      <c r="E664" s="15" t="s">
        <v>4125</v>
      </c>
      <c r="F664" s="238">
        <v>1</v>
      </c>
      <c r="G664" s="238">
        <v>0</v>
      </c>
      <c r="H664" s="243" t="s">
        <v>3968</v>
      </c>
      <c r="I664" s="278"/>
      <c r="J664" s="238" t="s">
        <v>3969</v>
      </c>
      <c r="K664" s="238" t="s">
        <v>3990</v>
      </c>
      <c r="L664" s="238">
        <v>9</v>
      </c>
    </row>
    <row r="665" spans="1:12">
      <c r="A665" s="15">
        <v>50110057</v>
      </c>
      <c r="B665" s="15">
        <v>45926</v>
      </c>
      <c r="C665" s="15" t="s">
        <v>181</v>
      </c>
      <c r="D665" s="15" t="s">
        <v>2290</v>
      </c>
      <c r="E665" s="15" t="s">
        <v>2291</v>
      </c>
      <c r="F665" s="238">
        <v>1</v>
      </c>
      <c r="G665" s="238">
        <v>0</v>
      </c>
      <c r="H665" s="249" t="s">
        <v>3971</v>
      </c>
      <c r="I665" s="278"/>
      <c r="J665" s="238" t="s">
        <v>3969</v>
      </c>
      <c r="K665" s="238" t="s">
        <v>3990</v>
      </c>
      <c r="L665" s="238">
        <v>9</v>
      </c>
    </row>
    <row r="666" spans="1:12">
      <c r="A666" s="15">
        <v>60002072</v>
      </c>
      <c r="B666" s="15">
        <v>45929</v>
      </c>
      <c r="C666" s="15" t="s">
        <v>202</v>
      </c>
      <c r="D666" s="15" t="s">
        <v>2295</v>
      </c>
      <c r="E666" s="15" t="s">
        <v>2296</v>
      </c>
      <c r="F666" s="238">
        <v>1</v>
      </c>
      <c r="G666" s="238">
        <v>1</v>
      </c>
      <c r="H666" s="238"/>
      <c r="I666" s="278"/>
      <c r="J666" s="238" t="s">
        <v>3969</v>
      </c>
      <c r="K666" s="238" t="s">
        <v>3990</v>
      </c>
      <c r="L666" s="238">
        <v>9</v>
      </c>
    </row>
    <row r="667" spans="1:12">
      <c r="A667" s="280">
        <v>50110229</v>
      </c>
      <c r="B667" s="283">
        <v>45931</v>
      </c>
      <c r="C667" s="280" t="s">
        <v>109</v>
      </c>
      <c r="D667" s="280" t="s">
        <v>245</v>
      </c>
      <c r="E667" s="280" t="s">
        <v>246</v>
      </c>
      <c r="F667" s="280">
        <v>1</v>
      </c>
      <c r="J667" s="238" t="s">
        <v>3969</v>
      </c>
      <c r="K667" s="238" t="s">
        <v>3990</v>
      </c>
      <c r="L667" s="238">
        <v>10</v>
      </c>
    </row>
    <row r="668" spans="1:12">
      <c r="A668" s="282">
        <v>45926</v>
      </c>
      <c r="B668" s="282">
        <v>45931</v>
      </c>
      <c r="C668" s="281" t="s">
        <v>1837</v>
      </c>
      <c r="D668" s="281" t="s">
        <v>1507</v>
      </c>
      <c r="E668" s="281" t="s">
        <v>1508</v>
      </c>
      <c r="F668" s="281">
        <v>2</v>
      </c>
      <c r="J668" s="238" t="s">
        <v>3969</v>
      </c>
      <c r="K668" s="238" t="s">
        <v>3990</v>
      </c>
      <c r="L668" s="238">
        <v>10</v>
      </c>
    </row>
    <row r="669" spans="1:12">
      <c r="A669" s="283">
        <v>45926</v>
      </c>
      <c r="B669" s="283">
        <v>45931</v>
      </c>
      <c r="C669" s="280" t="s">
        <v>1837</v>
      </c>
      <c r="D669" s="280" t="s">
        <v>2308</v>
      </c>
      <c r="E669" s="280" t="s">
        <v>2309</v>
      </c>
      <c r="F669" s="280">
        <v>1</v>
      </c>
      <c r="J669" s="238" t="s">
        <v>3969</v>
      </c>
      <c r="K669" s="238" t="s">
        <v>3990</v>
      </c>
      <c r="L669" s="238">
        <v>10</v>
      </c>
    </row>
    <row r="670" spans="1:12">
      <c r="A670" s="281">
        <v>50110372</v>
      </c>
      <c r="B670" s="282">
        <v>45931</v>
      </c>
      <c r="C670" s="281" t="s">
        <v>73</v>
      </c>
      <c r="D670" s="281" t="s">
        <v>80</v>
      </c>
      <c r="E670" s="281" t="s">
        <v>4126</v>
      </c>
      <c r="F670" s="281">
        <v>1</v>
      </c>
      <c r="J670" s="238" t="s">
        <v>3969</v>
      </c>
      <c r="K670" s="238" t="s">
        <v>3990</v>
      </c>
      <c r="L670" s="238">
        <v>10</v>
      </c>
    </row>
    <row r="671" spans="1:12">
      <c r="A671" s="280">
        <v>50110193</v>
      </c>
      <c r="B671" s="283">
        <v>45931</v>
      </c>
      <c r="C671" s="280" t="s">
        <v>33</v>
      </c>
      <c r="D671" s="280" t="s">
        <v>100</v>
      </c>
      <c r="E671" s="280" t="s">
        <v>2314</v>
      </c>
      <c r="F671" s="280">
        <v>1</v>
      </c>
      <c r="J671" s="238" t="s">
        <v>3969</v>
      </c>
      <c r="K671" s="238" t="s">
        <v>3990</v>
      </c>
      <c r="L671" s="238">
        <v>10</v>
      </c>
    </row>
    <row r="672" spans="1:12">
      <c r="A672" s="281">
        <v>50110193</v>
      </c>
      <c r="B672" s="282">
        <v>45931</v>
      </c>
      <c r="C672" s="281" t="s">
        <v>33</v>
      </c>
      <c r="D672" s="281" t="s">
        <v>2317</v>
      </c>
      <c r="E672" s="281" t="s">
        <v>2318</v>
      </c>
      <c r="F672" s="281">
        <v>1</v>
      </c>
      <c r="J672" s="238" t="s">
        <v>3969</v>
      </c>
      <c r="K672" s="238" t="s">
        <v>3990</v>
      </c>
      <c r="L672" s="238">
        <v>10</v>
      </c>
    </row>
    <row r="673" spans="1:12">
      <c r="A673" s="280">
        <v>50110193</v>
      </c>
      <c r="B673" s="283">
        <v>45931</v>
      </c>
      <c r="C673" s="280" t="s">
        <v>33</v>
      </c>
      <c r="D673" s="280" t="s">
        <v>2319</v>
      </c>
      <c r="E673" s="280" t="s">
        <v>2320</v>
      </c>
      <c r="F673" s="280">
        <v>1</v>
      </c>
      <c r="J673" s="238" t="s">
        <v>3969</v>
      </c>
      <c r="K673" s="238" t="s">
        <v>3990</v>
      </c>
      <c r="L673" s="238">
        <v>10</v>
      </c>
    </row>
    <row r="674" spans="1:12">
      <c r="A674" s="281">
        <v>48000432</v>
      </c>
      <c r="B674" s="282">
        <v>45931</v>
      </c>
      <c r="C674" s="281" t="s">
        <v>63</v>
      </c>
      <c r="D674" s="281" t="s">
        <v>130</v>
      </c>
      <c r="E674" s="281" t="s">
        <v>2323</v>
      </c>
      <c r="F674" s="281">
        <v>1</v>
      </c>
      <c r="J674" s="238" t="s">
        <v>3969</v>
      </c>
      <c r="K674" s="238" t="s">
        <v>3990</v>
      </c>
      <c r="L674" s="238">
        <v>10</v>
      </c>
    </row>
    <row r="675" spans="1:12">
      <c r="A675" s="280">
        <v>48000432</v>
      </c>
      <c r="B675" s="283">
        <v>45931</v>
      </c>
      <c r="C675" s="280" t="s">
        <v>63</v>
      </c>
      <c r="D675" s="280" t="s">
        <v>723</v>
      </c>
      <c r="E675" s="280" t="s">
        <v>4127</v>
      </c>
      <c r="F675" s="280">
        <v>1</v>
      </c>
      <c r="J675" s="238" t="s">
        <v>3969</v>
      </c>
      <c r="K675" s="238" t="s">
        <v>3990</v>
      </c>
      <c r="L675" s="238">
        <v>10</v>
      </c>
    </row>
    <row r="676" spans="1:12">
      <c r="A676" s="281">
        <v>48300301</v>
      </c>
      <c r="B676" s="282">
        <v>45931</v>
      </c>
      <c r="C676" s="281" t="s">
        <v>63</v>
      </c>
      <c r="D676" s="281" t="s">
        <v>723</v>
      </c>
      <c r="E676" s="281" t="s">
        <v>4127</v>
      </c>
      <c r="F676" s="281">
        <v>1</v>
      </c>
      <c r="J676" s="238" t="s">
        <v>3969</v>
      </c>
      <c r="K676" s="238" t="s">
        <v>3990</v>
      </c>
      <c r="L676" s="238">
        <v>10</v>
      </c>
    </row>
    <row r="677" spans="1:12">
      <c r="A677" s="280">
        <v>48500670</v>
      </c>
      <c r="B677" s="283">
        <v>45931</v>
      </c>
      <c r="C677" s="280" t="s">
        <v>152</v>
      </c>
      <c r="D677" s="280" t="s">
        <v>574</v>
      </c>
      <c r="E677" s="280" t="s">
        <v>2330</v>
      </c>
      <c r="F677" s="280">
        <v>1</v>
      </c>
      <c r="J677" s="238" t="s">
        <v>3969</v>
      </c>
      <c r="K677" s="238" t="s">
        <v>3990</v>
      </c>
      <c r="L677" s="238">
        <v>10</v>
      </c>
    </row>
    <row r="678" spans="1:12">
      <c r="A678" s="281">
        <v>60002072</v>
      </c>
      <c r="B678" s="282">
        <v>45931</v>
      </c>
      <c r="C678" s="281" t="s">
        <v>202</v>
      </c>
      <c r="D678" s="281" t="s">
        <v>1991</v>
      </c>
      <c r="E678" s="281" t="s">
        <v>2333</v>
      </c>
      <c r="F678" s="281">
        <v>1</v>
      </c>
      <c r="J678" s="238" t="s">
        <v>3969</v>
      </c>
      <c r="K678" s="238" t="s">
        <v>3990</v>
      </c>
      <c r="L678" s="238">
        <v>10</v>
      </c>
    </row>
    <row r="679" spans="1:12">
      <c r="A679" s="280">
        <v>48000432</v>
      </c>
      <c r="B679" s="283">
        <v>45931</v>
      </c>
      <c r="C679" s="280" t="s">
        <v>63</v>
      </c>
      <c r="D679" s="280" t="s">
        <v>736</v>
      </c>
      <c r="E679" s="280" t="s">
        <v>1145</v>
      </c>
      <c r="F679" s="280">
        <v>1</v>
      </c>
      <c r="J679" s="238" t="s">
        <v>3969</v>
      </c>
      <c r="K679" s="238" t="s">
        <v>3990</v>
      </c>
      <c r="L679" s="238">
        <v>10</v>
      </c>
    </row>
    <row r="680" spans="1:12">
      <c r="A680" s="281">
        <v>50000530</v>
      </c>
      <c r="B680" s="282">
        <v>45931</v>
      </c>
      <c r="C680" s="281" t="s">
        <v>79</v>
      </c>
      <c r="D680" s="281" t="s">
        <v>2319</v>
      </c>
      <c r="E680" s="281" t="s">
        <v>2320</v>
      </c>
      <c r="F680" s="281">
        <v>1</v>
      </c>
      <c r="J680" s="238" t="s">
        <v>3969</v>
      </c>
      <c r="K680" s="238" t="s">
        <v>3990</v>
      </c>
      <c r="L680" s="238">
        <v>10</v>
      </c>
    </row>
    <row r="681" spans="1:12">
      <c r="A681" s="280">
        <v>50000260</v>
      </c>
      <c r="B681" s="283">
        <v>45931</v>
      </c>
      <c r="C681" s="280" t="s">
        <v>85</v>
      </c>
      <c r="D681" s="280" t="s">
        <v>245</v>
      </c>
      <c r="E681" s="280" t="s">
        <v>4128</v>
      </c>
      <c r="F681" s="280">
        <v>1</v>
      </c>
      <c r="J681" s="238" t="s">
        <v>3969</v>
      </c>
      <c r="K681" s="238" t="s">
        <v>3990</v>
      </c>
      <c r="L681" s="238">
        <v>10</v>
      </c>
    </row>
    <row r="682" spans="1:12">
      <c r="A682" s="281">
        <v>60002095</v>
      </c>
      <c r="B682" s="282">
        <v>45931</v>
      </c>
      <c r="C682" s="281" t="s">
        <v>73</v>
      </c>
      <c r="D682" s="281" t="s">
        <v>1572</v>
      </c>
      <c r="E682" s="281" t="s">
        <v>2344</v>
      </c>
      <c r="F682" s="281">
        <v>3</v>
      </c>
      <c r="J682" s="238" t="s">
        <v>3969</v>
      </c>
      <c r="K682" s="238" t="s">
        <v>3990</v>
      </c>
      <c r="L682" s="238">
        <v>10</v>
      </c>
    </row>
    <row r="683" spans="1:12">
      <c r="A683" s="280">
        <v>50300097</v>
      </c>
      <c r="B683" s="283">
        <v>45932</v>
      </c>
      <c r="C683" s="280" t="s">
        <v>445</v>
      </c>
      <c r="D683" s="280" t="s">
        <v>1507</v>
      </c>
      <c r="E683" s="280" t="s">
        <v>1508</v>
      </c>
      <c r="F683" s="280">
        <v>7</v>
      </c>
      <c r="J683" s="238" t="s">
        <v>3969</v>
      </c>
      <c r="K683" s="238" t="s">
        <v>3990</v>
      </c>
      <c r="L683" s="238">
        <v>10</v>
      </c>
    </row>
    <row r="684" spans="1:12">
      <c r="A684" s="281">
        <v>50110372</v>
      </c>
      <c r="B684" s="282">
        <v>45932</v>
      </c>
      <c r="C684" s="281" t="s">
        <v>73</v>
      </c>
      <c r="D684" s="281" t="s">
        <v>1302</v>
      </c>
      <c r="E684" s="281" t="s">
        <v>2349</v>
      </c>
      <c r="F684" s="281">
        <v>1</v>
      </c>
      <c r="J684" s="238" t="s">
        <v>3969</v>
      </c>
      <c r="K684" s="238" t="s">
        <v>3990</v>
      </c>
      <c r="L684" s="238">
        <v>10</v>
      </c>
    </row>
    <row r="685" spans="1:12">
      <c r="A685" s="280">
        <v>50110057</v>
      </c>
      <c r="B685" s="283">
        <v>45932</v>
      </c>
      <c r="C685" s="280" t="s">
        <v>181</v>
      </c>
      <c r="D685" s="280" t="s">
        <v>2290</v>
      </c>
      <c r="E685" s="280" t="s">
        <v>2291</v>
      </c>
      <c r="F685" s="280">
        <v>1</v>
      </c>
      <c r="J685" s="238" t="s">
        <v>3969</v>
      </c>
      <c r="K685" s="238" t="s">
        <v>3990</v>
      </c>
      <c r="L685" s="238">
        <v>10</v>
      </c>
    </row>
    <row r="686" spans="1:12">
      <c r="A686" s="281">
        <v>51100110</v>
      </c>
      <c r="B686" s="282">
        <v>45932</v>
      </c>
      <c r="C686" s="281" t="s">
        <v>4129</v>
      </c>
      <c r="D686" s="281" t="s">
        <v>321</v>
      </c>
      <c r="E686" s="281" t="s">
        <v>322</v>
      </c>
      <c r="F686" s="281">
        <v>1</v>
      </c>
      <c r="J686" s="238" t="s">
        <v>3969</v>
      </c>
      <c r="K686" s="238" t="s">
        <v>3990</v>
      </c>
      <c r="L686" s="238">
        <v>10</v>
      </c>
    </row>
    <row r="687" spans="1:12">
      <c r="A687" s="280">
        <v>48500616</v>
      </c>
      <c r="B687" s="283">
        <v>45932</v>
      </c>
      <c r="C687" s="280" t="s">
        <v>4130</v>
      </c>
      <c r="D687" s="280" t="s">
        <v>2359</v>
      </c>
      <c r="E687" s="280" t="s">
        <v>4131</v>
      </c>
      <c r="F687" s="280">
        <v>1</v>
      </c>
      <c r="J687" s="238" t="s">
        <v>3969</v>
      </c>
      <c r="K687" s="238" t="s">
        <v>3990</v>
      </c>
      <c r="L687" s="238">
        <v>10</v>
      </c>
    </row>
    <row r="688" spans="1:12">
      <c r="A688" s="281">
        <v>48300301</v>
      </c>
      <c r="B688" s="282">
        <v>45932</v>
      </c>
      <c r="C688" s="281" t="s">
        <v>63</v>
      </c>
      <c r="D688" s="281" t="s">
        <v>326</v>
      </c>
      <c r="E688" s="281" t="s">
        <v>4012</v>
      </c>
      <c r="F688" s="281">
        <v>1</v>
      </c>
      <c r="J688" s="238" t="s">
        <v>3969</v>
      </c>
      <c r="K688" s="238" t="s">
        <v>3990</v>
      </c>
      <c r="L688" s="238">
        <v>10</v>
      </c>
    </row>
    <row r="689" spans="1:12">
      <c r="A689" s="280">
        <v>50110261</v>
      </c>
      <c r="B689" s="283">
        <v>45932</v>
      </c>
      <c r="C689" s="280" t="s">
        <v>225</v>
      </c>
      <c r="D689" s="280" t="s">
        <v>813</v>
      </c>
      <c r="E689" s="280" t="s">
        <v>814</v>
      </c>
      <c r="F689" s="280">
        <v>1</v>
      </c>
      <c r="J689" s="238" t="s">
        <v>3969</v>
      </c>
      <c r="K689" s="238" t="s">
        <v>3990</v>
      </c>
      <c r="L689" s="238">
        <v>10</v>
      </c>
    </row>
    <row r="690" spans="1:12">
      <c r="A690" s="281">
        <v>50110261</v>
      </c>
      <c r="B690" s="282">
        <v>45932</v>
      </c>
      <c r="C690" s="281" t="s">
        <v>225</v>
      </c>
      <c r="D690" s="281" t="s">
        <v>2365</v>
      </c>
      <c r="E690" s="281" t="s">
        <v>2366</v>
      </c>
      <c r="F690" s="281">
        <v>1</v>
      </c>
      <c r="J690" s="238" t="s">
        <v>3969</v>
      </c>
      <c r="K690" s="238" t="s">
        <v>3990</v>
      </c>
      <c r="L690" s="238">
        <v>10</v>
      </c>
    </row>
    <row r="691" spans="1:12">
      <c r="A691" s="280">
        <v>41000142</v>
      </c>
      <c r="B691" s="283">
        <v>45933</v>
      </c>
      <c r="C691" s="280" t="s">
        <v>192</v>
      </c>
      <c r="D691" s="280" t="s">
        <v>2370</v>
      </c>
      <c r="E691" s="280" t="s">
        <v>2371</v>
      </c>
      <c r="F691" s="280">
        <v>1</v>
      </c>
      <c r="J691" s="238" t="s">
        <v>3969</v>
      </c>
      <c r="K691" s="238" t="s">
        <v>3990</v>
      </c>
      <c r="L691" s="238">
        <v>10</v>
      </c>
    </row>
    <row r="692" spans="1:12">
      <c r="A692" s="281">
        <v>60001111</v>
      </c>
      <c r="B692" s="282">
        <v>45933</v>
      </c>
      <c r="C692" s="281" t="s">
        <v>2132</v>
      </c>
      <c r="D692" s="281" t="s">
        <v>2374</v>
      </c>
      <c r="E692" s="281" t="s">
        <v>2375</v>
      </c>
      <c r="F692" s="281">
        <v>1</v>
      </c>
      <c r="J692" s="238" t="s">
        <v>3969</v>
      </c>
      <c r="K692" s="238" t="s">
        <v>3990</v>
      </c>
      <c r="L692" s="238">
        <v>10</v>
      </c>
    </row>
    <row r="693" spans="1:12">
      <c r="A693" s="280">
        <v>60001111</v>
      </c>
      <c r="B693" s="283">
        <v>45933</v>
      </c>
      <c r="C693" s="280" t="s">
        <v>2132</v>
      </c>
      <c r="D693" s="280" t="s">
        <v>2378</v>
      </c>
      <c r="E693" s="280" t="s">
        <v>2379</v>
      </c>
      <c r="F693" s="280">
        <v>2</v>
      </c>
      <c r="J693" s="238" t="s">
        <v>3969</v>
      </c>
      <c r="K693" s="238" t="s">
        <v>3990</v>
      </c>
      <c r="L693" s="238">
        <v>10</v>
      </c>
    </row>
    <row r="694" spans="1:12">
      <c r="A694" s="281">
        <v>60001111</v>
      </c>
      <c r="B694" s="282">
        <v>45936</v>
      </c>
      <c r="C694" s="281" t="s">
        <v>2132</v>
      </c>
      <c r="D694" s="281" t="s">
        <v>672</v>
      </c>
      <c r="E694" s="281" t="s">
        <v>2382</v>
      </c>
      <c r="F694" s="281">
        <v>1</v>
      </c>
      <c r="J694" s="238" t="s">
        <v>3969</v>
      </c>
      <c r="K694" s="238" t="s">
        <v>3990</v>
      </c>
      <c r="L694" s="238">
        <v>10</v>
      </c>
    </row>
    <row r="695" spans="1:12">
      <c r="A695" s="280">
        <v>61000037</v>
      </c>
      <c r="B695" s="283">
        <v>45936</v>
      </c>
      <c r="C695" s="280" t="s">
        <v>515</v>
      </c>
      <c r="D695" s="280" t="s">
        <v>2385</v>
      </c>
      <c r="E695" s="280" t="s">
        <v>4132</v>
      </c>
      <c r="F695" s="280">
        <v>2</v>
      </c>
      <c r="J695" s="238" t="s">
        <v>3969</v>
      </c>
      <c r="K695" s="238" t="s">
        <v>3990</v>
      </c>
      <c r="L695" s="238">
        <v>10</v>
      </c>
    </row>
    <row r="696" spans="1:12">
      <c r="A696" s="280">
        <v>60001111</v>
      </c>
      <c r="B696" s="283">
        <v>45936</v>
      </c>
      <c r="C696" s="280" t="s">
        <v>2132</v>
      </c>
      <c r="D696" s="280" t="s">
        <v>2423</v>
      </c>
      <c r="E696" s="280" t="s">
        <v>2424</v>
      </c>
      <c r="F696" s="280">
        <v>1</v>
      </c>
      <c r="J696" s="238" t="s">
        <v>3969</v>
      </c>
      <c r="K696" s="238" t="s">
        <v>3990</v>
      </c>
      <c r="L696" s="238">
        <v>10</v>
      </c>
    </row>
    <row r="697" spans="1:12">
      <c r="A697" s="281">
        <v>48000044</v>
      </c>
      <c r="B697" s="282">
        <v>45937</v>
      </c>
      <c r="C697" s="281" t="s">
        <v>118</v>
      </c>
      <c r="D697" s="281" t="s">
        <v>2427</v>
      </c>
      <c r="E697" s="281" t="s">
        <v>2428</v>
      </c>
      <c r="F697" s="281">
        <v>1</v>
      </c>
      <c r="J697" s="238" t="s">
        <v>3969</v>
      </c>
      <c r="K697" s="238" t="s">
        <v>3990</v>
      </c>
      <c r="L697" s="238">
        <v>10</v>
      </c>
    </row>
    <row r="698" spans="1:12">
      <c r="A698" s="280">
        <v>60002072</v>
      </c>
      <c r="B698" s="283">
        <v>45937</v>
      </c>
      <c r="C698" s="280" t="s">
        <v>202</v>
      </c>
      <c r="D698" s="280" t="s">
        <v>2431</v>
      </c>
      <c r="E698" s="280" t="s">
        <v>2432</v>
      </c>
      <c r="F698" s="280">
        <v>1</v>
      </c>
      <c r="J698" s="238" t="s">
        <v>3969</v>
      </c>
      <c r="K698" s="238" t="s">
        <v>3990</v>
      </c>
      <c r="L698" s="238">
        <v>10</v>
      </c>
    </row>
    <row r="699" spans="1:12">
      <c r="A699" s="281">
        <v>50110229</v>
      </c>
      <c r="B699" s="282">
        <v>45937</v>
      </c>
      <c r="C699" s="281" t="s">
        <v>109</v>
      </c>
      <c r="D699" s="281" t="s">
        <v>130</v>
      </c>
      <c r="E699" s="281" t="s">
        <v>633</v>
      </c>
      <c r="F699" s="281">
        <v>1</v>
      </c>
      <c r="J699" s="238" t="s">
        <v>3969</v>
      </c>
      <c r="K699" s="238" t="s">
        <v>3990</v>
      </c>
      <c r="L699" s="238">
        <v>10</v>
      </c>
    </row>
    <row r="700" spans="1:12">
      <c r="A700" s="280">
        <v>48500778</v>
      </c>
      <c r="B700" s="283">
        <v>45937</v>
      </c>
      <c r="C700" s="280" t="s">
        <v>2437</v>
      </c>
      <c r="D700" s="280" t="s">
        <v>4133</v>
      </c>
      <c r="E700" s="280" t="s">
        <v>4134</v>
      </c>
      <c r="F700" s="280">
        <v>1</v>
      </c>
      <c r="J700" s="238" t="s">
        <v>3969</v>
      </c>
      <c r="K700" s="238" t="s">
        <v>3990</v>
      </c>
      <c r="L700" s="238">
        <v>10</v>
      </c>
    </row>
    <row r="701" spans="1:12">
      <c r="A701" s="281">
        <v>48500778</v>
      </c>
      <c r="B701" s="282">
        <v>45937</v>
      </c>
      <c r="C701" s="281" t="s">
        <v>2437</v>
      </c>
      <c r="D701" s="281" t="s">
        <v>2440</v>
      </c>
      <c r="E701" s="281" t="s">
        <v>4135</v>
      </c>
      <c r="F701" s="281">
        <v>1</v>
      </c>
      <c r="J701" s="238" t="s">
        <v>3969</v>
      </c>
      <c r="K701" s="238" t="s">
        <v>3990</v>
      </c>
      <c r="L701" s="238">
        <v>10</v>
      </c>
    </row>
    <row r="702" spans="1:12">
      <c r="A702" s="280" t="s">
        <v>917</v>
      </c>
      <c r="B702" s="283">
        <v>45938</v>
      </c>
      <c r="C702" s="280" t="s">
        <v>916</v>
      </c>
      <c r="D702" s="280" t="s">
        <v>542</v>
      </c>
      <c r="E702" s="280" t="s">
        <v>2445</v>
      </c>
      <c r="F702" s="280">
        <v>1</v>
      </c>
      <c r="J702" s="238" t="s">
        <v>3969</v>
      </c>
      <c r="K702" s="238" t="s">
        <v>3990</v>
      </c>
      <c r="L702" s="238">
        <v>10</v>
      </c>
    </row>
    <row r="703" spans="1:12">
      <c r="A703" s="281">
        <v>51000323</v>
      </c>
      <c r="B703" s="282">
        <v>45938</v>
      </c>
      <c r="C703" s="281" t="s">
        <v>103</v>
      </c>
      <c r="D703" s="281" t="s">
        <v>750</v>
      </c>
      <c r="E703" s="281" t="s">
        <v>2449</v>
      </c>
      <c r="F703" s="281">
        <v>1</v>
      </c>
      <c r="J703" s="238" t="s">
        <v>3969</v>
      </c>
      <c r="K703" s="238" t="s">
        <v>3990</v>
      </c>
      <c r="L703" s="238">
        <v>10</v>
      </c>
    </row>
    <row r="704" spans="1:12">
      <c r="A704" s="280">
        <v>60001111</v>
      </c>
      <c r="B704" s="283">
        <v>45938</v>
      </c>
      <c r="C704" s="280" t="s">
        <v>2132</v>
      </c>
      <c r="D704" s="280" t="s">
        <v>330</v>
      </c>
      <c r="E704" s="280" t="s">
        <v>2452</v>
      </c>
      <c r="F704" s="280">
        <v>2</v>
      </c>
      <c r="J704" s="238" t="s">
        <v>3969</v>
      </c>
      <c r="K704" s="238" t="s">
        <v>3990</v>
      </c>
      <c r="L704" s="238">
        <v>10</v>
      </c>
    </row>
    <row r="705" spans="1:12">
      <c r="A705" s="281">
        <v>50110057</v>
      </c>
      <c r="B705" s="282">
        <v>45938</v>
      </c>
      <c r="C705" s="281" t="s">
        <v>181</v>
      </c>
      <c r="D705" s="281" t="s">
        <v>165</v>
      </c>
      <c r="E705" s="281" t="s">
        <v>166</v>
      </c>
      <c r="F705" s="281">
        <v>1</v>
      </c>
      <c r="J705" s="238" t="s">
        <v>3969</v>
      </c>
      <c r="K705" s="238" t="s">
        <v>3990</v>
      </c>
      <c r="L705" s="238">
        <v>10</v>
      </c>
    </row>
    <row r="706" spans="1:12">
      <c r="A706" s="280">
        <v>50110372</v>
      </c>
      <c r="B706" s="283">
        <v>45938</v>
      </c>
      <c r="C706" s="280" t="s">
        <v>73</v>
      </c>
      <c r="D706" s="280" t="s">
        <v>1148</v>
      </c>
      <c r="E706" s="280" t="s">
        <v>2458</v>
      </c>
      <c r="F706" s="280">
        <v>1</v>
      </c>
      <c r="J706" s="238" t="s">
        <v>3969</v>
      </c>
      <c r="K706" s="238" t="s">
        <v>3990</v>
      </c>
      <c r="L706" s="238">
        <v>10</v>
      </c>
    </row>
    <row r="707" spans="1:12">
      <c r="A707" s="281">
        <v>60002072</v>
      </c>
      <c r="B707" s="282">
        <v>45938</v>
      </c>
      <c r="C707" s="281" t="s">
        <v>202</v>
      </c>
      <c r="D707" s="281" t="s">
        <v>1767</v>
      </c>
      <c r="E707" s="281" t="s">
        <v>2461</v>
      </c>
      <c r="F707" s="281">
        <v>4</v>
      </c>
      <c r="J707" s="238" t="s">
        <v>3969</v>
      </c>
      <c r="K707" s="238" t="s">
        <v>3990</v>
      </c>
      <c r="L707" s="238">
        <v>10</v>
      </c>
    </row>
    <row r="708" spans="1:12">
      <c r="A708" s="280" t="s">
        <v>917</v>
      </c>
      <c r="B708" s="283">
        <v>45939</v>
      </c>
      <c r="C708" s="280" t="s">
        <v>916</v>
      </c>
      <c r="D708" s="280" t="s">
        <v>2464</v>
      </c>
      <c r="E708" s="280" t="s">
        <v>2465</v>
      </c>
      <c r="F708" s="280">
        <v>1</v>
      </c>
      <c r="J708" s="238" t="s">
        <v>3969</v>
      </c>
      <c r="K708" s="238" t="s">
        <v>3990</v>
      </c>
      <c r="L708" s="238">
        <v>10</v>
      </c>
    </row>
    <row r="709" spans="1:12">
      <c r="A709" s="281">
        <v>50000260</v>
      </c>
      <c r="B709" s="282">
        <v>45939</v>
      </c>
      <c r="C709" s="281" t="s">
        <v>85</v>
      </c>
      <c r="D709" s="281" t="s">
        <v>2468</v>
      </c>
      <c r="E709" s="281" t="s">
        <v>2469</v>
      </c>
      <c r="F709" s="281">
        <v>1</v>
      </c>
      <c r="J709" s="238" t="s">
        <v>3969</v>
      </c>
      <c r="K709" s="238" t="s">
        <v>3990</v>
      </c>
      <c r="L709" s="238">
        <v>10</v>
      </c>
    </row>
    <row r="710" spans="1:12">
      <c r="A710" s="280">
        <v>48500811</v>
      </c>
      <c r="B710" s="283">
        <v>45940</v>
      </c>
      <c r="C710" s="280" t="s">
        <v>2472</v>
      </c>
      <c r="D710" s="280" t="s">
        <v>2473</v>
      </c>
      <c r="E710" s="280" t="s">
        <v>2474</v>
      </c>
      <c r="F710" s="280">
        <v>1</v>
      </c>
      <c r="J710" s="238" t="s">
        <v>3969</v>
      </c>
      <c r="K710" s="238" t="s">
        <v>3990</v>
      </c>
      <c r="L710" s="238">
        <v>10</v>
      </c>
    </row>
    <row r="711" spans="1:12">
      <c r="A711" s="281">
        <v>48500811</v>
      </c>
      <c r="B711" s="282">
        <v>45940</v>
      </c>
      <c r="C711" s="281" t="s">
        <v>2472</v>
      </c>
      <c r="D711" s="281" t="s">
        <v>789</v>
      </c>
      <c r="E711" s="281" t="s">
        <v>2114</v>
      </c>
      <c r="F711" s="281">
        <v>1</v>
      </c>
      <c r="J711" s="238" t="s">
        <v>3969</v>
      </c>
      <c r="K711" s="238" t="s">
        <v>3990</v>
      </c>
      <c r="L711" s="238">
        <v>10</v>
      </c>
    </row>
    <row r="712" spans="1:12">
      <c r="A712" s="280">
        <v>48500811</v>
      </c>
      <c r="B712" s="283">
        <v>45940</v>
      </c>
      <c r="C712" s="280" t="s">
        <v>2472</v>
      </c>
      <c r="D712" s="280" t="s">
        <v>2475</v>
      </c>
      <c r="E712" s="280" t="s">
        <v>2476</v>
      </c>
      <c r="F712" s="280">
        <v>1</v>
      </c>
      <c r="J712" s="238" t="s">
        <v>3969</v>
      </c>
      <c r="K712" s="238" t="s">
        <v>3990</v>
      </c>
      <c r="L712" s="238">
        <v>10</v>
      </c>
    </row>
    <row r="713" spans="1:12">
      <c r="A713" s="281">
        <v>50110193</v>
      </c>
      <c r="B713" s="282">
        <v>45943</v>
      </c>
      <c r="C713" s="281" t="s">
        <v>33</v>
      </c>
      <c r="D713" s="281" t="s">
        <v>134</v>
      </c>
      <c r="E713" s="281" t="s">
        <v>2479</v>
      </c>
      <c r="F713" s="281">
        <v>1</v>
      </c>
      <c r="J713" s="238" t="s">
        <v>3969</v>
      </c>
      <c r="K713" s="238" t="s">
        <v>3990</v>
      </c>
      <c r="L713" s="238">
        <v>10</v>
      </c>
    </row>
    <row r="714" spans="1:12">
      <c r="A714" s="280">
        <v>50110193</v>
      </c>
      <c r="B714" s="283">
        <v>45943</v>
      </c>
      <c r="C714" s="280" t="s">
        <v>33</v>
      </c>
      <c r="D714" s="280" t="s">
        <v>136</v>
      </c>
      <c r="E714" s="280" t="s">
        <v>4116</v>
      </c>
      <c r="F714" s="280">
        <v>1</v>
      </c>
      <c r="J714" s="238" t="s">
        <v>3969</v>
      </c>
      <c r="K714" s="238" t="s">
        <v>3990</v>
      </c>
      <c r="L714" s="238">
        <v>10</v>
      </c>
    </row>
    <row r="715" spans="1:12">
      <c r="A715" s="281">
        <v>48000002</v>
      </c>
      <c r="B715" s="282">
        <v>45943</v>
      </c>
      <c r="C715" s="281" t="s">
        <v>720</v>
      </c>
      <c r="D715" s="281" t="s">
        <v>335</v>
      </c>
      <c r="E715" s="281" t="s">
        <v>2482</v>
      </c>
      <c r="F715" s="281">
        <v>1</v>
      </c>
      <c r="J715" s="238" t="s">
        <v>3969</v>
      </c>
      <c r="K715" s="238" t="s">
        <v>3990</v>
      </c>
      <c r="L715" s="238">
        <v>10</v>
      </c>
    </row>
    <row r="716" spans="1:12">
      <c r="A716" s="280">
        <v>50110229</v>
      </c>
      <c r="B716" s="283">
        <v>45943</v>
      </c>
      <c r="C716" s="280" t="s">
        <v>109</v>
      </c>
      <c r="D716" s="280" t="s">
        <v>136</v>
      </c>
      <c r="E716" s="280" t="s">
        <v>4136</v>
      </c>
      <c r="F716" s="280">
        <v>1</v>
      </c>
      <c r="J716" s="238" t="s">
        <v>3969</v>
      </c>
      <c r="K716" s="238" t="s">
        <v>3990</v>
      </c>
      <c r="L716" s="238">
        <v>10</v>
      </c>
    </row>
    <row r="717" spans="1:12">
      <c r="A717" s="281">
        <v>60002095</v>
      </c>
      <c r="B717" s="282">
        <v>45945</v>
      </c>
      <c r="C717" s="281" t="s">
        <v>73</v>
      </c>
      <c r="D717" s="281" t="s">
        <v>691</v>
      </c>
      <c r="E717" s="281" t="s">
        <v>2504</v>
      </c>
      <c r="F717" s="281">
        <v>1</v>
      </c>
      <c r="J717" s="238" t="s">
        <v>3969</v>
      </c>
      <c r="K717" s="238" t="s">
        <v>3990</v>
      </c>
      <c r="L717" s="238">
        <v>10</v>
      </c>
    </row>
    <row r="718" spans="1:12">
      <c r="A718" s="280">
        <v>50110372</v>
      </c>
      <c r="B718" s="283">
        <v>45946</v>
      </c>
      <c r="C718" s="280" t="s">
        <v>73</v>
      </c>
      <c r="D718" s="280" t="s">
        <v>2507</v>
      </c>
      <c r="E718" s="280" t="s">
        <v>2508</v>
      </c>
      <c r="F718" s="280">
        <v>1</v>
      </c>
      <c r="J718" s="238" t="s">
        <v>3969</v>
      </c>
      <c r="K718" s="238" t="s">
        <v>3990</v>
      </c>
      <c r="L718" s="238">
        <v>10</v>
      </c>
    </row>
    <row r="719" spans="1:12">
      <c r="A719" s="281">
        <v>48000044</v>
      </c>
      <c r="B719" s="282">
        <v>45947</v>
      </c>
      <c r="C719" s="281" t="s">
        <v>118</v>
      </c>
      <c r="D719" s="281" t="s">
        <v>736</v>
      </c>
      <c r="E719" s="281" t="s">
        <v>1145</v>
      </c>
      <c r="F719" s="281">
        <v>1</v>
      </c>
      <c r="J719" s="238" t="s">
        <v>3969</v>
      </c>
      <c r="K719" s="238" t="s">
        <v>3990</v>
      </c>
      <c r="L719" s="238">
        <v>10</v>
      </c>
    </row>
    <row r="720" spans="1:12">
      <c r="A720" s="280">
        <v>50300141</v>
      </c>
      <c r="B720" s="283">
        <v>45947</v>
      </c>
      <c r="C720" s="280" t="s">
        <v>402</v>
      </c>
      <c r="D720" s="280" t="s">
        <v>545</v>
      </c>
      <c r="E720" s="280" t="s">
        <v>4115</v>
      </c>
      <c r="F720" s="280">
        <v>1</v>
      </c>
      <c r="J720" s="238" t="s">
        <v>3969</v>
      </c>
      <c r="K720" s="238" t="s">
        <v>3990</v>
      </c>
      <c r="L720" s="238">
        <v>10</v>
      </c>
    </row>
    <row r="721" spans="1:12">
      <c r="A721" s="281">
        <v>51000136</v>
      </c>
      <c r="B721" s="282">
        <v>45951</v>
      </c>
      <c r="C721" s="281" t="s">
        <v>103</v>
      </c>
      <c r="D721" s="281" t="s">
        <v>2532</v>
      </c>
      <c r="E721" s="281" t="s">
        <v>2533</v>
      </c>
      <c r="F721" s="281">
        <v>1</v>
      </c>
      <c r="J721" s="238" t="s">
        <v>3969</v>
      </c>
      <c r="K721" s="238" t="s">
        <v>3990</v>
      </c>
      <c r="L721" s="238">
        <v>10</v>
      </c>
    </row>
    <row r="722" spans="1:12">
      <c r="A722" s="280">
        <v>50110193</v>
      </c>
      <c r="B722" s="283">
        <v>45952</v>
      </c>
      <c r="C722" s="280" t="s">
        <v>33</v>
      </c>
      <c r="D722" s="280" t="s">
        <v>1646</v>
      </c>
      <c r="E722" s="280" t="s">
        <v>1647</v>
      </c>
      <c r="F722" s="280">
        <v>1</v>
      </c>
      <c r="J722" s="238" t="s">
        <v>3969</v>
      </c>
      <c r="K722" s="238" t="s">
        <v>3990</v>
      </c>
      <c r="L722" s="238">
        <v>10</v>
      </c>
    </row>
    <row r="723" spans="1:12">
      <c r="A723" s="281">
        <v>48500811</v>
      </c>
      <c r="B723" s="282">
        <v>45953</v>
      </c>
      <c r="C723" s="281" t="s">
        <v>2472</v>
      </c>
      <c r="D723" s="281" t="s">
        <v>2565</v>
      </c>
      <c r="E723" s="281" t="s">
        <v>2566</v>
      </c>
      <c r="F723" s="281">
        <v>1</v>
      </c>
      <c r="J723" s="238" t="s">
        <v>3969</v>
      </c>
      <c r="K723" s="238" t="s">
        <v>3990</v>
      </c>
      <c r="L723" s="238">
        <v>10</v>
      </c>
    </row>
  </sheetData>
  <dataValidations count="2">
    <dataValidation type="date" allowBlank="1" showInputMessage="1" showErrorMessage="1" sqref="B2:B24 I23:I24 I4:I21 B38:B55 B296:B301 B358:B360 B387:B400 B423:B424 B450 B557 B589:B597 B643:B644 B665:B666" xr:uid="{B41DEBC4-BBF0-4FA1-A595-6A38CD8D73B6}">
      <formula1>45292</formula1>
      <formula2>46387</formula2>
    </dataValidation>
    <dataValidation type="date" allowBlank="1" showInputMessage="1" showErrorMessage="1" sqref="I25:I55 I22 I2:I3 B25:B37 B302:B343 B345:B357 B401:B422 B361:B386 B425:B449 B451:B556 B558:B588 B598:B642 B645:B664 B667:B723" xr:uid="{F3206A11-1FF0-4A62-907B-3E7991FDB613}">
      <formula1>44927</formula1>
      <formula2>46387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2E5D30-AA0E-462B-8AA6-F892829BC001}">
          <x14:formula1>
            <xm:f>DB!$C$2:$C$3</xm:f>
          </x14:formula1>
          <xm:sqref>H2:H164</xm:sqref>
        </x14:dataValidation>
        <x14:dataValidation type="list" allowBlank="1" showInputMessage="1" showErrorMessage="1" xr:uid="{183B7C4A-FBEC-4585-92B6-D82C15745559}">
          <x14:formula1>
            <xm:f>DB!$E$2:$E$3</xm:f>
          </x14:formula1>
          <xm:sqref>K183 J2:K164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BA15-0943-47F5-B73F-BC7BF202CDE8}">
  <dimension ref="A1:Y88"/>
  <sheetViews>
    <sheetView topLeftCell="A55" workbookViewId="0">
      <selection activeCell="I78" sqref="I78"/>
    </sheetView>
  </sheetViews>
  <sheetFormatPr defaultRowHeight="14.45"/>
  <cols>
    <col min="1" max="1" width="10.285156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855468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140625" bestFit="1" customWidth="1"/>
    <col min="10" max="10" width="15.28515625" bestFit="1" customWidth="1"/>
    <col min="11" max="11" width="11.85546875" bestFit="1" customWidth="1"/>
    <col min="12" max="12" width="21.140625" bestFit="1" customWidth="1"/>
    <col min="13" max="13" width="21.7109375" bestFit="1" customWidth="1"/>
    <col min="14" max="14" width="13.855468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140625" bestFit="1" customWidth="1"/>
    <col min="19" max="19" width="20.28515625" bestFit="1" customWidth="1"/>
    <col min="20" max="20" width="27.7109375" bestFit="1" customWidth="1"/>
    <col min="21" max="21" width="17.140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85546875" bestFit="1" customWidth="1"/>
  </cols>
  <sheetData>
    <row r="1" spans="1:25">
      <c r="A1" s="73" t="s">
        <v>4137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4138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17</v>
      </c>
      <c r="Q3" t="s">
        <v>3964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>
      <c r="A4" t="s">
        <v>627</v>
      </c>
      <c r="B4" s="72">
        <v>45715</v>
      </c>
      <c r="C4" s="72">
        <v>45715</v>
      </c>
      <c r="D4" t="s">
        <v>628</v>
      </c>
      <c r="E4" t="s">
        <v>85</v>
      </c>
      <c r="F4" t="s">
        <v>2496</v>
      </c>
      <c r="G4">
        <v>50000260</v>
      </c>
      <c r="H4" t="s">
        <v>629</v>
      </c>
      <c r="I4" t="s">
        <v>630</v>
      </c>
      <c r="J4">
        <v>1</v>
      </c>
      <c r="K4" t="s">
        <v>37</v>
      </c>
      <c r="L4" t="s">
        <v>217</v>
      </c>
      <c r="N4" t="s">
        <v>58</v>
      </c>
      <c r="O4">
        <v>1</v>
      </c>
      <c r="Q4" t="s">
        <v>37</v>
      </c>
      <c r="R4" s="72">
        <v>45713</v>
      </c>
      <c r="V4" t="s">
        <v>41</v>
      </c>
      <c r="W4">
        <v>631.67999999999995</v>
      </c>
      <c r="X4">
        <v>631.67999999999995</v>
      </c>
    </row>
    <row r="5" spans="1:25">
      <c r="A5" t="s">
        <v>621</v>
      </c>
      <c r="B5" s="72">
        <v>45715</v>
      </c>
      <c r="C5" s="72">
        <v>45715</v>
      </c>
      <c r="D5" t="s">
        <v>622</v>
      </c>
      <c r="E5" t="s">
        <v>402</v>
      </c>
      <c r="F5" t="s">
        <v>403</v>
      </c>
      <c r="G5">
        <v>50300141</v>
      </c>
      <c r="H5" t="s">
        <v>624</v>
      </c>
      <c r="I5" t="s">
        <v>625</v>
      </c>
      <c r="J5">
        <v>1</v>
      </c>
      <c r="K5" t="s">
        <v>37</v>
      </c>
      <c r="L5" t="s">
        <v>217</v>
      </c>
      <c r="N5" t="s">
        <v>58</v>
      </c>
      <c r="O5">
        <v>1</v>
      </c>
      <c r="P5" t="s">
        <v>626</v>
      </c>
      <c r="Q5" t="s">
        <v>4139</v>
      </c>
      <c r="R5" s="72">
        <v>45709</v>
      </c>
      <c r="V5" t="s">
        <v>229</v>
      </c>
      <c r="W5">
        <v>339.68</v>
      </c>
      <c r="X5">
        <v>339.68</v>
      </c>
    </row>
    <row r="6" spans="1:25">
      <c r="A6" t="s">
        <v>617</v>
      </c>
      <c r="B6" s="72">
        <v>45715</v>
      </c>
      <c r="C6" s="72">
        <v>45715</v>
      </c>
      <c r="D6" t="s">
        <v>618</v>
      </c>
      <c r="E6" t="s">
        <v>79</v>
      </c>
      <c r="F6" t="s">
        <v>2496</v>
      </c>
      <c r="G6">
        <v>50000530</v>
      </c>
      <c r="H6" t="s">
        <v>619</v>
      </c>
      <c r="I6" t="s">
        <v>620</v>
      </c>
      <c r="J6">
        <v>1</v>
      </c>
      <c r="K6" t="s">
        <v>37</v>
      </c>
      <c r="L6" t="s">
        <v>217</v>
      </c>
      <c r="N6" t="s">
        <v>58</v>
      </c>
      <c r="O6">
        <v>1</v>
      </c>
      <c r="Q6" t="s">
        <v>4140</v>
      </c>
      <c r="R6" s="72">
        <v>45713</v>
      </c>
      <c r="W6">
        <v>91.76</v>
      </c>
      <c r="X6">
        <v>91.76</v>
      </c>
    </row>
    <row r="7" spans="1:25">
      <c r="A7" t="s">
        <v>607</v>
      </c>
      <c r="B7" s="72">
        <v>45715</v>
      </c>
      <c r="C7" s="72">
        <v>45715</v>
      </c>
      <c r="D7" t="s">
        <v>608</v>
      </c>
      <c r="E7" t="s">
        <v>4025</v>
      </c>
      <c r="F7" t="s">
        <v>2496</v>
      </c>
      <c r="G7" t="s">
        <v>609</v>
      </c>
      <c r="H7" t="s">
        <v>610</v>
      </c>
      <c r="I7" t="s">
        <v>611</v>
      </c>
      <c r="J7">
        <v>1</v>
      </c>
      <c r="K7" t="s">
        <v>37</v>
      </c>
      <c r="L7" t="s">
        <v>38</v>
      </c>
      <c r="N7" t="s">
        <v>58</v>
      </c>
      <c r="O7">
        <v>1</v>
      </c>
      <c r="Q7" t="s">
        <v>37</v>
      </c>
      <c r="R7" s="72">
        <v>45679</v>
      </c>
      <c r="V7" t="s">
        <v>41</v>
      </c>
      <c r="W7">
        <v>140.44999999999999</v>
      </c>
      <c r="X7">
        <v>140.44999999999999</v>
      </c>
    </row>
    <row r="8" spans="1:25">
      <c r="A8" t="s">
        <v>601</v>
      </c>
      <c r="B8" s="72">
        <v>45715</v>
      </c>
      <c r="C8" s="72">
        <v>45714</v>
      </c>
      <c r="D8" t="s">
        <v>602</v>
      </c>
      <c r="E8" t="s">
        <v>103</v>
      </c>
      <c r="F8" t="s">
        <v>2527</v>
      </c>
      <c r="G8">
        <v>51000323</v>
      </c>
      <c r="H8" t="s">
        <v>605</v>
      </c>
      <c r="I8" t="s">
        <v>606</v>
      </c>
      <c r="J8">
        <v>1</v>
      </c>
      <c r="K8" t="s">
        <v>37</v>
      </c>
      <c r="L8" t="s">
        <v>217</v>
      </c>
      <c r="N8" t="s">
        <v>39</v>
      </c>
      <c r="O8">
        <v>1</v>
      </c>
      <c r="Q8" t="s">
        <v>4141</v>
      </c>
      <c r="V8" t="s">
        <v>41</v>
      </c>
      <c r="W8">
        <v>96.35</v>
      </c>
      <c r="X8">
        <v>96.35</v>
      </c>
    </row>
    <row r="9" spans="1:25">
      <c r="A9" t="s">
        <v>601</v>
      </c>
      <c r="B9" s="72">
        <v>45715</v>
      </c>
      <c r="C9" s="72">
        <v>45714</v>
      </c>
      <c r="D9" t="s">
        <v>602</v>
      </c>
      <c r="E9" t="s">
        <v>103</v>
      </c>
      <c r="F9" t="s">
        <v>2527</v>
      </c>
      <c r="G9">
        <v>51000323</v>
      </c>
      <c r="H9" t="s">
        <v>603</v>
      </c>
      <c r="I9" t="s">
        <v>604</v>
      </c>
      <c r="J9">
        <v>1</v>
      </c>
      <c r="K9" t="s">
        <v>37</v>
      </c>
      <c r="L9" t="s">
        <v>217</v>
      </c>
      <c r="N9" t="s">
        <v>89</v>
      </c>
      <c r="O9">
        <v>0</v>
      </c>
      <c r="Q9" t="s">
        <v>4141</v>
      </c>
      <c r="V9" t="s">
        <v>41</v>
      </c>
      <c r="W9">
        <v>874.36</v>
      </c>
      <c r="X9">
        <v>874.36</v>
      </c>
    </row>
    <row r="10" spans="1:25">
      <c r="A10" t="s">
        <v>587</v>
      </c>
      <c r="B10" s="72">
        <v>45715</v>
      </c>
      <c r="C10" s="72">
        <v>45714</v>
      </c>
      <c r="D10" t="s">
        <v>588</v>
      </c>
      <c r="E10" t="s">
        <v>103</v>
      </c>
      <c r="F10" t="s">
        <v>2527</v>
      </c>
      <c r="G10">
        <v>51000136</v>
      </c>
      <c r="H10" t="s">
        <v>599</v>
      </c>
      <c r="I10" t="s">
        <v>600</v>
      </c>
      <c r="J10">
        <v>1</v>
      </c>
      <c r="K10" t="s">
        <v>37</v>
      </c>
      <c r="L10" t="s">
        <v>217</v>
      </c>
      <c r="N10" t="s">
        <v>89</v>
      </c>
      <c r="O10">
        <v>0</v>
      </c>
      <c r="Q10" t="s">
        <v>37</v>
      </c>
      <c r="V10" t="s">
        <v>41</v>
      </c>
      <c r="W10">
        <v>66.959999999999994</v>
      </c>
      <c r="X10">
        <v>66.959999999999994</v>
      </c>
    </row>
    <row r="11" spans="1:25">
      <c r="A11" t="s">
        <v>587</v>
      </c>
      <c r="B11" s="72">
        <v>45715</v>
      </c>
      <c r="C11" s="72">
        <v>45714</v>
      </c>
      <c r="D11" t="s">
        <v>588</v>
      </c>
      <c r="E11" t="s">
        <v>103</v>
      </c>
      <c r="F11" t="s">
        <v>2527</v>
      </c>
      <c r="G11">
        <v>51000136</v>
      </c>
      <c r="H11" t="s">
        <v>597</v>
      </c>
      <c r="I11" t="s">
        <v>4024</v>
      </c>
      <c r="J11">
        <v>1</v>
      </c>
      <c r="K11" t="s">
        <v>37</v>
      </c>
      <c r="L11" t="s">
        <v>217</v>
      </c>
      <c r="N11" t="s">
        <v>58</v>
      </c>
      <c r="O11">
        <v>1</v>
      </c>
      <c r="Q11" t="s">
        <v>4142</v>
      </c>
      <c r="R11" s="72">
        <v>45723</v>
      </c>
      <c r="V11" t="s">
        <v>41</v>
      </c>
      <c r="W11">
        <v>720.36</v>
      </c>
      <c r="X11">
        <v>720.36</v>
      </c>
    </row>
    <row r="12" spans="1:25">
      <c r="A12" t="s">
        <v>587</v>
      </c>
      <c r="B12" s="72">
        <v>45715</v>
      </c>
      <c r="C12" s="72">
        <v>45714</v>
      </c>
      <c r="D12" t="s">
        <v>588</v>
      </c>
      <c r="E12" t="s">
        <v>103</v>
      </c>
      <c r="F12" t="s">
        <v>2527</v>
      </c>
      <c r="G12">
        <v>51000136</v>
      </c>
      <c r="H12" t="s">
        <v>595</v>
      </c>
      <c r="I12" t="s">
        <v>596</v>
      </c>
      <c r="J12">
        <v>1</v>
      </c>
      <c r="K12" t="s">
        <v>37</v>
      </c>
      <c r="L12" t="s">
        <v>217</v>
      </c>
      <c r="N12" t="s">
        <v>58</v>
      </c>
      <c r="O12">
        <v>1</v>
      </c>
      <c r="Q12" t="s">
        <v>4142</v>
      </c>
      <c r="R12" s="72">
        <v>45723</v>
      </c>
      <c r="V12" t="s">
        <v>41</v>
      </c>
      <c r="W12">
        <v>260.14999999999998</v>
      </c>
      <c r="X12">
        <v>260.14999999999998</v>
      </c>
    </row>
    <row r="13" spans="1:25">
      <c r="A13" t="s">
        <v>587</v>
      </c>
      <c r="B13" s="72">
        <v>45715</v>
      </c>
      <c r="C13" s="72">
        <v>45714</v>
      </c>
      <c r="D13" t="s">
        <v>588</v>
      </c>
      <c r="E13" t="s">
        <v>103</v>
      </c>
      <c r="F13" t="s">
        <v>2527</v>
      </c>
      <c r="G13">
        <v>51000136</v>
      </c>
      <c r="H13" t="s">
        <v>593</v>
      </c>
      <c r="I13" t="s">
        <v>594</v>
      </c>
      <c r="J13">
        <v>1</v>
      </c>
      <c r="K13" t="s">
        <v>37</v>
      </c>
      <c r="L13" t="s">
        <v>217</v>
      </c>
      <c r="N13" t="s">
        <v>39</v>
      </c>
      <c r="O13">
        <v>1</v>
      </c>
      <c r="Q13" t="s">
        <v>4141</v>
      </c>
      <c r="V13" t="s">
        <v>41</v>
      </c>
      <c r="W13">
        <v>475.51</v>
      </c>
      <c r="X13">
        <v>475.51</v>
      </c>
    </row>
    <row r="14" spans="1:25">
      <c r="A14" t="s">
        <v>587</v>
      </c>
      <c r="B14" s="72">
        <v>45715</v>
      </c>
      <c r="C14" s="72">
        <v>45714</v>
      </c>
      <c r="D14" t="s">
        <v>588</v>
      </c>
      <c r="E14" t="s">
        <v>103</v>
      </c>
      <c r="F14" t="s">
        <v>2527</v>
      </c>
      <c r="G14">
        <v>51000136</v>
      </c>
      <c r="H14" t="s">
        <v>591</v>
      </c>
      <c r="I14" t="s">
        <v>592</v>
      </c>
      <c r="J14">
        <v>1</v>
      </c>
      <c r="K14" t="s">
        <v>37</v>
      </c>
      <c r="L14" t="s">
        <v>217</v>
      </c>
      <c r="N14" t="s">
        <v>89</v>
      </c>
      <c r="O14">
        <v>0</v>
      </c>
      <c r="P14" t="s">
        <v>165</v>
      </c>
      <c r="Q14" t="s">
        <v>4141</v>
      </c>
      <c r="V14" t="s">
        <v>41</v>
      </c>
      <c r="W14">
        <v>354.38</v>
      </c>
      <c r="X14">
        <v>354.38</v>
      </c>
    </row>
    <row r="15" spans="1:25">
      <c r="A15" t="s">
        <v>587</v>
      </c>
      <c r="B15" s="72">
        <v>45715</v>
      </c>
      <c r="C15" s="72">
        <v>45714</v>
      </c>
      <c r="D15" t="s">
        <v>588</v>
      </c>
      <c r="E15" t="s">
        <v>103</v>
      </c>
      <c r="F15" t="s">
        <v>2527</v>
      </c>
      <c r="G15">
        <v>51000136</v>
      </c>
      <c r="H15" t="s">
        <v>589</v>
      </c>
      <c r="I15" t="s">
        <v>590</v>
      </c>
      <c r="J15">
        <v>1</v>
      </c>
      <c r="K15" t="s">
        <v>37</v>
      </c>
      <c r="L15" t="s">
        <v>217</v>
      </c>
      <c r="N15" t="s">
        <v>39</v>
      </c>
      <c r="O15">
        <v>1</v>
      </c>
      <c r="Q15" t="s">
        <v>4141</v>
      </c>
      <c r="V15" t="s">
        <v>41</v>
      </c>
      <c r="W15">
        <v>1207.54</v>
      </c>
      <c r="X15">
        <v>1207.54</v>
      </c>
    </row>
    <row r="16" spans="1:25">
      <c r="A16" t="s">
        <v>31</v>
      </c>
      <c r="B16" s="72">
        <v>45715</v>
      </c>
      <c r="C16" s="72">
        <v>45715</v>
      </c>
      <c r="D16" t="s">
        <v>32</v>
      </c>
      <c r="E16" t="s">
        <v>33</v>
      </c>
      <c r="F16" t="s">
        <v>2491</v>
      </c>
      <c r="G16">
        <v>50110193</v>
      </c>
      <c r="H16" t="s">
        <v>4023</v>
      </c>
      <c r="I16" t="s">
        <v>36</v>
      </c>
      <c r="J16">
        <v>1</v>
      </c>
      <c r="K16" t="s">
        <v>37</v>
      </c>
      <c r="L16" t="s">
        <v>38</v>
      </c>
      <c r="M16" t="s">
        <v>39</v>
      </c>
      <c r="N16" t="s">
        <v>58</v>
      </c>
      <c r="O16">
        <v>1</v>
      </c>
      <c r="Q16" t="s">
        <v>3970</v>
      </c>
      <c r="R16" s="72">
        <v>45663</v>
      </c>
      <c r="V16" t="s">
        <v>41</v>
      </c>
      <c r="W16">
        <v>790.42</v>
      </c>
      <c r="X16">
        <v>790.42</v>
      </c>
    </row>
    <row r="17" spans="1:24">
      <c r="A17" t="s">
        <v>576</v>
      </c>
      <c r="B17" s="72">
        <v>45714</v>
      </c>
      <c r="C17" s="72">
        <v>45714</v>
      </c>
      <c r="D17" t="s">
        <v>577</v>
      </c>
      <c r="E17" t="s">
        <v>73</v>
      </c>
      <c r="F17" t="s">
        <v>203</v>
      </c>
      <c r="G17">
        <v>60002095</v>
      </c>
      <c r="H17" t="s">
        <v>578</v>
      </c>
      <c r="I17" t="s">
        <v>579</v>
      </c>
      <c r="J17">
        <v>1</v>
      </c>
      <c r="K17" t="s">
        <v>37</v>
      </c>
      <c r="L17" t="s">
        <v>68</v>
      </c>
      <c r="N17" t="s">
        <v>89</v>
      </c>
      <c r="O17">
        <v>0</v>
      </c>
      <c r="P17" t="s">
        <v>580</v>
      </c>
      <c r="Q17" t="s">
        <v>37</v>
      </c>
      <c r="V17" t="s">
        <v>41</v>
      </c>
      <c r="W17">
        <v>4432.21</v>
      </c>
      <c r="X17">
        <v>4432.21</v>
      </c>
    </row>
    <row r="18" spans="1:24">
      <c r="A18" t="s">
        <v>567</v>
      </c>
      <c r="B18" s="72">
        <v>45714</v>
      </c>
      <c r="C18" s="72">
        <v>45714</v>
      </c>
      <c r="D18" t="s">
        <v>568</v>
      </c>
      <c r="E18" t="s">
        <v>569</v>
      </c>
      <c r="F18" t="s">
        <v>55</v>
      </c>
      <c r="G18">
        <v>44000058</v>
      </c>
      <c r="H18" t="s">
        <v>574</v>
      </c>
      <c r="I18" t="s">
        <v>575</v>
      </c>
      <c r="J18">
        <v>1</v>
      </c>
      <c r="K18" t="s">
        <v>37</v>
      </c>
      <c r="L18" t="s">
        <v>217</v>
      </c>
      <c r="N18" t="s">
        <v>58</v>
      </c>
      <c r="O18">
        <v>1</v>
      </c>
      <c r="Q18" t="s">
        <v>4140</v>
      </c>
      <c r="R18" s="72">
        <v>45714</v>
      </c>
      <c r="V18" t="s">
        <v>573</v>
      </c>
      <c r="W18">
        <v>1323.87</v>
      </c>
      <c r="X18">
        <v>1323.87</v>
      </c>
    </row>
    <row r="19" spans="1:24">
      <c r="A19" t="s">
        <v>567</v>
      </c>
      <c r="B19" s="72">
        <v>45714</v>
      </c>
      <c r="C19" s="72">
        <v>45714</v>
      </c>
      <c r="D19" t="s">
        <v>568</v>
      </c>
      <c r="E19" t="s">
        <v>569</v>
      </c>
      <c r="F19" t="s">
        <v>55</v>
      </c>
      <c r="G19">
        <v>44000058</v>
      </c>
      <c r="H19" t="s">
        <v>570</v>
      </c>
      <c r="I19" t="s">
        <v>571</v>
      </c>
      <c r="J19">
        <v>1</v>
      </c>
      <c r="K19" t="s">
        <v>37</v>
      </c>
      <c r="L19" t="s">
        <v>217</v>
      </c>
      <c r="N19" t="s">
        <v>58</v>
      </c>
      <c r="O19">
        <v>1</v>
      </c>
      <c r="P19" t="s">
        <v>572</v>
      </c>
      <c r="Q19" t="s">
        <v>4140</v>
      </c>
      <c r="R19" s="72">
        <v>45714</v>
      </c>
      <c r="V19" t="s">
        <v>573</v>
      </c>
      <c r="W19">
        <v>966.08</v>
      </c>
      <c r="X19">
        <v>966.08</v>
      </c>
    </row>
    <row r="20" spans="1:24">
      <c r="A20" t="s">
        <v>565</v>
      </c>
      <c r="B20" s="72">
        <v>45714</v>
      </c>
      <c r="C20" s="72">
        <v>45713</v>
      </c>
      <c r="D20" t="s">
        <v>566</v>
      </c>
      <c r="E20" t="s">
        <v>202</v>
      </c>
      <c r="F20" t="s">
        <v>203</v>
      </c>
      <c r="G20">
        <v>60002072</v>
      </c>
      <c r="H20" t="s">
        <v>350</v>
      </c>
      <c r="I20" t="s">
        <v>351</v>
      </c>
      <c r="J20">
        <v>1</v>
      </c>
      <c r="K20" t="s">
        <v>67</v>
      </c>
      <c r="L20" t="s">
        <v>346</v>
      </c>
      <c r="M20" t="s">
        <v>58</v>
      </c>
      <c r="N20" t="s">
        <v>58</v>
      </c>
      <c r="O20">
        <v>1</v>
      </c>
      <c r="Q20" t="s">
        <v>4143</v>
      </c>
      <c r="R20" s="72">
        <v>45713</v>
      </c>
      <c r="W20">
        <v>886.36</v>
      </c>
      <c r="X20">
        <v>886.36</v>
      </c>
    </row>
    <row r="21" spans="1:24">
      <c r="A21" t="s">
        <v>563</v>
      </c>
      <c r="B21" s="72">
        <v>45714</v>
      </c>
      <c r="C21" s="72">
        <v>45714</v>
      </c>
      <c r="D21" t="s">
        <v>564</v>
      </c>
      <c r="E21" t="s">
        <v>73</v>
      </c>
      <c r="F21" t="s">
        <v>2491</v>
      </c>
      <c r="G21">
        <v>50110372</v>
      </c>
      <c r="H21" t="s">
        <v>215</v>
      </c>
      <c r="I21" t="s">
        <v>557</v>
      </c>
      <c r="J21">
        <v>1</v>
      </c>
      <c r="K21" t="s">
        <v>37</v>
      </c>
      <c r="L21" t="s">
        <v>217</v>
      </c>
      <c r="M21" t="s">
        <v>39</v>
      </c>
      <c r="N21" t="s">
        <v>39</v>
      </c>
      <c r="O21">
        <v>1</v>
      </c>
      <c r="P21" t="s">
        <v>218</v>
      </c>
      <c r="Q21" t="s">
        <v>37</v>
      </c>
      <c r="V21" t="s">
        <v>41</v>
      </c>
      <c r="W21">
        <v>22.54</v>
      </c>
      <c r="X21">
        <v>22.54</v>
      </c>
    </row>
    <row r="22" spans="1:24">
      <c r="A22" t="s">
        <v>560</v>
      </c>
      <c r="B22" s="72">
        <v>45714</v>
      </c>
      <c r="C22" s="72">
        <v>45713</v>
      </c>
      <c r="D22" t="s">
        <v>561</v>
      </c>
      <c r="E22" t="s">
        <v>73</v>
      </c>
      <c r="F22" t="s">
        <v>203</v>
      </c>
      <c r="G22" t="s">
        <v>562</v>
      </c>
      <c r="H22" t="s">
        <v>521</v>
      </c>
      <c r="I22" t="s">
        <v>522</v>
      </c>
      <c r="J22">
        <v>1</v>
      </c>
      <c r="K22" t="s">
        <v>67</v>
      </c>
      <c r="L22" t="s">
        <v>346</v>
      </c>
      <c r="M22" t="s">
        <v>88</v>
      </c>
      <c r="N22" t="s">
        <v>89</v>
      </c>
      <c r="O22">
        <v>0</v>
      </c>
      <c r="Q22" t="s">
        <v>4144</v>
      </c>
      <c r="V22" t="s">
        <v>41</v>
      </c>
      <c r="W22">
        <v>2531.29</v>
      </c>
      <c r="X22">
        <v>2531.29</v>
      </c>
    </row>
    <row r="23" spans="1:24">
      <c r="A23" t="s">
        <v>558</v>
      </c>
      <c r="B23" s="72">
        <v>45714</v>
      </c>
      <c r="C23" s="72">
        <v>45713</v>
      </c>
      <c r="D23" t="s">
        <v>559</v>
      </c>
      <c r="E23" t="s">
        <v>109</v>
      </c>
      <c r="F23" t="s">
        <v>2491</v>
      </c>
      <c r="G23">
        <v>50110229</v>
      </c>
      <c r="H23" t="s">
        <v>215</v>
      </c>
      <c r="I23" t="s">
        <v>557</v>
      </c>
      <c r="J23">
        <v>1</v>
      </c>
      <c r="K23" t="s">
        <v>37</v>
      </c>
      <c r="L23" t="s">
        <v>217</v>
      </c>
      <c r="M23" t="s">
        <v>39</v>
      </c>
      <c r="N23" t="s">
        <v>39</v>
      </c>
      <c r="O23">
        <v>1</v>
      </c>
      <c r="P23" t="s">
        <v>218</v>
      </c>
      <c r="Q23" t="s">
        <v>37</v>
      </c>
      <c r="V23" t="s">
        <v>41</v>
      </c>
      <c r="W23">
        <v>22.54</v>
      </c>
      <c r="X23">
        <v>22.54</v>
      </c>
    </row>
    <row r="24" spans="1:24">
      <c r="A24" t="s">
        <v>555</v>
      </c>
      <c r="B24" s="72">
        <v>45714</v>
      </c>
      <c r="C24" s="72">
        <v>45713</v>
      </c>
      <c r="D24" t="s">
        <v>556</v>
      </c>
      <c r="E24" t="s">
        <v>33</v>
      </c>
      <c r="F24" t="s">
        <v>2491</v>
      </c>
      <c r="G24">
        <v>50110193</v>
      </c>
      <c r="H24" t="s">
        <v>215</v>
      </c>
      <c r="I24" t="s">
        <v>557</v>
      </c>
      <c r="J24">
        <v>1</v>
      </c>
      <c r="K24" t="s">
        <v>37</v>
      </c>
      <c r="L24" t="s">
        <v>217</v>
      </c>
      <c r="M24" t="s">
        <v>39</v>
      </c>
      <c r="N24" t="s">
        <v>39</v>
      </c>
      <c r="O24">
        <v>1</v>
      </c>
      <c r="P24" t="s">
        <v>218</v>
      </c>
      <c r="Q24" t="s">
        <v>37</v>
      </c>
      <c r="V24" t="s">
        <v>41</v>
      </c>
      <c r="W24">
        <v>22.54</v>
      </c>
      <c r="X24">
        <v>22.54</v>
      </c>
    </row>
    <row r="25" spans="1:24">
      <c r="A25" t="s">
        <v>552</v>
      </c>
      <c r="B25" s="72">
        <v>45714</v>
      </c>
      <c r="C25" s="72">
        <v>45713</v>
      </c>
      <c r="D25" t="s">
        <v>553</v>
      </c>
      <c r="E25" t="s">
        <v>79</v>
      </c>
      <c r="F25" t="s">
        <v>2496</v>
      </c>
      <c r="G25">
        <v>50000530</v>
      </c>
      <c r="H25" t="s">
        <v>4022</v>
      </c>
      <c r="I25" t="s">
        <v>76</v>
      </c>
      <c r="J25">
        <v>1</v>
      </c>
      <c r="K25" t="s">
        <v>37</v>
      </c>
      <c r="L25" t="s">
        <v>217</v>
      </c>
      <c r="M25" t="s">
        <v>58</v>
      </c>
      <c r="N25" t="s">
        <v>58</v>
      </c>
      <c r="O25">
        <v>1</v>
      </c>
      <c r="Q25" t="s">
        <v>3970</v>
      </c>
      <c r="R25" s="72">
        <v>45712</v>
      </c>
      <c r="V25" t="s">
        <v>554</v>
      </c>
      <c r="W25">
        <v>1187.4100000000001</v>
      </c>
      <c r="X25">
        <v>1187.4100000000001</v>
      </c>
    </row>
    <row r="26" spans="1:24">
      <c r="A26" t="s">
        <v>550</v>
      </c>
      <c r="B26" s="72">
        <v>45713</v>
      </c>
      <c r="C26" s="72">
        <v>45713</v>
      </c>
      <c r="E26" t="s">
        <v>381</v>
      </c>
      <c r="H26" t="s">
        <v>4145</v>
      </c>
      <c r="I26" t="s">
        <v>4146</v>
      </c>
      <c r="J26">
        <v>2</v>
      </c>
      <c r="N26" t="s">
        <v>89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547</v>
      </c>
      <c r="B27" s="72">
        <v>45713</v>
      </c>
      <c r="C27" s="72">
        <v>45713</v>
      </c>
      <c r="E27" t="s">
        <v>192</v>
      </c>
      <c r="F27" t="s">
        <v>4147</v>
      </c>
      <c r="G27">
        <v>51000129</v>
      </c>
      <c r="H27" t="s">
        <v>4148</v>
      </c>
      <c r="I27" t="s">
        <v>4149</v>
      </c>
      <c r="J27">
        <v>1</v>
      </c>
      <c r="N27" t="s">
        <v>89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538</v>
      </c>
      <c r="B28" s="72">
        <v>45712</v>
      </c>
      <c r="C28" s="72">
        <v>45709</v>
      </c>
      <c r="D28" t="s">
        <v>539</v>
      </c>
      <c r="E28" t="s">
        <v>63</v>
      </c>
      <c r="F28" t="s">
        <v>173</v>
      </c>
      <c r="G28">
        <v>48300301</v>
      </c>
      <c r="H28" t="s">
        <v>540</v>
      </c>
      <c r="I28" t="s">
        <v>541</v>
      </c>
      <c r="J28">
        <v>1</v>
      </c>
      <c r="K28" t="s">
        <v>37</v>
      </c>
      <c r="L28" t="s">
        <v>48</v>
      </c>
      <c r="M28" t="s">
        <v>58</v>
      </c>
      <c r="N28" t="s">
        <v>58</v>
      </c>
      <c r="O28">
        <v>1</v>
      </c>
      <c r="P28" t="s">
        <v>542</v>
      </c>
      <c r="Q28" t="s">
        <v>3970</v>
      </c>
      <c r="R28" s="72">
        <v>45680</v>
      </c>
      <c r="V28" t="s">
        <v>70</v>
      </c>
      <c r="W28">
        <v>1240.6400000000001</v>
      </c>
      <c r="X28">
        <v>1240.6400000000001</v>
      </c>
    </row>
    <row r="29" spans="1:24">
      <c r="A29" t="s">
        <v>534</v>
      </c>
      <c r="B29" s="72">
        <v>45712</v>
      </c>
      <c r="C29" s="72">
        <v>45709</v>
      </c>
      <c r="D29" t="s">
        <v>535</v>
      </c>
      <c r="E29" t="s">
        <v>73</v>
      </c>
      <c r="F29" t="s">
        <v>2491</v>
      </c>
      <c r="G29">
        <v>50110372</v>
      </c>
      <c r="H29" t="s">
        <v>536</v>
      </c>
      <c r="I29" t="s">
        <v>537</v>
      </c>
      <c r="J29">
        <v>1</v>
      </c>
      <c r="K29" t="s">
        <v>67</v>
      </c>
      <c r="L29" t="s">
        <v>68</v>
      </c>
      <c r="M29" t="s">
        <v>88</v>
      </c>
      <c r="N29" t="s">
        <v>89</v>
      </c>
      <c r="O29">
        <v>0</v>
      </c>
      <c r="Q29" t="s">
        <v>4144</v>
      </c>
      <c r="V29" t="s">
        <v>41</v>
      </c>
      <c r="W29">
        <v>96.11</v>
      </c>
      <c r="X29">
        <v>96.11</v>
      </c>
    </row>
    <row r="30" spans="1:24">
      <c r="A30" t="s">
        <v>543</v>
      </c>
      <c r="B30" s="72">
        <v>45709</v>
      </c>
      <c r="C30" s="72">
        <v>45709</v>
      </c>
      <c r="D30" t="s">
        <v>544</v>
      </c>
      <c r="E30" t="s">
        <v>118</v>
      </c>
      <c r="F30" t="s">
        <v>2527</v>
      </c>
      <c r="G30">
        <v>51000174</v>
      </c>
      <c r="H30" t="s">
        <v>158</v>
      </c>
      <c r="I30" t="s">
        <v>159</v>
      </c>
      <c r="J30">
        <v>1</v>
      </c>
      <c r="K30" t="s">
        <v>37</v>
      </c>
      <c r="L30" t="s">
        <v>48</v>
      </c>
      <c r="M30" t="s">
        <v>58</v>
      </c>
      <c r="N30" t="s">
        <v>58</v>
      </c>
      <c r="O30">
        <v>1</v>
      </c>
      <c r="Q30" t="s">
        <v>4139</v>
      </c>
      <c r="R30" s="72">
        <v>45705</v>
      </c>
      <c r="V30" t="s">
        <v>546</v>
      </c>
      <c r="W30">
        <v>475.51</v>
      </c>
      <c r="X30">
        <v>475.51</v>
      </c>
    </row>
    <row r="31" spans="1:24">
      <c r="A31" t="s">
        <v>524</v>
      </c>
      <c r="B31" s="72">
        <v>45709</v>
      </c>
      <c r="C31" s="72">
        <v>45708</v>
      </c>
      <c r="D31" t="s">
        <v>525</v>
      </c>
      <c r="E31" t="s">
        <v>85</v>
      </c>
      <c r="F31" t="s">
        <v>2496</v>
      </c>
      <c r="G31">
        <v>50000260</v>
      </c>
      <c r="H31" t="s">
        <v>531</v>
      </c>
      <c r="I31" t="s">
        <v>532</v>
      </c>
      <c r="J31">
        <v>1</v>
      </c>
      <c r="K31" t="s">
        <v>67</v>
      </c>
      <c r="L31" t="s">
        <v>68</v>
      </c>
      <c r="M31" t="s">
        <v>88</v>
      </c>
      <c r="N31" t="s">
        <v>89</v>
      </c>
      <c r="O31">
        <v>0</v>
      </c>
      <c r="Q31" t="s">
        <v>37</v>
      </c>
      <c r="V31" t="s">
        <v>41</v>
      </c>
      <c r="W31">
        <v>24.61</v>
      </c>
      <c r="X31">
        <v>24.61</v>
      </c>
    </row>
    <row r="32" spans="1:24">
      <c r="A32" t="s">
        <v>524</v>
      </c>
      <c r="B32" s="72">
        <v>45709</v>
      </c>
      <c r="C32" s="72">
        <v>45708</v>
      </c>
      <c r="D32" t="s">
        <v>525</v>
      </c>
      <c r="E32" t="s">
        <v>85</v>
      </c>
      <c r="F32" t="s">
        <v>2496</v>
      </c>
      <c r="G32">
        <v>50000260</v>
      </c>
      <c r="H32" t="s">
        <v>94</v>
      </c>
      <c r="I32" t="s">
        <v>530</v>
      </c>
      <c r="J32">
        <v>3</v>
      </c>
      <c r="K32" t="s">
        <v>37</v>
      </c>
      <c r="L32" t="s">
        <v>68</v>
      </c>
      <c r="M32" t="s">
        <v>58</v>
      </c>
      <c r="N32" t="s">
        <v>58</v>
      </c>
      <c r="O32">
        <v>3</v>
      </c>
      <c r="Q32" t="s">
        <v>4150</v>
      </c>
      <c r="R32" s="72">
        <v>45707</v>
      </c>
      <c r="V32" t="s">
        <v>41</v>
      </c>
      <c r="W32">
        <v>177.88</v>
      </c>
      <c r="X32">
        <v>533.64</v>
      </c>
    </row>
    <row r="33" spans="1:24">
      <c r="A33" t="s">
        <v>524</v>
      </c>
      <c r="B33" s="72">
        <v>45709</v>
      </c>
      <c r="C33" s="72">
        <v>45708</v>
      </c>
      <c r="D33" t="s">
        <v>525</v>
      </c>
      <c r="E33" t="s">
        <v>85</v>
      </c>
      <c r="F33" t="s">
        <v>2496</v>
      </c>
      <c r="G33">
        <v>50000260</v>
      </c>
      <c r="H33" t="s">
        <v>529</v>
      </c>
      <c r="I33" t="s">
        <v>187</v>
      </c>
      <c r="J33">
        <v>1</v>
      </c>
      <c r="K33" t="s">
        <v>37</v>
      </c>
      <c r="L33" t="s">
        <v>68</v>
      </c>
      <c r="M33" t="s">
        <v>58</v>
      </c>
      <c r="N33" t="s">
        <v>58</v>
      </c>
      <c r="O33">
        <v>1</v>
      </c>
      <c r="Q33" t="s">
        <v>37</v>
      </c>
      <c r="R33" s="72">
        <v>45707</v>
      </c>
      <c r="V33" t="s">
        <v>41</v>
      </c>
      <c r="W33">
        <v>11.43</v>
      </c>
      <c r="X33">
        <v>11.43</v>
      </c>
    </row>
    <row r="34" spans="1:24">
      <c r="A34" t="s">
        <v>524</v>
      </c>
      <c r="B34" s="72">
        <v>45709</v>
      </c>
      <c r="C34" s="72">
        <v>45708</v>
      </c>
      <c r="D34" t="s">
        <v>525</v>
      </c>
      <c r="E34" t="s">
        <v>85</v>
      </c>
      <c r="F34" t="s">
        <v>2496</v>
      </c>
      <c r="G34">
        <v>50000260</v>
      </c>
      <c r="H34" t="s">
        <v>527</v>
      </c>
      <c r="I34" t="s">
        <v>528</v>
      </c>
      <c r="J34">
        <v>1</v>
      </c>
      <c r="K34" t="s">
        <v>37</v>
      </c>
      <c r="L34" t="s">
        <v>68</v>
      </c>
      <c r="M34" t="s">
        <v>58</v>
      </c>
      <c r="N34" t="s">
        <v>58</v>
      </c>
      <c r="O34">
        <v>1</v>
      </c>
      <c r="Q34" t="s">
        <v>4150</v>
      </c>
      <c r="R34" s="72">
        <v>45707</v>
      </c>
      <c r="V34" t="s">
        <v>41</v>
      </c>
      <c r="W34">
        <v>273.58</v>
      </c>
      <c r="X34">
        <v>273.58</v>
      </c>
    </row>
    <row r="35" spans="1:24">
      <c r="A35" t="s">
        <v>524</v>
      </c>
      <c r="B35" s="72">
        <v>45709</v>
      </c>
      <c r="C35" s="72">
        <v>45708</v>
      </c>
      <c r="D35" t="s">
        <v>525</v>
      </c>
      <c r="E35" t="s">
        <v>85</v>
      </c>
      <c r="F35" t="s">
        <v>2496</v>
      </c>
      <c r="G35">
        <v>50000260</v>
      </c>
      <c r="H35" t="s">
        <v>245</v>
      </c>
      <c r="I35" t="s">
        <v>526</v>
      </c>
      <c r="J35">
        <v>3</v>
      </c>
      <c r="K35" t="s">
        <v>67</v>
      </c>
      <c r="L35" t="s">
        <v>68</v>
      </c>
      <c r="M35" t="s">
        <v>88</v>
      </c>
      <c r="N35" t="s">
        <v>89</v>
      </c>
      <c r="O35">
        <v>0</v>
      </c>
      <c r="P35" t="s">
        <v>247</v>
      </c>
      <c r="Q35" t="s">
        <v>37</v>
      </c>
      <c r="V35" t="s">
        <v>41</v>
      </c>
      <c r="W35">
        <v>80.180000000000007</v>
      </c>
      <c r="X35">
        <v>240.54000000000002</v>
      </c>
    </row>
    <row r="36" spans="1:24">
      <c r="A36" t="s">
        <v>519</v>
      </c>
      <c r="B36" s="72">
        <v>45709</v>
      </c>
      <c r="C36" s="72">
        <v>45708</v>
      </c>
      <c r="D36" t="s">
        <v>520</v>
      </c>
      <c r="E36" t="s">
        <v>202</v>
      </c>
      <c r="F36" t="s">
        <v>203</v>
      </c>
      <c r="G36">
        <v>60002072</v>
      </c>
      <c r="H36" t="s">
        <v>521</v>
      </c>
      <c r="I36" t="s">
        <v>522</v>
      </c>
      <c r="J36">
        <v>1</v>
      </c>
      <c r="K36" t="s">
        <v>67</v>
      </c>
      <c r="L36" t="s">
        <v>346</v>
      </c>
      <c r="M36" t="s">
        <v>88</v>
      </c>
      <c r="N36" t="s">
        <v>89</v>
      </c>
      <c r="O36">
        <v>0</v>
      </c>
      <c r="Q36" t="s">
        <v>4144</v>
      </c>
      <c r="W36">
        <v>2531.29</v>
      </c>
      <c r="X36">
        <v>2531.29</v>
      </c>
    </row>
    <row r="37" spans="1:24">
      <c r="A37" t="s">
        <v>513</v>
      </c>
      <c r="B37" s="72">
        <v>45708</v>
      </c>
      <c r="C37" s="72">
        <v>45708</v>
      </c>
      <c r="D37" t="s">
        <v>514</v>
      </c>
      <c r="E37" t="s">
        <v>515</v>
      </c>
      <c r="F37" t="s">
        <v>516</v>
      </c>
      <c r="G37">
        <v>61000037</v>
      </c>
      <c r="H37" t="s">
        <v>517</v>
      </c>
      <c r="I37" t="s">
        <v>518</v>
      </c>
      <c r="J37">
        <v>1</v>
      </c>
      <c r="K37" t="s">
        <v>67</v>
      </c>
      <c r="L37" t="s">
        <v>48</v>
      </c>
      <c r="M37" t="s">
        <v>88</v>
      </c>
      <c r="N37" t="s">
        <v>89</v>
      </c>
      <c r="O37">
        <v>0</v>
      </c>
      <c r="Q37" t="s">
        <v>4151</v>
      </c>
      <c r="W37">
        <v>60590.21</v>
      </c>
      <c r="X37">
        <v>60590.21</v>
      </c>
    </row>
    <row r="38" spans="1:24">
      <c r="A38" t="s">
        <v>509</v>
      </c>
      <c r="B38" s="72">
        <v>45708</v>
      </c>
      <c r="C38" s="72">
        <v>45707</v>
      </c>
      <c r="D38" t="s">
        <v>510</v>
      </c>
      <c r="E38" t="s">
        <v>93</v>
      </c>
      <c r="F38" t="s">
        <v>2496</v>
      </c>
      <c r="G38">
        <v>50000202</v>
      </c>
      <c r="H38" t="s">
        <v>511</v>
      </c>
      <c r="I38" t="s">
        <v>512</v>
      </c>
      <c r="J38">
        <v>1</v>
      </c>
      <c r="K38" t="s">
        <v>37</v>
      </c>
      <c r="L38" t="s">
        <v>48</v>
      </c>
      <c r="M38" t="s">
        <v>58</v>
      </c>
      <c r="N38" t="s">
        <v>58</v>
      </c>
      <c r="O38">
        <v>1</v>
      </c>
      <c r="Q38" t="s">
        <v>3970</v>
      </c>
      <c r="R38" s="72">
        <v>45699</v>
      </c>
      <c r="V38" t="s">
        <v>473</v>
      </c>
      <c r="W38">
        <v>1721.28</v>
      </c>
      <c r="X38">
        <v>1721.28</v>
      </c>
    </row>
    <row r="39" spans="1:24">
      <c r="A39" t="s">
        <v>502</v>
      </c>
      <c r="B39" s="72">
        <v>45708</v>
      </c>
      <c r="C39" s="72">
        <v>45707</v>
      </c>
      <c r="D39" t="s">
        <v>503</v>
      </c>
      <c r="E39" t="s">
        <v>33</v>
      </c>
      <c r="F39" t="s">
        <v>2491</v>
      </c>
      <c r="G39">
        <v>50110193</v>
      </c>
      <c r="H39" t="s">
        <v>507</v>
      </c>
      <c r="I39" t="s">
        <v>508</v>
      </c>
      <c r="J39">
        <v>1</v>
      </c>
      <c r="K39" t="s">
        <v>37</v>
      </c>
      <c r="L39" t="s">
        <v>48</v>
      </c>
      <c r="M39" t="s">
        <v>58</v>
      </c>
      <c r="N39" t="s">
        <v>58</v>
      </c>
      <c r="O39">
        <v>1</v>
      </c>
      <c r="Q39" t="s">
        <v>37</v>
      </c>
      <c r="R39" s="72">
        <v>45708</v>
      </c>
      <c r="V39" t="s">
        <v>41</v>
      </c>
      <c r="W39">
        <v>85.17</v>
      </c>
      <c r="X39">
        <v>85.17</v>
      </c>
    </row>
    <row r="40" spans="1:24">
      <c r="A40" t="s">
        <v>502</v>
      </c>
      <c r="B40" s="72">
        <v>45708</v>
      </c>
      <c r="C40" s="72">
        <v>45707</v>
      </c>
      <c r="D40" t="s">
        <v>503</v>
      </c>
      <c r="E40" t="s">
        <v>33</v>
      </c>
      <c r="F40" t="s">
        <v>2491</v>
      </c>
      <c r="G40">
        <v>50110193</v>
      </c>
      <c r="H40" t="s">
        <v>504</v>
      </c>
      <c r="I40" t="s">
        <v>505</v>
      </c>
      <c r="J40">
        <v>1</v>
      </c>
      <c r="K40" t="s">
        <v>37</v>
      </c>
      <c r="L40" t="s">
        <v>48</v>
      </c>
      <c r="M40" t="s">
        <v>88</v>
      </c>
      <c r="N40" t="s">
        <v>89</v>
      </c>
      <c r="O40">
        <v>0</v>
      </c>
      <c r="Q40" t="s">
        <v>37</v>
      </c>
      <c r="V40" t="s">
        <v>41</v>
      </c>
      <c r="W40">
        <v>511.16</v>
      </c>
      <c r="X40">
        <v>511.16</v>
      </c>
    </row>
    <row r="41" spans="1:24">
      <c r="A41" t="s">
        <v>498</v>
      </c>
      <c r="B41" s="72">
        <v>45708</v>
      </c>
      <c r="C41" s="72">
        <v>45707</v>
      </c>
      <c r="D41" t="s">
        <v>499</v>
      </c>
      <c r="E41" t="s">
        <v>33</v>
      </c>
      <c r="F41" t="s">
        <v>2491</v>
      </c>
      <c r="G41">
        <v>50110193</v>
      </c>
      <c r="H41" t="s">
        <v>500</v>
      </c>
      <c r="I41" t="s">
        <v>501</v>
      </c>
      <c r="J41">
        <v>1</v>
      </c>
      <c r="K41" t="s">
        <v>37</v>
      </c>
      <c r="L41" t="s">
        <v>48</v>
      </c>
      <c r="M41" t="s">
        <v>39</v>
      </c>
      <c r="N41" t="s">
        <v>58</v>
      </c>
      <c r="O41">
        <v>1</v>
      </c>
      <c r="Q41" t="s">
        <v>37</v>
      </c>
      <c r="R41" s="72">
        <v>45708</v>
      </c>
      <c r="V41" t="s">
        <v>41</v>
      </c>
      <c r="W41">
        <v>10.19</v>
      </c>
      <c r="X41">
        <v>10.19</v>
      </c>
    </row>
    <row r="42" spans="1:24">
      <c r="A42" t="s">
        <v>493</v>
      </c>
      <c r="B42" s="72">
        <v>45708</v>
      </c>
      <c r="C42" s="72">
        <v>45707</v>
      </c>
      <c r="D42" t="s">
        <v>494</v>
      </c>
      <c r="E42" t="s">
        <v>103</v>
      </c>
      <c r="F42" t="s">
        <v>2527</v>
      </c>
      <c r="G42">
        <v>51000323</v>
      </c>
      <c r="H42" t="s">
        <v>130</v>
      </c>
      <c r="I42" t="s">
        <v>4021</v>
      </c>
      <c r="J42">
        <v>2</v>
      </c>
      <c r="K42" t="s">
        <v>37</v>
      </c>
      <c r="L42" t="s">
        <v>48</v>
      </c>
      <c r="M42" t="s">
        <v>39</v>
      </c>
      <c r="N42" t="s">
        <v>58</v>
      </c>
      <c r="O42">
        <v>2</v>
      </c>
      <c r="Q42" t="s">
        <v>37</v>
      </c>
      <c r="R42" s="72">
        <v>45707</v>
      </c>
      <c r="V42" t="s">
        <v>41</v>
      </c>
      <c r="W42">
        <v>17.28</v>
      </c>
      <c r="X42">
        <v>34.56</v>
      </c>
    </row>
    <row r="43" spans="1:24">
      <c r="A43" t="s">
        <v>493</v>
      </c>
      <c r="B43" s="72">
        <v>45708</v>
      </c>
      <c r="C43" s="72">
        <v>45707</v>
      </c>
      <c r="D43" t="s">
        <v>494</v>
      </c>
      <c r="E43" t="s">
        <v>103</v>
      </c>
      <c r="F43" t="s">
        <v>2527</v>
      </c>
      <c r="G43">
        <v>51000323</v>
      </c>
      <c r="H43" t="s">
        <v>495</v>
      </c>
      <c r="I43" t="s">
        <v>496</v>
      </c>
      <c r="J43">
        <v>1</v>
      </c>
      <c r="K43" t="s">
        <v>37</v>
      </c>
      <c r="L43" t="s">
        <v>48</v>
      </c>
      <c r="M43" t="s">
        <v>88</v>
      </c>
      <c r="N43" t="s">
        <v>89</v>
      </c>
      <c r="O43">
        <v>0</v>
      </c>
      <c r="Q43" t="s">
        <v>37</v>
      </c>
      <c r="V43" t="s">
        <v>41</v>
      </c>
      <c r="W43">
        <v>7.35</v>
      </c>
      <c r="X43">
        <v>7.35</v>
      </c>
    </row>
    <row r="44" spans="1:24">
      <c r="A44" t="s">
        <v>438</v>
      </c>
      <c r="B44" s="72">
        <v>45708</v>
      </c>
      <c r="C44" s="72">
        <v>45708</v>
      </c>
      <c r="D44" t="s">
        <v>439</v>
      </c>
      <c r="E44" t="s">
        <v>225</v>
      </c>
      <c r="F44" t="s">
        <v>226</v>
      </c>
      <c r="G44">
        <v>43000422</v>
      </c>
      <c r="H44" t="s">
        <v>440</v>
      </c>
      <c r="I44" t="s">
        <v>441</v>
      </c>
      <c r="J44">
        <v>1</v>
      </c>
      <c r="K44" t="s">
        <v>37</v>
      </c>
      <c r="L44" t="s">
        <v>48</v>
      </c>
      <c r="M44" t="s">
        <v>58</v>
      </c>
      <c r="N44" t="s">
        <v>58</v>
      </c>
      <c r="O44">
        <v>1</v>
      </c>
      <c r="P44" t="s">
        <v>335</v>
      </c>
      <c r="Q44" t="s">
        <v>37</v>
      </c>
      <c r="R44" s="72">
        <v>45693</v>
      </c>
      <c r="V44" t="s">
        <v>442</v>
      </c>
      <c r="W44">
        <v>79.989999999999995</v>
      </c>
      <c r="X44">
        <v>79.989999999999995</v>
      </c>
    </row>
    <row r="45" spans="1:24">
      <c r="A45" t="s">
        <v>491</v>
      </c>
      <c r="B45" s="72">
        <v>45707</v>
      </c>
      <c r="E45" t="s">
        <v>33</v>
      </c>
      <c r="F45" t="s">
        <v>2491</v>
      </c>
      <c r="G45">
        <v>50110193</v>
      </c>
      <c r="H45" t="s">
        <v>4152</v>
      </c>
      <c r="I45" t="s">
        <v>4153</v>
      </c>
      <c r="J45">
        <v>1</v>
      </c>
      <c r="M45" t="s">
        <v>384</v>
      </c>
      <c r="N45" t="s">
        <v>384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486</v>
      </c>
      <c r="B46" s="72">
        <v>45707</v>
      </c>
      <c r="C46" s="72">
        <v>45707</v>
      </c>
      <c r="D46" t="s">
        <v>487</v>
      </c>
      <c r="E46" t="s">
        <v>63</v>
      </c>
      <c r="F46" t="s">
        <v>64</v>
      </c>
      <c r="G46">
        <v>48000432</v>
      </c>
      <c r="H46" t="s">
        <v>488</v>
      </c>
      <c r="I46" t="s">
        <v>489</v>
      </c>
      <c r="J46">
        <v>1</v>
      </c>
      <c r="K46" t="s">
        <v>37</v>
      </c>
      <c r="L46" t="s">
        <v>48</v>
      </c>
      <c r="M46" t="s">
        <v>58</v>
      </c>
      <c r="N46" t="s">
        <v>58</v>
      </c>
      <c r="O46">
        <v>1</v>
      </c>
      <c r="Q46" t="s">
        <v>3970</v>
      </c>
      <c r="R46" s="72">
        <v>45700</v>
      </c>
      <c r="V46" t="s">
        <v>490</v>
      </c>
      <c r="W46">
        <v>453.02</v>
      </c>
      <c r="X46">
        <v>453.02</v>
      </c>
    </row>
    <row r="47" spans="1:24">
      <c r="A47" t="s">
        <v>482</v>
      </c>
      <c r="B47" s="72">
        <v>45707</v>
      </c>
      <c r="C47" s="72">
        <v>45707</v>
      </c>
      <c r="D47" t="s">
        <v>483</v>
      </c>
      <c r="E47" t="s">
        <v>33</v>
      </c>
      <c r="F47" t="s">
        <v>2491</v>
      </c>
      <c r="G47">
        <v>50110193</v>
      </c>
      <c r="H47" t="s">
        <v>484</v>
      </c>
      <c r="I47" t="s">
        <v>485</v>
      </c>
      <c r="J47">
        <v>1</v>
      </c>
      <c r="K47" t="s">
        <v>37</v>
      </c>
      <c r="L47" t="s">
        <v>48</v>
      </c>
      <c r="M47" t="s">
        <v>58</v>
      </c>
      <c r="N47" t="s">
        <v>58</v>
      </c>
      <c r="O47">
        <v>1</v>
      </c>
      <c r="Q47" t="s">
        <v>37</v>
      </c>
      <c r="R47" s="72">
        <v>45701</v>
      </c>
      <c r="V47" t="s">
        <v>41</v>
      </c>
      <c r="W47">
        <v>125.99</v>
      </c>
      <c r="X47">
        <v>125.99</v>
      </c>
    </row>
    <row r="48" spans="1:24">
      <c r="A48" t="s">
        <v>477</v>
      </c>
      <c r="B48" s="72">
        <v>45707</v>
      </c>
      <c r="C48" s="72">
        <v>45339</v>
      </c>
      <c r="D48" t="s">
        <v>478</v>
      </c>
      <c r="E48" t="s">
        <v>3997</v>
      </c>
      <c r="F48" t="s">
        <v>2491</v>
      </c>
      <c r="G48" t="s">
        <v>182</v>
      </c>
      <c r="H48" t="s">
        <v>479</v>
      </c>
      <c r="I48" t="s">
        <v>480</v>
      </c>
      <c r="J48">
        <v>1</v>
      </c>
      <c r="K48" t="s">
        <v>37</v>
      </c>
      <c r="L48" t="s">
        <v>38</v>
      </c>
      <c r="M48" t="s">
        <v>58</v>
      </c>
      <c r="N48" t="s">
        <v>58</v>
      </c>
      <c r="O48">
        <v>1</v>
      </c>
      <c r="P48" t="s">
        <v>481</v>
      </c>
      <c r="Q48" t="s">
        <v>3970</v>
      </c>
      <c r="R48" s="72">
        <v>45692</v>
      </c>
      <c r="V48" t="s">
        <v>41</v>
      </c>
      <c r="W48">
        <v>6075.1</v>
      </c>
      <c r="X48">
        <v>6075.1</v>
      </c>
    </row>
    <row r="49" spans="1:24">
      <c r="A49" t="s">
        <v>474</v>
      </c>
      <c r="B49" s="72">
        <v>45707</v>
      </c>
      <c r="C49" s="72">
        <v>45705</v>
      </c>
      <c r="D49" t="s">
        <v>475</v>
      </c>
      <c r="E49" t="s">
        <v>4016</v>
      </c>
      <c r="F49" t="s">
        <v>173</v>
      </c>
      <c r="G49">
        <v>48300375</v>
      </c>
      <c r="H49" t="s">
        <v>280</v>
      </c>
      <c r="I49" t="s">
        <v>318</v>
      </c>
      <c r="J49">
        <v>1</v>
      </c>
      <c r="K49" t="s">
        <v>37</v>
      </c>
      <c r="L49" t="s">
        <v>217</v>
      </c>
      <c r="M49" t="s">
        <v>58</v>
      </c>
      <c r="N49" t="s">
        <v>58</v>
      </c>
      <c r="O49">
        <v>1</v>
      </c>
      <c r="Q49" t="s">
        <v>3970</v>
      </c>
      <c r="R49" s="72">
        <v>45636</v>
      </c>
      <c r="V49" t="s">
        <v>476</v>
      </c>
      <c r="W49">
        <v>431.82</v>
      </c>
      <c r="X49">
        <v>431.82</v>
      </c>
    </row>
    <row r="50" spans="1:24">
      <c r="A50" t="s">
        <v>468</v>
      </c>
      <c r="B50" s="72">
        <v>45707</v>
      </c>
      <c r="C50" s="72">
        <v>45705</v>
      </c>
      <c r="D50" t="s">
        <v>469</v>
      </c>
      <c r="E50" t="s">
        <v>93</v>
      </c>
      <c r="F50" t="s">
        <v>2496</v>
      </c>
      <c r="G50">
        <v>50000202</v>
      </c>
      <c r="H50" t="s">
        <v>470</v>
      </c>
      <c r="I50" t="s">
        <v>4020</v>
      </c>
      <c r="J50">
        <v>1</v>
      </c>
      <c r="K50" t="s">
        <v>37</v>
      </c>
      <c r="L50" t="s">
        <v>96</v>
      </c>
      <c r="M50" t="s">
        <v>58</v>
      </c>
      <c r="N50" t="s">
        <v>58</v>
      </c>
      <c r="O50">
        <v>1</v>
      </c>
      <c r="P50" t="s">
        <v>472</v>
      </c>
      <c r="Q50" t="s">
        <v>3970</v>
      </c>
      <c r="R50" s="72">
        <v>45705</v>
      </c>
      <c r="V50" t="s">
        <v>473</v>
      </c>
      <c r="W50">
        <v>826.34</v>
      </c>
      <c r="X50">
        <v>826.34</v>
      </c>
    </row>
    <row r="51" spans="1:24">
      <c r="A51" t="s">
        <v>461</v>
      </c>
      <c r="B51" s="72">
        <v>45707</v>
      </c>
      <c r="C51" s="72">
        <v>45705</v>
      </c>
      <c r="D51" t="s">
        <v>462</v>
      </c>
      <c r="E51" t="s">
        <v>202</v>
      </c>
      <c r="F51" t="s">
        <v>203</v>
      </c>
      <c r="G51">
        <v>60002072</v>
      </c>
      <c r="H51" t="s">
        <v>464</v>
      </c>
      <c r="I51" t="s">
        <v>465</v>
      </c>
      <c r="J51">
        <v>1</v>
      </c>
      <c r="K51" t="s">
        <v>37</v>
      </c>
      <c r="L51" t="s">
        <v>346</v>
      </c>
      <c r="M51" t="s">
        <v>58</v>
      </c>
      <c r="N51" t="s">
        <v>58</v>
      </c>
      <c r="O51">
        <v>1</v>
      </c>
      <c r="Q51" t="s">
        <v>4139</v>
      </c>
      <c r="R51" s="72">
        <v>45693</v>
      </c>
      <c r="W51">
        <v>359.28</v>
      </c>
      <c r="X51">
        <v>359.28</v>
      </c>
    </row>
    <row r="52" spans="1:24">
      <c r="A52" t="s">
        <v>461</v>
      </c>
      <c r="B52" s="72">
        <v>45707</v>
      </c>
      <c r="C52" s="72">
        <v>45705</v>
      </c>
      <c r="D52" t="s">
        <v>462</v>
      </c>
      <c r="E52" t="s">
        <v>202</v>
      </c>
      <c r="F52" t="s">
        <v>203</v>
      </c>
      <c r="G52">
        <v>60002072</v>
      </c>
      <c r="H52" t="s">
        <v>114</v>
      </c>
      <c r="I52" t="s">
        <v>463</v>
      </c>
      <c r="J52">
        <v>1</v>
      </c>
      <c r="K52" t="s">
        <v>37</v>
      </c>
      <c r="L52" t="s">
        <v>346</v>
      </c>
      <c r="M52" t="s">
        <v>58</v>
      </c>
      <c r="N52" t="s">
        <v>58</v>
      </c>
      <c r="O52">
        <v>1</v>
      </c>
      <c r="Q52" t="s">
        <v>37</v>
      </c>
      <c r="R52" s="72">
        <v>45693</v>
      </c>
      <c r="W52">
        <v>77.98</v>
      </c>
      <c r="X52">
        <v>77.98</v>
      </c>
    </row>
    <row r="53" spans="1:24">
      <c r="A53" t="s">
        <v>466</v>
      </c>
      <c r="B53" s="72">
        <v>45706</v>
      </c>
      <c r="E53" t="s">
        <v>192</v>
      </c>
      <c r="F53" t="s">
        <v>4147</v>
      </c>
      <c r="G53">
        <v>51000129</v>
      </c>
      <c r="H53" t="s">
        <v>4154</v>
      </c>
      <c r="I53" t="s">
        <v>4155</v>
      </c>
      <c r="J53">
        <v>1</v>
      </c>
      <c r="M53" t="s">
        <v>384</v>
      </c>
      <c r="N53" t="s">
        <v>384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453</v>
      </c>
      <c r="B54" s="72">
        <v>45706</v>
      </c>
      <c r="C54" s="72">
        <v>45698</v>
      </c>
      <c r="D54" t="s">
        <v>454</v>
      </c>
      <c r="E54" t="s">
        <v>455</v>
      </c>
      <c r="F54" t="s">
        <v>456</v>
      </c>
      <c r="G54">
        <v>47200115</v>
      </c>
      <c r="H54" t="s">
        <v>457</v>
      </c>
      <c r="I54" t="s">
        <v>4019</v>
      </c>
      <c r="J54">
        <v>1</v>
      </c>
      <c r="K54" t="s">
        <v>37</v>
      </c>
      <c r="L54" t="s">
        <v>459</v>
      </c>
      <c r="M54" t="s">
        <v>58</v>
      </c>
      <c r="N54" t="s">
        <v>58</v>
      </c>
      <c r="O54">
        <v>1</v>
      </c>
      <c r="Q54" t="s">
        <v>4139</v>
      </c>
      <c r="R54" s="72">
        <v>45642</v>
      </c>
      <c r="V54" t="s">
        <v>460</v>
      </c>
      <c r="W54">
        <v>1317.91</v>
      </c>
      <c r="X54">
        <v>1317.91</v>
      </c>
    </row>
    <row r="55" spans="1:24">
      <c r="A55" t="s">
        <v>449</v>
      </c>
      <c r="B55" s="72">
        <v>45701</v>
      </c>
      <c r="C55" s="72">
        <v>45700</v>
      </c>
      <c r="D55" t="s">
        <v>450</v>
      </c>
      <c r="E55" t="s">
        <v>73</v>
      </c>
      <c r="F55" t="s">
        <v>203</v>
      </c>
      <c r="G55">
        <v>60002095</v>
      </c>
      <c r="H55" t="s">
        <v>451</v>
      </c>
      <c r="I55" t="s">
        <v>452</v>
      </c>
      <c r="J55">
        <v>1</v>
      </c>
      <c r="K55" t="s">
        <v>37</v>
      </c>
      <c r="L55" t="s">
        <v>96</v>
      </c>
      <c r="M55" t="s">
        <v>58</v>
      </c>
      <c r="N55" t="s">
        <v>58</v>
      </c>
      <c r="O55">
        <v>1</v>
      </c>
      <c r="Q55" t="s">
        <v>3970</v>
      </c>
      <c r="R55" s="72">
        <v>45701</v>
      </c>
      <c r="V55" t="s">
        <v>41</v>
      </c>
      <c r="W55">
        <v>1172.56</v>
      </c>
      <c r="X55">
        <v>1172.56</v>
      </c>
    </row>
    <row r="56" spans="1:24">
      <c r="A56" t="s">
        <v>443</v>
      </c>
      <c r="B56" s="72">
        <v>45699</v>
      </c>
      <c r="C56" s="72">
        <v>45691</v>
      </c>
      <c r="D56" t="s">
        <v>444</v>
      </c>
      <c r="E56" t="s">
        <v>445</v>
      </c>
      <c r="F56" t="s">
        <v>403</v>
      </c>
      <c r="G56">
        <v>50300097</v>
      </c>
      <c r="H56" t="s">
        <v>446</v>
      </c>
      <c r="I56" t="s">
        <v>4018</v>
      </c>
      <c r="J56">
        <v>1</v>
      </c>
      <c r="K56" t="s">
        <v>37</v>
      </c>
      <c r="L56" t="s">
        <v>294</v>
      </c>
      <c r="M56" t="s">
        <v>88</v>
      </c>
      <c r="N56" t="s">
        <v>58</v>
      </c>
      <c r="O56">
        <v>1</v>
      </c>
      <c r="Q56" t="s">
        <v>37</v>
      </c>
      <c r="R56" s="72">
        <v>45691</v>
      </c>
      <c r="V56" t="s">
        <v>448</v>
      </c>
      <c r="W56">
        <v>83.29</v>
      </c>
      <c r="X56">
        <v>83.29</v>
      </c>
    </row>
    <row r="57" spans="1:24">
      <c r="A57" t="s">
        <v>434</v>
      </c>
      <c r="B57" s="72">
        <v>45698</v>
      </c>
      <c r="C57" s="72">
        <v>45698</v>
      </c>
      <c r="D57" t="s">
        <v>435</v>
      </c>
      <c r="E57" t="s">
        <v>109</v>
      </c>
      <c r="F57" t="s">
        <v>2491</v>
      </c>
      <c r="G57">
        <v>50110229</v>
      </c>
      <c r="H57" t="s">
        <v>436</v>
      </c>
      <c r="I57" t="s">
        <v>437</v>
      </c>
      <c r="J57">
        <v>1</v>
      </c>
      <c r="K57" t="s">
        <v>67</v>
      </c>
      <c r="L57" t="s">
        <v>48</v>
      </c>
      <c r="M57" t="s">
        <v>88</v>
      </c>
      <c r="N57" t="s">
        <v>89</v>
      </c>
      <c r="O57">
        <v>0</v>
      </c>
      <c r="Q57" t="s">
        <v>37</v>
      </c>
      <c r="V57" t="s">
        <v>41</v>
      </c>
      <c r="W57">
        <v>248.73</v>
      </c>
      <c r="X57">
        <v>248.73</v>
      </c>
    </row>
    <row r="58" spans="1:24">
      <c r="A58" t="s">
        <v>431</v>
      </c>
      <c r="B58" s="72">
        <v>45698</v>
      </c>
      <c r="C58" s="72">
        <v>45698</v>
      </c>
      <c r="D58" t="s">
        <v>432</v>
      </c>
      <c r="E58" t="s">
        <v>73</v>
      </c>
      <c r="F58" t="s">
        <v>2491</v>
      </c>
      <c r="G58">
        <v>50110372</v>
      </c>
      <c r="H58" t="s">
        <v>80</v>
      </c>
      <c r="I58" t="s">
        <v>433</v>
      </c>
      <c r="J58">
        <v>1</v>
      </c>
      <c r="K58" t="s">
        <v>37</v>
      </c>
      <c r="L58" t="s">
        <v>48</v>
      </c>
      <c r="M58" t="s">
        <v>58</v>
      </c>
      <c r="N58" t="s">
        <v>58</v>
      </c>
      <c r="O58">
        <v>1</v>
      </c>
      <c r="Q58" t="s">
        <v>37</v>
      </c>
      <c r="R58" s="72">
        <v>45695</v>
      </c>
      <c r="V58" t="s">
        <v>41</v>
      </c>
      <c r="W58">
        <v>49.81</v>
      </c>
      <c r="X58">
        <v>49.81</v>
      </c>
    </row>
    <row r="59" spans="1:24">
      <c r="A59" t="s">
        <v>426</v>
      </c>
      <c r="B59" s="72">
        <v>45698</v>
      </c>
      <c r="C59" s="72">
        <v>45698</v>
      </c>
      <c r="D59" t="s">
        <v>427</v>
      </c>
      <c r="E59" t="s">
        <v>4016</v>
      </c>
      <c r="F59" t="s">
        <v>173</v>
      </c>
      <c r="G59">
        <v>48300375</v>
      </c>
      <c r="H59" t="s">
        <v>429</v>
      </c>
      <c r="I59" t="s">
        <v>4017</v>
      </c>
      <c r="J59">
        <v>1</v>
      </c>
      <c r="K59" t="s">
        <v>37</v>
      </c>
      <c r="L59" t="s">
        <v>48</v>
      </c>
      <c r="M59" t="s">
        <v>88</v>
      </c>
      <c r="N59" t="s">
        <v>89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424</v>
      </c>
      <c r="B60" s="72">
        <v>45698</v>
      </c>
      <c r="C60" s="72">
        <v>45692</v>
      </c>
      <c r="D60" t="s">
        <v>425</v>
      </c>
      <c r="E60" t="s">
        <v>73</v>
      </c>
      <c r="F60" t="s">
        <v>2496</v>
      </c>
      <c r="G60">
        <v>50000343</v>
      </c>
      <c r="H60" t="s">
        <v>330</v>
      </c>
      <c r="I60" t="s">
        <v>331</v>
      </c>
      <c r="J60">
        <v>1</v>
      </c>
      <c r="K60" t="s">
        <v>37</v>
      </c>
      <c r="L60" t="s">
        <v>48</v>
      </c>
      <c r="M60" t="s">
        <v>39</v>
      </c>
      <c r="N60" t="s">
        <v>39</v>
      </c>
      <c r="O60">
        <v>1</v>
      </c>
      <c r="Q60" t="s">
        <v>37</v>
      </c>
      <c r="R60" s="72">
        <v>45698</v>
      </c>
      <c r="V60" t="s">
        <v>41</v>
      </c>
      <c r="W60">
        <v>35.19</v>
      </c>
      <c r="X60">
        <v>35.19</v>
      </c>
    </row>
    <row r="61" spans="1:24">
      <c r="A61" t="s">
        <v>415</v>
      </c>
      <c r="B61" s="72">
        <v>45695</v>
      </c>
      <c r="C61" s="72">
        <v>45694</v>
      </c>
      <c r="D61" t="s">
        <v>416</v>
      </c>
      <c r="E61" t="s">
        <v>417</v>
      </c>
      <c r="F61" t="s">
        <v>55</v>
      </c>
      <c r="G61">
        <v>44000321</v>
      </c>
      <c r="H61" t="s">
        <v>422</v>
      </c>
      <c r="I61" t="s">
        <v>423</v>
      </c>
      <c r="J61">
        <v>1</v>
      </c>
      <c r="K61" t="s">
        <v>37</v>
      </c>
      <c r="L61" t="s">
        <v>412</v>
      </c>
      <c r="M61" t="s">
        <v>58</v>
      </c>
      <c r="N61" t="s">
        <v>58</v>
      </c>
      <c r="O61">
        <v>1</v>
      </c>
      <c r="Q61" t="s">
        <v>37</v>
      </c>
      <c r="R61" s="72">
        <v>45672</v>
      </c>
      <c r="V61" t="s">
        <v>421</v>
      </c>
      <c r="W61">
        <v>769.19</v>
      </c>
      <c r="X61">
        <v>769.19</v>
      </c>
    </row>
    <row r="62" spans="1:24">
      <c r="A62" t="s">
        <v>295</v>
      </c>
      <c r="B62" s="72">
        <v>45691</v>
      </c>
      <c r="C62" s="72">
        <v>45688</v>
      </c>
      <c r="D62" t="s">
        <v>296</v>
      </c>
      <c r="E62" t="s">
        <v>181</v>
      </c>
      <c r="F62" t="s">
        <v>2491</v>
      </c>
      <c r="G62">
        <v>50110057</v>
      </c>
      <c r="H62" t="s">
        <v>297</v>
      </c>
      <c r="I62" t="s">
        <v>4008</v>
      </c>
      <c r="J62">
        <v>1</v>
      </c>
      <c r="K62" t="s">
        <v>37</v>
      </c>
      <c r="L62" t="s">
        <v>96</v>
      </c>
      <c r="M62" t="s">
        <v>39</v>
      </c>
      <c r="N62" t="s">
        <v>39</v>
      </c>
      <c r="O62">
        <v>1</v>
      </c>
      <c r="Q62" t="s">
        <v>4141</v>
      </c>
      <c r="V62" t="s">
        <v>41</v>
      </c>
      <c r="W62">
        <v>15.33</v>
      </c>
      <c r="X62">
        <v>15.33</v>
      </c>
    </row>
    <row r="63" spans="1:24">
      <c r="A63" t="s">
        <v>300</v>
      </c>
      <c r="B63" s="72">
        <v>45691</v>
      </c>
      <c r="C63" s="72">
        <v>45688</v>
      </c>
      <c r="D63" t="s">
        <v>301</v>
      </c>
      <c r="E63" t="s">
        <v>225</v>
      </c>
      <c r="F63" t="s">
        <v>226</v>
      </c>
      <c r="G63">
        <v>43000422</v>
      </c>
      <c r="H63" t="s">
        <v>302</v>
      </c>
      <c r="I63" t="s">
        <v>4009</v>
      </c>
      <c r="J63">
        <v>1</v>
      </c>
      <c r="K63" t="s">
        <v>37</v>
      </c>
      <c r="L63" t="s">
        <v>48</v>
      </c>
      <c r="M63" t="s">
        <v>58</v>
      </c>
      <c r="N63" t="s">
        <v>58</v>
      </c>
      <c r="O63">
        <v>1</v>
      </c>
      <c r="P63" t="s">
        <v>304</v>
      </c>
      <c r="Q63" t="s">
        <v>4156</v>
      </c>
      <c r="R63" s="72">
        <v>45681</v>
      </c>
      <c r="V63" t="s">
        <v>305</v>
      </c>
      <c r="W63">
        <v>654.77</v>
      </c>
      <c r="X63">
        <v>654.77</v>
      </c>
    </row>
    <row r="64" spans="1:24">
      <c r="A64" t="s">
        <v>310</v>
      </c>
      <c r="B64" s="72">
        <v>45691</v>
      </c>
      <c r="C64" s="72">
        <v>45691</v>
      </c>
      <c r="D64" t="s">
        <v>311</v>
      </c>
      <c r="E64" t="s">
        <v>152</v>
      </c>
      <c r="F64" t="s">
        <v>64</v>
      </c>
      <c r="G64">
        <v>48000482</v>
      </c>
      <c r="H64" t="s">
        <v>312</v>
      </c>
      <c r="I64" t="s">
        <v>313</v>
      </c>
      <c r="J64">
        <v>1</v>
      </c>
      <c r="K64" t="s">
        <v>37</v>
      </c>
      <c r="L64" t="s">
        <v>48</v>
      </c>
      <c r="M64" t="s">
        <v>58</v>
      </c>
      <c r="N64" t="s">
        <v>58</v>
      </c>
      <c r="O64">
        <v>1</v>
      </c>
      <c r="P64" t="s">
        <v>314</v>
      </c>
      <c r="Q64" t="s">
        <v>37</v>
      </c>
      <c r="R64" s="72">
        <v>45691</v>
      </c>
      <c r="V64" t="s">
        <v>315</v>
      </c>
      <c r="W64">
        <v>159.5</v>
      </c>
      <c r="X64">
        <v>159.5</v>
      </c>
    </row>
    <row r="65" spans="1:24">
      <c r="A65" t="s">
        <v>316</v>
      </c>
      <c r="B65" s="72">
        <v>45691</v>
      </c>
      <c r="C65" s="72">
        <v>45691</v>
      </c>
      <c r="D65" t="s">
        <v>317</v>
      </c>
      <c r="E65" t="s">
        <v>152</v>
      </c>
      <c r="F65" t="s">
        <v>64</v>
      </c>
      <c r="G65">
        <v>48000482</v>
      </c>
      <c r="H65" t="s">
        <v>280</v>
      </c>
      <c r="I65" t="s">
        <v>4007</v>
      </c>
      <c r="J65">
        <v>1</v>
      </c>
      <c r="K65" t="s">
        <v>37</v>
      </c>
      <c r="L65" t="s">
        <v>48</v>
      </c>
      <c r="M65" t="s">
        <v>58</v>
      </c>
      <c r="N65" t="s">
        <v>58</v>
      </c>
      <c r="O65">
        <v>1</v>
      </c>
      <c r="Q65" t="s">
        <v>3970</v>
      </c>
      <c r="R65" s="72">
        <v>45672</v>
      </c>
      <c r="V65" t="s">
        <v>155</v>
      </c>
      <c r="W65">
        <v>431.82</v>
      </c>
      <c r="X65">
        <v>431.82</v>
      </c>
    </row>
    <row r="66" spans="1:24">
      <c r="A66" t="s">
        <v>319</v>
      </c>
      <c r="B66" s="72">
        <v>45691</v>
      </c>
      <c r="C66" s="72">
        <v>45691</v>
      </c>
      <c r="D66" t="s">
        <v>320</v>
      </c>
      <c r="E66" t="s">
        <v>79</v>
      </c>
      <c r="F66" t="s">
        <v>2496</v>
      </c>
      <c r="G66">
        <v>50000530</v>
      </c>
      <c r="H66" t="s">
        <v>321</v>
      </c>
      <c r="I66" t="s">
        <v>4010</v>
      </c>
      <c r="J66">
        <v>1</v>
      </c>
      <c r="K66" t="s">
        <v>67</v>
      </c>
      <c r="L66" t="s">
        <v>294</v>
      </c>
      <c r="M66" t="s">
        <v>58</v>
      </c>
      <c r="N66" t="s">
        <v>58</v>
      </c>
      <c r="O66">
        <v>1</v>
      </c>
      <c r="Q66" t="s">
        <v>4157</v>
      </c>
      <c r="R66" s="72">
        <v>45688</v>
      </c>
      <c r="V66" t="s">
        <v>323</v>
      </c>
      <c r="W66">
        <v>396.84</v>
      </c>
      <c r="X66">
        <v>396.84</v>
      </c>
    </row>
    <row r="67" spans="1:24">
      <c r="A67" t="s">
        <v>328</v>
      </c>
      <c r="B67" s="72">
        <v>45691</v>
      </c>
      <c r="C67" s="72">
        <v>45691</v>
      </c>
      <c r="D67" t="s">
        <v>329</v>
      </c>
      <c r="E67" t="s">
        <v>79</v>
      </c>
      <c r="F67" t="s">
        <v>2496</v>
      </c>
      <c r="G67">
        <v>50000530</v>
      </c>
      <c r="H67" t="s">
        <v>330</v>
      </c>
      <c r="I67" t="s">
        <v>331</v>
      </c>
      <c r="J67">
        <v>1</v>
      </c>
      <c r="K67" t="s">
        <v>37</v>
      </c>
      <c r="L67" t="s">
        <v>48</v>
      </c>
      <c r="M67" t="s">
        <v>58</v>
      </c>
      <c r="N67" t="s">
        <v>58</v>
      </c>
      <c r="O67">
        <v>1</v>
      </c>
      <c r="Q67" t="s">
        <v>37</v>
      </c>
      <c r="R67" s="72">
        <v>45688</v>
      </c>
      <c r="V67" t="s">
        <v>323</v>
      </c>
      <c r="W67">
        <v>35.19</v>
      </c>
      <c r="X67">
        <v>35.19</v>
      </c>
    </row>
    <row r="68" spans="1:24">
      <c r="A68" t="s">
        <v>332</v>
      </c>
      <c r="B68" s="72">
        <v>45691</v>
      </c>
      <c r="C68" s="72">
        <v>45691</v>
      </c>
      <c r="D68" t="s">
        <v>333</v>
      </c>
      <c r="E68" t="s">
        <v>334</v>
      </c>
      <c r="F68" t="s">
        <v>55</v>
      </c>
      <c r="G68">
        <v>44000010</v>
      </c>
      <c r="H68" t="s">
        <v>335</v>
      </c>
      <c r="I68" t="s">
        <v>4011</v>
      </c>
      <c r="J68">
        <v>1</v>
      </c>
      <c r="K68" t="s">
        <v>37</v>
      </c>
      <c r="L68" t="s">
        <v>48</v>
      </c>
      <c r="M68" t="s">
        <v>58</v>
      </c>
      <c r="N68" t="s">
        <v>58</v>
      </c>
      <c r="O68">
        <v>1</v>
      </c>
      <c r="Q68" t="s">
        <v>37</v>
      </c>
      <c r="R68" s="72">
        <v>45705</v>
      </c>
      <c r="V68" t="s">
        <v>337</v>
      </c>
      <c r="W68">
        <v>79.989999999999995</v>
      </c>
      <c r="X68">
        <v>79.989999999999995</v>
      </c>
    </row>
    <row r="69" spans="1:24">
      <c r="A69" t="s">
        <v>338</v>
      </c>
      <c r="B69" s="72">
        <v>45691</v>
      </c>
      <c r="C69" s="72">
        <v>45691</v>
      </c>
      <c r="D69" t="s">
        <v>339</v>
      </c>
      <c r="E69" t="s">
        <v>33</v>
      </c>
      <c r="F69" t="s">
        <v>2491</v>
      </c>
      <c r="G69">
        <v>50110193</v>
      </c>
      <c r="H69" t="s">
        <v>340</v>
      </c>
      <c r="I69" t="s">
        <v>341</v>
      </c>
      <c r="J69">
        <v>1</v>
      </c>
      <c r="K69" t="s">
        <v>37</v>
      </c>
      <c r="L69" t="s">
        <v>48</v>
      </c>
      <c r="M69" t="s">
        <v>39</v>
      </c>
      <c r="N69" t="s">
        <v>39</v>
      </c>
      <c r="O69">
        <v>1</v>
      </c>
      <c r="Q69" t="s">
        <v>37</v>
      </c>
      <c r="R69" s="72">
        <v>45693</v>
      </c>
      <c r="V69" t="s">
        <v>41</v>
      </c>
      <c r="W69">
        <v>37.229999999999997</v>
      </c>
      <c r="X69">
        <v>37.229999999999997</v>
      </c>
    </row>
    <row r="70" spans="1:24">
      <c r="A70" t="s">
        <v>324</v>
      </c>
      <c r="B70" s="72">
        <v>45692</v>
      </c>
      <c r="C70" s="72">
        <v>45691</v>
      </c>
      <c r="D70" t="s">
        <v>325</v>
      </c>
      <c r="E70" t="s">
        <v>63</v>
      </c>
      <c r="F70" t="s">
        <v>173</v>
      </c>
      <c r="G70">
        <v>48300301</v>
      </c>
      <c r="H70" t="s">
        <v>326</v>
      </c>
      <c r="I70" t="s">
        <v>4012</v>
      </c>
      <c r="J70">
        <v>1</v>
      </c>
      <c r="K70" t="s">
        <v>37</v>
      </c>
      <c r="L70" t="s">
        <v>48</v>
      </c>
      <c r="M70" t="s">
        <v>58</v>
      </c>
      <c r="N70" t="s">
        <v>58</v>
      </c>
      <c r="O70">
        <v>1</v>
      </c>
      <c r="Q70" t="s">
        <v>3970</v>
      </c>
      <c r="R70" s="72">
        <v>45679</v>
      </c>
      <c r="V70" t="s">
        <v>70</v>
      </c>
      <c r="W70">
        <v>882.69</v>
      </c>
      <c r="X70">
        <v>882.69</v>
      </c>
    </row>
    <row r="71" spans="1:24">
      <c r="A71" t="s">
        <v>348</v>
      </c>
      <c r="B71" s="72">
        <v>45692</v>
      </c>
      <c r="C71" s="72">
        <v>45691</v>
      </c>
      <c r="D71" t="s">
        <v>349</v>
      </c>
      <c r="E71" t="s">
        <v>202</v>
      </c>
      <c r="F71" t="s">
        <v>203</v>
      </c>
      <c r="G71">
        <v>60002072</v>
      </c>
      <c r="H71" t="s">
        <v>350</v>
      </c>
      <c r="I71" t="s">
        <v>351</v>
      </c>
      <c r="J71">
        <v>1</v>
      </c>
      <c r="K71" t="s">
        <v>37</v>
      </c>
      <c r="L71" t="s">
        <v>346</v>
      </c>
      <c r="M71" t="s">
        <v>58</v>
      </c>
      <c r="N71" t="s">
        <v>58</v>
      </c>
      <c r="O71">
        <v>1</v>
      </c>
      <c r="Q71" t="s">
        <v>3970</v>
      </c>
      <c r="R71" s="72">
        <v>45692</v>
      </c>
      <c r="W71">
        <v>886.36</v>
      </c>
      <c r="X71">
        <v>886.36</v>
      </c>
    </row>
    <row r="72" spans="1:24">
      <c r="A72" t="s">
        <v>352</v>
      </c>
      <c r="B72" s="72">
        <v>45692</v>
      </c>
      <c r="C72" s="72">
        <v>45688</v>
      </c>
      <c r="D72" t="s">
        <v>353</v>
      </c>
      <c r="E72" t="s">
        <v>73</v>
      </c>
      <c r="F72" t="s">
        <v>2496</v>
      </c>
      <c r="G72">
        <v>50000343</v>
      </c>
      <c r="H72" t="s">
        <v>354</v>
      </c>
      <c r="I72" t="s">
        <v>355</v>
      </c>
      <c r="J72">
        <v>1</v>
      </c>
      <c r="K72" t="s">
        <v>37</v>
      </c>
      <c r="L72" t="s">
        <v>48</v>
      </c>
      <c r="M72" t="s">
        <v>39</v>
      </c>
      <c r="N72" t="s">
        <v>39</v>
      </c>
      <c r="O72">
        <v>1</v>
      </c>
      <c r="Q72" t="s">
        <v>37</v>
      </c>
      <c r="R72" s="72">
        <v>45693</v>
      </c>
      <c r="V72" t="s">
        <v>41</v>
      </c>
      <c r="W72">
        <v>274.36</v>
      </c>
      <c r="X72">
        <v>274.36</v>
      </c>
    </row>
    <row r="73" spans="1:24">
      <c r="A73" t="s">
        <v>360</v>
      </c>
      <c r="B73" s="72">
        <v>45692</v>
      </c>
      <c r="C73" s="72">
        <v>45691</v>
      </c>
      <c r="D73" t="s">
        <v>361</v>
      </c>
      <c r="E73" t="s">
        <v>93</v>
      </c>
      <c r="F73" t="s">
        <v>2496</v>
      </c>
      <c r="G73">
        <v>50000202</v>
      </c>
      <c r="H73" t="s">
        <v>65</v>
      </c>
      <c r="I73" t="s">
        <v>362</v>
      </c>
      <c r="J73">
        <v>1</v>
      </c>
      <c r="K73" t="s">
        <v>37</v>
      </c>
      <c r="L73" t="s">
        <v>363</v>
      </c>
      <c r="M73" t="s">
        <v>58</v>
      </c>
      <c r="N73" t="s">
        <v>58</v>
      </c>
      <c r="O73">
        <v>1</v>
      </c>
      <c r="Q73" t="s">
        <v>3970</v>
      </c>
      <c r="R73" s="72">
        <v>45663</v>
      </c>
      <c r="V73" t="s">
        <v>97</v>
      </c>
      <c r="W73">
        <v>1427.32</v>
      </c>
      <c r="X73">
        <v>1427.32</v>
      </c>
    </row>
    <row r="74" spans="1:24">
      <c r="A74" t="s">
        <v>364</v>
      </c>
      <c r="B74" s="72">
        <v>45692</v>
      </c>
      <c r="C74" s="72">
        <v>45692</v>
      </c>
      <c r="D74" t="s">
        <v>365</v>
      </c>
      <c r="E74" t="s">
        <v>152</v>
      </c>
      <c r="F74" t="s">
        <v>64</v>
      </c>
      <c r="G74">
        <v>48000482</v>
      </c>
      <c r="H74" t="s">
        <v>335</v>
      </c>
      <c r="I74" t="s">
        <v>1136</v>
      </c>
      <c r="J74">
        <v>1</v>
      </c>
      <c r="K74" t="s">
        <v>37</v>
      </c>
      <c r="L74" t="s">
        <v>48</v>
      </c>
      <c r="M74" t="s">
        <v>88</v>
      </c>
      <c r="N74" t="s">
        <v>58</v>
      </c>
      <c r="O74">
        <v>1</v>
      </c>
      <c r="Q74" t="s">
        <v>37</v>
      </c>
      <c r="R74" s="72">
        <v>45705</v>
      </c>
      <c r="V74" t="s">
        <v>315</v>
      </c>
      <c r="W74">
        <v>79.989999999999995</v>
      </c>
      <c r="X74">
        <v>79.989999999999995</v>
      </c>
    </row>
    <row r="75" spans="1:24">
      <c r="A75" t="s">
        <v>367</v>
      </c>
      <c r="B75" s="72">
        <v>45692</v>
      </c>
      <c r="C75" s="72">
        <v>45692</v>
      </c>
      <c r="D75" t="s">
        <v>368</v>
      </c>
      <c r="E75" t="s">
        <v>63</v>
      </c>
      <c r="F75" t="s">
        <v>55</v>
      </c>
      <c r="G75">
        <v>44000059</v>
      </c>
      <c r="H75" t="s">
        <v>369</v>
      </c>
      <c r="I75" t="s">
        <v>370</v>
      </c>
      <c r="J75">
        <v>1</v>
      </c>
      <c r="K75" t="s">
        <v>37</v>
      </c>
      <c r="L75" t="s">
        <v>48</v>
      </c>
      <c r="M75" t="s">
        <v>58</v>
      </c>
      <c r="N75" t="s">
        <v>58</v>
      </c>
      <c r="O75">
        <v>1</v>
      </c>
      <c r="Q75" t="s">
        <v>3970</v>
      </c>
      <c r="R75" s="72">
        <v>45681</v>
      </c>
      <c r="V75" t="s">
        <v>70</v>
      </c>
      <c r="W75">
        <v>98.36</v>
      </c>
      <c r="X75">
        <v>98.36</v>
      </c>
    </row>
    <row r="76" spans="1:24">
      <c r="A76" t="s">
        <v>367</v>
      </c>
      <c r="B76" s="72">
        <v>45692</v>
      </c>
      <c r="C76" s="72">
        <v>45692</v>
      </c>
      <c r="D76" t="s">
        <v>368</v>
      </c>
      <c r="E76" t="s">
        <v>63</v>
      </c>
      <c r="F76" t="s">
        <v>55</v>
      </c>
      <c r="G76">
        <v>44000059</v>
      </c>
      <c r="H76" t="s">
        <v>371</v>
      </c>
      <c r="I76" t="s">
        <v>372</v>
      </c>
      <c r="J76">
        <v>1</v>
      </c>
      <c r="K76" t="s">
        <v>37</v>
      </c>
      <c r="L76" t="s">
        <v>48</v>
      </c>
      <c r="M76" t="s">
        <v>88</v>
      </c>
      <c r="N76" t="s">
        <v>89</v>
      </c>
      <c r="O76">
        <v>0</v>
      </c>
      <c r="Q76" t="s">
        <v>4141</v>
      </c>
      <c r="W76">
        <v>11.91</v>
      </c>
      <c r="X76">
        <v>11.91</v>
      </c>
    </row>
    <row r="77" spans="1:24">
      <c r="A77" t="s">
        <v>373</v>
      </c>
      <c r="B77" s="72">
        <v>45692</v>
      </c>
      <c r="C77" s="72">
        <v>45692</v>
      </c>
      <c r="D77" t="s">
        <v>374</v>
      </c>
      <c r="E77" t="s">
        <v>73</v>
      </c>
      <c r="F77" t="s">
        <v>2491</v>
      </c>
      <c r="G77">
        <v>50110372</v>
      </c>
      <c r="H77" t="s">
        <v>375</v>
      </c>
      <c r="I77" t="s">
        <v>4013</v>
      </c>
      <c r="J77">
        <v>1</v>
      </c>
      <c r="K77" t="s">
        <v>67</v>
      </c>
      <c r="L77" t="s">
        <v>217</v>
      </c>
      <c r="M77" t="s">
        <v>88</v>
      </c>
      <c r="N77" t="s">
        <v>89</v>
      </c>
      <c r="O77">
        <v>0</v>
      </c>
      <c r="Q77" t="s">
        <v>4141</v>
      </c>
      <c r="V77" t="s">
        <v>41</v>
      </c>
      <c r="W77">
        <v>4764.91</v>
      </c>
      <c r="X77">
        <v>4764.91</v>
      </c>
    </row>
    <row r="78" spans="1:24">
      <c r="A78" t="s">
        <v>373</v>
      </c>
      <c r="B78" s="72">
        <v>45692</v>
      </c>
      <c r="C78" s="72">
        <v>45326</v>
      </c>
      <c r="D78" t="s">
        <v>374</v>
      </c>
      <c r="E78" t="s">
        <v>73</v>
      </c>
      <c r="F78" t="s">
        <v>2491</v>
      </c>
      <c r="G78">
        <v>50110372</v>
      </c>
      <c r="H78" t="s">
        <v>378</v>
      </c>
      <c r="I78" t="s">
        <v>379</v>
      </c>
      <c r="J78">
        <v>1</v>
      </c>
      <c r="K78" t="s">
        <v>67</v>
      </c>
      <c r="L78" t="s">
        <v>217</v>
      </c>
      <c r="M78" t="s">
        <v>58</v>
      </c>
      <c r="N78" t="s">
        <v>58</v>
      </c>
      <c r="O78">
        <v>1</v>
      </c>
      <c r="Q78" t="s">
        <v>37</v>
      </c>
      <c r="R78" s="72">
        <v>45692</v>
      </c>
      <c r="V78" t="s">
        <v>41</v>
      </c>
      <c r="W78">
        <v>254.87</v>
      </c>
      <c r="X78">
        <v>254.87</v>
      </c>
    </row>
    <row r="79" spans="1:24">
      <c r="A79" t="s">
        <v>306</v>
      </c>
      <c r="B79" s="72">
        <v>45693</v>
      </c>
      <c r="C79" s="72">
        <v>45691</v>
      </c>
      <c r="D79" t="s">
        <v>307</v>
      </c>
      <c r="E79" t="s">
        <v>103</v>
      </c>
      <c r="F79" t="s">
        <v>2527</v>
      </c>
      <c r="G79">
        <v>51000136</v>
      </c>
      <c r="H79" t="s">
        <v>308</v>
      </c>
      <c r="I79" t="s">
        <v>309</v>
      </c>
      <c r="J79">
        <v>1</v>
      </c>
      <c r="K79" t="s">
        <v>37</v>
      </c>
      <c r="L79" t="s">
        <v>48</v>
      </c>
      <c r="M79" t="s">
        <v>88</v>
      </c>
      <c r="N79" t="s">
        <v>89</v>
      </c>
      <c r="O79">
        <v>0</v>
      </c>
      <c r="Q79" t="s">
        <v>37</v>
      </c>
      <c r="V79" t="s">
        <v>41</v>
      </c>
      <c r="W79">
        <v>20.87</v>
      </c>
      <c r="X79">
        <v>20.87</v>
      </c>
    </row>
    <row r="80" spans="1:24">
      <c r="A80" t="s">
        <v>380</v>
      </c>
      <c r="B80" s="72">
        <v>45693</v>
      </c>
      <c r="C80" s="72">
        <v>45326</v>
      </c>
      <c r="E80" t="s">
        <v>381</v>
      </c>
      <c r="H80" t="s">
        <v>4158</v>
      </c>
      <c r="I80" t="s">
        <v>383</v>
      </c>
      <c r="J80">
        <v>17</v>
      </c>
      <c r="M80" t="s">
        <v>384</v>
      </c>
      <c r="N80" t="s">
        <v>384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387</v>
      </c>
      <c r="B81" s="72">
        <v>45693</v>
      </c>
      <c r="C81" s="72">
        <v>45327</v>
      </c>
      <c r="E81" t="s">
        <v>381</v>
      </c>
      <c r="H81" t="s">
        <v>4159</v>
      </c>
      <c r="I81" t="s">
        <v>389</v>
      </c>
      <c r="J81">
        <v>5</v>
      </c>
      <c r="M81" t="s">
        <v>384</v>
      </c>
      <c r="N81" t="s">
        <v>384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391</v>
      </c>
      <c r="B82" s="72">
        <v>45693</v>
      </c>
      <c r="C82" s="72">
        <v>45327</v>
      </c>
      <c r="E82" t="s">
        <v>381</v>
      </c>
      <c r="H82" t="s">
        <v>392</v>
      </c>
      <c r="I82" t="s">
        <v>4160</v>
      </c>
      <c r="J82">
        <v>3</v>
      </c>
      <c r="M82" t="s">
        <v>384</v>
      </c>
      <c r="N82" t="s">
        <v>384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342</v>
      </c>
      <c r="B83" s="72">
        <v>45694</v>
      </c>
      <c r="C83" s="72">
        <v>45687</v>
      </c>
      <c r="D83" t="s">
        <v>343</v>
      </c>
      <c r="E83" t="s">
        <v>73</v>
      </c>
      <c r="F83" t="s">
        <v>203</v>
      </c>
      <c r="G83">
        <v>60002095</v>
      </c>
      <c r="H83" t="s">
        <v>344</v>
      </c>
      <c r="I83" t="s">
        <v>4161</v>
      </c>
      <c r="J83">
        <v>1</v>
      </c>
      <c r="K83" t="s">
        <v>37</v>
      </c>
      <c r="L83" t="s">
        <v>346</v>
      </c>
      <c r="M83" t="s">
        <v>88</v>
      </c>
      <c r="N83" t="s">
        <v>89</v>
      </c>
      <c r="O83">
        <v>0</v>
      </c>
      <c r="P83" t="s">
        <v>4162</v>
      </c>
      <c r="Q83" t="s">
        <v>4144</v>
      </c>
      <c r="V83" t="s">
        <v>41</v>
      </c>
      <c r="W83">
        <v>986.75</v>
      </c>
      <c r="X83">
        <v>986.75</v>
      </c>
    </row>
    <row r="84" spans="1:24">
      <c r="A84" t="s">
        <v>395</v>
      </c>
      <c r="B84" s="72">
        <v>45694</v>
      </c>
      <c r="C84" s="72">
        <v>45692</v>
      </c>
      <c r="D84" t="s">
        <v>396</v>
      </c>
      <c r="E84" t="s">
        <v>73</v>
      </c>
      <c r="F84" t="s">
        <v>2496</v>
      </c>
      <c r="G84">
        <v>50000343</v>
      </c>
      <c r="H84" t="s">
        <v>397</v>
      </c>
      <c r="I84" t="s">
        <v>4014</v>
      </c>
      <c r="J84">
        <v>1</v>
      </c>
      <c r="K84" t="s">
        <v>37</v>
      </c>
      <c r="L84" t="s">
        <v>96</v>
      </c>
      <c r="M84" t="s">
        <v>58</v>
      </c>
      <c r="N84" t="s">
        <v>58</v>
      </c>
      <c r="O84">
        <v>1</v>
      </c>
      <c r="Q84" t="s">
        <v>3970</v>
      </c>
      <c r="R84" s="72">
        <v>45692</v>
      </c>
      <c r="V84" t="s">
        <v>399</v>
      </c>
      <c r="W84">
        <v>601.41999999999996</v>
      </c>
      <c r="X84">
        <v>601.41999999999996</v>
      </c>
    </row>
    <row r="85" spans="1:24">
      <c r="A85" t="s">
        <v>400</v>
      </c>
      <c r="B85" s="72">
        <v>45694</v>
      </c>
      <c r="C85" s="72">
        <v>45693</v>
      </c>
      <c r="D85" t="s">
        <v>401</v>
      </c>
      <c r="E85" t="s">
        <v>402</v>
      </c>
      <c r="F85" t="s">
        <v>403</v>
      </c>
      <c r="G85" t="s">
        <v>404</v>
      </c>
      <c r="H85" t="s">
        <v>405</v>
      </c>
      <c r="I85" t="s">
        <v>4015</v>
      </c>
      <c r="J85">
        <v>1</v>
      </c>
      <c r="K85" t="s">
        <v>37</v>
      </c>
      <c r="L85" t="s">
        <v>363</v>
      </c>
      <c r="M85" t="s">
        <v>58</v>
      </c>
      <c r="N85" t="s">
        <v>58</v>
      </c>
      <c r="O85">
        <v>1</v>
      </c>
      <c r="Q85" t="s">
        <v>37</v>
      </c>
      <c r="R85" s="72">
        <v>45693</v>
      </c>
      <c r="V85" t="s">
        <v>229</v>
      </c>
      <c r="W85">
        <v>20</v>
      </c>
      <c r="X85">
        <v>20</v>
      </c>
    </row>
    <row r="86" spans="1:24">
      <c r="A86" t="s">
        <v>356</v>
      </c>
      <c r="B86" s="72">
        <v>45695</v>
      </c>
      <c r="C86" s="72">
        <v>45695</v>
      </c>
      <c r="D86" t="s">
        <v>357</v>
      </c>
      <c r="E86" t="s">
        <v>73</v>
      </c>
      <c r="F86" t="s">
        <v>203</v>
      </c>
      <c r="G86">
        <v>60002095</v>
      </c>
      <c r="H86" t="s">
        <v>358</v>
      </c>
      <c r="I86" t="s">
        <v>359</v>
      </c>
      <c r="J86">
        <v>1</v>
      </c>
      <c r="K86" t="s">
        <v>67</v>
      </c>
      <c r="L86" t="s">
        <v>96</v>
      </c>
      <c r="M86" t="s">
        <v>88</v>
      </c>
      <c r="N86" t="s">
        <v>89</v>
      </c>
      <c r="O86">
        <v>0</v>
      </c>
      <c r="Q86" t="s">
        <v>37</v>
      </c>
      <c r="V86" t="s">
        <v>41</v>
      </c>
      <c r="W86">
        <v>1407.73</v>
      </c>
      <c r="X86">
        <v>1407.73</v>
      </c>
    </row>
    <row r="87" spans="1:24">
      <c r="A87" t="s">
        <v>407</v>
      </c>
      <c r="B87" s="72">
        <v>45695</v>
      </c>
      <c r="C87" s="72">
        <v>45694</v>
      </c>
      <c r="D87" t="s">
        <v>408</v>
      </c>
      <c r="E87" t="s">
        <v>334</v>
      </c>
      <c r="F87" t="s">
        <v>55</v>
      </c>
      <c r="G87" t="s">
        <v>409</v>
      </c>
      <c r="H87" t="s">
        <v>410</v>
      </c>
      <c r="I87" t="s">
        <v>411</v>
      </c>
      <c r="J87">
        <v>1</v>
      </c>
      <c r="K87" t="s">
        <v>37</v>
      </c>
      <c r="L87" t="s">
        <v>412</v>
      </c>
      <c r="M87" t="s">
        <v>58</v>
      </c>
      <c r="N87" t="s">
        <v>58</v>
      </c>
      <c r="O87">
        <v>1</v>
      </c>
      <c r="P87" t="s">
        <v>413</v>
      </c>
      <c r="Q87" t="s">
        <v>3970</v>
      </c>
      <c r="R87" s="72">
        <v>45677</v>
      </c>
      <c r="V87" t="s">
        <v>414</v>
      </c>
      <c r="W87">
        <v>2377.7800000000002</v>
      </c>
      <c r="X87">
        <v>2377.7800000000002</v>
      </c>
    </row>
    <row r="88" spans="1:24">
      <c r="A88" t="s">
        <v>415</v>
      </c>
      <c r="B88" s="72">
        <v>45695</v>
      </c>
      <c r="C88" s="72">
        <v>45694</v>
      </c>
      <c r="D88" t="s">
        <v>416</v>
      </c>
      <c r="E88" t="s">
        <v>417</v>
      </c>
      <c r="F88" t="s">
        <v>55</v>
      </c>
      <c r="G88">
        <v>44000321</v>
      </c>
      <c r="H88" t="s">
        <v>418</v>
      </c>
      <c r="I88" t="s">
        <v>419</v>
      </c>
      <c r="J88">
        <v>1</v>
      </c>
      <c r="K88" t="s">
        <v>37</v>
      </c>
      <c r="L88" t="s">
        <v>412</v>
      </c>
      <c r="M88" t="s">
        <v>58</v>
      </c>
      <c r="N88" t="s">
        <v>58</v>
      </c>
      <c r="O88">
        <v>1</v>
      </c>
      <c r="Q88" t="s">
        <v>37</v>
      </c>
      <c r="R88" s="72">
        <v>45672</v>
      </c>
      <c r="V88" t="s">
        <v>421</v>
      </c>
      <c r="W88">
        <v>449.1</v>
      </c>
      <c r="X88">
        <v>449.1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6FF8-AADF-490A-A165-5309040306AB}">
  <dimension ref="A1:Y89"/>
  <sheetViews>
    <sheetView topLeftCell="A77" workbookViewId="0">
      <selection activeCell="O90" sqref="O90"/>
    </sheetView>
  </sheetViews>
  <sheetFormatPr defaultRowHeight="14.45"/>
  <cols>
    <col min="1" max="1" width="10.285156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855468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140625" bestFit="1" customWidth="1"/>
    <col min="10" max="10" width="15.28515625" bestFit="1" customWidth="1"/>
    <col min="11" max="11" width="11.85546875" bestFit="1" customWidth="1"/>
    <col min="12" max="12" width="21.140625" bestFit="1" customWidth="1"/>
    <col min="13" max="13" width="21.7109375" bestFit="1" customWidth="1"/>
    <col min="14" max="14" width="13.855468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140625" bestFit="1" customWidth="1"/>
    <col min="19" max="19" width="20.28515625" bestFit="1" customWidth="1"/>
    <col min="20" max="20" width="27.7109375" bestFit="1" customWidth="1"/>
    <col min="21" max="21" width="17.140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85546875" bestFit="1" customWidth="1"/>
  </cols>
  <sheetData>
    <row r="1" spans="1:25">
      <c r="A1" s="73" t="s">
        <v>4137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4138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17</v>
      </c>
      <c r="Q3" t="s">
        <v>3964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>
      <c r="A4" t="s">
        <v>627</v>
      </c>
      <c r="B4" s="72">
        <v>45715</v>
      </c>
      <c r="C4" s="72">
        <v>45715</v>
      </c>
      <c r="D4" t="s">
        <v>628</v>
      </c>
      <c r="E4" t="s">
        <v>85</v>
      </c>
      <c r="F4" t="s">
        <v>2496</v>
      </c>
      <c r="G4">
        <v>50000260</v>
      </c>
      <c r="H4" t="s">
        <v>629</v>
      </c>
      <c r="I4" t="s">
        <v>630</v>
      </c>
      <c r="J4">
        <v>1</v>
      </c>
      <c r="K4" t="s">
        <v>37</v>
      </c>
      <c r="L4" t="s">
        <v>217</v>
      </c>
      <c r="N4" t="s">
        <v>58</v>
      </c>
      <c r="O4">
        <v>1</v>
      </c>
      <c r="Q4" t="s">
        <v>37</v>
      </c>
      <c r="R4" s="72">
        <v>45713</v>
      </c>
      <c r="V4" t="s">
        <v>41</v>
      </c>
      <c r="W4">
        <v>631.67999999999995</v>
      </c>
      <c r="X4">
        <v>631.67999999999995</v>
      </c>
    </row>
    <row r="5" spans="1:25">
      <c r="A5" t="s">
        <v>621</v>
      </c>
      <c r="B5" s="72">
        <v>45715</v>
      </c>
      <c r="C5" s="72">
        <v>45715</v>
      </c>
      <c r="D5" t="s">
        <v>622</v>
      </c>
      <c r="E5" t="s">
        <v>402</v>
      </c>
      <c r="F5" t="s">
        <v>403</v>
      </c>
      <c r="G5">
        <v>50300141</v>
      </c>
      <c r="H5" t="s">
        <v>624</v>
      </c>
      <c r="I5" t="s">
        <v>625</v>
      </c>
      <c r="J5">
        <v>1</v>
      </c>
      <c r="K5" t="s">
        <v>37</v>
      </c>
      <c r="L5" t="s">
        <v>217</v>
      </c>
      <c r="N5" t="s">
        <v>58</v>
      </c>
      <c r="O5">
        <v>1</v>
      </c>
      <c r="P5" t="s">
        <v>626</v>
      </c>
      <c r="Q5" t="s">
        <v>4139</v>
      </c>
      <c r="R5" s="72">
        <v>45709</v>
      </c>
      <c r="V5" t="s">
        <v>229</v>
      </c>
      <c r="W5">
        <v>339.68</v>
      </c>
      <c r="X5">
        <v>339.68</v>
      </c>
    </row>
    <row r="6" spans="1:25">
      <c r="A6" t="s">
        <v>617</v>
      </c>
      <c r="B6" s="72">
        <v>45715</v>
      </c>
      <c r="C6" s="72">
        <v>45715</v>
      </c>
      <c r="D6" t="s">
        <v>618</v>
      </c>
      <c r="E6" t="s">
        <v>79</v>
      </c>
      <c r="F6" t="s">
        <v>2496</v>
      </c>
      <c r="G6">
        <v>50000530</v>
      </c>
      <c r="H6" t="s">
        <v>619</v>
      </c>
      <c r="I6" t="s">
        <v>620</v>
      </c>
      <c r="J6">
        <v>1</v>
      </c>
      <c r="K6" t="s">
        <v>37</v>
      </c>
      <c r="L6" t="s">
        <v>217</v>
      </c>
      <c r="N6" t="s">
        <v>58</v>
      </c>
      <c r="O6">
        <v>1</v>
      </c>
      <c r="Q6" t="s">
        <v>4140</v>
      </c>
      <c r="R6" s="72">
        <v>45713</v>
      </c>
      <c r="W6">
        <v>91.76</v>
      </c>
      <c r="X6">
        <v>91.76</v>
      </c>
    </row>
    <row r="7" spans="1:25">
      <c r="A7" t="s">
        <v>607</v>
      </c>
      <c r="B7" s="72">
        <v>45715</v>
      </c>
      <c r="C7" s="72">
        <v>45715</v>
      </c>
      <c r="D7" t="s">
        <v>608</v>
      </c>
      <c r="E7" t="s">
        <v>4025</v>
      </c>
      <c r="F7" t="s">
        <v>2496</v>
      </c>
      <c r="G7" t="s">
        <v>609</v>
      </c>
      <c r="H7" t="s">
        <v>610</v>
      </c>
      <c r="I7" t="s">
        <v>611</v>
      </c>
      <c r="J7">
        <v>1</v>
      </c>
      <c r="K7" t="s">
        <v>37</v>
      </c>
      <c r="L7" t="s">
        <v>38</v>
      </c>
      <c r="N7" t="s">
        <v>58</v>
      </c>
      <c r="O7">
        <v>1</v>
      </c>
      <c r="Q7" t="s">
        <v>37</v>
      </c>
      <c r="R7" s="72">
        <v>45679</v>
      </c>
      <c r="V7" t="s">
        <v>41</v>
      </c>
      <c r="W7">
        <v>140.44999999999999</v>
      </c>
      <c r="X7">
        <v>140.44999999999999</v>
      </c>
    </row>
    <row r="8" spans="1:25">
      <c r="A8" t="s">
        <v>601</v>
      </c>
      <c r="B8" s="72">
        <v>45715</v>
      </c>
      <c r="C8" s="72">
        <v>45714</v>
      </c>
      <c r="D8" t="s">
        <v>602</v>
      </c>
      <c r="E8" t="s">
        <v>103</v>
      </c>
      <c r="F8" t="s">
        <v>2527</v>
      </c>
      <c r="G8">
        <v>51000323</v>
      </c>
      <c r="H8" t="s">
        <v>605</v>
      </c>
      <c r="I8" t="s">
        <v>606</v>
      </c>
      <c r="J8">
        <v>1</v>
      </c>
      <c r="K8" t="s">
        <v>37</v>
      </c>
      <c r="L8" t="s">
        <v>217</v>
      </c>
      <c r="N8" t="s">
        <v>39</v>
      </c>
      <c r="O8">
        <v>1</v>
      </c>
      <c r="Q8" t="s">
        <v>4141</v>
      </c>
      <c r="V8" t="s">
        <v>41</v>
      </c>
      <c r="W8">
        <v>96.35</v>
      </c>
      <c r="X8">
        <v>96.35</v>
      </c>
    </row>
    <row r="9" spans="1:25">
      <c r="A9" t="s">
        <v>601</v>
      </c>
      <c r="B9" s="72">
        <v>45715</v>
      </c>
      <c r="C9" s="72">
        <v>45714</v>
      </c>
      <c r="D9" t="s">
        <v>602</v>
      </c>
      <c r="E9" t="s">
        <v>103</v>
      </c>
      <c r="F9" t="s">
        <v>2527</v>
      </c>
      <c r="G9">
        <v>51000323</v>
      </c>
      <c r="H9" t="s">
        <v>603</v>
      </c>
      <c r="I9" t="s">
        <v>604</v>
      </c>
      <c r="J9">
        <v>1</v>
      </c>
      <c r="K9" t="s">
        <v>37</v>
      </c>
      <c r="L9" t="s">
        <v>217</v>
      </c>
      <c r="N9" t="s">
        <v>89</v>
      </c>
      <c r="O9">
        <v>0</v>
      </c>
      <c r="Q9" t="s">
        <v>4141</v>
      </c>
      <c r="V9" t="s">
        <v>41</v>
      </c>
      <c r="W9">
        <v>874.36</v>
      </c>
      <c r="X9">
        <v>874.36</v>
      </c>
    </row>
    <row r="10" spans="1:25">
      <c r="A10" t="s">
        <v>587</v>
      </c>
      <c r="B10" s="72">
        <v>45715</v>
      </c>
      <c r="C10" s="72">
        <v>45714</v>
      </c>
      <c r="D10" t="s">
        <v>588</v>
      </c>
      <c r="E10" t="s">
        <v>103</v>
      </c>
      <c r="F10" t="s">
        <v>2527</v>
      </c>
      <c r="G10">
        <v>51000136</v>
      </c>
      <c r="H10" t="s">
        <v>599</v>
      </c>
      <c r="I10" t="s">
        <v>600</v>
      </c>
      <c r="J10">
        <v>1</v>
      </c>
      <c r="K10" t="s">
        <v>37</v>
      </c>
      <c r="L10" t="s">
        <v>217</v>
      </c>
      <c r="N10" t="s">
        <v>89</v>
      </c>
      <c r="O10">
        <v>0</v>
      </c>
      <c r="Q10" t="s">
        <v>37</v>
      </c>
      <c r="V10" t="s">
        <v>41</v>
      </c>
      <c r="W10">
        <v>66.959999999999994</v>
      </c>
      <c r="X10">
        <v>66.959999999999994</v>
      </c>
    </row>
    <row r="11" spans="1:25">
      <c r="A11" t="s">
        <v>587</v>
      </c>
      <c r="B11" s="72">
        <v>45715</v>
      </c>
      <c r="C11" s="72">
        <v>45714</v>
      </c>
      <c r="D11" t="s">
        <v>588</v>
      </c>
      <c r="E11" t="s">
        <v>103</v>
      </c>
      <c r="F11" t="s">
        <v>2527</v>
      </c>
      <c r="G11">
        <v>51000136</v>
      </c>
      <c r="H11" t="s">
        <v>597</v>
      </c>
      <c r="I11" t="s">
        <v>4024</v>
      </c>
      <c r="J11">
        <v>1</v>
      </c>
      <c r="K11" t="s">
        <v>37</v>
      </c>
      <c r="L11" t="s">
        <v>217</v>
      </c>
      <c r="N11" t="s">
        <v>58</v>
      </c>
      <c r="O11">
        <v>1</v>
      </c>
      <c r="Q11" t="s">
        <v>4142</v>
      </c>
      <c r="R11" s="72">
        <v>45723</v>
      </c>
      <c r="V11" t="s">
        <v>41</v>
      </c>
      <c r="W11">
        <v>720.36</v>
      </c>
      <c r="X11">
        <v>720.36</v>
      </c>
    </row>
    <row r="12" spans="1:25">
      <c r="A12" t="s">
        <v>587</v>
      </c>
      <c r="B12" s="72">
        <v>45715</v>
      </c>
      <c r="C12" s="72">
        <v>45714</v>
      </c>
      <c r="D12" t="s">
        <v>588</v>
      </c>
      <c r="E12" t="s">
        <v>103</v>
      </c>
      <c r="F12" t="s">
        <v>2527</v>
      </c>
      <c r="G12">
        <v>51000136</v>
      </c>
      <c r="H12" t="s">
        <v>595</v>
      </c>
      <c r="I12" t="s">
        <v>596</v>
      </c>
      <c r="J12">
        <v>1</v>
      </c>
      <c r="K12" t="s">
        <v>37</v>
      </c>
      <c r="L12" t="s">
        <v>217</v>
      </c>
      <c r="N12" t="s">
        <v>58</v>
      </c>
      <c r="O12">
        <v>1</v>
      </c>
      <c r="Q12" t="s">
        <v>4142</v>
      </c>
      <c r="R12" s="72">
        <v>45723</v>
      </c>
      <c r="V12" t="s">
        <v>41</v>
      </c>
      <c r="W12">
        <v>260.14999999999998</v>
      </c>
      <c r="X12">
        <v>260.14999999999998</v>
      </c>
    </row>
    <row r="13" spans="1:25">
      <c r="A13" t="s">
        <v>587</v>
      </c>
      <c r="B13" s="72">
        <v>45715</v>
      </c>
      <c r="C13" s="72">
        <v>45714</v>
      </c>
      <c r="D13" t="s">
        <v>588</v>
      </c>
      <c r="E13" t="s">
        <v>103</v>
      </c>
      <c r="F13" t="s">
        <v>2527</v>
      </c>
      <c r="G13">
        <v>51000136</v>
      </c>
      <c r="H13" t="s">
        <v>593</v>
      </c>
      <c r="I13" t="s">
        <v>594</v>
      </c>
      <c r="J13">
        <v>1</v>
      </c>
      <c r="K13" t="s">
        <v>37</v>
      </c>
      <c r="L13" t="s">
        <v>217</v>
      </c>
      <c r="N13" t="s">
        <v>39</v>
      </c>
      <c r="O13">
        <v>1</v>
      </c>
      <c r="Q13" t="s">
        <v>4141</v>
      </c>
      <c r="V13" t="s">
        <v>41</v>
      </c>
      <c r="W13">
        <v>475.51</v>
      </c>
      <c r="X13">
        <v>475.51</v>
      </c>
    </row>
    <row r="14" spans="1:25">
      <c r="A14" t="s">
        <v>587</v>
      </c>
      <c r="B14" s="72">
        <v>45715</v>
      </c>
      <c r="C14" s="72">
        <v>45714</v>
      </c>
      <c r="D14" t="s">
        <v>588</v>
      </c>
      <c r="E14" t="s">
        <v>103</v>
      </c>
      <c r="F14" t="s">
        <v>2527</v>
      </c>
      <c r="G14">
        <v>51000136</v>
      </c>
      <c r="H14" t="s">
        <v>591</v>
      </c>
      <c r="I14" t="s">
        <v>592</v>
      </c>
      <c r="J14">
        <v>1</v>
      </c>
      <c r="K14" t="s">
        <v>37</v>
      </c>
      <c r="L14" t="s">
        <v>217</v>
      </c>
      <c r="N14" t="s">
        <v>89</v>
      </c>
      <c r="O14">
        <v>0</v>
      </c>
      <c r="P14" t="s">
        <v>165</v>
      </c>
      <c r="Q14" t="s">
        <v>4141</v>
      </c>
      <c r="V14" t="s">
        <v>41</v>
      </c>
      <c r="W14">
        <v>354.38</v>
      </c>
      <c r="X14">
        <v>354.38</v>
      </c>
    </row>
    <row r="15" spans="1:25">
      <c r="A15" t="s">
        <v>587</v>
      </c>
      <c r="B15" s="72">
        <v>45715</v>
      </c>
      <c r="C15" s="72">
        <v>45714</v>
      </c>
      <c r="D15" t="s">
        <v>588</v>
      </c>
      <c r="E15" t="s">
        <v>103</v>
      </c>
      <c r="F15" t="s">
        <v>2527</v>
      </c>
      <c r="G15">
        <v>51000136</v>
      </c>
      <c r="H15" t="s">
        <v>589</v>
      </c>
      <c r="I15" t="s">
        <v>590</v>
      </c>
      <c r="J15">
        <v>1</v>
      </c>
      <c r="K15" t="s">
        <v>37</v>
      </c>
      <c r="L15" t="s">
        <v>217</v>
      </c>
      <c r="N15" t="s">
        <v>39</v>
      </c>
      <c r="O15">
        <v>1</v>
      </c>
      <c r="Q15" t="s">
        <v>4141</v>
      </c>
      <c r="V15" t="s">
        <v>41</v>
      </c>
      <c r="W15">
        <v>1207.54</v>
      </c>
      <c r="X15">
        <v>1207.54</v>
      </c>
    </row>
    <row r="16" spans="1:25">
      <c r="A16" t="s">
        <v>31</v>
      </c>
      <c r="B16" s="72">
        <v>45715</v>
      </c>
      <c r="C16" s="72">
        <v>45715</v>
      </c>
      <c r="D16" t="s">
        <v>32</v>
      </c>
      <c r="E16" t="s">
        <v>33</v>
      </c>
      <c r="F16" t="s">
        <v>2491</v>
      </c>
      <c r="G16">
        <v>50110193</v>
      </c>
      <c r="H16" t="s">
        <v>4023</v>
      </c>
      <c r="I16" t="s">
        <v>36</v>
      </c>
      <c r="J16">
        <v>1</v>
      </c>
      <c r="K16" t="s">
        <v>37</v>
      </c>
      <c r="L16" t="s">
        <v>38</v>
      </c>
      <c r="M16" t="s">
        <v>39</v>
      </c>
      <c r="N16" t="s">
        <v>58</v>
      </c>
      <c r="O16">
        <v>1</v>
      </c>
      <c r="Q16" t="s">
        <v>3970</v>
      </c>
      <c r="R16" s="72">
        <v>45663</v>
      </c>
      <c r="V16" t="s">
        <v>41</v>
      </c>
      <c r="W16">
        <v>790.42</v>
      </c>
      <c r="X16">
        <v>790.42</v>
      </c>
    </row>
    <row r="17" spans="1:24">
      <c r="A17" t="s">
        <v>576</v>
      </c>
      <c r="B17" s="72">
        <v>45714</v>
      </c>
      <c r="C17" s="72">
        <v>45714</v>
      </c>
      <c r="D17" t="s">
        <v>577</v>
      </c>
      <c r="E17" t="s">
        <v>73</v>
      </c>
      <c r="F17" t="s">
        <v>203</v>
      </c>
      <c r="G17">
        <v>60002095</v>
      </c>
      <c r="H17" t="s">
        <v>578</v>
      </c>
      <c r="I17" t="s">
        <v>579</v>
      </c>
      <c r="J17">
        <v>1</v>
      </c>
      <c r="K17" t="s">
        <v>37</v>
      </c>
      <c r="L17" t="s">
        <v>68</v>
      </c>
      <c r="N17" t="s">
        <v>89</v>
      </c>
      <c r="O17">
        <v>0</v>
      </c>
      <c r="P17" t="s">
        <v>580</v>
      </c>
      <c r="Q17" t="s">
        <v>37</v>
      </c>
      <c r="V17" t="s">
        <v>41</v>
      </c>
      <c r="W17">
        <v>4432.21</v>
      </c>
      <c r="X17">
        <v>4432.21</v>
      </c>
    </row>
    <row r="18" spans="1:24">
      <c r="A18" t="s">
        <v>567</v>
      </c>
      <c r="B18" s="72">
        <v>45714</v>
      </c>
      <c r="C18" s="72">
        <v>45714</v>
      </c>
      <c r="D18" t="s">
        <v>568</v>
      </c>
      <c r="E18" t="s">
        <v>569</v>
      </c>
      <c r="F18" t="s">
        <v>55</v>
      </c>
      <c r="G18">
        <v>44000058</v>
      </c>
      <c r="H18" t="s">
        <v>574</v>
      </c>
      <c r="I18" t="s">
        <v>575</v>
      </c>
      <c r="J18">
        <v>1</v>
      </c>
      <c r="K18" t="s">
        <v>37</v>
      </c>
      <c r="L18" t="s">
        <v>217</v>
      </c>
      <c r="N18" t="s">
        <v>58</v>
      </c>
      <c r="O18">
        <v>1</v>
      </c>
      <c r="Q18" t="s">
        <v>4140</v>
      </c>
      <c r="R18" s="72">
        <v>45714</v>
      </c>
      <c r="V18" t="s">
        <v>573</v>
      </c>
      <c r="W18">
        <v>1323.87</v>
      </c>
      <c r="X18">
        <v>1323.87</v>
      </c>
    </row>
    <row r="19" spans="1:24">
      <c r="A19" t="s">
        <v>567</v>
      </c>
      <c r="B19" s="72">
        <v>45714</v>
      </c>
      <c r="C19" s="72">
        <v>45714</v>
      </c>
      <c r="D19" t="s">
        <v>568</v>
      </c>
      <c r="E19" t="s">
        <v>569</v>
      </c>
      <c r="F19" t="s">
        <v>55</v>
      </c>
      <c r="G19">
        <v>44000058</v>
      </c>
      <c r="H19" t="s">
        <v>570</v>
      </c>
      <c r="I19" t="s">
        <v>571</v>
      </c>
      <c r="J19">
        <v>1</v>
      </c>
      <c r="K19" t="s">
        <v>37</v>
      </c>
      <c r="L19" t="s">
        <v>217</v>
      </c>
      <c r="N19" t="s">
        <v>58</v>
      </c>
      <c r="O19">
        <v>1</v>
      </c>
      <c r="P19" t="s">
        <v>572</v>
      </c>
      <c r="Q19" t="s">
        <v>4140</v>
      </c>
      <c r="R19" s="72">
        <v>45714</v>
      </c>
      <c r="V19" t="s">
        <v>573</v>
      </c>
      <c r="W19">
        <v>966.08</v>
      </c>
      <c r="X19">
        <v>966.08</v>
      </c>
    </row>
    <row r="20" spans="1:24">
      <c r="A20" t="s">
        <v>565</v>
      </c>
      <c r="B20" s="72">
        <v>45714</v>
      </c>
      <c r="C20" s="72">
        <v>45713</v>
      </c>
      <c r="D20" t="s">
        <v>566</v>
      </c>
      <c r="E20" t="s">
        <v>202</v>
      </c>
      <c r="F20" t="s">
        <v>203</v>
      </c>
      <c r="G20">
        <v>60002072</v>
      </c>
      <c r="H20" t="s">
        <v>350</v>
      </c>
      <c r="I20" t="s">
        <v>351</v>
      </c>
      <c r="J20">
        <v>1</v>
      </c>
      <c r="K20" t="s">
        <v>67</v>
      </c>
      <c r="L20" t="s">
        <v>346</v>
      </c>
      <c r="M20" t="s">
        <v>58</v>
      </c>
      <c r="N20" t="s">
        <v>58</v>
      </c>
      <c r="O20">
        <v>1</v>
      </c>
      <c r="Q20" t="s">
        <v>4143</v>
      </c>
      <c r="R20" s="72">
        <v>45713</v>
      </c>
      <c r="W20">
        <v>886.36</v>
      </c>
      <c r="X20">
        <v>886.36</v>
      </c>
    </row>
    <row r="21" spans="1:24">
      <c r="A21" t="s">
        <v>563</v>
      </c>
      <c r="B21" s="72">
        <v>45714</v>
      </c>
      <c r="C21" s="72">
        <v>45714</v>
      </c>
      <c r="D21" t="s">
        <v>564</v>
      </c>
      <c r="E21" t="s">
        <v>73</v>
      </c>
      <c r="F21" t="s">
        <v>2491</v>
      </c>
      <c r="G21">
        <v>50110372</v>
      </c>
      <c r="H21" t="s">
        <v>215</v>
      </c>
      <c r="I21" t="s">
        <v>557</v>
      </c>
      <c r="J21">
        <v>1</v>
      </c>
      <c r="K21" t="s">
        <v>37</v>
      </c>
      <c r="L21" t="s">
        <v>217</v>
      </c>
      <c r="M21" t="s">
        <v>39</v>
      </c>
      <c r="N21" t="s">
        <v>39</v>
      </c>
      <c r="O21">
        <v>1</v>
      </c>
      <c r="P21" t="s">
        <v>218</v>
      </c>
      <c r="Q21" t="s">
        <v>37</v>
      </c>
      <c r="V21" t="s">
        <v>41</v>
      </c>
      <c r="W21">
        <v>22.54</v>
      </c>
      <c r="X21">
        <v>22.54</v>
      </c>
    </row>
    <row r="22" spans="1:24">
      <c r="A22" t="s">
        <v>560</v>
      </c>
      <c r="B22" s="72">
        <v>45714</v>
      </c>
      <c r="C22" s="72">
        <v>45713</v>
      </c>
      <c r="D22" t="s">
        <v>561</v>
      </c>
      <c r="E22" t="s">
        <v>73</v>
      </c>
      <c r="F22" t="s">
        <v>203</v>
      </c>
      <c r="G22" t="s">
        <v>562</v>
      </c>
      <c r="H22" t="s">
        <v>521</v>
      </c>
      <c r="I22" t="s">
        <v>522</v>
      </c>
      <c r="J22">
        <v>1</v>
      </c>
      <c r="K22" t="s">
        <v>67</v>
      </c>
      <c r="L22" t="s">
        <v>346</v>
      </c>
      <c r="M22" t="s">
        <v>88</v>
      </c>
      <c r="N22" t="s">
        <v>89</v>
      </c>
      <c r="O22">
        <v>0</v>
      </c>
      <c r="Q22" t="s">
        <v>4144</v>
      </c>
      <c r="V22" t="s">
        <v>41</v>
      </c>
      <c r="W22">
        <v>2531.29</v>
      </c>
      <c r="X22">
        <v>2531.29</v>
      </c>
    </row>
    <row r="23" spans="1:24">
      <c r="A23" t="s">
        <v>558</v>
      </c>
      <c r="B23" s="72">
        <v>45714</v>
      </c>
      <c r="C23" s="72">
        <v>45713</v>
      </c>
      <c r="D23" t="s">
        <v>559</v>
      </c>
      <c r="E23" t="s">
        <v>109</v>
      </c>
      <c r="F23" t="s">
        <v>2491</v>
      </c>
      <c r="G23">
        <v>50110229</v>
      </c>
      <c r="H23" t="s">
        <v>215</v>
      </c>
      <c r="I23" t="s">
        <v>557</v>
      </c>
      <c r="J23">
        <v>1</v>
      </c>
      <c r="K23" t="s">
        <v>37</v>
      </c>
      <c r="L23" t="s">
        <v>217</v>
      </c>
      <c r="M23" t="s">
        <v>39</v>
      </c>
      <c r="N23" t="s">
        <v>39</v>
      </c>
      <c r="O23">
        <v>1</v>
      </c>
      <c r="P23" t="s">
        <v>218</v>
      </c>
      <c r="Q23" t="s">
        <v>37</v>
      </c>
      <c r="V23" t="s">
        <v>41</v>
      </c>
      <c r="W23">
        <v>22.54</v>
      </c>
      <c r="X23">
        <v>22.54</v>
      </c>
    </row>
    <row r="24" spans="1:24">
      <c r="A24" t="s">
        <v>555</v>
      </c>
      <c r="B24" s="72">
        <v>45714</v>
      </c>
      <c r="C24" s="72">
        <v>45713</v>
      </c>
      <c r="D24" t="s">
        <v>556</v>
      </c>
      <c r="E24" t="s">
        <v>33</v>
      </c>
      <c r="F24" t="s">
        <v>2491</v>
      </c>
      <c r="G24">
        <v>50110193</v>
      </c>
      <c r="H24" t="s">
        <v>215</v>
      </c>
      <c r="I24" t="s">
        <v>557</v>
      </c>
      <c r="J24">
        <v>1</v>
      </c>
      <c r="K24" t="s">
        <v>37</v>
      </c>
      <c r="L24" t="s">
        <v>217</v>
      </c>
      <c r="M24" t="s">
        <v>39</v>
      </c>
      <c r="N24" t="s">
        <v>39</v>
      </c>
      <c r="O24">
        <v>1</v>
      </c>
      <c r="P24" t="s">
        <v>218</v>
      </c>
      <c r="Q24" t="s">
        <v>37</v>
      </c>
      <c r="V24" t="s">
        <v>41</v>
      </c>
      <c r="W24">
        <v>22.54</v>
      </c>
      <c r="X24">
        <v>22.54</v>
      </c>
    </row>
    <row r="25" spans="1:24">
      <c r="A25" t="s">
        <v>552</v>
      </c>
      <c r="B25" s="72">
        <v>45714</v>
      </c>
      <c r="C25" s="72">
        <v>45713</v>
      </c>
      <c r="D25" t="s">
        <v>553</v>
      </c>
      <c r="E25" t="s">
        <v>79</v>
      </c>
      <c r="F25" t="s">
        <v>2496</v>
      </c>
      <c r="G25">
        <v>50000530</v>
      </c>
      <c r="H25" t="s">
        <v>4022</v>
      </c>
      <c r="I25" t="s">
        <v>76</v>
      </c>
      <c r="J25">
        <v>1</v>
      </c>
      <c r="K25" t="s">
        <v>37</v>
      </c>
      <c r="L25" t="s">
        <v>217</v>
      </c>
      <c r="M25" t="s">
        <v>58</v>
      </c>
      <c r="N25" t="s">
        <v>58</v>
      </c>
      <c r="O25">
        <v>1</v>
      </c>
      <c r="Q25" t="s">
        <v>3970</v>
      </c>
      <c r="R25" s="72">
        <v>45712</v>
      </c>
      <c r="V25" t="s">
        <v>554</v>
      </c>
      <c r="W25">
        <v>1187.4100000000001</v>
      </c>
      <c r="X25">
        <v>1187.4100000000001</v>
      </c>
    </row>
    <row r="26" spans="1:24">
      <c r="A26" t="s">
        <v>550</v>
      </c>
      <c r="B26" s="72">
        <v>45713</v>
      </c>
      <c r="C26" s="72">
        <v>45713</v>
      </c>
      <c r="E26" t="s">
        <v>381</v>
      </c>
      <c r="H26" t="s">
        <v>4145</v>
      </c>
      <c r="I26" t="s">
        <v>4146</v>
      </c>
      <c r="J26">
        <v>2</v>
      </c>
      <c r="N26" t="s">
        <v>89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547</v>
      </c>
      <c r="B27" s="72">
        <v>45713</v>
      </c>
      <c r="C27" s="72">
        <v>45713</v>
      </c>
      <c r="E27" t="s">
        <v>192</v>
      </c>
      <c r="F27" t="s">
        <v>4147</v>
      </c>
      <c r="G27">
        <v>51000129</v>
      </c>
      <c r="H27" t="s">
        <v>4148</v>
      </c>
      <c r="I27" t="s">
        <v>4149</v>
      </c>
      <c r="J27">
        <v>1</v>
      </c>
      <c r="N27" t="s">
        <v>89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538</v>
      </c>
      <c r="B28" s="72">
        <v>45712</v>
      </c>
      <c r="C28" s="72">
        <v>45709</v>
      </c>
      <c r="D28" t="s">
        <v>539</v>
      </c>
      <c r="E28" t="s">
        <v>63</v>
      </c>
      <c r="F28" t="s">
        <v>173</v>
      </c>
      <c r="G28">
        <v>48300301</v>
      </c>
      <c r="H28" t="s">
        <v>540</v>
      </c>
      <c r="I28" t="s">
        <v>541</v>
      </c>
      <c r="J28">
        <v>1</v>
      </c>
      <c r="K28" t="s">
        <v>37</v>
      </c>
      <c r="L28" t="s">
        <v>48</v>
      </c>
      <c r="M28" t="s">
        <v>58</v>
      </c>
      <c r="N28" t="s">
        <v>58</v>
      </c>
      <c r="O28">
        <v>1</v>
      </c>
      <c r="P28" t="s">
        <v>542</v>
      </c>
      <c r="Q28" t="s">
        <v>3970</v>
      </c>
      <c r="R28" s="72">
        <v>45680</v>
      </c>
      <c r="V28" t="s">
        <v>70</v>
      </c>
      <c r="W28">
        <v>1240.6400000000001</v>
      </c>
      <c r="X28">
        <v>1240.6400000000001</v>
      </c>
    </row>
    <row r="29" spans="1:24">
      <c r="A29" t="s">
        <v>534</v>
      </c>
      <c r="B29" s="72">
        <v>45712</v>
      </c>
      <c r="C29" s="72">
        <v>45709</v>
      </c>
      <c r="D29" t="s">
        <v>535</v>
      </c>
      <c r="E29" t="s">
        <v>73</v>
      </c>
      <c r="F29" t="s">
        <v>2491</v>
      </c>
      <c r="G29">
        <v>50110372</v>
      </c>
      <c r="H29" t="s">
        <v>536</v>
      </c>
      <c r="I29" t="s">
        <v>537</v>
      </c>
      <c r="J29">
        <v>1</v>
      </c>
      <c r="K29" t="s">
        <v>67</v>
      </c>
      <c r="L29" t="s">
        <v>68</v>
      </c>
      <c r="M29" t="s">
        <v>88</v>
      </c>
      <c r="N29" t="s">
        <v>89</v>
      </c>
      <c r="O29">
        <v>0</v>
      </c>
      <c r="Q29" t="s">
        <v>4144</v>
      </c>
      <c r="V29" t="s">
        <v>41</v>
      </c>
      <c r="W29">
        <v>96.11</v>
      </c>
      <c r="X29">
        <v>96.11</v>
      </c>
    </row>
    <row r="30" spans="1:24">
      <c r="A30" t="s">
        <v>543</v>
      </c>
      <c r="B30" s="72">
        <v>45709</v>
      </c>
      <c r="C30" s="72">
        <v>45709</v>
      </c>
      <c r="D30" t="s">
        <v>544</v>
      </c>
      <c r="E30" t="s">
        <v>118</v>
      </c>
      <c r="F30" t="s">
        <v>2527</v>
      </c>
      <c r="G30">
        <v>51000174</v>
      </c>
      <c r="H30" t="s">
        <v>158</v>
      </c>
      <c r="I30" t="s">
        <v>159</v>
      </c>
      <c r="J30">
        <v>1</v>
      </c>
      <c r="K30" t="s">
        <v>37</v>
      </c>
      <c r="L30" t="s">
        <v>48</v>
      </c>
      <c r="M30" t="s">
        <v>58</v>
      </c>
      <c r="N30" t="s">
        <v>58</v>
      </c>
      <c r="O30">
        <v>1</v>
      </c>
      <c r="Q30" t="s">
        <v>4139</v>
      </c>
      <c r="R30" s="72">
        <v>45705</v>
      </c>
      <c r="V30" t="s">
        <v>546</v>
      </c>
      <c r="W30">
        <v>475.51</v>
      </c>
      <c r="X30">
        <v>475.51</v>
      </c>
    </row>
    <row r="31" spans="1:24">
      <c r="A31" t="s">
        <v>524</v>
      </c>
      <c r="B31" s="72">
        <v>45709</v>
      </c>
      <c r="C31" s="72">
        <v>45708</v>
      </c>
      <c r="D31" t="s">
        <v>525</v>
      </c>
      <c r="E31" t="s">
        <v>85</v>
      </c>
      <c r="F31" t="s">
        <v>2496</v>
      </c>
      <c r="G31">
        <v>50000260</v>
      </c>
      <c r="H31" t="s">
        <v>531</v>
      </c>
      <c r="I31" t="s">
        <v>532</v>
      </c>
      <c r="J31">
        <v>1</v>
      </c>
      <c r="K31" t="s">
        <v>67</v>
      </c>
      <c r="L31" t="s">
        <v>68</v>
      </c>
      <c r="M31" t="s">
        <v>88</v>
      </c>
      <c r="N31" t="s">
        <v>89</v>
      </c>
      <c r="O31">
        <v>0</v>
      </c>
      <c r="Q31" t="s">
        <v>37</v>
      </c>
      <c r="V31" t="s">
        <v>41</v>
      </c>
      <c r="W31">
        <v>24.61</v>
      </c>
      <c r="X31">
        <v>24.61</v>
      </c>
    </row>
    <row r="32" spans="1:24">
      <c r="A32" t="s">
        <v>524</v>
      </c>
      <c r="B32" s="72">
        <v>45709</v>
      </c>
      <c r="C32" s="72">
        <v>45708</v>
      </c>
      <c r="D32" t="s">
        <v>525</v>
      </c>
      <c r="E32" t="s">
        <v>85</v>
      </c>
      <c r="F32" t="s">
        <v>2496</v>
      </c>
      <c r="G32">
        <v>50000260</v>
      </c>
      <c r="H32" t="s">
        <v>94</v>
      </c>
      <c r="I32" t="s">
        <v>530</v>
      </c>
      <c r="J32">
        <v>3</v>
      </c>
      <c r="K32" t="s">
        <v>37</v>
      </c>
      <c r="L32" t="s">
        <v>68</v>
      </c>
      <c r="M32" t="s">
        <v>58</v>
      </c>
      <c r="N32" t="s">
        <v>58</v>
      </c>
      <c r="O32">
        <v>3</v>
      </c>
      <c r="Q32" t="s">
        <v>4150</v>
      </c>
      <c r="R32" s="72">
        <v>45707</v>
      </c>
      <c r="V32" t="s">
        <v>41</v>
      </c>
      <c r="W32">
        <v>177.88</v>
      </c>
      <c r="X32">
        <v>533.64</v>
      </c>
    </row>
    <row r="33" spans="1:24">
      <c r="A33" t="s">
        <v>524</v>
      </c>
      <c r="B33" s="72">
        <v>45709</v>
      </c>
      <c r="C33" s="72">
        <v>45708</v>
      </c>
      <c r="D33" t="s">
        <v>525</v>
      </c>
      <c r="E33" t="s">
        <v>85</v>
      </c>
      <c r="F33" t="s">
        <v>2496</v>
      </c>
      <c r="G33">
        <v>50000260</v>
      </c>
      <c r="H33" t="s">
        <v>529</v>
      </c>
      <c r="I33" t="s">
        <v>187</v>
      </c>
      <c r="J33">
        <v>1</v>
      </c>
      <c r="K33" t="s">
        <v>37</v>
      </c>
      <c r="L33" t="s">
        <v>68</v>
      </c>
      <c r="M33" t="s">
        <v>58</v>
      </c>
      <c r="N33" t="s">
        <v>58</v>
      </c>
      <c r="O33">
        <v>1</v>
      </c>
      <c r="Q33" t="s">
        <v>37</v>
      </c>
      <c r="R33" s="72">
        <v>45707</v>
      </c>
      <c r="V33" t="s">
        <v>41</v>
      </c>
      <c r="W33">
        <v>11.43</v>
      </c>
      <c r="X33">
        <v>11.43</v>
      </c>
    </row>
    <row r="34" spans="1:24">
      <c r="A34" t="s">
        <v>524</v>
      </c>
      <c r="B34" s="72">
        <v>45709</v>
      </c>
      <c r="C34" s="72">
        <v>45708</v>
      </c>
      <c r="D34" t="s">
        <v>525</v>
      </c>
      <c r="E34" t="s">
        <v>85</v>
      </c>
      <c r="F34" t="s">
        <v>2496</v>
      </c>
      <c r="G34">
        <v>50000260</v>
      </c>
      <c r="H34" t="s">
        <v>527</v>
      </c>
      <c r="I34" t="s">
        <v>528</v>
      </c>
      <c r="J34">
        <v>1</v>
      </c>
      <c r="K34" t="s">
        <v>37</v>
      </c>
      <c r="L34" t="s">
        <v>68</v>
      </c>
      <c r="M34" t="s">
        <v>58</v>
      </c>
      <c r="N34" t="s">
        <v>58</v>
      </c>
      <c r="O34">
        <v>1</v>
      </c>
      <c r="Q34" t="s">
        <v>4150</v>
      </c>
      <c r="R34" s="72">
        <v>45707</v>
      </c>
      <c r="V34" t="s">
        <v>41</v>
      </c>
      <c r="W34">
        <v>273.58</v>
      </c>
      <c r="X34">
        <v>273.58</v>
      </c>
    </row>
    <row r="35" spans="1:24">
      <c r="A35" t="s">
        <v>524</v>
      </c>
      <c r="B35" s="72">
        <v>45709</v>
      </c>
      <c r="C35" s="72">
        <v>45708</v>
      </c>
      <c r="D35" t="s">
        <v>525</v>
      </c>
      <c r="E35" t="s">
        <v>85</v>
      </c>
      <c r="F35" t="s">
        <v>2496</v>
      </c>
      <c r="G35">
        <v>50000260</v>
      </c>
      <c r="H35" t="s">
        <v>245</v>
      </c>
      <c r="I35" t="s">
        <v>526</v>
      </c>
      <c r="J35">
        <v>3</v>
      </c>
      <c r="K35" t="s">
        <v>67</v>
      </c>
      <c r="L35" t="s">
        <v>68</v>
      </c>
      <c r="M35" t="s">
        <v>88</v>
      </c>
      <c r="N35" t="s">
        <v>89</v>
      </c>
      <c r="O35">
        <v>0</v>
      </c>
      <c r="P35" t="s">
        <v>247</v>
      </c>
      <c r="Q35" t="s">
        <v>37</v>
      </c>
      <c r="V35" t="s">
        <v>41</v>
      </c>
      <c r="W35">
        <v>80.180000000000007</v>
      </c>
      <c r="X35">
        <v>240.54000000000002</v>
      </c>
    </row>
    <row r="36" spans="1:24">
      <c r="A36" t="s">
        <v>519</v>
      </c>
      <c r="B36" s="72">
        <v>45709</v>
      </c>
      <c r="C36" s="72">
        <v>45708</v>
      </c>
      <c r="D36" t="s">
        <v>520</v>
      </c>
      <c r="E36" t="s">
        <v>202</v>
      </c>
      <c r="F36" t="s">
        <v>203</v>
      </c>
      <c r="G36">
        <v>60002072</v>
      </c>
      <c r="H36" t="s">
        <v>521</v>
      </c>
      <c r="I36" t="s">
        <v>522</v>
      </c>
      <c r="J36">
        <v>1</v>
      </c>
      <c r="K36" t="s">
        <v>67</v>
      </c>
      <c r="L36" t="s">
        <v>346</v>
      </c>
      <c r="M36" t="s">
        <v>88</v>
      </c>
      <c r="N36" t="s">
        <v>89</v>
      </c>
      <c r="O36">
        <v>0</v>
      </c>
      <c r="Q36" t="s">
        <v>4144</v>
      </c>
      <c r="W36">
        <v>2531.29</v>
      </c>
      <c r="X36">
        <v>2531.29</v>
      </c>
    </row>
    <row r="37" spans="1:24">
      <c r="A37" t="s">
        <v>513</v>
      </c>
      <c r="B37" s="72">
        <v>45708</v>
      </c>
      <c r="C37" s="72">
        <v>45708</v>
      </c>
      <c r="D37" t="s">
        <v>514</v>
      </c>
      <c r="E37" t="s">
        <v>515</v>
      </c>
      <c r="F37" t="s">
        <v>516</v>
      </c>
      <c r="G37">
        <v>61000037</v>
      </c>
      <c r="H37" t="s">
        <v>517</v>
      </c>
      <c r="I37" t="s">
        <v>518</v>
      </c>
      <c r="J37">
        <v>1</v>
      </c>
      <c r="K37" t="s">
        <v>67</v>
      </c>
      <c r="L37" t="s">
        <v>48</v>
      </c>
      <c r="M37" t="s">
        <v>88</v>
      </c>
      <c r="N37" t="s">
        <v>89</v>
      </c>
      <c r="O37">
        <v>0</v>
      </c>
      <c r="Q37" t="s">
        <v>4151</v>
      </c>
      <c r="W37">
        <v>60590.21</v>
      </c>
      <c r="X37">
        <v>60590.21</v>
      </c>
    </row>
    <row r="38" spans="1:24">
      <c r="A38" t="s">
        <v>509</v>
      </c>
      <c r="B38" s="72">
        <v>45708</v>
      </c>
      <c r="C38" s="72">
        <v>45707</v>
      </c>
      <c r="D38" t="s">
        <v>510</v>
      </c>
      <c r="E38" t="s">
        <v>93</v>
      </c>
      <c r="F38" t="s">
        <v>2496</v>
      </c>
      <c r="G38">
        <v>50000202</v>
      </c>
      <c r="H38" t="s">
        <v>511</v>
      </c>
      <c r="I38" t="s">
        <v>512</v>
      </c>
      <c r="J38">
        <v>1</v>
      </c>
      <c r="K38" t="s">
        <v>37</v>
      </c>
      <c r="L38" t="s">
        <v>48</v>
      </c>
      <c r="M38" t="s">
        <v>58</v>
      </c>
      <c r="N38" t="s">
        <v>58</v>
      </c>
      <c r="O38">
        <v>1</v>
      </c>
      <c r="Q38" t="s">
        <v>3970</v>
      </c>
      <c r="R38" s="72">
        <v>45699</v>
      </c>
      <c r="V38" t="s">
        <v>473</v>
      </c>
      <c r="W38">
        <v>1721.28</v>
      </c>
      <c r="X38">
        <v>1721.28</v>
      </c>
    </row>
    <row r="39" spans="1:24">
      <c r="A39" t="s">
        <v>502</v>
      </c>
      <c r="B39" s="72">
        <v>45708</v>
      </c>
      <c r="C39" s="72">
        <v>45707</v>
      </c>
      <c r="D39" t="s">
        <v>503</v>
      </c>
      <c r="E39" t="s">
        <v>33</v>
      </c>
      <c r="F39" t="s">
        <v>2491</v>
      </c>
      <c r="G39">
        <v>50110193</v>
      </c>
      <c r="H39" t="s">
        <v>507</v>
      </c>
      <c r="I39" t="s">
        <v>508</v>
      </c>
      <c r="J39">
        <v>1</v>
      </c>
      <c r="K39" t="s">
        <v>37</v>
      </c>
      <c r="L39" t="s">
        <v>48</v>
      </c>
      <c r="M39" t="s">
        <v>58</v>
      </c>
      <c r="N39" t="s">
        <v>58</v>
      </c>
      <c r="O39">
        <v>1</v>
      </c>
      <c r="Q39" t="s">
        <v>37</v>
      </c>
      <c r="R39" s="72">
        <v>45708</v>
      </c>
      <c r="V39" t="s">
        <v>41</v>
      </c>
      <c r="W39">
        <v>85.17</v>
      </c>
      <c r="X39">
        <v>85.17</v>
      </c>
    </row>
    <row r="40" spans="1:24">
      <c r="A40" t="s">
        <v>502</v>
      </c>
      <c r="B40" s="72">
        <v>45708</v>
      </c>
      <c r="C40" s="72">
        <v>45707</v>
      </c>
      <c r="D40" t="s">
        <v>503</v>
      </c>
      <c r="E40" t="s">
        <v>33</v>
      </c>
      <c r="F40" t="s">
        <v>2491</v>
      </c>
      <c r="G40">
        <v>50110193</v>
      </c>
      <c r="H40" t="s">
        <v>504</v>
      </c>
      <c r="I40" t="s">
        <v>505</v>
      </c>
      <c r="J40">
        <v>1</v>
      </c>
      <c r="K40" t="s">
        <v>37</v>
      </c>
      <c r="L40" t="s">
        <v>48</v>
      </c>
      <c r="M40" t="s">
        <v>88</v>
      </c>
      <c r="N40" t="s">
        <v>89</v>
      </c>
      <c r="O40">
        <v>0</v>
      </c>
      <c r="Q40" t="s">
        <v>37</v>
      </c>
      <c r="V40" t="s">
        <v>41</v>
      </c>
      <c r="W40">
        <v>511.16</v>
      </c>
      <c r="X40">
        <v>511.16</v>
      </c>
    </row>
    <row r="41" spans="1:24">
      <c r="A41" t="s">
        <v>498</v>
      </c>
      <c r="B41" s="72">
        <v>45708</v>
      </c>
      <c r="C41" s="72">
        <v>45707</v>
      </c>
      <c r="D41" t="s">
        <v>499</v>
      </c>
      <c r="E41" t="s">
        <v>33</v>
      </c>
      <c r="F41" t="s">
        <v>2491</v>
      </c>
      <c r="G41">
        <v>50110193</v>
      </c>
      <c r="H41" t="s">
        <v>500</v>
      </c>
      <c r="I41" t="s">
        <v>501</v>
      </c>
      <c r="J41">
        <v>1</v>
      </c>
      <c r="K41" t="s">
        <v>37</v>
      </c>
      <c r="L41" t="s">
        <v>48</v>
      </c>
      <c r="M41" t="s">
        <v>39</v>
      </c>
      <c r="N41" t="s">
        <v>58</v>
      </c>
      <c r="O41">
        <v>1</v>
      </c>
      <c r="Q41" t="s">
        <v>37</v>
      </c>
      <c r="R41" s="72">
        <v>45708</v>
      </c>
      <c r="V41" t="s">
        <v>41</v>
      </c>
      <c r="W41">
        <v>10.19</v>
      </c>
      <c r="X41">
        <v>10.19</v>
      </c>
    </row>
    <row r="42" spans="1:24">
      <c r="A42" t="s">
        <v>493</v>
      </c>
      <c r="B42" s="72">
        <v>45708</v>
      </c>
      <c r="C42" s="72">
        <v>45707</v>
      </c>
      <c r="D42" t="s">
        <v>494</v>
      </c>
      <c r="E42" t="s">
        <v>103</v>
      </c>
      <c r="F42" t="s">
        <v>2527</v>
      </c>
      <c r="G42">
        <v>51000323</v>
      </c>
      <c r="H42" t="s">
        <v>130</v>
      </c>
      <c r="I42" t="s">
        <v>4021</v>
      </c>
      <c r="J42">
        <v>2</v>
      </c>
      <c r="K42" t="s">
        <v>37</v>
      </c>
      <c r="L42" t="s">
        <v>48</v>
      </c>
      <c r="M42" t="s">
        <v>39</v>
      </c>
      <c r="N42" t="s">
        <v>58</v>
      </c>
      <c r="O42">
        <v>2</v>
      </c>
      <c r="Q42" t="s">
        <v>37</v>
      </c>
      <c r="R42" s="72">
        <v>45707</v>
      </c>
      <c r="V42" t="s">
        <v>41</v>
      </c>
      <c r="W42">
        <v>17.28</v>
      </c>
      <c r="X42">
        <v>34.56</v>
      </c>
    </row>
    <row r="43" spans="1:24">
      <c r="A43" t="s">
        <v>493</v>
      </c>
      <c r="B43" s="72">
        <v>45708</v>
      </c>
      <c r="C43" s="72">
        <v>45707</v>
      </c>
      <c r="D43" t="s">
        <v>494</v>
      </c>
      <c r="E43" t="s">
        <v>103</v>
      </c>
      <c r="F43" t="s">
        <v>2527</v>
      </c>
      <c r="G43">
        <v>51000323</v>
      </c>
      <c r="H43" t="s">
        <v>495</v>
      </c>
      <c r="I43" t="s">
        <v>496</v>
      </c>
      <c r="J43">
        <v>1</v>
      </c>
      <c r="K43" t="s">
        <v>37</v>
      </c>
      <c r="L43" t="s">
        <v>48</v>
      </c>
      <c r="M43" t="s">
        <v>88</v>
      </c>
      <c r="N43" t="s">
        <v>89</v>
      </c>
      <c r="O43">
        <v>0</v>
      </c>
      <c r="Q43" t="s">
        <v>37</v>
      </c>
      <c r="V43" t="s">
        <v>41</v>
      </c>
      <c r="W43">
        <v>7.35</v>
      </c>
      <c r="X43">
        <v>7.35</v>
      </c>
    </row>
    <row r="44" spans="1:24">
      <c r="A44" t="s">
        <v>438</v>
      </c>
      <c r="B44" s="72">
        <v>45708</v>
      </c>
      <c r="C44" s="72">
        <v>45708</v>
      </c>
      <c r="D44" t="s">
        <v>439</v>
      </c>
      <c r="E44" t="s">
        <v>225</v>
      </c>
      <c r="F44" t="s">
        <v>226</v>
      </c>
      <c r="G44">
        <v>43000422</v>
      </c>
      <c r="H44" t="s">
        <v>440</v>
      </c>
      <c r="I44" t="s">
        <v>441</v>
      </c>
      <c r="J44">
        <v>1</v>
      </c>
      <c r="K44" t="s">
        <v>37</v>
      </c>
      <c r="L44" t="s">
        <v>48</v>
      </c>
      <c r="M44" t="s">
        <v>58</v>
      </c>
      <c r="N44" t="s">
        <v>58</v>
      </c>
      <c r="O44">
        <v>1</v>
      </c>
      <c r="P44" t="s">
        <v>335</v>
      </c>
      <c r="Q44" t="s">
        <v>37</v>
      </c>
      <c r="R44" s="72">
        <v>45693</v>
      </c>
      <c r="V44" t="s">
        <v>442</v>
      </c>
      <c r="W44">
        <v>79.989999999999995</v>
      </c>
      <c r="X44">
        <v>79.989999999999995</v>
      </c>
    </row>
    <row r="45" spans="1:24">
      <c r="A45" t="s">
        <v>491</v>
      </c>
      <c r="B45" s="72">
        <v>45707</v>
      </c>
      <c r="E45" t="s">
        <v>33</v>
      </c>
      <c r="F45" t="s">
        <v>2491</v>
      </c>
      <c r="G45">
        <v>50110193</v>
      </c>
      <c r="H45" t="s">
        <v>4152</v>
      </c>
      <c r="I45" t="s">
        <v>4153</v>
      </c>
      <c r="J45">
        <v>1</v>
      </c>
      <c r="M45" t="s">
        <v>384</v>
      </c>
      <c r="N45" t="s">
        <v>384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486</v>
      </c>
      <c r="B46" s="72">
        <v>45707</v>
      </c>
      <c r="C46" s="72">
        <v>45707</v>
      </c>
      <c r="D46" t="s">
        <v>487</v>
      </c>
      <c r="E46" t="s">
        <v>63</v>
      </c>
      <c r="F46" t="s">
        <v>64</v>
      </c>
      <c r="G46">
        <v>48000432</v>
      </c>
      <c r="H46" t="s">
        <v>488</v>
      </c>
      <c r="I46" t="s">
        <v>489</v>
      </c>
      <c r="J46">
        <v>1</v>
      </c>
      <c r="K46" t="s">
        <v>37</v>
      </c>
      <c r="L46" t="s">
        <v>48</v>
      </c>
      <c r="M46" t="s">
        <v>58</v>
      </c>
      <c r="N46" t="s">
        <v>58</v>
      </c>
      <c r="O46">
        <v>1</v>
      </c>
      <c r="Q46" t="s">
        <v>3970</v>
      </c>
      <c r="R46" s="72">
        <v>45700</v>
      </c>
      <c r="V46" t="s">
        <v>490</v>
      </c>
      <c r="W46">
        <v>453.02</v>
      </c>
      <c r="X46">
        <v>453.02</v>
      </c>
    </row>
    <row r="47" spans="1:24">
      <c r="A47" t="s">
        <v>482</v>
      </c>
      <c r="B47" s="72">
        <v>45707</v>
      </c>
      <c r="C47" s="72">
        <v>45707</v>
      </c>
      <c r="D47" t="s">
        <v>483</v>
      </c>
      <c r="E47" t="s">
        <v>33</v>
      </c>
      <c r="F47" t="s">
        <v>2491</v>
      </c>
      <c r="G47">
        <v>50110193</v>
      </c>
      <c r="H47" t="s">
        <v>484</v>
      </c>
      <c r="I47" t="s">
        <v>485</v>
      </c>
      <c r="J47">
        <v>1</v>
      </c>
      <c r="K47" t="s">
        <v>37</v>
      </c>
      <c r="L47" t="s">
        <v>48</v>
      </c>
      <c r="M47" t="s">
        <v>58</v>
      </c>
      <c r="N47" t="s">
        <v>58</v>
      </c>
      <c r="O47">
        <v>1</v>
      </c>
      <c r="Q47" t="s">
        <v>37</v>
      </c>
      <c r="R47" s="72">
        <v>45701</v>
      </c>
      <c r="V47" t="s">
        <v>41</v>
      </c>
      <c r="W47">
        <v>125.99</v>
      </c>
      <c r="X47">
        <v>125.99</v>
      </c>
    </row>
    <row r="48" spans="1:24">
      <c r="A48" t="s">
        <v>477</v>
      </c>
      <c r="B48" s="72">
        <v>45707</v>
      </c>
      <c r="C48" s="72">
        <v>45339</v>
      </c>
      <c r="D48" t="s">
        <v>478</v>
      </c>
      <c r="E48" t="s">
        <v>3997</v>
      </c>
      <c r="F48" t="s">
        <v>2491</v>
      </c>
      <c r="G48" t="s">
        <v>182</v>
      </c>
      <c r="H48" t="s">
        <v>479</v>
      </c>
      <c r="I48" t="s">
        <v>480</v>
      </c>
      <c r="J48">
        <v>1</v>
      </c>
      <c r="K48" t="s">
        <v>37</v>
      </c>
      <c r="L48" t="s">
        <v>38</v>
      </c>
      <c r="M48" t="s">
        <v>58</v>
      </c>
      <c r="N48" t="s">
        <v>58</v>
      </c>
      <c r="O48">
        <v>1</v>
      </c>
      <c r="P48" t="s">
        <v>481</v>
      </c>
      <c r="Q48" t="s">
        <v>3970</v>
      </c>
      <c r="R48" s="72">
        <v>45692</v>
      </c>
      <c r="V48" t="s">
        <v>41</v>
      </c>
      <c r="W48">
        <v>6075.1</v>
      </c>
      <c r="X48">
        <v>6075.1</v>
      </c>
    </row>
    <row r="49" spans="1:24">
      <c r="A49" t="s">
        <v>474</v>
      </c>
      <c r="B49" s="72">
        <v>45707</v>
      </c>
      <c r="C49" s="72">
        <v>45705</v>
      </c>
      <c r="D49" t="s">
        <v>475</v>
      </c>
      <c r="E49" t="s">
        <v>4016</v>
      </c>
      <c r="F49" t="s">
        <v>173</v>
      </c>
      <c r="G49">
        <v>48300375</v>
      </c>
      <c r="H49" t="s">
        <v>280</v>
      </c>
      <c r="I49" t="s">
        <v>318</v>
      </c>
      <c r="J49">
        <v>1</v>
      </c>
      <c r="K49" t="s">
        <v>37</v>
      </c>
      <c r="L49" t="s">
        <v>217</v>
      </c>
      <c r="M49" t="s">
        <v>58</v>
      </c>
      <c r="N49" t="s">
        <v>58</v>
      </c>
      <c r="O49">
        <v>1</v>
      </c>
      <c r="Q49" t="s">
        <v>3970</v>
      </c>
      <c r="R49" s="72">
        <v>45636</v>
      </c>
      <c r="V49" t="s">
        <v>476</v>
      </c>
      <c r="W49">
        <v>431.82</v>
      </c>
      <c r="X49">
        <v>431.82</v>
      </c>
    </row>
    <row r="50" spans="1:24">
      <c r="A50" t="s">
        <v>468</v>
      </c>
      <c r="B50" s="72">
        <v>45707</v>
      </c>
      <c r="C50" s="72">
        <v>45705</v>
      </c>
      <c r="D50" t="s">
        <v>469</v>
      </c>
      <c r="E50" t="s">
        <v>93</v>
      </c>
      <c r="F50" t="s">
        <v>2496</v>
      </c>
      <c r="G50">
        <v>50000202</v>
      </c>
      <c r="H50" t="s">
        <v>470</v>
      </c>
      <c r="I50" t="s">
        <v>4020</v>
      </c>
      <c r="J50">
        <v>1</v>
      </c>
      <c r="K50" t="s">
        <v>37</v>
      </c>
      <c r="L50" t="s">
        <v>96</v>
      </c>
      <c r="M50" t="s">
        <v>58</v>
      </c>
      <c r="N50" t="s">
        <v>58</v>
      </c>
      <c r="O50">
        <v>1</v>
      </c>
      <c r="P50" t="s">
        <v>472</v>
      </c>
      <c r="Q50" t="s">
        <v>3970</v>
      </c>
      <c r="R50" s="72">
        <v>45705</v>
      </c>
      <c r="V50" t="s">
        <v>473</v>
      </c>
      <c r="W50">
        <v>826.34</v>
      </c>
      <c r="X50">
        <v>826.34</v>
      </c>
    </row>
    <row r="51" spans="1:24">
      <c r="A51" t="s">
        <v>461</v>
      </c>
      <c r="B51" s="72">
        <v>45707</v>
      </c>
      <c r="C51" s="72">
        <v>45705</v>
      </c>
      <c r="D51" t="s">
        <v>462</v>
      </c>
      <c r="E51" t="s">
        <v>202</v>
      </c>
      <c r="F51" t="s">
        <v>203</v>
      </c>
      <c r="G51">
        <v>60002072</v>
      </c>
      <c r="H51" t="s">
        <v>464</v>
      </c>
      <c r="I51" t="s">
        <v>465</v>
      </c>
      <c r="J51">
        <v>1</v>
      </c>
      <c r="K51" t="s">
        <v>37</v>
      </c>
      <c r="L51" t="s">
        <v>346</v>
      </c>
      <c r="M51" t="s">
        <v>58</v>
      </c>
      <c r="N51" t="s">
        <v>58</v>
      </c>
      <c r="O51">
        <v>1</v>
      </c>
      <c r="Q51" t="s">
        <v>4139</v>
      </c>
      <c r="R51" s="72">
        <v>45693</v>
      </c>
      <c r="W51">
        <v>359.28</v>
      </c>
      <c r="X51">
        <v>359.28</v>
      </c>
    </row>
    <row r="52" spans="1:24">
      <c r="A52" t="s">
        <v>461</v>
      </c>
      <c r="B52" s="72">
        <v>45707</v>
      </c>
      <c r="C52" s="72">
        <v>45705</v>
      </c>
      <c r="D52" t="s">
        <v>462</v>
      </c>
      <c r="E52" t="s">
        <v>202</v>
      </c>
      <c r="F52" t="s">
        <v>203</v>
      </c>
      <c r="G52">
        <v>60002072</v>
      </c>
      <c r="H52" t="s">
        <v>114</v>
      </c>
      <c r="I52" t="s">
        <v>463</v>
      </c>
      <c r="J52">
        <v>1</v>
      </c>
      <c r="K52" t="s">
        <v>37</v>
      </c>
      <c r="L52" t="s">
        <v>346</v>
      </c>
      <c r="M52" t="s">
        <v>58</v>
      </c>
      <c r="N52" t="s">
        <v>58</v>
      </c>
      <c r="O52">
        <v>1</v>
      </c>
      <c r="Q52" t="s">
        <v>37</v>
      </c>
      <c r="R52" s="72">
        <v>45693</v>
      </c>
      <c r="W52">
        <v>77.98</v>
      </c>
      <c r="X52">
        <v>77.98</v>
      </c>
    </row>
    <row r="53" spans="1:24">
      <c r="A53" t="s">
        <v>466</v>
      </c>
      <c r="B53" s="72">
        <v>45706</v>
      </c>
      <c r="E53" t="s">
        <v>192</v>
      </c>
      <c r="F53" t="s">
        <v>4147</v>
      </c>
      <c r="G53">
        <v>51000129</v>
      </c>
      <c r="H53" t="s">
        <v>4154</v>
      </c>
      <c r="I53" t="s">
        <v>4155</v>
      </c>
      <c r="J53">
        <v>1</v>
      </c>
      <c r="M53" t="s">
        <v>384</v>
      </c>
      <c r="N53" t="s">
        <v>384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453</v>
      </c>
      <c r="B54" s="72">
        <v>45706</v>
      </c>
      <c r="C54" s="72">
        <v>45698</v>
      </c>
      <c r="D54" t="s">
        <v>454</v>
      </c>
      <c r="E54" t="s">
        <v>455</v>
      </c>
      <c r="F54" t="s">
        <v>456</v>
      </c>
      <c r="G54">
        <v>47200115</v>
      </c>
      <c r="H54" t="s">
        <v>457</v>
      </c>
      <c r="I54" t="s">
        <v>4019</v>
      </c>
      <c r="J54">
        <v>1</v>
      </c>
      <c r="K54" t="s">
        <v>37</v>
      </c>
      <c r="L54" t="s">
        <v>459</v>
      </c>
      <c r="M54" t="s">
        <v>58</v>
      </c>
      <c r="N54" t="s">
        <v>58</v>
      </c>
      <c r="O54">
        <v>1</v>
      </c>
      <c r="Q54" t="s">
        <v>4139</v>
      </c>
      <c r="R54" s="72">
        <v>45642</v>
      </c>
      <c r="V54" t="s">
        <v>460</v>
      </c>
      <c r="W54">
        <v>1317.91</v>
      </c>
      <c r="X54">
        <v>1317.91</v>
      </c>
    </row>
    <row r="55" spans="1:24">
      <c r="A55" t="s">
        <v>449</v>
      </c>
      <c r="B55" s="72">
        <v>45701</v>
      </c>
      <c r="C55" s="72">
        <v>45700</v>
      </c>
      <c r="D55" t="s">
        <v>450</v>
      </c>
      <c r="E55" t="s">
        <v>73</v>
      </c>
      <c r="F55" t="s">
        <v>203</v>
      </c>
      <c r="G55">
        <v>60002095</v>
      </c>
      <c r="H55" t="s">
        <v>451</v>
      </c>
      <c r="I55" t="s">
        <v>452</v>
      </c>
      <c r="J55">
        <v>1</v>
      </c>
      <c r="K55" t="s">
        <v>37</v>
      </c>
      <c r="L55" t="s">
        <v>96</v>
      </c>
      <c r="M55" t="s">
        <v>58</v>
      </c>
      <c r="N55" t="s">
        <v>58</v>
      </c>
      <c r="O55">
        <v>1</v>
      </c>
      <c r="Q55" t="s">
        <v>3970</v>
      </c>
      <c r="R55" s="72">
        <v>45701</v>
      </c>
      <c r="V55" t="s">
        <v>41</v>
      </c>
      <c r="W55">
        <v>1172.56</v>
      </c>
      <c r="X55">
        <v>1172.56</v>
      </c>
    </row>
    <row r="56" spans="1:24">
      <c r="A56" t="s">
        <v>443</v>
      </c>
      <c r="B56" s="72">
        <v>45699</v>
      </c>
      <c r="C56" s="72">
        <v>45691</v>
      </c>
      <c r="D56" t="s">
        <v>444</v>
      </c>
      <c r="E56" t="s">
        <v>445</v>
      </c>
      <c r="F56" t="s">
        <v>403</v>
      </c>
      <c r="G56">
        <v>50300097</v>
      </c>
      <c r="H56" t="s">
        <v>446</v>
      </c>
      <c r="I56" t="s">
        <v>4018</v>
      </c>
      <c r="J56">
        <v>1</v>
      </c>
      <c r="K56" t="s">
        <v>37</v>
      </c>
      <c r="L56" t="s">
        <v>294</v>
      </c>
      <c r="M56" t="s">
        <v>88</v>
      </c>
      <c r="N56" t="s">
        <v>58</v>
      </c>
      <c r="O56">
        <v>1</v>
      </c>
      <c r="Q56" t="s">
        <v>37</v>
      </c>
      <c r="R56" s="72">
        <v>45691</v>
      </c>
      <c r="V56" t="s">
        <v>448</v>
      </c>
      <c r="W56">
        <v>83.29</v>
      </c>
      <c r="X56">
        <v>83.29</v>
      </c>
    </row>
    <row r="57" spans="1:24">
      <c r="A57" t="s">
        <v>434</v>
      </c>
      <c r="B57" s="72">
        <v>45698</v>
      </c>
      <c r="C57" s="72">
        <v>45698</v>
      </c>
      <c r="D57" t="s">
        <v>435</v>
      </c>
      <c r="E57" t="s">
        <v>109</v>
      </c>
      <c r="F57" t="s">
        <v>2491</v>
      </c>
      <c r="G57">
        <v>50110229</v>
      </c>
      <c r="H57" t="s">
        <v>436</v>
      </c>
      <c r="I57" t="s">
        <v>437</v>
      </c>
      <c r="J57">
        <v>1</v>
      </c>
      <c r="K57" t="s">
        <v>67</v>
      </c>
      <c r="L57" t="s">
        <v>48</v>
      </c>
      <c r="M57" t="s">
        <v>88</v>
      </c>
      <c r="N57" t="s">
        <v>89</v>
      </c>
      <c r="O57">
        <v>0</v>
      </c>
      <c r="Q57" t="s">
        <v>37</v>
      </c>
      <c r="V57" t="s">
        <v>41</v>
      </c>
      <c r="W57">
        <v>248.73</v>
      </c>
      <c r="X57">
        <v>248.73</v>
      </c>
    </row>
    <row r="58" spans="1:24">
      <c r="A58" t="s">
        <v>431</v>
      </c>
      <c r="B58" s="72">
        <v>45698</v>
      </c>
      <c r="C58" s="72">
        <v>45698</v>
      </c>
      <c r="D58" t="s">
        <v>432</v>
      </c>
      <c r="E58" t="s">
        <v>73</v>
      </c>
      <c r="F58" t="s">
        <v>2491</v>
      </c>
      <c r="G58">
        <v>50110372</v>
      </c>
      <c r="H58" t="s">
        <v>80</v>
      </c>
      <c r="I58" t="s">
        <v>433</v>
      </c>
      <c r="J58">
        <v>1</v>
      </c>
      <c r="K58" t="s">
        <v>37</v>
      </c>
      <c r="L58" t="s">
        <v>48</v>
      </c>
      <c r="M58" t="s">
        <v>58</v>
      </c>
      <c r="N58" t="s">
        <v>58</v>
      </c>
      <c r="O58">
        <v>1</v>
      </c>
      <c r="Q58" t="s">
        <v>37</v>
      </c>
      <c r="R58" s="72">
        <v>45695</v>
      </c>
      <c r="V58" t="s">
        <v>41</v>
      </c>
      <c r="W58">
        <v>49.81</v>
      </c>
      <c r="X58">
        <v>49.81</v>
      </c>
    </row>
    <row r="59" spans="1:24">
      <c r="A59" t="s">
        <v>426</v>
      </c>
      <c r="B59" s="72">
        <v>45698</v>
      </c>
      <c r="C59" s="72">
        <v>45698</v>
      </c>
      <c r="D59" t="s">
        <v>427</v>
      </c>
      <c r="E59" t="s">
        <v>4016</v>
      </c>
      <c r="F59" t="s">
        <v>173</v>
      </c>
      <c r="G59">
        <v>48300375</v>
      </c>
      <c r="H59" t="s">
        <v>429</v>
      </c>
      <c r="I59" t="s">
        <v>4017</v>
      </c>
      <c r="J59">
        <v>1</v>
      </c>
      <c r="K59" t="s">
        <v>37</v>
      </c>
      <c r="L59" t="s">
        <v>48</v>
      </c>
      <c r="M59" t="s">
        <v>88</v>
      </c>
      <c r="N59" t="s">
        <v>89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424</v>
      </c>
      <c r="B60" s="72">
        <v>45698</v>
      </c>
      <c r="C60" s="72">
        <v>45692</v>
      </c>
      <c r="D60" t="s">
        <v>425</v>
      </c>
      <c r="E60" t="s">
        <v>73</v>
      </c>
      <c r="F60" t="s">
        <v>2496</v>
      </c>
      <c r="G60">
        <v>50000343</v>
      </c>
      <c r="H60" t="s">
        <v>330</v>
      </c>
      <c r="I60" t="s">
        <v>331</v>
      </c>
      <c r="J60">
        <v>1</v>
      </c>
      <c r="K60" t="s">
        <v>37</v>
      </c>
      <c r="L60" t="s">
        <v>48</v>
      </c>
      <c r="M60" t="s">
        <v>39</v>
      </c>
      <c r="N60" t="s">
        <v>39</v>
      </c>
      <c r="O60">
        <v>1</v>
      </c>
      <c r="Q60" t="s">
        <v>37</v>
      </c>
      <c r="R60" s="72">
        <v>45698</v>
      </c>
      <c r="V60" t="s">
        <v>41</v>
      </c>
      <c r="W60">
        <v>35.19</v>
      </c>
      <c r="X60">
        <v>35.19</v>
      </c>
    </row>
    <row r="61" spans="1:24">
      <c r="A61" t="s">
        <v>415</v>
      </c>
      <c r="B61" s="72">
        <v>45695</v>
      </c>
      <c r="C61" s="72">
        <v>45694</v>
      </c>
      <c r="D61" t="s">
        <v>416</v>
      </c>
      <c r="E61" t="s">
        <v>417</v>
      </c>
      <c r="F61" t="s">
        <v>55</v>
      </c>
      <c r="G61">
        <v>44000321</v>
      </c>
      <c r="H61" t="s">
        <v>422</v>
      </c>
      <c r="I61" t="s">
        <v>423</v>
      </c>
      <c r="J61">
        <v>1</v>
      </c>
      <c r="K61" t="s">
        <v>37</v>
      </c>
      <c r="L61" t="s">
        <v>412</v>
      </c>
      <c r="M61" t="s">
        <v>58</v>
      </c>
      <c r="N61" t="s">
        <v>58</v>
      </c>
      <c r="O61">
        <v>1</v>
      </c>
      <c r="Q61" t="s">
        <v>37</v>
      </c>
      <c r="R61" s="72">
        <v>45672</v>
      </c>
      <c r="V61" t="s">
        <v>421</v>
      </c>
      <c r="W61">
        <v>769.19</v>
      </c>
      <c r="X61">
        <v>769.19</v>
      </c>
    </row>
    <row r="62" spans="1:24">
      <c r="A62" t="s">
        <v>295</v>
      </c>
      <c r="B62" s="72">
        <v>45691</v>
      </c>
      <c r="C62" s="72">
        <v>45688</v>
      </c>
      <c r="D62" t="s">
        <v>296</v>
      </c>
      <c r="E62" t="s">
        <v>181</v>
      </c>
      <c r="F62" t="s">
        <v>2491</v>
      </c>
      <c r="G62">
        <v>50110057</v>
      </c>
      <c r="H62" t="s">
        <v>297</v>
      </c>
      <c r="I62" t="s">
        <v>4008</v>
      </c>
      <c r="J62">
        <v>1</v>
      </c>
      <c r="K62" t="s">
        <v>37</v>
      </c>
      <c r="L62" t="s">
        <v>96</v>
      </c>
      <c r="M62" t="s">
        <v>39</v>
      </c>
      <c r="N62" t="s">
        <v>39</v>
      </c>
      <c r="O62">
        <v>1</v>
      </c>
      <c r="Q62" t="s">
        <v>4141</v>
      </c>
      <c r="V62" t="s">
        <v>41</v>
      </c>
      <c r="W62">
        <v>15.33</v>
      </c>
      <c r="X62">
        <v>15.33</v>
      </c>
    </row>
    <row r="63" spans="1:24">
      <c r="A63" t="s">
        <v>300</v>
      </c>
      <c r="B63" s="72">
        <v>45691</v>
      </c>
      <c r="C63" s="72">
        <v>45688</v>
      </c>
      <c r="D63" t="s">
        <v>301</v>
      </c>
      <c r="E63" t="s">
        <v>225</v>
      </c>
      <c r="F63" t="s">
        <v>226</v>
      </c>
      <c r="G63">
        <v>43000422</v>
      </c>
      <c r="H63" t="s">
        <v>302</v>
      </c>
      <c r="I63" t="s">
        <v>4009</v>
      </c>
      <c r="J63">
        <v>1</v>
      </c>
      <c r="K63" t="s">
        <v>37</v>
      </c>
      <c r="L63" t="s">
        <v>48</v>
      </c>
      <c r="M63" t="s">
        <v>58</v>
      </c>
      <c r="N63" t="s">
        <v>58</v>
      </c>
      <c r="O63">
        <v>1</v>
      </c>
      <c r="P63" t="s">
        <v>304</v>
      </c>
      <c r="Q63" t="s">
        <v>4156</v>
      </c>
      <c r="R63" s="72">
        <v>45681</v>
      </c>
      <c r="V63" t="s">
        <v>305</v>
      </c>
      <c r="W63">
        <v>654.77</v>
      </c>
      <c r="X63">
        <v>654.77</v>
      </c>
    </row>
    <row r="64" spans="1:24">
      <c r="A64" t="s">
        <v>310</v>
      </c>
      <c r="B64" s="72">
        <v>45691</v>
      </c>
      <c r="C64" s="72">
        <v>45691</v>
      </c>
      <c r="D64" t="s">
        <v>311</v>
      </c>
      <c r="E64" t="s">
        <v>152</v>
      </c>
      <c r="F64" t="s">
        <v>64</v>
      </c>
      <c r="G64">
        <v>48000482</v>
      </c>
      <c r="H64" t="s">
        <v>312</v>
      </c>
      <c r="I64" t="s">
        <v>313</v>
      </c>
      <c r="J64">
        <v>1</v>
      </c>
      <c r="K64" t="s">
        <v>37</v>
      </c>
      <c r="L64" t="s">
        <v>48</v>
      </c>
      <c r="M64" t="s">
        <v>58</v>
      </c>
      <c r="N64" t="s">
        <v>58</v>
      </c>
      <c r="O64">
        <v>1</v>
      </c>
      <c r="P64" t="s">
        <v>314</v>
      </c>
      <c r="Q64" t="s">
        <v>37</v>
      </c>
      <c r="R64" s="72">
        <v>45691</v>
      </c>
      <c r="V64" t="s">
        <v>315</v>
      </c>
      <c r="W64">
        <v>159.5</v>
      </c>
      <c r="X64">
        <v>159.5</v>
      </c>
    </row>
    <row r="65" spans="1:24">
      <c r="A65" t="s">
        <v>316</v>
      </c>
      <c r="B65" s="72">
        <v>45691</v>
      </c>
      <c r="C65" s="72">
        <v>45691</v>
      </c>
      <c r="D65" t="s">
        <v>317</v>
      </c>
      <c r="E65" t="s">
        <v>152</v>
      </c>
      <c r="F65" t="s">
        <v>64</v>
      </c>
      <c r="G65">
        <v>48000482</v>
      </c>
      <c r="H65" t="s">
        <v>280</v>
      </c>
      <c r="I65" t="s">
        <v>4007</v>
      </c>
      <c r="J65">
        <v>1</v>
      </c>
      <c r="K65" t="s">
        <v>37</v>
      </c>
      <c r="L65" t="s">
        <v>48</v>
      </c>
      <c r="M65" t="s">
        <v>58</v>
      </c>
      <c r="N65" t="s">
        <v>58</v>
      </c>
      <c r="O65">
        <v>1</v>
      </c>
      <c r="Q65" t="s">
        <v>3970</v>
      </c>
      <c r="R65" s="72">
        <v>45672</v>
      </c>
      <c r="V65" t="s">
        <v>155</v>
      </c>
      <c r="W65">
        <v>431.82</v>
      </c>
      <c r="X65">
        <v>431.82</v>
      </c>
    </row>
    <row r="66" spans="1:24">
      <c r="A66" t="s">
        <v>319</v>
      </c>
      <c r="B66" s="72">
        <v>45691</v>
      </c>
      <c r="C66" s="72">
        <v>45691</v>
      </c>
      <c r="D66" t="s">
        <v>320</v>
      </c>
      <c r="E66" t="s">
        <v>79</v>
      </c>
      <c r="F66" t="s">
        <v>2496</v>
      </c>
      <c r="G66">
        <v>50000530</v>
      </c>
      <c r="H66" t="s">
        <v>321</v>
      </c>
      <c r="I66" t="s">
        <v>4010</v>
      </c>
      <c r="J66">
        <v>1</v>
      </c>
      <c r="K66" t="s">
        <v>67</v>
      </c>
      <c r="L66" t="s">
        <v>294</v>
      </c>
      <c r="M66" t="s">
        <v>58</v>
      </c>
      <c r="N66" t="s">
        <v>58</v>
      </c>
      <c r="O66">
        <v>1</v>
      </c>
      <c r="Q66" t="s">
        <v>4157</v>
      </c>
      <c r="R66" s="72">
        <v>45688</v>
      </c>
      <c r="V66" t="s">
        <v>323</v>
      </c>
      <c r="W66">
        <v>396.84</v>
      </c>
      <c r="X66">
        <v>396.84</v>
      </c>
    </row>
    <row r="67" spans="1:24">
      <c r="A67" t="s">
        <v>328</v>
      </c>
      <c r="B67" s="72">
        <v>45691</v>
      </c>
      <c r="C67" s="72">
        <v>45691</v>
      </c>
      <c r="D67" t="s">
        <v>329</v>
      </c>
      <c r="E67" t="s">
        <v>79</v>
      </c>
      <c r="F67" t="s">
        <v>2496</v>
      </c>
      <c r="G67">
        <v>50000530</v>
      </c>
      <c r="H67" t="s">
        <v>330</v>
      </c>
      <c r="I67" t="s">
        <v>331</v>
      </c>
      <c r="J67">
        <v>1</v>
      </c>
      <c r="K67" t="s">
        <v>37</v>
      </c>
      <c r="L67" t="s">
        <v>48</v>
      </c>
      <c r="M67" t="s">
        <v>58</v>
      </c>
      <c r="N67" t="s">
        <v>58</v>
      </c>
      <c r="O67">
        <v>1</v>
      </c>
      <c r="Q67" t="s">
        <v>37</v>
      </c>
      <c r="R67" s="72">
        <v>45688</v>
      </c>
      <c r="V67" t="s">
        <v>323</v>
      </c>
      <c r="W67">
        <v>35.19</v>
      </c>
      <c r="X67">
        <v>35.19</v>
      </c>
    </row>
    <row r="68" spans="1:24">
      <c r="A68" t="s">
        <v>332</v>
      </c>
      <c r="B68" s="72">
        <v>45691</v>
      </c>
      <c r="C68" s="72">
        <v>45691</v>
      </c>
      <c r="D68" t="s">
        <v>333</v>
      </c>
      <c r="E68" t="s">
        <v>334</v>
      </c>
      <c r="F68" t="s">
        <v>55</v>
      </c>
      <c r="G68">
        <v>44000010</v>
      </c>
      <c r="H68" t="s">
        <v>335</v>
      </c>
      <c r="I68" t="s">
        <v>4011</v>
      </c>
      <c r="J68">
        <v>1</v>
      </c>
      <c r="K68" t="s">
        <v>37</v>
      </c>
      <c r="L68" t="s">
        <v>48</v>
      </c>
      <c r="M68" t="s">
        <v>58</v>
      </c>
      <c r="N68" t="s">
        <v>58</v>
      </c>
      <c r="O68">
        <v>1</v>
      </c>
      <c r="Q68" t="s">
        <v>37</v>
      </c>
      <c r="R68" s="72">
        <v>45705</v>
      </c>
      <c r="V68" t="s">
        <v>337</v>
      </c>
      <c r="W68">
        <v>79.989999999999995</v>
      </c>
      <c r="X68">
        <v>79.989999999999995</v>
      </c>
    </row>
    <row r="69" spans="1:24">
      <c r="A69" t="s">
        <v>338</v>
      </c>
      <c r="B69" s="72">
        <v>45691</v>
      </c>
      <c r="C69" s="72">
        <v>45691</v>
      </c>
      <c r="D69" t="s">
        <v>339</v>
      </c>
      <c r="E69" t="s">
        <v>33</v>
      </c>
      <c r="F69" t="s">
        <v>2491</v>
      </c>
      <c r="G69">
        <v>50110193</v>
      </c>
      <c r="H69" t="s">
        <v>340</v>
      </c>
      <c r="I69" t="s">
        <v>341</v>
      </c>
      <c r="J69">
        <v>1</v>
      </c>
      <c r="K69" t="s">
        <v>37</v>
      </c>
      <c r="L69" t="s">
        <v>48</v>
      </c>
      <c r="M69" t="s">
        <v>39</v>
      </c>
      <c r="N69" t="s">
        <v>39</v>
      </c>
      <c r="O69">
        <v>1</v>
      </c>
      <c r="Q69" t="s">
        <v>37</v>
      </c>
      <c r="R69" s="72">
        <v>45693</v>
      </c>
      <c r="V69" t="s">
        <v>41</v>
      </c>
      <c r="W69">
        <v>37.229999999999997</v>
      </c>
      <c r="X69">
        <v>37.229999999999997</v>
      </c>
    </row>
    <row r="70" spans="1:24">
      <c r="A70" t="s">
        <v>324</v>
      </c>
      <c r="B70" s="72">
        <v>45692</v>
      </c>
      <c r="C70" s="72">
        <v>45691</v>
      </c>
      <c r="D70" t="s">
        <v>325</v>
      </c>
      <c r="E70" t="s">
        <v>63</v>
      </c>
      <c r="F70" t="s">
        <v>173</v>
      </c>
      <c r="G70">
        <v>48300301</v>
      </c>
      <c r="H70" t="s">
        <v>326</v>
      </c>
      <c r="I70" t="s">
        <v>4012</v>
      </c>
      <c r="J70">
        <v>1</v>
      </c>
      <c r="K70" t="s">
        <v>37</v>
      </c>
      <c r="L70" t="s">
        <v>48</v>
      </c>
      <c r="M70" t="s">
        <v>58</v>
      </c>
      <c r="N70" t="s">
        <v>58</v>
      </c>
      <c r="O70">
        <v>1</v>
      </c>
      <c r="Q70" t="s">
        <v>3970</v>
      </c>
      <c r="R70" s="72">
        <v>45679</v>
      </c>
      <c r="V70" t="s">
        <v>70</v>
      </c>
      <c r="W70">
        <v>882.69</v>
      </c>
      <c r="X70">
        <v>882.69</v>
      </c>
    </row>
    <row r="71" spans="1:24">
      <c r="A71" t="s">
        <v>348</v>
      </c>
      <c r="B71" s="72">
        <v>45692</v>
      </c>
      <c r="C71" s="72">
        <v>45691</v>
      </c>
      <c r="D71" t="s">
        <v>349</v>
      </c>
      <c r="E71" t="s">
        <v>202</v>
      </c>
      <c r="F71" t="s">
        <v>203</v>
      </c>
      <c r="G71">
        <v>60002072</v>
      </c>
      <c r="H71" t="s">
        <v>350</v>
      </c>
      <c r="I71" t="s">
        <v>351</v>
      </c>
      <c r="J71">
        <v>1</v>
      </c>
      <c r="K71" t="s">
        <v>37</v>
      </c>
      <c r="L71" t="s">
        <v>346</v>
      </c>
      <c r="M71" t="s">
        <v>58</v>
      </c>
      <c r="N71" t="s">
        <v>58</v>
      </c>
      <c r="O71">
        <v>1</v>
      </c>
      <c r="Q71" t="s">
        <v>3970</v>
      </c>
      <c r="R71" s="72">
        <v>45692</v>
      </c>
      <c r="W71">
        <v>886.36</v>
      </c>
      <c r="X71">
        <v>886.36</v>
      </c>
    </row>
    <row r="72" spans="1:24">
      <c r="A72" t="s">
        <v>352</v>
      </c>
      <c r="B72" s="72">
        <v>45692</v>
      </c>
      <c r="C72" s="72">
        <v>45688</v>
      </c>
      <c r="D72" t="s">
        <v>353</v>
      </c>
      <c r="E72" t="s">
        <v>73</v>
      </c>
      <c r="F72" t="s">
        <v>2496</v>
      </c>
      <c r="G72">
        <v>50000343</v>
      </c>
      <c r="H72" t="s">
        <v>354</v>
      </c>
      <c r="I72" t="s">
        <v>355</v>
      </c>
      <c r="J72">
        <v>1</v>
      </c>
      <c r="K72" t="s">
        <v>37</v>
      </c>
      <c r="L72" t="s">
        <v>48</v>
      </c>
      <c r="M72" t="s">
        <v>39</v>
      </c>
      <c r="N72" t="s">
        <v>39</v>
      </c>
      <c r="O72">
        <v>1</v>
      </c>
      <c r="Q72" t="s">
        <v>37</v>
      </c>
      <c r="R72" s="72">
        <v>45693</v>
      </c>
      <c r="V72" t="s">
        <v>41</v>
      </c>
      <c r="W72">
        <v>274.36</v>
      </c>
      <c r="X72">
        <v>274.36</v>
      </c>
    </row>
    <row r="73" spans="1:24">
      <c r="A73" t="s">
        <v>360</v>
      </c>
      <c r="B73" s="72">
        <v>45692</v>
      </c>
      <c r="C73" s="72">
        <v>45691</v>
      </c>
      <c r="D73" t="s">
        <v>361</v>
      </c>
      <c r="E73" t="s">
        <v>93</v>
      </c>
      <c r="F73" t="s">
        <v>2496</v>
      </c>
      <c r="G73">
        <v>50000202</v>
      </c>
      <c r="H73" t="s">
        <v>65</v>
      </c>
      <c r="I73" t="s">
        <v>362</v>
      </c>
      <c r="J73">
        <v>1</v>
      </c>
      <c r="K73" t="s">
        <v>37</v>
      </c>
      <c r="L73" t="s">
        <v>363</v>
      </c>
      <c r="M73" t="s">
        <v>58</v>
      </c>
      <c r="N73" t="s">
        <v>58</v>
      </c>
      <c r="O73">
        <v>1</v>
      </c>
      <c r="Q73" t="s">
        <v>3970</v>
      </c>
      <c r="R73" s="72">
        <v>45663</v>
      </c>
      <c r="V73" t="s">
        <v>97</v>
      </c>
      <c r="W73">
        <v>1427.32</v>
      </c>
      <c r="X73">
        <v>1427.32</v>
      </c>
    </row>
    <row r="74" spans="1:24">
      <c r="A74" t="s">
        <v>364</v>
      </c>
      <c r="B74" s="72">
        <v>45692</v>
      </c>
      <c r="C74" s="72">
        <v>45692</v>
      </c>
      <c r="D74" t="s">
        <v>365</v>
      </c>
      <c r="E74" t="s">
        <v>152</v>
      </c>
      <c r="F74" t="s">
        <v>64</v>
      </c>
      <c r="G74">
        <v>48000482</v>
      </c>
      <c r="H74" t="s">
        <v>335</v>
      </c>
      <c r="I74" t="s">
        <v>1136</v>
      </c>
      <c r="J74">
        <v>1</v>
      </c>
      <c r="K74" t="s">
        <v>37</v>
      </c>
      <c r="L74" t="s">
        <v>48</v>
      </c>
      <c r="M74" t="s">
        <v>88</v>
      </c>
      <c r="N74" t="s">
        <v>58</v>
      </c>
      <c r="O74">
        <v>1</v>
      </c>
      <c r="Q74" t="s">
        <v>37</v>
      </c>
      <c r="R74" s="72">
        <v>45705</v>
      </c>
      <c r="V74" t="s">
        <v>315</v>
      </c>
      <c r="W74">
        <v>79.989999999999995</v>
      </c>
      <c r="X74">
        <v>79.989999999999995</v>
      </c>
    </row>
    <row r="75" spans="1:24">
      <c r="A75" t="s">
        <v>367</v>
      </c>
      <c r="B75" s="72">
        <v>45692</v>
      </c>
      <c r="C75" s="72">
        <v>45692</v>
      </c>
      <c r="D75" t="s">
        <v>368</v>
      </c>
      <c r="E75" t="s">
        <v>63</v>
      </c>
      <c r="F75" t="s">
        <v>55</v>
      </c>
      <c r="G75">
        <v>44000059</v>
      </c>
      <c r="H75" t="s">
        <v>369</v>
      </c>
      <c r="I75" t="s">
        <v>370</v>
      </c>
      <c r="J75">
        <v>1</v>
      </c>
      <c r="K75" t="s">
        <v>37</v>
      </c>
      <c r="L75" t="s">
        <v>48</v>
      </c>
      <c r="M75" t="s">
        <v>58</v>
      </c>
      <c r="N75" t="s">
        <v>58</v>
      </c>
      <c r="O75">
        <v>1</v>
      </c>
      <c r="Q75" t="s">
        <v>3970</v>
      </c>
      <c r="R75" s="72">
        <v>45681</v>
      </c>
      <c r="V75" t="s">
        <v>70</v>
      </c>
      <c r="W75">
        <v>98.36</v>
      </c>
      <c r="X75">
        <v>98.36</v>
      </c>
    </row>
    <row r="76" spans="1:24">
      <c r="A76" t="s">
        <v>367</v>
      </c>
      <c r="B76" s="72">
        <v>45692</v>
      </c>
      <c r="C76" s="72">
        <v>45692</v>
      </c>
      <c r="D76" t="s">
        <v>368</v>
      </c>
      <c r="E76" t="s">
        <v>63</v>
      </c>
      <c r="F76" t="s">
        <v>55</v>
      </c>
      <c r="G76">
        <v>44000059</v>
      </c>
      <c r="H76" t="s">
        <v>371</v>
      </c>
      <c r="I76" t="s">
        <v>372</v>
      </c>
      <c r="J76">
        <v>1</v>
      </c>
      <c r="K76" t="s">
        <v>37</v>
      </c>
      <c r="L76" t="s">
        <v>48</v>
      </c>
      <c r="M76" t="s">
        <v>88</v>
      </c>
      <c r="N76" t="s">
        <v>89</v>
      </c>
      <c r="O76">
        <v>0</v>
      </c>
      <c r="Q76" t="s">
        <v>4141</v>
      </c>
      <c r="W76">
        <v>11.91</v>
      </c>
      <c r="X76">
        <v>11.91</v>
      </c>
    </row>
    <row r="77" spans="1:24">
      <c r="A77" t="s">
        <v>373</v>
      </c>
      <c r="B77" s="72">
        <v>45692</v>
      </c>
      <c r="C77" s="72">
        <v>45692</v>
      </c>
      <c r="D77" t="s">
        <v>374</v>
      </c>
      <c r="E77" t="s">
        <v>73</v>
      </c>
      <c r="F77" t="s">
        <v>2491</v>
      </c>
      <c r="G77">
        <v>50110372</v>
      </c>
      <c r="H77" t="s">
        <v>375</v>
      </c>
      <c r="I77" t="s">
        <v>4013</v>
      </c>
      <c r="J77">
        <v>1</v>
      </c>
      <c r="K77" t="s">
        <v>67</v>
      </c>
      <c r="L77" t="s">
        <v>217</v>
      </c>
      <c r="M77" t="s">
        <v>88</v>
      </c>
      <c r="N77" t="s">
        <v>89</v>
      </c>
      <c r="O77">
        <v>0</v>
      </c>
      <c r="Q77" t="s">
        <v>4141</v>
      </c>
      <c r="V77" t="s">
        <v>41</v>
      </c>
      <c r="W77">
        <v>4764.91</v>
      </c>
      <c r="X77">
        <v>4764.91</v>
      </c>
    </row>
    <row r="78" spans="1:24">
      <c r="A78" t="s">
        <v>373</v>
      </c>
      <c r="B78" s="72">
        <v>45692</v>
      </c>
      <c r="C78" s="72">
        <v>45326</v>
      </c>
      <c r="D78" t="s">
        <v>374</v>
      </c>
      <c r="E78" t="s">
        <v>73</v>
      </c>
      <c r="F78" t="s">
        <v>2491</v>
      </c>
      <c r="G78">
        <v>50110372</v>
      </c>
      <c r="H78" t="s">
        <v>378</v>
      </c>
      <c r="I78" t="s">
        <v>379</v>
      </c>
      <c r="J78">
        <v>1</v>
      </c>
      <c r="K78" t="s">
        <v>67</v>
      </c>
      <c r="L78" t="s">
        <v>217</v>
      </c>
      <c r="M78" t="s">
        <v>58</v>
      </c>
      <c r="N78" t="s">
        <v>58</v>
      </c>
      <c r="O78">
        <v>1</v>
      </c>
      <c r="Q78" t="s">
        <v>37</v>
      </c>
      <c r="R78" s="72">
        <v>45692</v>
      </c>
      <c r="V78" t="s">
        <v>41</v>
      </c>
      <c r="W78">
        <v>254.87</v>
      </c>
      <c r="X78">
        <v>254.87</v>
      </c>
    </row>
    <row r="79" spans="1:24">
      <c r="A79" t="s">
        <v>306</v>
      </c>
      <c r="B79" s="72">
        <v>45693</v>
      </c>
      <c r="C79" s="72">
        <v>45691</v>
      </c>
      <c r="D79" t="s">
        <v>307</v>
      </c>
      <c r="E79" t="s">
        <v>103</v>
      </c>
      <c r="F79" t="s">
        <v>2527</v>
      </c>
      <c r="G79">
        <v>51000136</v>
      </c>
      <c r="H79" t="s">
        <v>308</v>
      </c>
      <c r="I79" t="s">
        <v>309</v>
      </c>
      <c r="J79">
        <v>1</v>
      </c>
      <c r="K79" t="s">
        <v>37</v>
      </c>
      <c r="L79" t="s">
        <v>48</v>
      </c>
      <c r="M79" t="s">
        <v>88</v>
      </c>
      <c r="N79" t="s">
        <v>89</v>
      </c>
      <c r="O79">
        <v>0</v>
      </c>
      <c r="Q79" t="s">
        <v>37</v>
      </c>
      <c r="V79" t="s">
        <v>41</v>
      </c>
      <c r="W79">
        <v>20.87</v>
      </c>
      <c r="X79">
        <v>20.87</v>
      </c>
    </row>
    <row r="80" spans="1:24">
      <c r="A80" t="s">
        <v>380</v>
      </c>
      <c r="B80" s="72">
        <v>45693</v>
      </c>
      <c r="C80" s="72">
        <v>45326</v>
      </c>
      <c r="E80" t="s">
        <v>381</v>
      </c>
      <c r="H80" t="s">
        <v>4158</v>
      </c>
      <c r="I80" t="s">
        <v>383</v>
      </c>
      <c r="J80">
        <v>17</v>
      </c>
      <c r="M80" t="s">
        <v>384</v>
      </c>
      <c r="N80" t="s">
        <v>384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387</v>
      </c>
      <c r="B81" s="72">
        <v>45693</v>
      </c>
      <c r="C81" s="72">
        <v>45327</v>
      </c>
      <c r="E81" t="s">
        <v>381</v>
      </c>
      <c r="H81" t="s">
        <v>4159</v>
      </c>
      <c r="I81" t="s">
        <v>389</v>
      </c>
      <c r="J81">
        <v>5</v>
      </c>
      <c r="M81" t="s">
        <v>384</v>
      </c>
      <c r="N81" t="s">
        <v>384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391</v>
      </c>
      <c r="B82" s="72">
        <v>45693</v>
      </c>
      <c r="C82" s="72">
        <v>45327</v>
      </c>
      <c r="E82" t="s">
        <v>381</v>
      </c>
      <c r="H82" t="s">
        <v>392</v>
      </c>
      <c r="I82" t="s">
        <v>4160</v>
      </c>
      <c r="J82">
        <v>3</v>
      </c>
      <c r="M82" t="s">
        <v>384</v>
      </c>
      <c r="N82" t="s">
        <v>384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342</v>
      </c>
      <c r="B83" s="72">
        <v>45694</v>
      </c>
      <c r="C83" s="72">
        <v>45687</v>
      </c>
      <c r="D83" t="s">
        <v>343</v>
      </c>
      <c r="E83" t="s">
        <v>73</v>
      </c>
      <c r="F83" t="s">
        <v>203</v>
      </c>
      <c r="G83">
        <v>60002095</v>
      </c>
      <c r="H83" t="s">
        <v>344</v>
      </c>
      <c r="I83" t="s">
        <v>4161</v>
      </c>
      <c r="J83">
        <v>1</v>
      </c>
      <c r="K83" t="s">
        <v>37</v>
      </c>
      <c r="L83" t="s">
        <v>346</v>
      </c>
      <c r="M83" t="s">
        <v>88</v>
      </c>
      <c r="N83" t="s">
        <v>89</v>
      </c>
      <c r="O83">
        <v>0</v>
      </c>
      <c r="P83" t="s">
        <v>4162</v>
      </c>
      <c r="Q83" t="s">
        <v>4144</v>
      </c>
      <c r="V83" t="s">
        <v>41</v>
      </c>
      <c r="W83">
        <v>986.75</v>
      </c>
      <c r="X83">
        <v>986.75</v>
      </c>
    </row>
    <row r="84" spans="1:24">
      <c r="A84" t="s">
        <v>395</v>
      </c>
      <c r="B84" s="72">
        <v>45694</v>
      </c>
      <c r="C84" s="72">
        <v>45692</v>
      </c>
      <c r="D84" t="s">
        <v>396</v>
      </c>
      <c r="E84" t="s">
        <v>73</v>
      </c>
      <c r="F84" t="s">
        <v>2496</v>
      </c>
      <c r="G84">
        <v>50000343</v>
      </c>
      <c r="H84" t="s">
        <v>397</v>
      </c>
      <c r="I84" t="s">
        <v>4014</v>
      </c>
      <c r="J84">
        <v>1</v>
      </c>
      <c r="K84" t="s">
        <v>37</v>
      </c>
      <c r="L84" t="s">
        <v>96</v>
      </c>
      <c r="M84" t="s">
        <v>58</v>
      </c>
      <c r="N84" t="s">
        <v>58</v>
      </c>
      <c r="O84">
        <v>1</v>
      </c>
      <c r="Q84" t="s">
        <v>3970</v>
      </c>
      <c r="R84" s="72">
        <v>45692</v>
      </c>
      <c r="V84" t="s">
        <v>399</v>
      </c>
      <c r="W84">
        <v>601.41999999999996</v>
      </c>
      <c r="X84">
        <v>601.41999999999996</v>
      </c>
    </row>
    <row r="85" spans="1:24">
      <c r="A85" t="s">
        <v>400</v>
      </c>
      <c r="B85" s="72">
        <v>45694</v>
      </c>
      <c r="C85" s="72">
        <v>45693</v>
      </c>
      <c r="D85" t="s">
        <v>401</v>
      </c>
      <c r="E85" t="s">
        <v>402</v>
      </c>
      <c r="F85" t="s">
        <v>403</v>
      </c>
      <c r="G85" t="s">
        <v>404</v>
      </c>
      <c r="H85" t="s">
        <v>405</v>
      </c>
      <c r="I85" t="s">
        <v>4015</v>
      </c>
      <c r="J85">
        <v>1</v>
      </c>
      <c r="K85" t="s">
        <v>37</v>
      </c>
      <c r="L85" t="s">
        <v>363</v>
      </c>
      <c r="M85" t="s">
        <v>58</v>
      </c>
      <c r="N85" t="s">
        <v>58</v>
      </c>
      <c r="O85">
        <v>1</v>
      </c>
      <c r="Q85" t="s">
        <v>37</v>
      </c>
      <c r="R85" s="72">
        <v>45693</v>
      </c>
      <c r="V85" t="s">
        <v>229</v>
      </c>
      <c r="W85">
        <v>20</v>
      </c>
      <c r="X85">
        <v>20</v>
      </c>
    </row>
    <row r="86" spans="1:24">
      <c r="A86" t="s">
        <v>356</v>
      </c>
      <c r="B86" s="72">
        <v>45695</v>
      </c>
      <c r="C86" s="72">
        <v>45695</v>
      </c>
      <c r="D86" t="s">
        <v>357</v>
      </c>
      <c r="E86" t="s">
        <v>73</v>
      </c>
      <c r="F86" t="s">
        <v>203</v>
      </c>
      <c r="G86">
        <v>60002095</v>
      </c>
      <c r="H86" t="s">
        <v>358</v>
      </c>
      <c r="I86" t="s">
        <v>359</v>
      </c>
      <c r="J86">
        <v>1</v>
      </c>
      <c r="K86" t="s">
        <v>67</v>
      </c>
      <c r="L86" t="s">
        <v>96</v>
      </c>
      <c r="M86" t="s">
        <v>88</v>
      </c>
      <c r="N86" t="s">
        <v>89</v>
      </c>
      <c r="O86">
        <v>0</v>
      </c>
      <c r="Q86" t="s">
        <v>37</v>
      </c>
      <c r="V86" t="s">
        <v>41</v>
      </c>
      <c r="W86">
        <v>1407.73</v>
      </c>
      <c r="X86">
        <v>1407.73</v>
      </c>
    </row>
    <row r="87" spans="1:24">
      <c r="A87" t="s">
        <v>407</v>
      </c>
      <c r="B87" s="72">
        <v>45695</v>
      </c>
      <c r="C87" s="72">
        <v>45694</v>
      </c>
      <c r="D87" t="s">
        <v>408</v>
      </c>
      <c r="E87" t="s">
        <v>334</v>
      </c>
      <c r="F87" t="s">
        <v>55</v>
      </c>
      <c r="G87" t="s">
        <v>409</v>
      </c>
      <c r="H87" t="s">
        <v>410</v>
      </c>
      <c r="I87" t="s">
        <v>411</v>
      </c>
      <c r="J87">
        <v>1</v>
      </c>
      <c r="K87" t="s">
        <v>37</v>
      </c>
      <c r="L87" t="s">
        <v>412</v>
      </c>
      <c r="M87" t="s">
        <v>58</v>
      </c>
      <c r="N87" t="s">
        <v>58</v>
      </c>
      <c r="O87">
        <v>1</v>
      </c>
      <c r="P87" t="s">
        <v>413</v>
      </c>
      <c r="Q87" t="s">
        <v>3970</v>
      </c>
      <c r="R87" s="72">
        <v>45677</v>
      </c>
      <c r="V87" t="s">
        <v>414</v>
      </c>
      <c r="W87">
        <v>2377.7800000000002</v>
      </c>
      <c r="X87">
        <v>2377.7800000000002</v>
      </c>
    </row>
    <row r="88" spans="1:24">
      <c r="A88" t="s">
        <v>415</v>
      </c>
      <c r="B88" s="72">
        <v>45695</v>
      </c>
      <c r="C88" s="72">
        <v>45694</v>
      </c>
      <c r="D88" t="s">
        <v>416</v>
      </c>
      <c r="E88" t="s">
        <v>417</v>
      </c>
      <c r="F88" t="s">
        <v>55</v>
      </c>
      <c r="G88">
        <v>44000321</v>
      </c>
      <c r="H88" t="s">
        <v>418</v>
      </c>
      <c r="I88" t="s">
        <v>419</v>
      </c>
      <c r="J88">
        <v>1</v>
      </c>
      <c r="K88" t="s">
        <v>37</v>
      </c>
      <c r="L88" t="s">
        <v>412</v>
      </c>
      <c r="M88" t="s">
        <v>58</v>
      </c>
      <c r="N88" t="s">
        <v>58</v>
      </c>
      <c r="O88">
        <v>1</v>
      </c>
      <c r="Q88" t="s">
        <v>37</v>
      </c>
      <c r="R88" s="72">
        <v>45672</v>
      </c>
      <c r="V88" t="s">
        <v>421</v>
      </c>
      <c r="W88">
        <v>449.1</v>
      </c>
      <c r="X88">
        <v>449.1</v>
      </c>
    </row>
    <row r="89" spans="1:24">
      <c r="B89" s="72"/>
      <c r="C89" s="72"/>
      <c r="J89">
        <f>SUBTOTAL(109,Tabela5[QUANTIDADE])</f>
        <v>113</v>
      </c>
      <c r="O89">
        <f>SUBTOTAL(109,Tabela5[QTD ESTOQUE CP])</f>
        <v>62</v>
      </c>
      <c r="R89" s="7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CA97-3141-49F9-B99C-F7D88D282726}">
  <dimension ref="A1:L89"/>
  <sheetViews>
    <sheetView workbookViewId="0"/>
  </sheetViews>
  <sheetFormatPr defaultRowHeight="14.45"/>
  <cols>
    <col min="1" max="1" width="16.28515625" bestFit="1" customWidth="1"/>
    <col min="2" max="2" width="13.140625" bestFit="1" customWidth="1"/>
    <col min="3" max="3" width="18" bestFit="1" customWidth="1"/>
    <col min="4" max="4" width="15" bestFit="1" customWidth="1"/>
    <col min="5" max="5" width="50.140625" bestFit="1" customWidth="1"/>
    <col min="6" max="6" width="18.855468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5.7109375" bestFit="1" customWidth="1"/>
    <col min="11" max="11" width="23.140625" bestFit="1" customWidth="1"/>
  </cols>
  <sheetData>
    <row r="1" spans="1:12">
      <c r="A1" s="73" t="s">
        <v>4163</v>
      </c>
    </row>
    <row r="3" spans="1:12">
      <c r="A3" t="s">
        <v>3979</v>
      </c>
      <c r="B3" t="s">
        <v>3980</v>
      </c>
      <c r="C3" t="s">
        <v>3981</v>
      </c>
      <c r="D3" t="s">
        <v>3982</v>
      </c>
      <c r="E3" t="s">
        <v>3983</v>
      </c>
      <c r="F3" t="s">
        <v>3984</v>
      </c>
      <c r="G3" t="s">
        <v>3985</v>
      </c>
      <c r="H3" t="s">
        <v>3986</v>
      </c>
      <c r="I3" t="s">
        <v>3987</v>
      </c>
      <c r="J3" t="s">
        <v>3988</v>
      </c>
      <c r="K3" t="s">
        <v>3989</v>
      </c>
      <c r="L3" t="s">
        <v>26</v>
      </c>
    </row>
    <row r="4" spans="1:12">
      <c r="A4">
        <v>41000142</v>
      </c>
      <c r="B4" s="72">
        <v>45716</v>
      </c>
      <c r="C4" t="s">
        <v>192</v>
      </c>
      <c r="D4" t="s">
        <v>654</v>
      </c>
      <c r="E4" t="s">
        <v>655</v>
      </c>
      <c r="F4">
        <v>1</v>
      </c>
      <c r="G4">
        <v>1</v>
      </c>
      <c r="H4" t="s">
        <v>3968</v>
      </c>
      <c r="I4" s="72">
        <v>45623</v>
      </c>
      <c r="J4" t="s">
        <v>3969</v>
      </c>
      <c r="K4" t="s">
        <v>3977</v>
      </c>
      <c r="L4">
        <v>2</v>
      </c>
    </row>
    <row r="5" spans="1:12">
      <c r="A5" t="s">
        <v>641</v>
      </c>
      <c r="B5" s="72">
        <v>45716</v>
      </c>
      <c r="C5" t="s">
        <v>639</v>
      </c>
      <c r="D5" t="s">
        <v>648</v>
      </c>
      <c r="E5" t="s">
        <v>649</v>
      </c>
      <c r="F5">
        <v>1</v>
      </c>
      <c r="G5">
        <v>0</v>
      </c>
      <c r="H5" t="s">
        <v>3971</v>
      </c>
      <c r="J5" t="s">
        <v>3969</v>
      </c>
      <c r="K5" t="s">
        <v>3977</v>
      </c>
      <c r="L5">
        <v>2</v>
      </c>
    </row>
    <row r="6" spans="1:12">
      <c r="A6" t="s">
        <v>641</v>
      </c>
      <c r="B6" s="72">
        <v>45716</v>
      </c>
      <c r="C6" t="s">
        <v>639</v>
      </c>
      <c r="D6" t="s">
        <v>645</v>
      </c>
      <c r="E6" t="s">
        <v>4028</v>
      </c>
      <c r="F6">
        <v>1</v>
      </c>
      <c r="G6">
        <v>0</v>
      </c>
      <c r="H6" t="s">
        <v>3971</v>
      </c>
      <c r="J6" t="s">
        <v>3969</v>
      </c>
      <c r="K6" t="s">
        <v>3977</v>
      </c>
      <c r="L6">
        <v>2</v>
      </c>
    </row>
    <row r="7" spans="1:12">
      <c r="A7" t="s">
        <v>641</v>
      </c>
      <c r="B7" s="72">
        <v>45716</v>
      </c>
      <c r="C7" t="s">
        <v>639</v>
      </c>
      <c r="D7" t="s">
        <v>326</v>
      </c>
      <c r="E7" t="s">
        <v>4027</v>
      </c>
      <c r="F7">
        <v>1</v>
      </c>
      <c r="G7">
        <v>1</v>
      </c>
      <c r="H7" t="s">
        <v>3968</v>
      </c>
      <c r="I7" s="72">
        <v>45713</v>
      </c>
      <c r="J7" t="s">
        <v>3969</v>
      </c>
      <c r="K7" t="s">
        <v>3977</v>
      </c>
      <c r="L7">
        <v>2</v>
      </c>
    </row>
    <row r="8" spans="1:12">
      <c r="A8" t="s">
        <v>641</v>
      </c>
      <c r="B8" s="72">
        <v>45716</v>
      </c>
      <c r="C8" t="s">
        <v>639</v>
      </c>
      <c r="D8" t="s">
        <v>642</v>
      </c>
      <c r="E8" t="s">
        <v>4026</v>
      </c>
      <c r="F8">
        <v>1</v>
      </c>
      <c r="G8">
        <v>1</v>
      </c>
      <c r="H8" t="s">
        <v>3968</v>
      </c>
      <c r="I8" s="72">
        <v>45713</v>
      </c>
      <c r="J8" t="s">
        <v>3969</v>
      </c>
      <c r="K8" t="s">
        <v>3977</v>
      </c>
      <c r="L8">
        <v>2</v>
      </c>
    </row>
    <row r="9" spans="1:12">
      <c r="A9">
        <v>50000202</v>
      </c>
      <c r="B9" s="72">
        <v>45715</v>
      </c>
      <c r="C9" t="s">
        <v>93</v>
      </c>
      <c r="D9" t="s">
        <v>495</v>
      </c>
      <c r="E9" t="s">
        <v>635</v>
      </c>
      <c r="F9">
        <v>2</v>
      </c>
      <c r="G9">
        <v>2</v>
      </c>
      <c r="H9" t="s">
        <v>3968</v>
      </c>
      <c r="I9" s="72">
        <v>45715</v>
      </c>
      <c r="J9" t="s">
        <v>3969</v>
      </c>
      <c r="K9" t="s">
        <v>3977</v>
      </c>
      <c r="L9">
        <v>2</v>
      </c>
    </row>
    <row r="10" spans="1:12">
      <c r="A10">
        <v>50000202</v>
      </c>
      <c r="B10" s="72">
        <v>45715</v>
      </c>
      <c r="C10" t="s">
        <v>93</v>
      </c>
      <c r="D10" t="s">
        <v>130</v>
      </c>
      <c r="E10" t="s">
        <v>633</v>
      </c>
      <c r="F10">
        <v>2</v>
      </c>
      <c r="G10">
        <v>2</v>
      </c>
      <c r="H10" t="s">
        <v>3968</v>
      </c>
      <c r="I10" s="72">
        <v>45714</v>
      </c>
      <c r="J10" t="s">
        <v>3969</v>
      </c>
      <c r="K10" t="s">
        <v>3977</v>
      </c>
      <c r="L10">
        <v>2</v>
      </c>
    </row>
    <row r="11" spans="1:12">
      <c r="A11">
        <v>50000260</v>
      </c>
      <c r="B11" s="72">
        <v>45715</v>
      </c>
      <c r="C11" t="s">
        <v>85</v>
      </c>
      <c r="D11" t="s">
        <v>80</v>
      </c>
      <c r="E11" t="s">
        <v>81</v>
      </c>
      <c r="F11">
        <v>1</v>
      </c>
      <c r="G11">
        <v>1</v>
      </c>
      <c r="H11" t="s">
        <v>3968</v>
      </c>
      <c r="I11" s="72">
        <v>45713</v>
      </c>
      <c r="J11" t="s">
        <v>3969</v>
      </c>
      <c r="K11" t="s">
        <v>3977</v>
      </c>
      <c r="L11">
        <v>2</v>
      </c>
    </row>
    <row r="12" spans="1:12">
      <c r="A12">
        <v>50000260</v>
      </c>
      <c r="B12" s="72">
        <v>45715</v>
      </c>
      <c r="C12" t="s">
        <v>85</v>
      </c>
      <c r="D12" t="s">
        <v>629</v>
      </c>
      <c r="E12" t="s">
        <v>630</v>
      </c>
      <c r="F12">
        <v>1</v>
      </c>
      <c r="G12">
        <v>1</v>
      </c>
      <c r="H12" t="s">
        <v>3968</v>
      </c>
      <c r="I12" s="72">
        <v>45713</v>
      </c>
      <c r="J12" t="s">
        <v>3969</v>
      </c>
      <c r="K12" t="s">
        <v>3977</v>
      </c>
      <c r="L12">
        <v>2</v>
      </c>
    </row>
    <row r="13" spans="1:12">
      <c r="A13">
        <v>50300141</v>
      </c>
      <c r="B13" s="72">
        <v>45715</v>
      </c>
      <c r="C13" t="s">
        <v>402</v>
      </c>
      <c r="D13" t="s">
        <v>624</v>
      </c>
      <c r="E13" t="s">
        <v>625</v>
      </c>
      <c r="F13">
        <v>1</v>
      </c>
      <c r="G13">
        <v>1</v>
      </c>
      <c r="H13" t="s">
        <v>3968</v>
      </c>
      <c r="I13" s="72">
        <v>45709</v>
      </c>
      <c r="J13" t="s">
        <v>3969</v>
      </c>
      <c r="K13" t="s">
        <v>3977</v>
      </c>
      <c r="L13">
        <v>2</v>
      </c>
    </row>
    <row r="14" spans="1:12">
      <c r="A14">
        <v>50000530</v>
      </c>
      <c r="B14" s="72">
        <v>45715</v>
      </c>
      <c r="C14" t="s">
        <v>79</v>
      </c>
      <c r="D14" t="s">
        <v>619</v>
      </c>
      <c r="E14" t="s">
        <v>620</v>
      </c>
      <c r="F14">
        <v>1</v>
      </c>
      <c r="G14">
        <v>1</v>
      </c>
      <c r="H14" t="s">
        <v>3968</v>
      </c>
      <c r="I14" s="72">
        <v>45713</v>
      </c>
      <c r="J14" t="s">
        <v>3969</v>
      </c>
      <c r="K14" t="s">
        <v>3977</v>
      </c>
      <c r="L14">
        <v>2</v>
      </c>
    </row>
    <row r="15" spans="1:12">
      <c r="A15" t="s">
        <v>609</v>
      </c>
      <c r="B15" s="72">
        <v>45715</v>
      </c>
      <c r="C15" t="s">
        <v>4025</v>
      </c>
      <c r="D15" t="s">
        <v>610</v>
      </c>
      <c r="E15" t="s">
        <v>611</v>
      </c>
      <c r="F15">
        <v>1</v>
      </c>
      <c r="G15">
        <v>1</v>
      </c>
      <c r="H15" t="s">
        <v>3968</v>
      </c>
      <c r="I15" s="72">
        <v>45679</v>
      </c>
      <c r="J15" t="s">
        <v>3969</v>
      </c>
      <c r="K15" t="s">
        <v>3977</v>
      </c>
      <c r="L15">
        <v>2</v>
      </c>
    </row>
    <row r="16" spans="1:12">
      <c r="A16">
        <v>51000323</v>
      </c>
      <c r="B16" s="72">
        <v>45715</v>
      </c>
      <c r="C16" t="s">
        <v>103</v>
      </c>
      <c r="D16" t="s">
        <v>605</v>
      </c>
      <c r="E16" t="s">
        <v>606</v>
      </c>
      <c r="F16">
        <v>1</v>
      </c>
      <c r="G16">
        <v>1</v>
      </c>
      <c r="H16" t="s">
        <v>3968</v>
      </c>
      <c r="J16" t="s">
        <v>3972</v>
      </c>
      <c r="K16" t="s">
        <v>3977</v>
      </c>
      <c r="L16">
        <v>2</v>
      </c>
    </row>
    <row r="17" spans="1:12">
      <c r="A17">
        <v>51000323</v>
      </c>
      <c r="B17" s="72">
        <v>45715</v>
      </c>
      <c r="C17" t="s">
        <v>103</v>
      </c>
      <c r="D17" t="s">
        <v>603</v>
      </c>
      <c r="E17" t="s">
        <v>604</v>
      </c>
      <c r="F17">
        <v>1</v>
      </c>
      <c r="G17">
        <v>1</v>
      </c>
      <c r="H17" t="s">
        <v>3968</v>
      </c>
      <c r="I17" s="72">
        <v>45715</v>
      </c>
      <c r="J17" t="s">
        <v>3969</v>
      </c>
      <c r="K17" t="s">
        <v>3977</v>
      </c>
      <c r="L17">
        <v>2</v>
      </c>
    </row>
    <row r="18" spans="1:12">
      <c r="A18">
        <v>51000136</v>
      </c>
      <c r="B18" s="72">
        <v>45715</v>
      </c>
      <c r="C18" t="s">
        <v>103</v>
      </c>
      <c r="D18" t="s">
        <v>599</v>
      </c>
      <c r="E18" t="s">
        <v>600</v>
      </c>
      <c r="F18">
        <v>1</v>
      </c>
      <c r="G18">
        <v>0</v>
      </c>
      <c r="H18" t="s">
        <v>3968</v>
      </c>
      <c r="J18" t="s">
        <v>3969</v>
      </c>
      <c r="K18" t="s">
        <v>3977</v>
      </c>
      <c r="L18">
        <v>2</v>
      </c>
    </row>
    <row r="19" spans="1:12">
      <c r="A19">
        <v>51000136</v>
      </c>
      <c r="B19" s="72">
        <v>45715</v>
      </c>
      <c r="C19" t="s">
        <v>103</v>
      </c>
      <c r="D19" t="s">
        <v>597</v>
      </c>
      <c r="E19" t="s">
        <v>4024</v>
      </c>
      <c r="F19">
        <v>1</v>
      </c>
      <c r="G19">
        <v>1</v>
      </c>
      <c r="H19" t="s">
        <v>3968</v>
      </c>
      <c r="I19" s="72">
        <v>45723</v>
      </c>
      <c r="J19" t="s">
        <v>3969</v>
      </c>
      <c r="K19" t="s">
        <v>3977</v>
      </c>
      <c r="L19">
        <v>2</v>
      </c>
    </row>
    <row r="20" spans="1:12">
      <c r="A20">
        <v>51000136</v>
      </c>
      <c r="B20" s="72">
        <v>45715</v>
      </c>
      <c r="C20" t="s">
        <v>103</v>
      </c>
      <c r="D20" t="s">
        <v>595</v>
      </c>
      <c r="E20" t="s">
        <v>596</v>
      </c>
      <c r="F20">
        <v>1</v>
      </c>
      <c r="G20">
        <v>1</v>
      </c>
      <c r="H20" t="s">
        <v>3968</v>
      </c>
      <c r="I20" s="72">
        <v>45723</v>
      </c>
      <c r="J20" t="s">
        <v>3969</v>
      </c>
      <c r="K20" t="s">
        <v>3977</v>
      </c>
      <c r="L20">
        <v>2</v>
      </c>
    </row>
    <row r="21" spans="1:12">
      <c r="A21">
        <v>51000136</v>
      </c>
      <c r="B21" s="72">
        <v>45715</v>
      </c>
      <c r="C21" t="s">
        <v>103</v>
      </c>
      <c r="D21" t="s">
        <v>593</v>
      </c>
      <c r="E21" t="s">
        <v>594</v>
      </c>
      <c r="F21">
        <v>1</v>
      </c>
      <c r="G21">
        <v>1</v>
      </c>
      <c r="H21" t="s">
        <v>3968</v>
      </c>
      <c r="J21" t="s">
        <v>3972</v>
      </c>
      <c r="K21" t="s">
        <v>3977</v>
      </c>
      <c r="L21">
        <v>2</v>
      </c>
    </row>
    <row r="22" spans="1:12">
      <c r="A22">
        <v>51000136</v>
      </c>
      <c r="B22" s="72">
        <v>45715</v>
      </c>
      <c r="C22" t="s">
        <v>103</v>
      </c>
      <c r="D22" t="s">
        <v>591</v>
      </c>
      <c r="E22" t="s">
        <v>592</v>
      </c>
      <c r="F22">
        <v>1</v>
      </c>
      <c r="G22">
        <v>1</v>
      </c>
      <c r="H22" t="s">
        <v>3968</v>
      </c>
      <c r="I22" s="72">
        <v>45715</v>
      </c>
      <c r="J22" t="s">
        <v>3969</v>
      </c>
      <c r="K22" t="s">
        <v>3977</v>
      </c>
      <c r="L22">
        <v>2</v>
      </c>
    </row>
    <row r="23" spans="1:12">
      <c r="A23">
        <v>51000136</v>
      </c>
      <c r="B23" s="72">
        <v>45715</v>
      </c>
      <c r="C23" t="s">
        <v>103</v>
      </c>
      <c r="D23" t="s">
        <v>589</v>
      </c>
      <c r="E23" t="s">
        <v>590</v>
      </c>
      <c r="F23">
        <v>1</v>
      </c>
      <c r="G23">
        <v>1</v>
      </c>
      <c r="H23" t="s">
        <v>3968</v>
      </c>
      <c r="J23" t="s">
        <v>3972</v>
      </c>
      <c r="K23" t="s">
        <v>3977</v>
      </c>
      <c r="L23">
        <v>2</v>
      </c>
    </row>
    <row r="24" spans="1:12">
      <c r="A24">
        <v>50110193</v>
      </c>
      <c r="B24" s="72">
        <v>45715</v>
      </c>
      <c r="C24" t="s">
        <v>33</v>
      </c>
      <c r="D24" t="s">
        <v>4023</v>
      </c>
      <c r="E24" t="s">
        <v>36</v>
      </c>
      <c r="F24">
        <v>1</v>
      </c>
      <c r="G24">
        <v>1</v>
      </c>
      <c r="H24" t="s">
        <v>3968</v>
      </c>
      <c r="I24" s="72">
        <v>45663</v>
      </c>
      <c r="J24" t="s">
        <v>3969</v>
      </c>
      <c r="K24" t="s">
        <v>3977</v>
      </c>
      <c r="L24">
        <v>2</v>
      </c>
    </row>
    <row r="25" spans="1:12">
      <c r="A25">
        <v>60002095</v>
      </c>
      <c r="B25" s="72">
        <v>45714</v>
      </c>
      <c r="C25" t="s">
        <v>73</v>
      </c>
      <c r="D25" t="s">
        <v>578</v>
      </c>
      <c r="E25" t="s">
        <v>579</v>
      </c>
      <c r="F25">
        <v>1</v>
      </c>
      <c r="G25">
        <v>0</v>
      </c>
      <c r="H25" t="s">
        <v>3968</v>
      </c>
      <c r="J25" t="s">
        <v>3969</v>
      </c>
      <c r="K25" t="s">
        <v>3977</v>
      </c>
      <c r="L25">
        <v>2</v>
      </c>
    </row>
    <row r="26" spans="1:12">
      <c r="A26">
        <v>44000058</v>
      </c>
      <c r="B26" s="72">
        <v>45714</v>
      </c>
      <c r="C26" t="s">
        <v>569</v>
      </c>
      <c r="D26" t="s">
        <v>574</v>
      </c>
      <c r="E26" t="s">
        <v>575</v>
      </c>
      <c r="F26">
        <v>1</v>
      </c>
      <c r="G26">
        <v>1</v>
      </c>
      <c r="H26" t="s">
        <v>3968</v>
      </c>
      <c r="I26" s="72">
        <v>45714</v>
      </c>
      <c r="J26" t="s">
        <v>3969</v>
      </c>
      <c r="K26" t="s">
        <v>3977</v>
      </c>
      <c r="L26">
        <v>2</v>
      </c>
    </row>
    <row r="27" spans="1:12">
      <c r="A27">
        <v>44000058</v>
      </c>
      <c r="B27" s="72">
        <v>45714</v>
      </c>
      <c r="C27" t="s">
        <v>569</v>
      </c>
      <c r="D27" t="s">
        <v>570</v>
      </c>
      <c r="E27" t="s">
        <v>571</v>
      </c>
      <c r="F27">
        <v>1</v>
      </c>
      <c r="G27">
        <v>1</v>
      </c>
      <c r="H27" t="s">
        <v>3968</v>
      </c>
      <c r="I27" s="72">
        <v>45714</v>
      </c>
      <c r="J27" t="s">
        <v>3969</v>
      </c>
      <c r="K27" t="s">
        <v>3977</v>
      </c>
      <c r="L27">
        <v>2</v>
      </c>
    </row>
    <row r="28" spans="1:12">
      <c r="A28">
        <v>60002072</v>
      </c>
      <c r="B28" s="72">
        <v>45714</v>
      </c>
      <c r="C28" t="s">
        <v>202</v>
      </c>
      <c r="D28" t="s">
        <v>350</v>
      </c>
      <c r="E28" t="s">
        <v>351</v>
      </c>
      <c r="F28">
        <v>1</v>
      </c>
      <c r="G28">
        <v>1</v>
      </c>
      <c r="H28" t="s">
        <v>3971</v>
      </c>
      <c r="I28" s="72">
        <v>45713</v>
      </c>
      <c r="J28" t="s">
        <v>3969</v>
      </c>
      <c r="K28" t="s">
        <v>3977</v>
      </c>
      <c r="L28">
        <v>2</v>
      </c>
    </row>
    <row r="29" spans="1:12">
      <c r="A29">
        <v>50110372</v>
      </c>
      <c r="B29" s="72">
        <v>45714</v>
      </c>
      <c r="C29" t="s">
        <v>73</v>
      </c>
      <c r="D29" t="s">
        <v>215</v>
      </c>
      <c r="E29" t="s">
        <v>557</v>
      </c>
      <c r="F29">
        <v>1</v>
      </c>
      <c r="G29">
        <v>1</v>
      </c>
      <c r="H29" t="s">
        <v>3968</v>
      </c>
      <c r="J29" t="s">
        <v>3972</v>
      </c>
      <c r="K29" t="s">
        <v>3977</v>
      </c>
      <c r="L29">
        <v>2</v>
      </c>
    </row>
    <row r="30" spans="1:12">
      <c r="A30">
        <v>50110229</v>
      </c>
      <c r="B30" s="72">
        <v>45714</v>
      </c>
      <c r="C30" t="s">
        <v>109</v>
      </c>
      <c r="D30" t="s">
        <v>215</v>
      </c>
      <c r="E30" t="s">
        <v>557</v>
      </c>
      <c r="F30">
        <v>1</v>
      </c>
      <c r="G30">
        <v>1</v>
      </c>
      <c r="H30" t="s">
        <v>3968</v>
      </c>
      <c r="J30" t="s">
        <v>3972</v>
      </c>
      <c r="K30" t="s">
        <v>3977</v>
      </c>
      <c r="L30">
        <v>2</v>
      </c>
    </row>
    <row r="31" spans="1:12">
      <c r="A31">
        <v>50110193</v>
      </c>
      <c r="B31" s="72">
        <v>45714</v>
      </c>
      <c r="C31" t="s">
        <v>33</v>
      </c>
      <c r="D31" t="s">
        <v>215</v>
      </c>
      <c r="E31" t="s">
        <v>557</v>
      </c>
      <c r="F31">
        <v>1</v>
      </c>
      <c r="G31">
        <v>1</v>
      </c>
      <c r="H31" t="s">
        <v>3968</v>
      </c>
      <c r="J31" t="s">
        <v>3972</v>
      </c>
      <c r="K31" t="s">
        <v>3977</v>
      </c>
      <c r="L31">
        <v>2</v>
      </c>
    </row>
    <row r="32" spans="1:12">
      <c r="A32">
        <v>50000530</v>
      </c>
      <c r="B32" s="72">
        <v>45714</v>
      </c>
      <c r="C32" t="s">
        <v>79</v>
      </c>
      <c r="D32" t="s">
        <v>4022</v>
      </c>
      <c r="E32" t="s">
        <v>76</v>
      </c>
      <c r="F32">
        <v>1</v>
      </c>
      <c r="G32">
        <v>1</v>
      </c>
      <c r="H32" t="s">
        <v>3968</v>
      </c>
      <c r="I32" s="72">
        <v>45712</v>
      </c>
      <c r="J32" t="s">
        <v>3969</v>
      </c>
      <c r="K32" t="s">
        <v>3977</v>
      </c>
      <c r="L32">
        <v>2</v>
      </c>
    </row>
    <row r="33" spans="1:12">
      <c r="A33">
        <v>48300301</v>
      </c>
      <c r="B33" s="72">
        <v>45712</v>
      </c>
      <c r="C33" t="s">
        <v>63</v>
      </c>
      <c r="D33" t="s">
        <v>540</v>
      </c>
      <c r="E33" t="s">
        <v>541</v>
      </c>
      <c r="F33">
        <v>1</v>
      </c>
      <c r="G33">
        <v>1</v>
      </c>
      <c r="H33" t="s">
        <v>3968</v>
      </c>
      <c r="I33" s="72">
        <v>45680</v>
      </c>
      <c r="J33" t="s">
        <v>3969</v>
      </c>
      <c r="K33" t="s">
        <v>3977</v>
      </c>
      <c r="L33">
        <v>2</v>
      </c>
    </row>
    <row r="34" spans="1:12">
      <c r="A34">
        <v>50110372</v>
      </c>
      <c r="B34" s="72">
        <v>45712</v>
      </c>
      <c r="C34" t="s">
        <v>73</v>
      </c>
      <c r="D34" t="s">
        <v>536</v>
      </c>
      <c r="E34" t="s">
        <v>537</v>
      </c>
      <c r="F34">
        <v>1</v>
      </c>
      <c r="G34">
        <v>0</v>
      </c>
      <c r="H34" t="s">
        <v>3971</v>
      </c>
      <c r="J34" t="s">
        <v>3969</v>
      </c>
      <c r="K34" t="s">
        <v>3977</v>
      </c>
      <c r="L34">
        <v>2</v>
      </c>
    </row>
    <row r="35" spans="1:12">
      <c r="A35">
        <v>51000174</v>
      </c>
      <c r="B35" s="72">
        <v>45709</v>
      </c>
      <c r="C35" t="s">
        <v>118</v>
      </c>
      <c r="D35" t="s">
        <v>158</v>
      </c>
      <c r="E35" t="s">
        <v>159</v>
      </c>
      <c r="F35">
        <v>1</v>
      </c>
      <c r="G35">
        <v>1</v>
      </c>
      <c r="H35" t="s">
        <v>3968</v>
      </c>
      <c r="I35" s="72">
        <v>45705</v>
      </c>
      <c r="J35" t="s">
        <v>3969</v>
      </c>
      <c r="K35" t="s">
        <v>3977</v>
      </c>
      <c r="L35">
        <v>2</v>
      </c>
    </row>
    <row r="36" spans="1:12">
      <c r="A36">
        <v>50000260</v>
      </c>
      <c r="B36" s="72">
        <v>45709</v>
      </c>
      <c r="C36" t="s">
        <v>85</v>
      </c>
      <c r="D36" t="s">
        <v>531</v>
      </c>
      <c r="E36" t="s">
        <v>532</v>
      </c>
      <c r="F36">
        <v>1</v>
      </c>
      <c r="G36">
        <v>0</v>
      </c>
      <c r="H36" t="s">
        <v>3971</v>
      </c>
      <c r="J36" t="s">
        <v>3969</v>
      </c>
      <c r="K36" t="s">
        <v>3977</v>
      </c>
      <c r="L36">
        <v>2</v>
      </c>
    </row>
    <row r="37" spans="1:12">
      <c r="A37">
        <v>50000260</v>
      </c>
      <c r="B37" s="72">
        <v>45709</v>
      </c>
      <c r="C37" t="s">
        <v>85</v>
      </c>
      <c r="D37" t="s">
        <v>94</v>
      </c>
      <c r="E37" t="s">
        <v>530</v>
      </c>
      <c r="F37">
        <v>3</v>
      </c>
      <c r="G37">
        <v>3</v>
      </c>
      <c r="H37" t="s">
        <v>3968</v>
      </c>
      <c r="I37" s="72">
        <v>45707</v>
      </c>
      <c r="J37" t="s">
        <v>3969</v>
      </c>
      <c r="K37" t="s">
        <v>3977</v>
      </c>
      <c r="L37">
        <v>2</v>
      </c>
    </row>
    <row r="38" spans="1:12">
      <c r="A38">
        <v>50000260</v>
      </c>
      <c r="B38" s="72">
        <v>45709</v>
      </c>
      <c r="C38" t="s">
        <v>85</v>
      </c>
      <c r="D38" t="s">
        <v>529</v>
      </c>
      <c r="E38" t="s">
        <v>187</v>
      </c>
      <c r="F38">
        <v>1</v>
      </c>
      <c r="G38">
        <v>1</v>
      </c>
      <c r="H38" t="s">
        <v>3968</v>
      </c>
      <c r="I38" s="72">
        <v>45707</v>
      </c>
      <c r="J38" t="s">
        <v>3969</v>
      </c>
      <c r="K38" t="s">
        <v>3977</v>
      </c>
      <c r="L38">
        <v>2</v>
      </c>
    </row>
    <row r="39" spans="1:12">
      <c r="A39">
        <v>50000260</v>
      </c>
      <c r="B39" s="72">
        <v>45709</v>
      </c>
      <c r="C39" t="s">
        <v>85</v>
      </c>
      <c r="D39" t="s">
        <v>527</v>
      </c>
      <c r="E39" t="s">
        <v>528</v>
      </c>
      <c r="F39">
        <v>1</v>
      </c>
      <c r="G39">
        <v>1</v>
      </c>
      <c r="H39" t="s">
        <v>3968</v>
      </c>
      <c r="I39" s="72">
        <v>45707</v>
      </c>
      <c r="J39" t="s">
        <v>3969</v>
      </c>
      <c r="K39" t="s">
        <v>3977</v>
      </c>
      <c r="L39">
        <v>2</v>
      </c>
    </row>
    <row r="40" spans="1:12">
      <c r="A40">
        <v>50000260</v>
      </c>
      <c r="B40" s="72">
        <v>45709</v>
      </c>
      <c r="C40" t="s">
        <v>85</v>
      </c>
      <c r="D40" t="s">
        <v>245</v>
      </c>
      <c r="E40" t="s">
        <v>526</v>
      </c>
      <c r="F40">
        <v>3</v>
      </c>
      <c r="G40">
        <v>0</v>
      </c>
      <c r="H40" t="s">
        <v>3971</v>
      </c>
      <c r="J40" t="s">
        <v>3969</v>
      </c>
      <c r="K40" t="s">
        <v>3977</v>
      </c>
      <c r="L40">
        <v>2</v>
      </c>
    </row>
    <row r="41" spans="1:12">
      <c r="A41">
        <v>50000202</v>
      </c>
      <c r="B41" s="72">
        <v>45708</v>
      </c>
      <c r="C41" t="s">
        <v>93</v>
      </c>
      <c r="D41" t="s">
        <v>511</v>
      </c>
      <c r="E41" t="s">
        <v>512</v>
      </c>
      <c r="F41">
        <v>1</v>
      </c>
      <c r="G41">
        <v>1</v>
      </c>
      <c r="H41" t="s">
        <v>3968</v>
      </c>
      <c r="I41" s="72">
        <v>45699</v>
      </c>
      <c r="J41" t="s">
        <v>3969</v>
      </c>
      <c r="K41" t="s">
        <v>3977</v>
      </c>
      <c r="L41">
        <v>2</v>
      </c>
    </row>
    <row r="42" spans="1:12">
      <c r="A42">
        <v>50110193</v>
      </c>
      <c r="B42" s="72">
        <v>45708</v>
      </c>
      <c r="C42" t="s">
        <v>33</v>
      </c>
      <c r="D42" t="s">
        <v>507</v>
      </c>
      <c r="E42" t="s">
        <v>508</v>
      </c>
      <c r="F42">
        <v>1</v>
      </c>
      <c r="G42">
        <v>1</v>
      </c>
      <c r="H42" t="s">
        <v>3968</v>
      </c>
      <c r="I42" s="72">
        <v>45708</v>
      </c>
      <c r="J42" t="s">
        <v>3969</v>
      </c>
      <c r="K42" t="s">
        <v>3977</v>
      </c>
      <c r="L42">
        <v>2</v>
      </c>
    </row>
    <row r="43" spans="1:12">
      <c r="A43">
        <v>50110193</v>
      </c>
      <c r="B43" s="72">
        <v>45708</v>
      </c>
      <c r="C43" t="s">
        <v>33</v>
      </c>
      <c r="D43" t="s">
        <v>504</v>
      </c>
      <c r="E43" t="s">
        <v>505</v>
      </c>
      <c r="F43">
        <v>1</v>
      </c>
      <c r="G43">
        <v>1</v>
      </c>
      <c r="H43" t="s">
        <v>3968</v>
      </c>
      <c r="I43" s="72">
        <v>45708</v>
      </c>
      <c r="J43" t="s">
        <v>3969</v>
      </c>
      <c r="K43" t="s">
        <v>3977</v>
      </c>
      <c r="L43">
        <v>2</v>
      </c>
    </row>
    <row r="44" spans="1:12">
      <c r="A44">
        <v>50110193</v>
      </c>
      <c r="B44" s="72">
        <v>45708</v>
      </c>
      <c r="C44" t="s">
        <v>33</v>
      </c>
      <c r="D44" t="s">
        <v>500</v>
      </c>
      <c r="E44" t="s">
        <v>501</v>
      </c>
      <c r="F44">
        <v>1</v>
      </c>
      <c r="G44">
        <v>1</v>
      </c>
      <c r="H44" t="s">
        <v>3968</v>
      </c>
      <c r="I44" s="72">
        <v>45708</v>
      </c>
      <c r="J44" t="s">
        <v>3969</v>
      </c>
      <c r="K44" t="s">
        <v>3977</v>
      </c>
      <c r="L44">
        <v>2</v>
      </c>
    </row>
    <row r="45" spans="1:12">
      <c r="A45">
        <v>51000323</v>
      </c>
      <c r="B45" s="72">
        <v>45708</v>
      </c>
      <c r="C45" t="s">
        <v>103</v>
      </c>
      <c r="D45" t="s">
        <v>130</v>
      </c>
      <c r="E45" t="s">
        <v>4021</v>
      </c>
      <c r="F45">
        <v>2</v>
      </c>
      <c r="G45">
        <v>2</v>
      </c>
      <c r="H45" t="s">
        <v>3968</v>
      </c>
      <c r="I45" s="72">
        <v>45707</v>
      </c>
      <c r="J45" t="s">
        <v>3969</v>
      </c>
      <c r="K45" t="s">
        <v>3977</v>
      </c>
      <c r="L45">
        <v>2</v>
      </c>
    </row>
    <row r="46" spans="1:12">
      <c r="A46">
        <v>51000323</v>
      </c>
      <c r="B46" s="72">
        <v>45708</v>
      </c>
      <c r="C46" t="s">
        <v>103</v>
      </c>
      <c r="D46" t="s">
        <v>495</v>
      </c>
      <c r="E46" t="s">
        <v>496</v>
      </c>
      <c r="F46">
        <v>1</v>
      </c>
      <c r="G46">
        <v>1</v>
      </c>
      <c r="H46" t="s">
        <v>3968</v>
      </c>
      <c r="I46" s="72">
        <v>45708</v>
      </c>
      <c r="J46" t="s">
        <v>3969</v>
      </c>
      <c r="K46" t="s">
        <v>3977</v>
      </c>
      <c r="L46">
        <v>2</v>
      </c>
    </row>
    <row r="47" spans="1:12">
      <c r="A47">
        <v>43000422</v>
      </c>
      <c r="B47" s="72">
        <v>45708</v>
      </c>
      <c r="C47" t="s">
        <v>225</v>
      </c>
      <c r="D47" t="s">
        <v>440</v>
      </c>
      <c r="E47" t="s">
        <v>441</v>
      </c>
      <c r="F47">
        <v>1</v>
      </c>
      <c r="G47">
        <v>1</v>
      </c>
      <c r="H47" t="s">
        <v>3968</v>
      </c>
      <c r="I47" s="72">
        <v>45693</v>
      </c>
      <c r="J47" t="s">
        <v>3969</v>
      </c>
      <c r="K47" t="s">
        <v>3977</v>
      </c>
      <c r="L47">
        <v>2</v>
      </c>
    </row>
    <row r="48" spans="1:12">
      <c r="A48">
        <v>48000432</v>
      </c>
      <c r="B48" s="72">
        <v>45707</v>
      </c>
      <c r="C48" t="s">
        <v>63</v>
      </c>
      <c r="D48" t="s">
        <v>488</v>
      </c>
      <c r="E48" t="s">
        <v>489</v>
      </c>
      <c r="F48">
        <v>1</v>
      </c>
      <c r="G48">
        <v>1</v>
      </c>
      <c r="H48" t="s">
        <v>3968</v>
      </c>
      <c r="I48" s="72">
        <v>45700</v>
      </c>
      <c r="J48" t="s">
        <v>3969</v>
      </c>
      <c r="K48" t="s">
        <v>3977</v>
      </c>
      <c r="L48">
        <v>2</v>
      </c>
    </row>
    <row r="49" spans="1:12">
      <c r="A49">
        <v>50110193</v>
      </c>
      <c r="B49" s="72">
        <v>45707</v>
      </c>
      <c r="C49" t="s">
        <v>33</v>
      </c>
      <c r="D49" t="s">
        <v>484</v>
      </c>
      <c r="E49" t="s">
        <v>485</v>
      </c>
      <c r="F49">
        <v>1</v>
      </c>
      <c r="G49">
        <v>1</v>
      </c>
      <c r="H49" t="s">
        <v>3968</v>
      </c>
      <c r="I49" s="72">
        <v>45701</v>
      </c>
      <c r="J49" t="s">
        <v>3969</v>
      </c>
      <c r="K49" t="s">
        <v>3977</v>
      </c>
      <c r="L49">
        <v>2</v>
      </c>
    </row>
    <row r="50" spans="1:12">
      <c r="A50" t="s">
        <v>182</v>
      </c>
      <c r="B50" s="72">
        <v>45707</v>
      </c>
      <c r="C50" t="s">
        <v>3997</v>
      </c>
      <c r="D50" t="s">
        <v>479</v>
      </c>
      <c r="E50" t="s">
        <v>480</v>
      </c>
      <c r="F50">
        <v>1</v>
      </c>
      <c r="G50">
        <v>1</v>
      </c>
      <c r="H50" t="s">
        <v>3968</v>
      </c>
      <c r="I50" s="72">
        <v>45692</v>
      </c>
      <c r="J50" t="s">
        <v>3969</v>
      </c>
      <c r="K50" t="s">
        <v>3977</v>
      </c>
      <c r="L50">
        <v>2</v>
      </c>
    </row>
    <row r="51" spans="1:12">
      <c r="A51">
        <v>48300375</v>
      </c>
      <c r="B51" s="72">
        <v>45707</v>
      </c>
      <c r="C51" t="s">
        <v>4016</v>
      </c>
      <c r="D51" t="s">
        <v>280</v>
      </c>
      <c r="E51" t="s">
        <v>318</v>
      </c>
      <c r="F51">
        <v>1</v>
      </c>
      <c r="G51">
        <v>1</v>
      </c>
      <c r="H51" t="s">
        <v>3968</v>
      </c>
      <c r="I51" s="72">
        <v>45636</v>
      </c>
      <c r="J51" t="s">
        <v>3969</v>
      </c>
      <c r="K51" t="s">
        <v>3977</v>
      </c>
      <c r="L51">
        <v>2</v>
      </c>
    </row>
    <row r="52" spans="1:12">
      <c r="A52">
        <v>50000202</v>
      </c>
      <c r="B52" s="72">
        <v>45707</v>
      </c>
      <c r="C52" t="s">
        <v>93</v>
      </c>
      <c r="D52" t="s">
        <v>470</v>
      </c>
      <c r="E52" t="s">
        <v>4020</v>
      </c>
      <c r="F52">
        <v>1</v>
      </c>
      <c r="G52">
        <v>1</v>
      </c>
      <c r="H52" t="s">
        <v>3968</v>
      </c>
      <c r="I52" s="72">
        <v>45705</v>
      </c>
      <c r="J52" t="s">
        <v>3969</v>
      </c>
      <c r="K52" t="s">
        <v>3977</v>
      </c>
      <c r="L52">
        <v>2</v>
      </c>
    </row>
    <row r="53" spans="1:12">
      <c r="A53">
        <v>60002072</v>
      </c>
      <c r="B53" s="72">
        <v>45707</v>
      </c>
      <c r="C53" t="s">
        <v>202</v>
      </c>
      <c r="D53" t="s">
        <v>464</v>
      </c>
      <c r="E53" t="s">
        <v>465</v>
      </c>
      <c r="F53">
        <v>1</v>
      </c>
      <c r="G53">
        <v>1</v>
      </c>
      <c r="H53" t="s">
        <v>3968</v>
      </c>
      <c r="I53" s="72">
        <v>45693</v>
      </c>
      <c r="J53" t="s">
        <v>3969</v>
      </c>
      <c r="K53" t="s">
        <v>3977</v>
      </c>
      <c r="L53">
        <v>2</v>
      </c>
    </row>
    <row r="54" spans="1:12">
      <c r="A54">
        <v>60002072</v>
      </c>
      <c r="B54" s="72">
        <v>45707</v>
      </c>
      <c r="C54" t="s">
        <v>202</v>
      </c>
      <c r="D54" t="s">
        <v>114</v>
      </c>
      <c r="E54" t="s">
        <v>463</v>
      </c>
      <c r="F54">
        <v>1</v>
      </c>
      <c r="G54">
        <v>1</v>
      </c>
      <c r="H54" t="s">
        <v>3968</v>
      </c>
      <c r="I54" s="72">
        <v>45693</v>
      </c>
      <c r="J54" t="s">
        <v>3969</v>
      </c>
      <c r="K54" t="s">
        <v>3977</v>
      </c>
      <c r="L54">
        <v>2</v>
      </c>
    </row>
    <row r="55" spans="1:12">
      <c r="A55">
        <v>47200115</v>
      </c>
      <c r="B55" s="72">
        <v>45706</v>
      </c>
      <c r="C55" t="s">
        <v>455</v>
      </c>
      <c r="D55" t="s">
        <v>457</v>
      </c>
      <c r="E55" t="s">
        <v>4019</v>
      </c>
      <c r="F55">
        <v>1</v>
      </c>
      <c r="G55">
        <v>1</v>
      </c>
      <c r="H55" t="s">
        <v>3968</v>
      </c>
      <c r="I55" s="72">
        <v>45642</v>
      </c>
      <c r="J55" t="s">
        <v>3969</v>
      </c>
      <c r="K55" t="s">
        <v>3977</v>
      </c>
      <c r="L55">
        <v>2</v>
      </c>
    </row>
    <row r="56" spans="1:12">
      <c r="A56">
        <v>60002095</v>
      </c>
      <c r="B56" s="72">
        <v>45701</v>
      </c>
      <c r="C56" t="s">
        <v>73</v>
      </c>
      <c r="D56" t="s">
        <v>451</v>
      </c>
      <c r="E56" t="s">
        <v>452</v>
      </c>
      <c r="F56">
        <v>1</v>
      </c>
      <c r="G56">
        <v>1</v>
      </c>
      <c r="H56" t="s">
        <v>3968</v>
      </c>
      <c r="I56" s="72">
        <v>45701</v>
      </c>
      <c r="J56" t="s">
        <v>3969</v>
      </c>
      <c r="K56" t="s">
        <v>3977</v>
      </c>
      <c r="L56">
        <v>2</v>
      </c>
    </row>
    <row r="57" spans="1:12">
      <c r="A57">
        <v>50300097</v>
      </c>
      <c r="B57" s="72">
        <v>45699</v>
      </c>
      <c r="C57" t="s">
        <v>445</v>
      </c>
      <c r="D57" t="s">
        <v>446</v>
      </c>
      <c r="E57" t="s">
        <v>4018</v>
      </c>
      <c r="F57">
        <v>1</v>
      </c>
      <c r="G57">
        <v>1</v>
      </c>
      <c r="H57" t="s">
        <v>3968</v>
      </c>
      <c r="I57" s="72">
        <v>45691</v>
      </c>
      <c r="J57" t="s">
        <v>3969</v>
      </c>
      <c r="K57" t="s">
        <v>3977</v>
      </c>
      <c r="L57">
        <v>2</v>
      </c>
    </row>
    <row r="58" spans="1:12">
      <c r="A58">
        <v>50110057</v>
      </c>
      <c r="B58" s="72">
        <v>45691</v>
      </c>
      <c r="C58" t="s">
        <v>181</v>
      </c>
      <c r="D58" t="s">
        <v>284</v>
      </c>
      <c r="E58" t="s">
        <v>285</v>
      </c>
      <c r="F58">
        <v>1</v>
      </c>
      <c r="G58">
        <v>0</v>
      </c>
      <c r="H58" t="s">
        <v>3968</v>
      </c>
      <c r="I58" s="72">
        <v>45706</v>
      </c>
      <c r="J58" t="s">
        <v>3969</v>
      </c>
      <c r="K58" t="s">
        <v>3977</v>
      </c>
      <c r="L58">
        <v>2</v>
      </c>
    </row>
    <row r="59" spans="1:12">
      <c r="A59">
        <v>50110057</v>
      </c>
      <c r="B59" s="72">
        <v>45691</v>
      </c>
      <c r="C59" t="s">
        <v>181</v>
      </c>
      <c r="D59" t="s">
        <v>286</v>
      </c>
      <c r="E59" t="s">
        <v>287</v>
      </c>
      <c r="F59">
        <v>1</v>
      </c>
      <c r="G59">
        <v>1</v>
      </c>
      <c r="H59" t="s">
        <v>3968</v>
      </c>
      <c r="I59" s="72">
        <v>45706</v>
      </c>
      <c r="J59" t="s">
        <v>3969</v>
      </c>
      <c r="K59" t="s">
        <v>3977</v>
      </c>
      <c r="L59">
        <v>2</v>
      </c>
    </row>
    <row r="60" spans="1:12">
      <c r="A60">
        <v>50110057</v>
      </c>
      <c r="B60" s="72">
        <v>45691</v>
      </c>
      <c r="C60" t="s">
        <v>181</v>
      </c>
      <c r="D60" t="s">
        <v>288</v>
      </c>
      <c r="E60" t="s">
        <v>289</v>
      </c>
      <c r="F60">
        <v>1</v>
      </c>
      <c r="G60">
        <v>1</v>
      </c>
      <c r="H60" t="s">
        <v>3968</v>
      </c>
      <c r="I60" s="72">
        <v>45706</v>
      </c>
      <c r="J60" t="s">
        <v>3969</v>
      </c>
      <c r="K60" t="s">
        <v>3977</v>
      </c>
      <c r="L60">
        <v>2</v>
      </c>
    </row>
    <row r="61" spans="1:12">
      <c r="A61">
        <v>50110372</v>
      </c>
      <c r="B61" s="72">
        <v>45691</v>
      </c>
      <c r="C61" t="s">
        <v>73</v>
      </c>
      <c r="D61" t="s">
        <v>292</v>
      </c>
      <c r="E61" t="s">
        <v>293</v>
      </c>
      <c r="F61">
        <v>1</v>
      </c>
      <c r="G61">
        <v>1</v>
      </c>
      <c r="H61" t="s">
        <v>3971</v>
      </c>
      <c r="I61" s="72">
        <v>45705</v>
      </c>
      <c r="J61" t="s">
        <v>3969</v>
      </c>
      <c r="K61" t="s">
        <v>3977</v>
      </c>
      <c r="L61">
        <v>2</v>
      </c>
    </row>
    <row r="62" spans="1:12">
      <c r="A62">
        <v>50110057</v>
      </c>
      <c r="B62" s="72">
        <v>45691</v>
      </c>
      <c r="C62" t="s">
        <v>181</v>
      </c>
      <c r="D62" t="s">
        <v>297</v>
      </c>
      <c r="E62" t="s">
        <v>4008</v>
      </c>
      <c r="F62">
        <v>1</v>
      </c>
      <c r="G62">
        <v>1</v>
      </c>
      <c r="H62" t="s">
        <v>3968</v>
      </c>
      <c r="J62" t="s">
        <v>3972</v>
      </c>
      <c r="K62" t="s">
        <v>3977</v>
      </c>
      <c r="L62">
        <v>2</v>
      </c>
    </row>
    <row r="63" spans="1:12">
      <c r="A63">
        <v>43000422</v>
      </c>
      <c r="B63" s="72">
        <v>45691</v>
      </c>
      <c r="C63" t="s">
        <v>225</v>
      </c>
      <c r="D63" t="s">
        <v>302</v>
      </c>
      <c r="E63" t="s">
        <v>4009</v>
      </c>
      <c r="F63">
        <v>1</v>
      </c>
      <c r="G63">
        <v>1</v>
      </c>
      <c r="H63" t="s">
        <v>3968</v>
      </c>
      <c r="I63" s="72">
        <v>45681</v>
      </c>
      <c r="J63" t="s">
        <v>3969</v>
      </c>
      <c r="K63" t="s">
        <v>3977</v>
      </c>
      <c r="L63">
        <v>2</v>
      </c>
    </row>
    <row r="64" spans="1:12">
      <c r="A64">
        <v>48000482</v>
      </c>
      <c r="B64" s="72">
        <v>45691</v>
      </c>
      <c r="C64" t="s">
        <v>152</v>
      </c>
      <c r="D64" t="s">
        <v>312</v>
      </c>
      <c r="E64" t="s">
        <v>313</v>
      </c>
      <c r="F64">
        <v>1</v>
      </c>
      <c r="G64">
        <v>1</v>
      </c>
      <c r="H64" t="s">
        <v>3968</v>
      </c>
      <c r="I64" s="72">
        <v>45691</v>
      </c>
      <c r="J64" t="s">
        <v>3969</v>
      </c>
      <c r="K64" t="s">
        <v>3977</v>
      </c>
      <c r="L64">
        <v>2</v>
      </c>
    </row>
    <row r="65" spans="1:12">
      <c r="A65">
        <v>48000482</v>
      </c>
      <c r="B65" s="72">
        <v>45691</v>
      </c>
      <c r="C65" t="s">
        <v>152</v>
      </c>
      <c r="D65" t="s">
        <v>280</v>
      </c>
      <c r="E65" t="s">
        <v>4007</v>
      </c>
      <c r="F65">
        <v>1</v>
      </c>
      <c r="G65">
        <v>1</v>
      </c>
      <c r="H65" t="s">
        <v>3968</v>
      </c>
      <c r="I65" s="72">
        <v>45672</v>
      </c>
      <c r="J65" t="s">
        <v>3969</v>
      </c>
      <c r="K65" t="s">
        <v>3977</v>
      </c>
      <c r="L65">
        <v>2</v>
      </c>
    </row>
    <row r="66" spans="1:12">
      <c r="A66">
        <v>50000530</v>
      </c>
      <c r="B66" s="72">
        <v>45691</v>
      </c>
      <c r="C66" t="s">
        <v>79</v>
      </c>
      <c r="D66" t="s">
        <v>321</v>
      </c>
      <c r="E66" t="s">
        <v>4010</v>
      </c>
      <c r="F66">
        <v>1</v>
      </c>
      <c r="G66">
        <v>1</v>
      </c>
      <c r="H66" t="s">
        <v>3971</v>
      </c>
      <c r="I66" s="72">
        <v>45688</v>
      </c>
      <c r="J66" t="s">
        <v>3969</v>
      </c>
      <c r="K66" t="s">
        <v>3977</v>
      </c>
      <c r="L66">
        <v>2</v>
      </c>
    </row>
    <row r="67" spans="1:12">
      <c r="A67">
        <v>50000530</v>
      </c>
      <c r="B67" s="72">
        <v>45691</v>
      </c>
      <c r="C67" t="s">
        <v>79</v>
      </c>
      <c r="D67" t="s">
        <v>330</v>
      </c>
      <c r="E67" t="s">
        <v>331</v>
      </c>
      <c r="F67">
        <v>1</v>
      </c>
      <c r="G67">
        <v>1</v>
      </c>
      <c r="H67" t="s">
        <v>3968</v>
      </c>
      <c r="I67" s="72">
        <v>45688</v>
      </c>
      <c r="J67" t="s">
        <v>3969</v>
      </c>
      <c r="K67" t="s">
        <v>3977</v>
      </c>
      <c r="L67">
        <v>2</v>
      </c>
    </row>
    <row r="68" spans="1:12">
      <c r="A68">
        <v>44000010</v>
      </c>
      <c r="B68" s="72">
        <v>45691</v>
      </c>
      <c r="C68" t="s">
        <v>334</v>
      </c>
      <c r="D68" t="s">
        <v>335</v>
      </c>
      <c r="E68" t="s">
        <v>4011</v>
      </c>
      <c r="F68">
        <v>1</v>
      </c>
      <c r="G68">
        <v>1</v>
      </c>
      <c r="H68" t="s">
        <v>3968</v>
      </c>
      <c r="I68" s="72">
        <v>45705</v>
      </c>
      <c r="J68" t="s">
        <v>3969</v>
      </c>
      <c r="K68" t="s">
        <v>3977</v>
      </c>
      <c r="L68">
        <v>2</v>
      </c>
    </row>
    <row r="69" spans="1:12">
      <c r="A69">
        <v>50110193</v>
      </c>
      <c r="B69" s="72">
        <v>45691</v>
      </c>
      <c r="C69" t="s">
        <v>33</v>
      </c>
      <c r="D69" t="s">
        <v>340</v>
      </c>
      <c r="E69" t="s">
        <v>341</v>
      </c>
      <c r="F69">
        <v>1</v>
      </c>
      <c r="G69">
        <v>1</v>
      </c>
      <c r="H69" t="s">
        <v>3968</v>
      </c>
      <c r="I69" s="72">
        <v>45693</v>
      </c>
      <c r="J69" t="s">
        <v>3972</v>
      </c>
      <c r="K69" t="s">
        <v>3977</v>
      </c>
      <c r="L69">
        <v>2</v>
      </c>
    </row>
    <row r="70" spans="1:12">
      <c r="A70">
        <v>48300301</v>
      </c>
      <c r="B70" s="72">
        <v>45692</v>
      </c>
      <c r="C70" t="s">
        <v>63</v>
      </c>
      <c r="D70" t="s">
        <v>326</v>
      </c>
      <c r="E70" t="s">
        <v>4012</v>
      </c>
      <c r="F70">
        <v>1</v>
      </c>
      <c r="G70">
        <v>1</v>
      </c>
      <c r="H70" t="s">
        <v>3968</v>
      </c>
      <c r="I70" s="72">
        <v>45679</v>
      </c>
      <c r="J70" t="s">
        <v>3969</v>
      </c>
      <c r="K70" t="s">
        <v>3977</v>
      </c>
      <c r="L70">
        <v>2</v>
      </c>
    </row>
    <row r="71" spans="1:12">
      <c r="A71">
        <v>60002072</v>
      </c>
      <c r="B71" s="72">
        <v>45692</v>
      </c>
      <c r="C71" t="s">
        <v>202</v>
      </c>
      <c r="D71" t="s">
        <v>350</v>
      </c>
      <c r="E71" t="s">
        <v>351</v>
      </c>
      <c r="F71">
        <v>1</v>
      </c>
      <c r="G71">
        <v>1</v>
      </c>
      <c r="H71" t="s">
        <v>3968</v>
      </c>
      <c r="I71" s="72">
        <v>45692</v>
      </c>
      <c r="J71" t="s">
        <v>3969</v>
      </c>
      <c r="K71" t="s">
        <v>3977</v>
      </c>
      <c r="L71">
        <v>2</v>
      </c>
    </row>
    <row r="72" spans="1:12">
      <c r="A72">
        <v>50000343</v>
      </c>
      <c r="B72" s="72">
        <v>45692</v>
      </c>
      <c r="C72" t="s">
        <v>73</v>
      </c>
      <c r="D72" t="s">
        <v>354</v>
      </c>
      <c r="E72" t="s">
        <v>355</v>
      </c>
      <c r="F72">
        <v>1</v>
      </c>
      <c r="G72">
        <v>1</v>
      </c>
      <c r="H72" t="s">
        <v>3968</v>
      </c>
      <c r="I72" s="72">
        <v>45693</v>
      </c>
      <c r="J72" t="s">
        <v>3972</v>
      </c>
      <c r="K72" t="s">
        <v>3977</v>
      </c>
      <c r="L72">
        <v>2</v>
      </c>
    </row>
    <row r="73" spans="1:12">
      <c r="A73">
        <v>50000202</v>
      </c>
      <c r="B73" s="72">
        <v>45692</v>
      </c>
      <c r="C73" t="s">
        <v>93</v>
      </c>
      <c r="D73" t="s">
        <v>65</v>
      </c>
      <c r="E73" t="s">
        <v>362</v>
      </c>
      <c r="F73">
        <v>1</v>
      </c>
      <c r="G73">
        <v>1</v>
      </c>
      <c r="H73" t="s">
        <v>3968</v>
      </c>
      <c r="I73" s="72">
        <v>45663</v>
      </c>
      <c r="J73" t="s">
        <v>3969</v>
      </c>
      <c r="K73" t="s">
        <v>3977</v>
      </c>
      <c r="L73">
        <v>2</v>
      </c>
    </row>
    <row r="74" spans="1:12">
      <c r="A74">
        <v>48000482</v>
      </c>
      <c r="B74" s="72">
        <v>45692</v>
      </c>
      <c r="C74" t="s">
        <v>152</v>
      </c>
      <c r="D74" t="s">
        <v>335</v>
      </c>
      <c r="E74" t="s">
        <v>1136</v>
      </c>
      <c r="F74">
        <v>1</v>
      </c>
      <c r="G74">
        <v>1</v>
      </c>
      <c r="H74" t="s">
        <v>3968</v>
      </c>
      <c r="I74" s="72">
        <v>45705</v>
      </c>
      <c r="J74" t="s">
        <v>3969</v>
      </c>
      <c r="K74" t="s">
        <v>3977</v>
      </c>
      <c r="L74">
        <v>2</v>
      </c>
    </row>
    <row r="75" spans="1:12">
      <c r="A75">
        <v>44000059</v>
      </c>
      <c r="B75" s="72">
        <v>45692</v>
      </c>
      <c r="C75" t="s">
        <v>63</v>
      </c>
      <c r="D75" t="s">
        <v>369</v>
      </c>
      <c r="E75" t="s">
        <v>370</v>
      </c>
      <c r="F75">
        <v>1</v>
      </c>
      <c r="G75">
        <v>1</v>
      </c>
      <c r="H75" t="s">
        <v>3968</v>
      </c>
      <c r="I75" s="72">
        <v>45681</v>
      </c>
      <c r="J75" t="s">
        <v>3969</v>
      </c>
      <c r="K75" t="s">
        <v>3977</v>
      </c>
      <c r="L75">
        <v>2</v>
      </c>
    </row>
    <row r="76" spans="1:12">
      <c r="A76">
        <v>44000059</v>
      </c>
      <c r="B76" s="72">
        <v>45692</v>
      </c>
      <c r="C76" t="s">
        <v>63</v>
      </c>
      <c r="D76" t="s">
        <v>371</v>
      </c>
      <c r="E76" t="s">
        <v>372</v>
      </c>
      <c r="F76">
        <v>1</v>
      </c>
      <c r="G76">
        <v>1</v>
      </c>
      <c r="H76" t="s">
        <v>3968</v>
      </c>
      <c r="I76" s="72">
        <v>45692</v>
      </c>
      <c r="J76" t="s">
        <v>3969</v>
      </c>
      <c r="K76" t="s">
        <v>3977</v>
      </c>
      <c r="L76">
        <v>2</v>
      </c>
    </row>
    <row r="77" spans="1:12">
      <c r="A77">
        <v>50110372</v>
      </c>
      <c r="B77" s="72">
        <v>45692</v>
      </c>
      <c r="C77" t="s">
        <v>73</v>
      </c>
      <c r="D77" t="s">
        <v>375</v>
      </c>
      <c r="E77" t="s">
        <v>4013</v>
      </c>
      <c r="F77">
        <v>1</v>
      </c>
      <c r="G77">
        <v>0</v>
      </c>
      <c r="H77" t="s">
        <v>3971</v>
      </c>
      <c r="J77" t="s">
        <v>3969</v>
      </c>
      <c r="K77" t="s">
        <v>3977</v>
      </c>
      <c r="L77">
        <v>2</v>
      </c>
    </row>
    <row r="78" spans="1:12">
      <c r="A78">
        <v>50110372</v>
      </c>
      <c r="B78" s="72">
        <v>45692</v>
      </c>
      <c r="C78" t="s">
        <v>73</v>
      </c>
      <c r="D78" t="s">
        <v>378</v>
      </c>
      <c r="E78" t="s">
        <v>379</v>
      </c>
      <c r="F78">
        <v>1</v>
      </c>
      <c r="G78">
        <v>1</v>
      </c>
      <c r="H78" t="s">
        <v>3971</v>
      </c>
      <c r="I78" s="72">
        <v>45692</v>
      </c>
      <c r="J78" t="s">
        <v>3969</v>
      </c>
      <c r="K78" t="s">
        <v>3977</v>
      </c>
      <c r="L78">
        <v>2</v>
      </c>
    </row>
    <row r="79" spans="1:12">
      <c r="A79">
        <v>51000136</v>
      </c>
      <c r="B79" s="72">
        <v>45693</v>
      </c>
      <c r="C79" t="s">
        <v>103</v>
      </c>
      <c r="D79" t="s">
        <v>308</v>
      </c>
      <c r="E79" t="s">
        <v>309</v>
      </c>
      <c r="F79">
        <v>1</v>
      </c>
      <c r="G79">
        <v>0</v>
      </c>
      <c r="H79" t="s">
        <v>3968</v>
      </c>
      <c r="J79" t="s">
        <v>3969</v>
      </c>
      <c r="K79" t="s">
        <v>3977</v>
      </c>
      <c r="L79">
        <v>2</v>
      </c>
    </row>
    <row r="80" spans="1:12">
      <c r="A80">
        <v>50000343</v>
      </c>
      <c r="B80" s="72">
        <v>45694</v>
      </c>
      <c r="C80" t="s">
        <v>73</v>
      </c>
      <c r="D80" t="s">
        <v>397</v>
      </c>
      <c r="E80" t="s">
        <v>4014</v>
      </c>
      <c r="F80">
        <v>1</v>
      </c>
      <c r="G80">
        <v>1</v>
      </c>
      <c r="H80" t="s">
        <v>3968</v>
      </c>
      <c r="I80" s="72">
        <v>45692</v>
      </c>
      <c r="J80" t="s">
        <v>3969</v>
      </c>
      <c r="K80" t="s">
        <v>3977</v>
      </c>
      <c r="L80">
        <v>2</v>
      </c>
    </row>
    <row r="81" spans="1:12">
      <c r="A81" t="s">
        <v>404</v>
      </c>
      <c r="B81" s="72">
        <v>45694</v>
      </c>
      <c r="C81" t="s">
        <v>402</v>
      </c>
      <c r="D81" t="s">
        <v>405</v>
      </c>
      <c r="E81" t="s">
        <v>4015</v>
      </c>
      <c r="F81">
        <v>1</v>
      </c>
      <c r="G81">
        <v>1</v>
      </c>
      <c r="H81" t="s">
        <v>3968</v>
      </c>
      <c r="I81" s="72">
        <v>45693</v>
      </c>
      <c r="J81" t="s">
        <v>3969</v>
      </c>
      <c r="K81" t="s">
        <v>3977</v>
      </c>
      <c r="L81">
        <v>2</v>
      </c>
    </row>
    <row r="82" spans="1:12">
      <c r="A82">
        <v>60002095</v>
      </c>
      <c r="B82" s="72">
        <v>45695</v>
      </c>
      <c r="C82" t="s">
        <v>73</v>
      </c>
      <c r="D82" t="s">
        <v>358</v>
      </c>
      <c r="E82" t="s">
        <v>359</v>
      </c>
      <c r="F82">
        <v>1</v>
      </c>
      <c r="G82">
        <v>0</v>
      </c>
      <c r="H82" t="s">
        <v>3971</v>
      </c>
      <c r="J82" t="s">
        <v>3969</v>
      </c>
      <c r="K82" t="s">
        <v>3977</v>
      </c>
      <c r="L82">
        <v>2</v>
      </c>
    </row>
    <row r="83" spans="1:12">
      <c r="A83" t="s">
        <v>409</v>
      </c>
      <c r="B83" s="72">
        <v>45695</v>
      </c>
      <c r="C83" t="s">
        <v>334</v>
      </c>
      <c r="D83" t="s">
        <v>410</v>
      </c>
      <c r="E83" t="s">
        <v>411</v>
      </c>
      <c r="F83">
        <v>1</v>
      </c>
      <c r="G83">
        <v>1</v>
      </c>
      <c r="H83" t="s">
        <v>3968</v>
      </c>
      <c r="I83" s="72">
        <v>45677</v>
      </c>
      <c r="J83" t="s">
        <v>3969</v>
      </c>
      <c r="K83" t="s">
        <v>3977</v>
      </c>
      <c r="L83">
        <v>2</v>
      </c>
    </row>
    <row r="84" spans="1:12">
      <c r="A84">
        <v>44000321</v>
      </c>
      <c r="B84" s="72">
        <v>45695</v>
      </c>
      <c r="C84" t="s">
        <v>417</v>
      </c>
      <c r="D84" t="s">
        <v>418</v>
      </c>
      <c r="E84" t="s">
        <v>419</v>
      </c>
      <c r="F84">
        <v>1</v>
      </c>
      <c r="G84">
        <v>1</v>
      </c>
      <c r="H84" t="s">
        <v>3968</v>
      </c>
      <c r="I84" s="72">
        <v>45672</v>
      </c>
      <c r="J84" t="s">
        <v>3969</v>
      </c>
      <c r="K84" t="s">
        <v>3977</v>
      </c>
      <c r="L84">
        <v>2</v>
      </c>
    </row>
    <row r="85" spans="1:12">
      <c r="A85">
        <v>44000321</v>
      </c>
      <c r="B85" s="72">
        <v>45695</v>
      </c>
      <c r="C85" t="s">
        <v>417</v>
      </c>
      <c r="D85" t="s">
        <v>422</v>
      </c>
      <c r="E85" t="s">
        <v>423</v>
      </c>
      <c r="F85">
        <v>1</v>
      </c>
      <c r="G85">
        <v>1</v>
      </c>
      <c r="H85" t="s">
        <v>3968</v>
      </c>
      <c r="I85" s="72">
        <v>45672</v>
      </c>
      <c r="J85" t="s">
        <v>3969</v>
      </c>
      <c r="K85" t="s">
        <v>3977</v>
      </c>
      <c r="L85">
        <v>2</v>
      </c>
    </row>
    <row r="86" spans="1:12">
      <c r="A86">
        <v>50000343</v>
      </c>
      <c r="B86" s="72">
        <v>45698</v>
      </c>
      <c r="C86" t="s">
        <v>73</v>
      </c>
      <c r="D86" t="s">
        <v>330</v>
      </c>
      <c r="E86" t="s">
        <v>331</v>
      </c>
      <c r="F86">
        <v>1</v>
      </c>
      <c r="G86">
        <v>1</v>
      </c>
      <c r="H86" t="s">
        <v>3968</v>
      </c>
      <c r="I86" s="72">
        <v>45698</v>
      </c>
      <c r="J86" t="s">
        <v>3972</v>
      </c>
      <c r="K86" t="s">
        <v>3977</v>
      </c>
      <c r="L86">
        <v>2</v>
      </c>
    </row>
    <row r="87" spans="1:12">
      <c r="A87">
        <v>48300375</v>
      </c>
      <c r="B87" s="72">
        <v>45698</v>
      </c>
      <c r="C87" t="s">
        <v>4016</v>
      </c>
      <c r="D87" t="s">
        <v>429</v>
      </c>
      <c r="E87" t="s">
        <v>4017</v>
      </c>
      <c r="F87">
        <v>1</v>
      </c>
      <c r="G87">
        <v>1</v>
      </c>
      <c r="H87" t="s">
        <v>3968</v>
      </c>
      <c r="J87" t="s">
        <v>3969</v>
      </c>
      <c r="K87" t="s">
        <v>3977</v>
      </c>
      <c r="L87">
        <v>2</v>
      </c>
    </row>
    <row r="88" spans="1:12">
      <c r="A88">
        <v>50110372</v>
      </c>
      <c r="B88" s="72">
        <v>45698</v>
      </c>
      <c r="C88" t="s">
        <v>73</v>
      </c>
      <c r="D88" t="s">
        <v>80</v>
      </c>
      <c r="E88" t="s">
        <v>433</v>
      </c>
      <c r="F88">
        <v>1</v>
      </c>
      <c r="G88">
        <v>1</v>
      </c>
      <c r="H88" t="s">
        <v>3968</v>
      </c>
      <c r="I88" s="72">
        <v>45695</v>
      </c>
      <c r="J88" t="s">
        <v>3969</v>
      </c>
      <c r="K88" t="s">
        <v>3977</v>
      </c>
      <c r="L88">
        <v>2</v>
      </c>
    </row>
    <row r="89" spans="1:12">
      <c r="A89">
        <v>50110229</v>
      </c>
      <c r="B89" s="72">
        <v>45698</v>
      </c>
      <c r="C89" t="s">
        <v>109</v>
      </c>
      <c r="D89" t="s">
        <v>436</v>
      </c>
      <c r="E89" t="s">
        <v>437</v>
      </c>
      <c r="F89">
        <v>1</v>
      </c>
      <c r="G89">
        <v>1</v>
      </c>
      <c r="H89" t="s">
        <v>3971</v>
      </c>
      <c r="I89" s="72">
        <v>45698</v>
      </c>
      <c r="J89" t="s">
        <v>3969</v>
      </c>
      <c r="K89" t="s">
        <v>3977</v>
      </c>
      <c r="L89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859-8126-48EE-A389-298BF757C48B}">
  <dimension ref="A1:L308"/>
  <sheetViews>
    <sheetView topLeftCell="A273" workbookViewId="0">
      <selection activeCell="F307" sqref="F307"/>
    </sheetView>
  </sheetViews>
  <sheetFormatPr defaultRowHeight="14.45"/>
  <cols>
    <col min="1" max="1" width="16.28515625" bestFit="1" customWidth="1"/>
    <col min="2" max="2" width="13.140625" bestFit="1" customWidth="1"/>
    <col min="3" max="3" width="18" bestFit="1" customWidth="1"/>
    <col min="4" max="4" width="15" bestFit="1" customWidth="1"/>
    <col min="5" max="5" width="56.42578125" customWidth="1"/>
    <col min="6" max="6" width="18.855468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7.5703125" customWidth="1"/>
    <col min="11" max="11" width="28.7109375" customWidth="1"/>
  </cols>
  <sheetData>
    <row r="1" spans="1:12">
      <c r="A1" s="73" t="s">
        <v>4163</v>
      </c>
    </row>
    <row r="3" spans="1:12">
      <c r="A3" t="s">
        <v>3979</v>
      </c>
      <c r="B3" t="s">
        <v>3980</v>
      </c>
      <c r="C3" t="s">
        <v>3981</v>
      </c>
      <c r="D3" t="s">
        <v>3982</v>
      </c>
      <c r="E3" t="s">
        <v>3983</v>
      </c>
      <c r="F3" t="s">
        <v>3984</v>
      </c>
      <c r="G3" t="s">
        <v>3985</v>
      </c>
      <c r="H3" t="s">
        <v>3986</v>
      </c>
      <c r="I3" t="s">
        <v>3987</v>
      </c>
      <c r="J3" t="s">
        <v>3988</v>
      </c>
      <c r="K3" t="s">
        <v>3989</v>
      </c>
      <c r="L3" t="s">
        <v>26</v>
      </c>
    </row>
    <row r="4" spans="1:12" hidden="1">
      <c r="A4" s="89">
        <v>41000142</v>
      </c>
      <c r="B4" s="90">
        <v>45716</v>
      </c>
      <c r="C4" s="89" t="s">
        <v>192</v>
      </c>
      <c r="D4" s="89" t="s">
        <v>654</v>
      </c>
      <c r="E4" s="91" t="s">
        <v>655</v>
      </c>
      <c r="F4" s="89">
        <v>1</v>
      </c>
      <c r="G4" s="89">
        <v>1</v>
      </c>
      <c r="H4" s="89" t="s">
        <v>3968</v>
      </c>
      <c r="I4" s="90">
        <v>45623</v>
      </c>
      <c r="J4" s="89" t="s">
        <v>3969</v>
      </c>
      <c r="K4" s="69" t="s">
        <v>3990</v>
      </c>
      <c r="L4" s="89">
        <v>2</v>
      </c>
    </row>
    <row r="5" spans="1:12" hidden="1">
      <c r="A5" s="89" t="s">
        <v>641</v>
      </c>
      <c r="B5" s="90">
        <v>45716</v>
      </c>
      <c r="C5" s="89" t="s">
        <v>639</v>
      </c>
      <c r="D5" s="89" t="s">
        <v>648</v>
      </c>
      <c r="E5" s="91" t="s">
        <v>649</v>
      </c>
      <c r="F5" s="89">
        <v>1</v>
      </c>
      <c r="G5" s="89">
        <v>0</v>
      </c>
      <c r="H5" s="89" t="s">
        <v>3971</v>
      </c>
      <c r="I5" s="89"/>
      <c r="J5" s="89" t="s">
        <v>3969</v>
      </c>
      <c r="K5" s="92" t="s">
        <v>3990</v>
      </c>
      <c r="L5" s="89">
        <v>2</v>
      </c>
    </row>
    <row r="6" spans="1:12" hidden="1">
      <c r="A6" s="89" t="s">
        <v>641</v>
      </c>
      <c r="B6" s="90">
        <v>45716</v>
      </c>
      <c r="C6" s="89" t="s">
        <v>639</v>
      </c>
      <c r="D6" s="89" t="s">
        <v>645</v>
      </c>
      <c r="E6" s="91" t="s">
        <v>4028</v>
      </c>
      <c r="F6" s="89">
        <v>1</v>
      </c>
      <c r="G6" s="89">
        <v>0</v>
      </c>
      <c r="H6" s="89" t="s">
        <v>3971</v>
      </c>
      <c r="I6" s="89"/>
      <c r="J6" s="89" t="s">
        <v>3969</v>
      </c>
      <c r="K6" s="92" t="s">
        <v>3990</v>
      </c>
      <c r="L6" s="89">
        <v>2</v>
      </c>
    </row>
    <row r="7" spans="1:12" hidden="1">
      <c r="A7" s="89" t="s">
        <v>641</v>
      </c>
      <c r="B7" s="90">
        <v>45716</v>
      </c>
      <c r="C7" s="89" t="s">
        <v>639</v>
      </c>
      <c r="D7" s="89" t="s">
        <v>326</v>
      </c>
      <c r="E7" s="91" t="s">
        <v>4027</v>
      </c>
      <c r="F7" s="89">
        <v>1</v>
      </c>
      <c r="G7" s="89">
        <v>1</v>
      </c>
      <c r="H7" s="89" t="s">
        <v>3968</v>
      </c>
      <c r="I7" s="90">
        <v>45713</v>
      </c>
      <c r="J7" s="89" t="s">
        <v>3969</v>
      </c>
      <c r="K7" s="93" t="s">
        <v>3990</v>
      </c>
      <c r="L7" s="89">
        <v>2</v>
      </c>
    </row>
    <row r="8" spans="1:12" hidden="1">
      <c r="A8" s="89" t="s">
        <v>641</v>
      </c>
      <c r="B8" s="90">
        <v>45716</v>
      </c>
      <c r="C8" s="89" t="s">
        <v>639</v>
      </c>
      <c r="D8" s="89" t="s">
        <v>642</v>
      </c>
      <c r="E8" s="91" t="s">
        <v>4026</v>
      </c>
      <c r="F8" s="89">
        <v>1</v>
      </c>
      <c r="G8" s="89">
        <v>1</v>
      </c>
      <c r="H8" s="89" t="s">
        <v>3968</v>
      </c>
      <c r="I8" s="90">
        <v>45713</v>
      </c>
      <c r="J8" s="89" t="s">
        <v>3969</v>
      </c>
      <c r="K8" s="64" t="s">
        <v>3990</v>
      </c>
      <c r="L8" s="89">
        <v>2</v>
      </c>
    </row>
    <row r="9" spans="1:12" hidden="1">
      <c r="A9" s="89">
        <v>50000202</v>
      </c>
      <c r="B9" s="90">
        <v>45715</v>
      </c>
      <c r="C9" s="89" t="s">
        <v>93</v>
      </c>
      <c r="D9" s="89" t="s">
        <v>495</v>
      </c>
      <c r="E9" s="91" t="s">
        <v>635</v>
      </c>
      <c r="F9" s="89">
        <v>2</v>
      </c>
      <c r="G9" s="89">
        <v>2</v>
      </c>
      <c r="H9" s="89" t="s">
        <v>3968</v>
      </c>
      <c r="I9" s="90">
        <v>45715</v>
      </c>
      <c r="J9" s="89" t="s">
        <v>3969</v>
      </c>
      <c r="K9" s="64" t="s">
        <v>3990</v>
      </c>
      <c r="L9" s="89">
        <v>2</v>
      </c>
    </row>
    <row r="10" spans="1:12" hidden="1">
      <c r="A10" s="89">
        <v>50000202</v>
      </c>
      <c r="B10" s="90">
        <v>45715</v>
      </c>
      <c r="C10" s="89" t="s">
        <v>93</v>
      </c>
      <c r="D10" s="89" t="s">
        <v>130</v>
      </c>
      <c r="E10" s="91" t="s">
        <v>633</v>
      </c>
      <c r="F10" s="89">
        <v>2</v>
      </c>
      <c r="G10" s="89">
        <v>2</v>
      </c>
      <c r="H10" s="89" t="s">
        <v>3968</v>
      </c>
      <c r="I10" s="90">
        <v>45714</v>
      </c>
      <c r="J10" s="89" t="s">
        <v>3969</v>
      </c>
      <c r="K10" s="64" t="s">
        <v>3990</v>
      </c>
      <c r="L10" s="89">
        <v>2</v>
      </c>
    </row>
    <row r="11" spans="1:12" hidden="1">
      <c r="A11" s="89">
        <v>50000260</v>
      </c>
      <c r="B11" s="90">
        <v>45715</v>
      </c>
      <c r="C11" s="89" t="s">
        <v>85</v>
      </c>
      <c r="D11" s="89" t="s">
        <v>80</v>
      </c>
      <c r="E11" s="91" t="s">
        <v>81</v>
      </c>
      <c r="F11" s="89">
        <v>1</v>
      </c>
      <c r="G11" s="89">
        <v>1</v>
      </c>
      <c r="H11" s="89" t="s">
        <v>3968</v>
      </c>
      <c r="I11" s="90">
        <v>45713</v>
      </c>
      <c r="J11" s="89" t="s">
        <v>3969</v>
      </c>
      <c r="K11" s="64" t="s">
        <v>3990</v>
      </c>
      <c r="L11" s="89">
        <v>2</v>
      </c>
    </row>
    <row r="12" spans="1:12" hidden="1">
      <c r="A12" s="89">
        <v>50000260</v>
      </c>
      <c r="B12" s="90">
        <v>45715</v>
      </c>
      <c r="C12" s="89" t="s">
        <v>85</v>
      </c>
      <c r="D12" s="89" t="s">
        <v>629</v>
      </c>
      <c r="E12" s="91" t="s">
        <v>630</v>
      </c>
      <c r="F12" s="89">
        <v>1</v>
      </c>
      <c r="G12" s="89">
        <v>1</v>
      </c>
      <c r="H12" s="89" t="s">
        <v>3968</v>
      </c>
      <c r="I12" s="90">
        <v>45713</v>
      </c>
      <c r="J12" s="89" t="s">
        <v>3969</v>
      </c>
      <c r="K12" s="64" t="s">
        <v>3990</v>
      </c>
      <c r="L12" s="89">
        <v>2</v>
      </c>
    </row>
    <row r="13" spans="1:12" hidden="1">
      <c r="A13" s="89">
        <v>50300141</v>
      </c>
      <c r="B13" s="90">
        <v>45715</v>
      </c>
      <c r="C13" s="89" t="s">
        <v>402</v>
      </c>
      <c r="D13" s="89" t="s">
        <v>624</v>
      </c>
      <c r="E13" s="91" t="s">
        <v>625</v>
      </c>
      <c r="F13" s="89">
        <v>1</v>
      </c>
      <c r="G13" s="89">
        <v>1</v>
      </c>
      <c r="H13" s="89" t="s">
        <v>3968</v>
      </c>
      <c r="I13" s="90">
        <v>45709</v>
      </c>
      <c r="J13" s="89" t="s">
        <v>3969</v>
      </c>
      <c r="K13" s="64" t="s">
        <v>3990</v>
      </c>
      <c r="L13" s="89">
        <v>2</v>
      </c>
    </row>
    <row r="14" spans="1:12" hidden="1">
      <c r="A14" s="89">
        <v>50000530</v>
      </c>
      <c r="B14" s="90">
        <v>45715</v>
      </c>
      <c r="C14" s="89" t="s">
        <v>79</v>
      </c>
      <c r="D14" s="89" t="s">
        <v>619</v>
      </c>
      <c r="E14" s="91" t="s">
        <v>620</v>
      </c>
      <c r="F14" s="89">
        <v>1</v>
      </c>
      <c r="G14" s="89">
        <v>1</v>
      </c>
      <c r="H14" s="89" t="s">
        <v>3968</v>
      </c>
      <c r="I14" s="90">
        <v>45713</v>
      </c>
      <c r="J14" s="89" t="s">
        <v>3969</v>
      </c>
      <c r="K14" s="64" t="s">
        <v>3990</v>
      </c>
      <c r="L14" s="89">
        <v>2</v>
      </c>
    </row>
    <row r="15" spans="1:12" hidden="1">
      <c r="A15" s="89" t="s">
        <v>609</v>
      </c>
      <c r="B15" s="90">
        <v>45715</v>
      </c>
      <c r="C15" s="89" t="s">
        <v>4025</v>
      </c>
      <c r="D15" s="89" t="s">
        <v>610</v>
      </c>
      <c r="E15" s="91" t="s">
        <v>611</v>
      </c>
      <c r="F15" s="89">
        <v>1</v>
      </c>
      <c r="G15" s="89">
        <v>1</v>
      </c>
      <c r="H15" s="89" t="s">
        <v>3968</v>
      </c>
      <c r="I15" s="90">
        <v>45679</v>
      </c>
      <c r="J15" s="89" t="s">
        <v>3969</v>
      </c>
      <c r="K15" s="64" t="s">
        <v>3990</v>
      </c>
      <c r="L15" s="89">
        <v>2</v>
      </c>
    </row>
    <row r="16" spans="1:12" hidden="1">
      <c r="A16" s="89">
        <v>51000323</v>
      </c>
      <c r="B16" s="90">
        <v>45715</v>
      </c>
      <c r="C16" s="89" t="s">
        <v>103</v>
      </c>
      <c r="D16" s="89" t="s">
        <v>605</v>
      </c>
      <c r="E16" s="91" t="s">
        <v>606</v>
      </c>
      <c r="F16" s="89">
        <v>1</v>
      </c>
      <c r="G16" s="89">
        <v>1</v>
      </c>
      <c r="H16" s="89" t="s">
        <v>3968</v>
      </c>
      <c r="I16" s="89"/>
      <c r="J16" s="89" t="s">
        <v>3972</v>
      </c>
      <c r="K16" s="64" t="s">
        <v>3990</v>
      </c>
      <c r="L16" s="89">
        <v>2</v>
      </c>
    </row>
    <row r="17" spans="1:12" hidden="1">
      <c r="A17" s="89">
        <v>51000323</v>
      </c>
      <c r="B17" s="90">
        <v>45715</v>
      </c>
      <c r="C17" s="89" t="s">
        <v>103</v>
      </c>
      <c r="D17" s="89" t="s">
        <v>603</v>
      </c>
      <c r="E17" s="91" t="s">
        <v>604</v>
      </c>
      <c r="F17" s="89">
        <v>1</v>
      </c>
      <c r="G17" s="89">
        <v>1</v>
      </c>
      <c r="H17" s="89" t="s">
        <v>3968</v>
      </c>
      <c r="I17" s="90">
        <v>45715</v>
      </c>
      <c r="J17" s="89" t="s">
        <v>3969</v>
      </c>
      <c r="K17" s="69" t="s">
        <v>3990</v>
      </c>
      <c r="L17" s="89">
        <v>2</v>
      </c>
    </row>
    <row r="18" spans="1:12" hidden="1">
      <c r="A18" s="89">
        <v>51000136</v>
      </c>
      <c r="B18" s="90">
        <v>45715</v>
      </c>
      <c r="C18" s="89" t="s">
        <v>103</v>
      </c>
      <c r="D18" s="89" t="s">
        <v>599</v>
      </c>
      <c r="E18" s="91" t="s">
        <v>600</v>
      </c>
      <c r="F18" s="89">
        <v>1</v>
      </c>
      <c r="G18" s="89">
        <v>0</v>
      </c>
      <c r="H18" s="89" t="s">
        <v>3968</v>
      </c>
      <c r="I18" s="89"/>
      <c r="J18" s="89" t="s">
        <v>3969</v>
      </c>
      <c r="K18" s="92" t="s">
        <v>3990</v>
      </c>
      <c r="L18" s="89">
        <v>2</v>
      </c>
    </row>
    <row r="19" spans="1:12" hidden="1">
      <c r="A19" s="89">
        <v>51000136</v>
      </c>
      <c r="B19" s="90">
        <v>45715</v>
      </c>
      <c r="C19" s="89" t="s">
        <v>103</v>
      </c>
      <c r="D19" s="89" t="s">
        <v>597</v>
      </c>
      <c r="E19" s="91" t="s">
        <v>4024</v>
      </c>
      <c r="F19" s="89">
        <v>1</v>
      </c>
      <c r="G19" s="89">
        <v>1</v>
      </c>
      <c r="H19" s="89" t="s">
        <v>3968</v>
      </c>
      <c r="I19" s="90">
        <v>45723</v>
      </c>
      <c r="J19" s="89" t="s">
        <v>3969</v>
      </c>
      <c r="K19" s="93" t="s">
        <v>3990</v>
      </c>
      <c r="L19" s="89">
        <v>2</v>
      </c>
    </row>
    <row r="20" spans="1:12" hidden="1">
      <c r="A20" s="89">
        <v>51000136</v>
      </c>
      <c r="B20" s="90">
        <v>45715</v>
      </c>
      <c r="C20" s="89" t="s">
        <v>103</v>
      </c>
      <c r="D20" s="89" t="s">
        <v>595</v>
      </c>
      <c r="E20" s="91" t="s">
        <v>596</v>
      </c>
      <c r="F20" s="89">
        <v>1</v>
      </c>
      <c r="G20" s="89">
        <v>1</v>
      </c>
      <c r="H20" s="89" t="s">
        <v>3968</v>
      </c>
      <c r="I20" s="90">
        <v>45723</v>
      </c>
      <c r="J20" s="89" t="s">
        <v>3969</v>
      </c>
      <c r="K20" s="64" t="s">
        <v>3990</v>
      </c>
      <c r="L20" s="89">
        <v>2</v>
      </c>
    </row>
    <row r="21" spans="1:12" hidden="1">
      <c r="A21" s="89">
        <v>51000136</v>
      </c>
      <c r="B21" s="90">
        <v>45715</v>
      </c>
      <c r="C21" s="89" t="s">
        <v>103</v>
      </c>
      <c r="D21" s="89" t="s">
        <v>593</v>
      </c>
      <c r="E21" s="91" t="s">
        <v>594</v>
      </c>
      <c r="F21" s="89">
        <v>1</v>
      </c>
      <c r="G21" s="89">
        <v>1</v>
      </c>
      <c r="H21" s="89" t="s">
        <v>3968</v>
      </c>
      <c r="I21" s="89"/>
      <c r="J21" s="89" t="s">
        <v>3972</v>
      </c>
      <c r="K21" s="64" t="s">
        <v>3990</v>
      </c>
      <c r="L21" s="89">
        <v>2</v>
      </c>
    </row>
    <row r="22" spans="1:12" hidden="1">
      <c r="A22" s="89">
        <v>51000136</v>
      </c>
      <c r="B22" s="90">
        <v>45715</v>
      </c>
      <c r="C22" s="89" t="s">
        <v>103</v>
      </c>
      <c r="D22" s="89" t="s">
        <v>591</v>
      </c>
      <c r="E22" s="91" t="s">
        <v>592</v>
      </c>
      <c r="F22" s="89">
        <v>1</v>
      </c>
      <c r="G22" s="89">
        <v>1</v>
      </c>
      <c r="H22" s="89" t="s">
        <v>3968</v>
      </c>
      <c r="I22" s="90">
        <v>45715</v>
      </c>
      <c r="J22" s="89" t="s">
        <v>3969</v>
      </c>
      <c r="K22" s="64" t="s">
        <v>3990</v>
      </c>
      <c r="L22" s="89">
        <v>2</v>
      </c>
    </row>
    <row r="23" spans="1:12" hidden="1">
      <c r="A23" s="89">
        <v>51000136</v>
      </c>
      <c r="B23" s="90">
        <v>45715</v>
      </c>
      <c r="C23" s="89" t="s">
        <v>103</v>
      </c>
      <c r="D23" s="89" t="s">
        <v>589</v>
      </c>
      <c r="E23" s="91" t="s">
        <v>590</v>
      </c>
      <c r="F23" s="89">
        <v>1</v>
      </c>
      <c r="G23" s="89">
        <v>1</v>
      </c>
      <c r="H23" s="89" t="s">
        <v>3968</v>
      </c>
      <c r="I23" s="89"/>
      <c r="J23" s="89" t="s">
        <v>3972</v>
      </c>
      <c r="K23" s="64" t="s">
        <v>3990</v>
      </c>
      <c r="L23" s="89">
        <v>2</v>
      </c>
    </row>
    <row r="24" spans="1:12" hidden="1">
      <c r="A24" s="89">
        <v>50110193</v>
      </c>
      <c r="B24" s="90">
        <v>45715</v>
      </c>
      <c r="C24" s="89" t="s">
        <v>33</v>
      </c>
      <c r="D24" s="89" t="s">
        <v>4023</v>
      </c>
      <c r="E24" s="91" t="s">
        <v>36</v>
      </c>
      <c r="F24" s="89">
        <v>1</v>
      </c>
      <c r="G24" s="89">
        <v>1</v>
      </c>
      <c r="H24" s="89" t="s">
        <v>3968</v>
      </c>
      <c r="I24" s="90">
        <v>45663</v>
      </c>
      <c r="J24" s="89" t="s">
        <v>3969</v>
      </c>
      <c r="K24" s="69" t="s">
        <v>3990</v>
      </c>
      <c r="L24" s="89">
        <v>2</v>
      </c>
    </row>
    <row r="25" spans="1:12" hidden="1">
      <c r="A25" s="89">
        <v>60002095</v>
      </c>
      <c r="B25" s="90">
        <v>45714</v>
      </c>
      <c r="C25" s="89" t="s">
        <v>73</v>
      </c>
      <c r="D25" s="89" t="s">
        <v>578</v>
      </c>
      <c r="E25" s="91" t="s">
        <v>579</v>
      </c>
      <c r="F25" s="89">
        <v>1</v>
      </c>
      <c r="G25" s="89">
        <v>0</v>
      </c>
      <c r="H25" s="89" t="s">
        <v>3968</v>
      </c>
      <c r="I25" s="89"/>
      <c r="J25" s="89" t="s">
        <v>3969</v>
      </c>
      <c r="K25" s="92" t="s">
        <v>3990</v>
      </c>
      <c r="L25" s="89">
        <v>2</v>
      </c>
    </row>
    <row r="26" spans="1:12" hidden="1">
      <c r="A26" s="89">
        <v>44000058</v>
      </c>
      <c r="B26" s="90">
        <v>45714</v>
      </c>
      <c r="C26" s="89" t="s">
        <v>569</v>
      </c>
      <c r="D26" s="89" t="s">
        <v>574</v>
      </c>
      <c r="E26" s="91" t="s">
        <v>575</v>
      </c>
      <c r="F26" s="89">
        <v>1</v>
      </c>
      <c r="G26" s="89">
        <v>1</v>
      </c>
      <c r="H26" s="89" t="s">
        <v>3968</v>
      </c>
      <c r="I26" s="90">
        <v>45714</v>
      </c>
      <c r="J26" s="89" t="s">
        <v>3969</v>
      </c>
      <c r="K26" s="93" t="s">
        <v>3990</v>
      </c>
      <c r="L26" s="89">
        <v>2</v>
      </c>
    </row>
    <row r="27" spans="1:12" hidden="1">
      <c r="A27" s="89">
        <v>44000058</v>
      </c>
      <c r="B27" s="90">
        <v>45714</v>
      </c>
      <c r="C27" s="89" t="s">
        <v>569</v>
      </c>
      <c r="D27" s="89" t="s">
        <v>570</v>
      </c>
      <c r="E27" s="91" t="s">
        <v>571</v>
      </c>
      <c r="F27" s="89">
        <v>1</v>
      </c>
      <c r="G27" s="89">
        <v>1</v>
      </c>
      <c r="H27" s="89" t="s">
        <v>3968</v>
      </c>
      <c r="I27" s="90">
        <v>45714</v>
      </c>
      <c r="J27" s="89" t="s">
        <v>3969</v>
      </c>
      <c r="K27" s="64" t="s">
        <v>3990</v>
      </c>
      <c r="L27" s="89">
        <v>2</v>
      </c>
    </row>
    <row r="28" spans="1:12" hidden="1">
      <c r="A28" s="89">
        <v>60002072</v>
      </c>
      <c r="B28" s="90">
        <v>45714</v>
      </c>
      <c r="C28" s="89" t="s">
        <v>202</v>
      </c>
      <c r="D28" s="89" t="s">
        <v>350</v>
      </c>
      <c r="E28" s="91" t="s">
        <v>351</v>
      </c>
      <c r="F28" s="89">
        <v>1</v>
      </c>
      <c r="G28" s="89">
        <v>1</v>
      </c>
      <c r="H28" s="89" t="s">
        <v>3971</v>
      </c>
      <c r="I28" s="90">
        <v>45713</v>
      </c>
      <c r="J28" s="89" t="s">
        <v>3969</v>
      </c>
      <c r="K28" s="64" t="s">
        <v>3990</v>
      </c>
      <c r="L28" s="89">
        <v>2</v>
      </c>
    </row>
    <row r="29" spans="1:12" hidden="1">
      <c r="A29" s="89">
        <v>50110372</v>
      </c>
      <c r="B29" s="90">
        <v>45714</v>
      </c>
      <c r="C29" s="89" t="s">
        <v>73</v>
      </c>
      <c r="D29" s="89" t="s">
        <v>215</v>
      </c>
      <c r="E29" s="91" t="s">
        <v>557</v>
      </c>
      <c r="F29" s="89">
        <v>1</v>
      </c>
      <c r="G29" s="89">
        <v>1</v>
      </c>
      <c r="H29" s="89" t="s">
        <v>3968</v>
      </c>
      <c r="I29" s="89"/>
      <c r="J29" s="89" t="s">
        <v>3972</v>
      </c>
      <c r="K29" s="64" t="s">
        <v>3990</v>
      </c>
      <c r="L29" s="89">
        <v>2</v>
      </c>
    </row>
    <row r="30" spans="1:12" hidden="1">
      <c r="A30" s="89">
        <v>50110229</v>
      </c>
      <c r="B30" s="90">
        <v>45714</v>
      </c>
      <c r="C30" s="89" t="s">
        <v>109</v>
      </c>
      <c r="D30" s="89" t="s">
        <v>215</v>
      </c>
      <c r="E30" s="91" t="s">
        <v>557</v>
      </c>
      <c r="F30" s="89">
        <v>1</v>
      </c>
      <c r="G30" s="89">
        <v>1</v>
      </c>
      <c r="H30" s="89" t="s">
        <v>3968</v>
      </c>
      <c r="I30" s="89"/>
      <c r="J30" s="89" t="s">
        <v>3972</v>
      </c>
      <c r="K30" s="64" t="s">
        <v>3990</v>
      </c>
      <c r="L30" s="89">
        <v>2</v>
      </c>
    </row>
    <row r="31" spans="1:12" hidden="1">
      <c r="A31" s="89">
        <v>50110193</v>
      </c>
      <c r="B31" s="90">
        <v>45714</v>
      </c>
      <c r="C31" s="89" t="s">
        <v>33</v>
      </c>
      <c r="D31" s="89" t="s">
        <v>215</v>
      </c>
      <c r="E31" s="91" t="s">
        <v>557</v>
      </c>
      <c r="F31" s="89">
        <v>1</v>
      </c>
      <c r="G31" s="89">
        <v>1</v>
      </c>
      <c r="H31" s="89" t="s">
        <v>3968</v>
      </c>
      <c r="I31" s="89"/>
      <c r="J31" s="89" t="s">
        <v>3972</v>
      </c>
      <c r="K31" s="64" t="s">
        <v>3990</v>
      </c>
      <c r="L31" s="89">
        <v>2</v>
      </c>
    </row>
    <row r="32" spans="1:12" hidden="1">
      <c r="A32" s="89">
        <v>50000530</v>
      </c>
      <c r="B32" s="90">
        <v>45714</v>
      </c>
      <c r="C32" s="89" t="s">
        <v>79</v>
      </c>
      <c r="D32" s="89" t="s">
        <v>4022</v>
      </c>
      <c r="E32" s="91" t="s">
        <v>76</v>
      </c>
      <c r="F32" s="89">
        <v>1</v>
      </c>
      <c r="G32" s="89">
        <v>1</v>
      </c>
      <c r="H32" s="89" t="s">
        <v>3968</v>
      </c>
      <c r="I32" s="90">
        <v>45712</v>
      </c>
      <c r="J32" s="89" t="s">
        <v>3969</v>
      </c>
      <c r="K32" s="64" t="s">
        <v>3990</v>
      </c>
      <c r="L32" s="89">
        <v>2</v>
      </c>
    </row>
    <row r="33" spans="1:12" hidden="1">
      <c r="A33" s="89">
        <v>48300301</v>
      </c>
      <c r="B33" s="90">
        <v>45712</v>
      </c>
      <c r="C33" s="89" t="s">
        <v>63</v>
      </c>
      <c r="D33" s="89" t="s">
        <v>540</v>
      </c>
      <c r="E33" s="91" t="s">
        <v>541</v>
      </c>
      <c r="F33" s="89">
        <v>1</v>
      </c>
      <c r="G33" s="89">
        <v>1</v>
      </c>
      <c r="H33" s="89" t="s">
        <v>3968</v>
      </c>
      <c r="I33" s="90">
        <v>45680</v>
      </c>
      <c r="J33" s="89" t="s">
        <v>3969</v>
      </c>
      <c r="K33" s="69" t="s">
        <v>3990</v>
      </c>
      <c r="L33" s="89">
        <v>2</v>
      </c>
    </row>
    <row r="34" spans="1:12" hidden="1">
      <c r="A34" s="89">
        <v>50110372</v>
      </c>
      <c r="B34" s="90">
        <v>45712</v>
      </c>
      <c r="C34" s="89" t="s">
        <v>73</v>
      </c>
      <c r="D34" s="89" t="s">
        <v>536</v>
      </c>
      <c r="E34" s="91" t="s">
        <v>537</v>
      </c>
      <c r="F34" s="89">
        <v>1</v>
      </c>
      <c r="G34" s="89">
        <v>0</v>
      </c>
      <c r="H34" s="89" t="s">
        <v>3971</v>
      </c>
      <c r="I34" s="89"/>
      <c r="J34" s="89" t="s">
        <v>3969</v>
      </c>
      <c r="K34" s="92" t="s">
        <v>3990</v>
      </c>
      <c r="L34" s="89">
        <v>2</v>
      </c>
    </row>
    <row r="35" spans="1:12" hidden="1">
      <c r="A35" s="89">
        <v>51000174</v>
      </c>
      <c r="B35" s="90">
        <v>45709</v>
      </c>
      <c r="C35" s="89" t="s">
        <v>118</v>
      </c>
      <c r="D35" s="89" t="s">
        <v>158</v>
      </c>
      <c r="E35" s="91" t="s">
        <v>159</v>
      </c>
      <c r="F35" s="89">
        <v>1</v>
      </c>
      <c r="G35" s="89">
        <v>1</v>
      </c>
      <c r="H35" s="89" t="s">
        <v>3968</v>
      </c>
      <c r="I35" s="90">
        <v>45705</v>
      </c>
      <c r="J35" s="89" t="s">
        <v>3969</v>
      </c>
      <c r="K35" s="94" t="s">
        <v>3990</v>
      </c>
      <c r="L35" s="89">
        <v>2</v>
      </c>
    </row>
    <row r="36" spans="1:12" hidden="1">
      <c r="A36" s="89">
        <v>50000260</v>
      </c>
      <c r="B36" s="90">
        <v>45709</v>
      </c>
      <c r="C36" s="89" t="s">
        <v>85</v>
      </c>
      <c r="D36" s="89" t="s">
        <v>531</v>
      </c>
      <c r="E36" s="91" t="s">
        <v>532</v>
      </c>
      <c r="F36" s="89">
        <v>1</v>
      </c>
      <c r="G36" s="89">
        <v>0</v>
      </c>
      <c r="H36" s="89" t="s">
        <v>3971</v>
      </c>
      <c r="I36" s="89"/>
      <c r="J36" s="89" t="s">
        <v>3969</v>
      </c>
      <c r="K36" s="92" t="s">
        <v>3990</v>
      </c>
      <c r="L36" s="89">
        <v>2</v>
      </c>
    </row>
    <row r="37" spans="1:12" hidden="1">
      <c r="A37" s="89">
        <v>50000260</v>
      </c>
      <c r="B37" s="90">
        <v>45709</v>
      </c>
      <c r="C37" s="89" t="s">
        <v>85</v>
      </c>
      <c r="D37" s="89" t="s">
        <v>94</v>
      </c>
      <c r="E37" s="91" t="s">
        <v>530</v>
      </c>
      <c r="F37" s="89">
        <v>3</v>
      </c>
      <c r="G37" s="89">
        <v>3</v>
      </c>
      <c r="H37" s="89" t="s">
        <v>3968</v>
      </c>
      <c r="I37" s="90">
        <v>45707</v>
      </c>
      <c r="J37" s="89" t="s">
        <v>3969</v>
      </c>
      <c r="K37" s="93" t="s">
        <v>3990</v>
      </c>
      <c r="L37" s="89">
        <v>2</v>
      </c>
    </row>
    <row r="38" spans="1:12" hidden="1">
      <c r="A38" s="89">
        <v>50000260</v>
      </c>
      <c r="B38" s="90">
        <v>45709</v>
      </c>
      <c r="C38" s="89" t="s">
        <v>85</v>
      </c>
      <c r="D38" s="89" t="s">
        <v>529</v>
      </c>
      <c r="E38" s="91" t="s">
        <v>187</v>
      </c>
      <c r="F38" s="89">
        <v>1</v>
      </c>
      <c r="G38" s="89">
        <v>1</v>
      </c>
      <c r="H38" s="89" t="s">
        <v>3968</v>
      </c>
      <c r="I38" s="90">
        <v>45707</v>
      </c>
      <c r="J38" s="89" t="s">
        <v>3969</v>
      </c>
      <c r="K38" s="64" t="s">
        <v>3990</v>
      </c>
      <c r="L38" s="89">
        <v>2</v>
      </c>
    </row>
    <row r="39" spans="1:12" hidden="1">
      <c r="A39" s="89">
        <v>50000260</v>
      </c>
      <c r="B39" s="90">
        <v>45709</v>
      </c>
      <c r="C39" s="89" t="s">
        <v>85</v>
      </c>
      <c r="D39" s="89" t="s">
        <v>527</v>
      </c>
      <c r="E39" s="91" t="s">
        <v>528</v>
      </c>
      <c r="F39" s="89">
        <v>1</v>
      </c>
      <c r="G39" s="89">
        <v>1</v>
      </c>
      <c r="H39" s="89" t="s">
        <v>3968</v>
      </c>
      <c r="I39" s="90">
        <v>45707</v>
      </c>
      <c r="J39" s="89" t="s">
        <v>3969</v>
      </c>
      <c r="K39" s="69" t="s">
        <v>3990</v>
      </c>
      <c r="L39" s="89">
        <v>2</v>
      </c>
    </row>
    <row r="40" spans="1:12" hidden="1">
      <c r="A40" s="89">
        <v>50000260</v>
      </c>
      <c r="B40" s="90">
        <v>45709</v>
      </c>
      <c r="C40" s="89" t="s">
        <v>85</v>
      </c>
      <c r="D40" s="89" t="s">
        <v>245</v>
      </c>
      <c r="E40" s="91" t="s">
        <v>526</v>
      </c>
      <c r="F40" s="89">
        <v>3</v>
      </c>
      <c r="G40" s="89">
        <v>0</v>
      </c>
      <c r="H40" s="89" t="s">
        <v>3971</v>
      </c>
      <c r="I40" s="89"/>
      <c r="J40" s="89" t="s">
        <v>3969</v>
      </c>
      <c r="K40" s="92" t="s">
        <v>3990</v>
      </c>
      <c r="L40" s="89">
        <v>2</v>
      </c>
    </row>
    <row r="41" spans="1:12" hidden="1">
      <c r="A41" s="89">
        <v>50000202</v>
      </c>
      <c r="B41" s="90">
        <v>45708</v>
      </c>
      <c r="C41" s="89" t="s">
        <v>93</v>
      </c>
      <c r="D41" s="89" t="s">
        <v>511</v>
      </c>
      <c r="E41" s="91" t="s">
        <v>512</v>
      </c>
      <c r="F41" s="89">
        <v>1</v>
      </c>
      <c r="G41" s="89">
        <v>1</v>
      </c>
      <c r="H41" s="89" t="s">
        <v>3968</v>
      </c>
      <c r="I41" s="90">
        <v>45699</v>
      </c>
      <c r="J41" s="89" t="s">
        <v>3969</v>
      </c>
      <c r="K41" s="93" t="s">
        <v>3990</v>
      </c>
      <c r="L41" s="89">
        <v>2</v>
      </c>
    </row>
    <row r="42" spans="1:12" hidden="1">
      <c r="A42" s="89">
        <v>50110193</v>
      </c>
      <c r="B42" s="90">
        <v>45708</v>
      </c>
      <c r="C42" s="89" t="s">
        <v>33</v>
      </c>
      <c r="D42" s="89" t="s">
        <v>507</v>
      </c>
      <c r="E42" s="91" t="s">
        <v>508</v>
      </c>
      <c r="F42" s="89">
        <v>1</v>
      </c>
      <c r="G42" s="89">
        <v>1</v>
      </c>
      <c r="H42" s="89" t="s">
        <v>3968</v>
      </c>
      <c r="I42" s="90">
        <v>45708</v>
      </c>
      <c r="J42" s="89" t="s">
        <v>3969</v>
      </c>
      <c r="K42" s="64" t="s">
        <v>3990</v>
      </c>
      <c r="L42" s="89">
        <v>2</v>
      </c>
    </row>
    <row r="43" spans="1:12" hidden="1">
      <c r="A43" s="89">
        <v>50110193</v>
      </c>
      <c r="B43" s="90">
        <v>45708</v>
      </c>
      <c r="C43" s="89" t="s">
        <v>33</v>
      </c>
      <c r="D43" s="89" t="s">
        <v>504</v>
      </c>
      <c r="E43" s="91" t="s">
        <v>505</v>
      </c>
      <c r="F43" s="89">
        <v>1</v>
      </c>
      <c r="G43" s="89">
        <v>1</v>
      </c>
      <c r="H43" s="89" t="s">
        <v>3968</v>
      </c>
      <c r="I43" s="90">
        <v>45708</v>
      </c>
      <c r="J43" s="89" t="s">
        <v>3969</v>
      </c>
      <c r="K43" s="64" t="s">
        <v>3990</v>
      </c>
      <c r="L43" s="89">
        <v>2</v>
      </c>
    </row>
    <row r="44" spans="1:12" hidden="1">
      <c r="A44" s="89">
        <v>50110193</v>
      </c>
      <c r="B44" s="90">
        <v>45708</v>
      </c>
      <c r="C44" s="89" t="s">
        <v>33</v>
      </c>
      <c r="D44" s="89" t="s">
        <v>500</v>
      </c>
      <c r="E44" s="91" t="s">
        <v>501</v>
      </c>
      <c r="F44" s="89">
        <v>1</v>
      </c>
      <c r="G44" s="89">
        <v>1</v>
      </c>
      <c r="H44" s="89" t="s">
        <v>3968</v>
      </c>
      <c r="I44" s="90">
        <v>45708</v>
      </c>
      <c r="J44" s="89" t="s">
        <v>3969</v>
      </c>
      <c r="K44" s="64" t="s">
        <v>3990</v>
      </c>
      <c r="L44" s="89">
        <v>2</v>
      </c>
    </row>
    <row r="45" spans="1:12" hidden="1">
      <c r="A45" s="89">
        <v>51000323</v>
      </c>
      <c r="B45" s="90">
        <v>45708</v>
      </c>
      <c r="C45" s="89" t="s">
        <v>103</v>
      </c>
      <c r="D45" s="89" t="s">
        <v>130</v>
      </c>
      <c r="E45" s="91" t="s">
        <v>4021</v>
      </c>
      <c r="F45" s="89">
        <v>2</v>
      </c>
      <c r="G45" s="89">
        <v>2</v>
      </c>
      <c r="H45" s="89" t="s">
        <v>3968</v>
      </c>
      <c r="I45" s="90">
        <v>45707</v>
      </c>
      <c r="J45" s="89" t="s">
        <v>3969</v>
      </c>
      <c r="K45" s="64" t="s">
        <v>3990</v>
      </c>
      <c r="L45" s="89">
        <v>2</v>
      </c>
    </row>
    <row r="46" spans="1:12" hidden="1">
      <c r="A46" s="89">
        <v>51000323</v>
      </c>
      <c r="B46" s="90">
        <v>45708</v>
      </c>
      <c r="C46" s="89" t="s">
        <v>103</v>
      </c>
      <c r="D46" s="89" t="s">
        <v>495</v>
      </c>
      <c r="E46" s="91" t="s">
        <v>496</v>
      </c>
      <c r="F46" s="89">
        <v>1</v>
      </c>
      <c r="G46" s="89">
        <v>1</v>
      </c>
      <c r="H46" s="89" t="s">
        <v>3968</v>
      </c>
      <c r="I46" s="90">
        <v>45708</v>
      </c>
      <c r="J46" s="89" t="s">
        <v>3969</v>
      </c>
      <c r="K46" s="64" t="s">
        <v>3990</v>
      </c>
      <c r="L46" s="89">
        <v>2</v>
      </c>
    </row>
    <row r="47" spans="1:12" hidden="1">
      <c r="A47" s="89">
        <v>43000422</v>
      </c>
      <c r="B47" s="90">
        <v>45708</v>
      </c>
      <c r="C47" s="89" t="s">
        <v>225</v>
      </c>
      <c r="D47" s="89" t="s">
        <v>440</v>
      </c>
      <c r="E47" s="91" t="s">
        <v>441</v>
      </c>
      <c r="F47" s="89">
        <v>1</v>
      </c>
      <c r="G47" s="89">
        <v>1</v>
      </c>
      <c r="H47" s="89" t="s">
        <v>3968</v>
      </c>
      <c r="I47" s="90">
        <v>45693</v>
      </c>
      <c r="J47" s="89" t="s">
        <v>3969</v>
      </c>
      <c r="K47" s="64" t="s">
        <v>3990</v>
      </c>
      <c r="L47" s="89">
        <v>2</v>
      </c>
    </row>
    <row r="48" spans="1:12" hidden="1">
      <c r="A48" s="89">
        <v>48000432</v>
      </c>
      <c r="B48" s="90">
        <v>45707</v>
      </c>
      <c r="C48" s="89" t="s">
        <v>63</v>
      </c>
      <c r="D48" s="89" t="s">
        <v>488</v>
      </c>
      <c r="E48" s="91" t="s">
        <v>489</v>
      </c>
      <c r="F48" s="89">
        <v>1</v>
      </c>
      <c r="G48" s="89">
        <v>1</v>
      </c>
      <c r="H48" s="89" t="s">
        <v>3968</v>
      </c>
      <c r="I48" s="90">
        <v>45700</v>
      </c>
      <c r="J48" s="89" t="s">
        <v>3969</v>
      </c>
      <c r="K48" s="64" t="s">
        <v>3990</v>
      </c>
      <c r="L48" s="89">
        <v>2</v>
      </c>
    </row>
    <row r="49" spans="1:12" hidden="1">
      <c r="A49" s="89">
        <v>50110193</v>
      </c>
      <c r="B49" s="90">
        <v>45707</v>
      </c>
      <c r="C49" s="89" t="s">
        <v>33</v>
      </c>
      <c r="D49" s="89" t="s">
        <v>484</v>
      </c>
      <c r="E49" s="91" t="s">
        <v>485</v>
      </c>
      <c r="F49" s="89">
        <v>1</v>
      </c>
      <c r="G49" s="89">
        <v>1</v>
      </c>
      <c r="H49" s="89" t="s">
        <v>3968</v>
      </c>
      <c r="I49" s="90">
        <v>45701</v>
      </c>
      <c r="J49" s="89" t="s">
        <v>3969</v>
      </c>
      <c r="K49" s="64" t="s">
        <v>3990</v>
      </c>
      <c r="L49" s="89">
        <v>2</v>
      </c>
    </row>
    <row r="50" spans="1:12" hidden="1">
      <c r="A50" s="89" t="s">
        <v>182</v>
      </c>
      <c r="B50" s="90">
        <v>45707</v>
      </c>
      <c r="C50" s="89" t="s">
        <v>3997</v>
      </c>
      <c r="D50" s="89" t="s">
        <v>479</v>
      </c>
      <c r="E50" s="91" t="s">
        <v>480</v>
      </c>
      <c r="F50" s="89">
        <v>1</v>
      </c>
      <c r="G50" s="89">
        <v>1</v>
      </c>
      <c r="H50" s="89" t="s">
        <v>3968</v>
      </c>
      <c r="I50" s="90">
        <v>45692</v>
      </c>
      <c r="J50" s="89" t="s">
        <v>3969</v>
      </c>
      <c r="K50" s="64" t="s">
        <v>3990</v>
      </c>
      <c r="L50" s="89">
        <v>2</v>
      </c>
    </row>
    <row r="51" spans="1:12" hidden="1">
      <c r="A51" s="89">
        <v>48300375</v>
      </c>
      <c r="B51" s="90">
        <v>45707</v>
      </c>
      <c r="C51" s="89" t="s">
        <v>4016</v>
      </c>
      <c r="D51" s="89" t="s">
        <v>280</v>
      </c>
      <c r="E51" s="91" t="s">
        <v>318</v>
      </c>
      <c r="F51" s="89">
        <v>1</v>
      </c>
      <c r="G51" s="89">
        <v>1</v>
      </c>
      <c r="H51" s="89" t="s">
        <v>3968</v>
      </c>
      <c r="I51" s="90">
        <v>45636</v>
      </c>
      <c r="J51" s="89" t="s">
        <v>3969</v>
      </c>
      <c r="K51" s="64" t="s">
        <v>3990</v>
      </c>
      <c r="L51" s="89">
        <v>2</v>
      </c>
    </row>
    <row r="52" spans="1:12" hidden="1">
      <c r="A52" s="89">
        <v>50000202</v>
      </c>
      <c r="B52" s="90">
        <v>45707</v>
      </c>
      <c r="C52" s="89" t="s">
        <v>93</v>
      </c>
      <c r="D52" s="89" t="s">
        <v>470</v>
      </c>
      <c r="E52" s="91" t="s">
        <v>4020</v>
      </c>
      <c r="F52" s="89">
        <v>1</v>
      </c>
      <c r="G52" s="89">
        <v>1</v>
      </c>
      <c r="H52" s="89" t="s">
        <v>3968</v>
      </c>
      <c r="I52" s="90">
        <v>45705</v>
      </c>
      <c r="J52" s="89" t="s">
        <v>3969</v>
      </c>
      <c r="K52" s="64" t="s">
        <v>3990</v>
      </c>
      <c r="L52" s="89">
        <v>2</v>
      </c>
    </row>
    <row r="53" spans="1:12" hidden="1">
      <c r="A53" s="89">
        <v>60002072</v>
      </c>
      <c r="B53" s="90">
        <v>45707</v>
      </c>
      <c r="C53" s="89" t="s">
        <v>202</v>
      </c>
      <c r="D53" s="89" t="s">
        <v>464</v>
      </c>
      <c r="E53" s="91" t="s">
        <v>465</v>
      </c>
      <c r="F53" s="89">
        <v>1</v>
      </c>
      <c r="G53" s="89">
        <v>1</v>
      </c>
      <c r="H53" s="89" t="s">
        <v>3968</v>
      </c>
      <c r="I53" s="90">
        <v>45693</v>
      </c>
      <c r="J53" s="89" t="s">
        <v>3969</v>
      </c>
      <c r="K53" s="64" t="s">
        <v>3990</v>
      </c>
      <c r="L53" s="89">
        <v>2</v>
      </c>
    </row>
    <row r="54" spans="1:12" hidden="1">
      <c r="A54" s="89">
        <v>60002072</v>
      </c>
      <c r="B54" s="90">
        <v>45707</v>
      </c>
      <c r="C54" s="89" t="s">
        <v>202</v>
      </c>
      <c r="D54" s="89" t="s">
        <v>114</v>
      </c>
      <c r="E54" s="91" t="s">
        <v>463</v>
      </c>
      <c r="F54" s="89">
        <v>1</v>
      </c>
      <c r="G54" s="89">
        <v>1</v>
      </c>
      <c r="H54" s="89" t="s">
        <v>3968</v>
      </c>
      <c r="I54" s="90">
        <v>45693</v>
      </c>
      <c r="J54" s="89" t="s">
        <v>3969</v>
      </c>
      <c r="K54" s="64" t="s">
        <v>3990</v>
      </c>
      <c r="L54" s="89">
        <v>2</v>
      </c>
    </row>
    <row r="55" spans="1:12" hidden="1">
      <c r="A55" s="89">
        <v>47200115</v>
      </c>
      <c r="B55" s="90">
        <v>45706</v>
      </c>
      <c r="C55" s="89" t="s">
        <v>455</v>
      </c>
      <c r="D55" s="89" t="s">
        <v>457</v>
      </c>
      <c r="E55" s="91" t="s">
        <v>4019</v>
      </c>
      <c r="F55" s="89">
        <v>1</v>
      </c>
      <c r="G55" s="89">
        <v>1</v>
      </c>
      <c r="H55" s="89" t="s">
        <v>3968</v>
      </c>
      <c r="I55" s="90">
        <v>45642</v>
      </c>
      <c r="J55" s="89" t="s">
        <v>3969</v>
      </c>
      <c r="K55" s="64" t="s">
        <v>3990</v>
      </c>
      <c r="L55" s="89">
        <v>2</v>
      </c>
    </row>
    <row r="56" spans="1:12" hidden="1">
      <c r="A56" s="89">
        <v>60002095</v>
      </c>
      <c r="B56" s="90">
        <v>45701</v>
      </c>
      <c r="C56" s="89" t="s">
        <v>73</v>
      </c>
      <c r="D56" s="89" t="s">
        <v>451</v>
      </c>
      <c r="E56" s="91" t="s">
        <v>452</v>
      </c>
      <c r="F56" s="89">
        <v>1</v>
      </c>
      <c r="G56" s="89">
        <v>1</v>
      </c>
      <c r="H56" s="89" t="s">
        <v>3968</v>
      </c>
      <c r="I56" s="90">
        <v>45701</v>
      </c>
      <c r="J56" s="89" t="s">
        <v>3969</v>
      </c>
      <c r="K56" s="64" t="s">
        <v>3990</v>
      </c>
      <c r="L56" s="89">
        <v>2</v>
      </c>
    </row>
    <row r="57" spans="1:12" hidden="1">
      <c r="A57" s="89">
        <v>50300097</v>
      </c>
      <c r="B57" s="90">
        <v>45699</v>
      </c>
      <c r="C57" s="89" t="s">
        <v>445</v>
      </c>
      <c r="D57" s="89" t="s">
        <v>446</v>
      </c>
      <c r="E57" s="91" t="s">
        <v>4018</v>
      </c>
      <c r="F57" s="89">
        <v>1</v>
      </c>
      <c r="G57" s="89">
        <v>1</v>
      </c>
      <c r="H57" s="89" t="s">
        <v>3968</v>
      </c>
      <c r="I57" s="90">
        <v>45691</v>
      </c>
      <c r="J57" s="89" t="s">
        <v>3969</v>
      </c>
      <c r="K57" s="69" t="s">
        <v>3990</v>
      </c>
      <c r="L57" s="89">
        <v>2</v>
      </c>
    </row>
    <row r="58" spans="1:12" hidden="1">
      <c r="A58" s="89">
        <v>50110057</v>
      </c>
      <c r="B58" s="90">
        <v>45691</v>
      </c>
      <c r="C58" s="89" t="s">
        <v>181</v>
      </c>
      <c r="D58" s="89" t="s">
        <v>284</v>
      </c>
      <c r="E58" s="91" t="s">
        <v>285</v>
      </c>
      <c r="F58" s="89">
        <v>1</v>
      </c>
      <c r="G58" s="89">
        <v>0</v>
      </c>
      <c r="H58" s="89" t="s">
        <v>3968</v>
      </c>
      <c r="I58" s="90">
        <v>45706</v>
      </c>
      <c r="J58" s="89" t="s">
        <v>3969</v>
      </c>
      <c r="K58" s="92" t="s">
        <v>3990</v>
      </c>
      <c r="L58" s="89">
        <v>2</v>
      </c>
    </row>
    <row r="59" spans="1:12" hidden="1">
      <c r="A59" s="89">
        <v>50110057</v>
      </c>
      <c r="B59" s="90">
        <v>45691</v>
      </c>
      <c r="C59" s="89" t="s">
        <v>181</v>
      </c>
      <c r="D59" s="89" t="s">
        <v>286</v>
      </c>
      <c r="E59" s="91" t="s">
        <v>287</v>
      </c>
      <c r="F59" s="89">
        <v>1</v>
      </c>
      <c r="G59" s="89">
        <v>1</v>
      </c>
      <c r="H59" s="89" t="s">
        <v>3968</v>
      </c>
      <c r="I59" s="90">
        <v>45706</v>
      </c>
      <c r="J59" s="89" t="s">
        <v>3969</v>
      </c>
      <c r="K59" s="93" t="s">
        <v>3990</v>
      </c>
      <c r="L59" s="89">
        <v>2</v>
      </c>
    </row>
    <row r="60" spans="1:12" hidden="1">
      <c r="A60" s="89">
        <v>50110057</v>
      </c>
      <c r="B60" s="90">
        <v>45691</v>
      </c>
      <c r="C60" s="89" t="s">
        <v>181</v>
      </c>
      <c r="D60" s="89" t="s">
        <v>288</v>
      </c>
      <c r="E60" s="91" t="s">
        <v>289</v>
      </c>
      <c r="F60" s="89">
        <v>1</v>
      </c>
      <c r="G60" s="89">
        <v>1</v>
      </c>
      <c r="H60" s="89" t="s">
        <v>3968</v>
      </c>
      <c r="I60" s="90">
        <v>45706</v>
      </c>
      <c r="J60" s="89" t="s">
        <v>3969</v>
      </c>
      <c r="K60" s="64" t="s">
        <v>3990</v>
      </c>
      <c r="L60" s="89">
        <v>2</v>
      </c>
    </row>
    <row r="61" spans="1:12" hidden="1">
      <c r="A61" s="89">
        <v>50110372</v>
      </c>
      <c r="B61" s="90">
        <v>45691</v>
      </c>
      <c r="C61" s="89" t="s">
        <v>73</v>
      </c>
      <c r="D61" s="89" t="s">
        <v>292</v>
      </c>
      <c r="E61" s="91" t="s">
        <v>293</v>
      </c>
      <c r="F61" s="89">
        <v>1</v>
      </c>
      <c r="G61" s="89">
        <v>1</v>
      </c>
      <c r="H61" s="89" t="s">
        <v>3971</v>
      </c>
      <c r="I61" s="90">
        <v>45705</v>
      </c>
      <c r="J61" s="89" t="s">
        <v>3969</v>
      </c>
      <c r="K61" s="64" t="s">
        <v>3990</v>
      </c>
      <c r="L61" s="89">
        <v>2</v>
      </c>
    </row>
    <row r="62" spans="1:12" hidden="1">
      <c r="A62" s="89">
        <v>50110057</v>
      </c>
      <c r="B62" s="90">
        <v>45691</v>
      </c>
      <c r="C62" s="89" t="s">
        <v>181</v>
      </c>
      <c r="D62" s="89" t="s">
        <v>297</v>
      </c>
      <c r="E62" s="91" t="s">
        <v>4008</v>
      </c>
      <c r="F62" s="89">
        <v>1</v>
      </c>
      <c r="G62" s="89">
        <v>1</v>
      </c>
      <c r="H62" s="89" t="s">
        <v>3968</v>
      </c>
      <c r="I62" s="89"/>
      <c r="J62" s="89" t="s">
        <v>3972</v>
      </c>
      <c r="K62" s="64" t="s">
        <v>3990</v>
      </c>
      <c r="L62" s="89">
        <v>2</v>
      </c>
    </row>
    <row r="63" spans="1:12" hidden="1">
      <c r="A63" s="89">
        <v>43000422</v>
      </c>
      <c r="B63" s="90">
        <v>45691</v>
      </c>
      <c r="C63" s="89" t="s">
        <v>225</v>
      </c>
      <c r="D63" s="89" t="s">
        <v>302</v>
      </c>
      <c r="E63" s="91" t="s">
        <v>4009</v>
      </c>
      <c r="F63" s="89">
        <v>1</v>
      </c>
      <c r="G63" s="89">
        <v>1</v>
      </c>
      <c r="H63" s="89" t="s">
        <v>3968</v>
      </c>
      <c r="I63" s="90">
        <v>45681</v>
      </c>
      <c r="J63" s="89" t="s">
        <v>3969</v>
      </c>
      <c r="K63" s="64" t="s">
        <v>3990</v>
      </c>
      <c r="L63" s="89">
        <v>2</v>
      </c>
    </row>
    <row r="64" spans="1:12" hidden="1">
      <c r="A64" s="89">
        <v>48000482</v>
      </c>
      <c r="B64" s="90">
        <v>45691</v>
      </c>
      <c r="C64" s="89" t="s">
        <v>152</v>
      </c>
      <c r="D64" s="89" t="s">
        <v>312</v>
      </c>
      <c r="E64" s="91" t="s">
        <v>313</v>
      </c>
      <c r="F64" s="89">
        <v>1</v>
      </c>
      <c r="G64" s="89">
        <v>1</v>
      </c>
      <c r="H64" s="89" t="s">
        <v>3968</v>
      </c>
      <c r="I64" s="90">
        <v>45691</v>
      </c>
      <c r="J64" s="89" t="s">
        <v>3969</v>
      </c>
      <c r="K64" s="64" t="s">
        <v>3990</v>
      </c>
      <c r="L64" s="89">
        <v>2</v>
      </c>
    </row>
    <row r="65" spans="1:12" hidden="1">
      <c r="A65" s="89">
        <v>48000482</v>
      </c>
      <c r="B65" s="90">
        <v>45691</v>
      </c>
      <c r="C65" s="89" t="s">
        <v>152</v>
      </c>
      <c r="D65" s="89" t="s">
        <v>280</v>
      </c>
      <c r="E65" s="91" t="s">
        <v>4007</v>
      </c>
      <c r="F65" s="89">
        <v>1</v>
      </c>
      <c r="G65" s="89">
        <v>1</v>
      </c>
      <c r="H65" s="89" t="s">
        <v>3968</v>
      </c>
      <c r="I65" s="90">
        <v>45672</v>
      </c>
      <c r="J65" s="89" t="s">
        <v>3969</v>
      </c>
      <c r="K65" s="64" t="s">
        <v>3990</v>
      </c>
      <c r="L65" s="89">
        <v>2</v>
      </c>
    </row>
    <row r="66" spans="1:12" hidden="1">
      <c r="A66" s="89">
        <v>50000530</v>
      </c>
      <c r="B66" s="90">
        <v>45691</v>
      </c>
      <c r="C66" s="89" t="s">
        <v>79</v>
      </c>
      <c r="D66" s="89" t="s">
        <v>321</v>
      </c>
      <c r="E66" s="91" t="s">
        <v>4010</v>
      </c>
      <c r="F66" s="89">
        <v>1</v>
      </c>
      <c r="G66" s="89">
        <v>1</v>
      </c>
      <c r="H66" s="89" t="s">
        <v>3971</v>
      </c>
      <c r="I66" s="90">
        <v>45688</v>
      </c>
      <c r="J66" s="89" t="s">
        <v>3969</v>
      </c>
      <c r="K66" s="64" t="s">
        <v>3990</v>
      </c>
      <c r="L66" s="89">
        <v>2</v>
      </c>
    </row>
    <row r="67" spans="1:12" hidden="1">
      <c r="A67" s="89">
        <v>50000530</v>
      </c>
      <c r="B67" s="90">
        <v>45691</v>
      </c>
      <c r="C67" s="89" t="s">
        <v>79</v>
      </c>
      <c r="D67" s="89" t="s">
        <v>330</v>
      </c>
      <c r="E67" s="91" t="s">
        <v>331</v>
      </c>
      <c r="F67" s="89">
        <v>1</v>
      </c>
      <c r="G67" s="89">
        <v>1</v>
      </c>
      <c r="H67" s="89" t="s">
        <v>3968</v>
      </c>
      <c r="I67" s="90">
        <v>45688</v>
      </c>
      <c r="J67" s="89" t="s">
        <v>3969</v>
      </c>
      <c r="K67" s="64" t="s">
        <v>3990</v>
      </c>
      <c r="L67" s="89">
        <v>2</v>
      </c>
    </row>
    <row r="68" spans="1:12" hidden="1">
      <c r="A68" s="89">
        <v>44000010</v>
      </c>
      <c r="B68" s="90">
        <v>45691</v>
      </c>
      <c r="C68" s="89" t="s">
        <v>334</v>
      </c>
      <c r="D68" s="89" t="s">
        <v>335</v>
      </c>
      <c r="E68" s="91" t="s">
        <v>4011</v>
      </c>
      <c r="F68" s="89">
        <v>1</v>
      </c>
      <c r="G68" s="89">
        <v>1</v>
      </c>
      <c r="H68" s="89" t="s">
        <v>3968</v>
      </c>
      <c r="I68" s="90">
        <v>45705</v>
      </c>
      <c r="J68" s="89" t="s">
        <v>3969</v>
      </c>
      <c r="K68" s="64" t="s">
        <v>3990</v>
      </c>
      <c r="L68" s="89">
        <v>2</v>
      </c>
    </row>
    <row r="69" spans="1:12" hidden="1">
      <c r="A69" s="89">
        <v>50110193</v>
      </c>
      <c r="B69" s="90">
        <v>45691</v>
      </c>
      <c r="C69" s="89" t="s">
        <v>33</v>
      </c>
      <c r="D69" s="89" t="s">
        <v>340</v>
      </c>
      <c r="E69" s="91" t="s">
        <v>341</v>
      </c>
      <c r="F69" s="89">
        <v>1</v>
      </c>
      <c r="G69" s="89">
        <v>1</v>
      </c>
      <c r="H69" s="89" t="s">
        <v>3968</v>
      </c>
      <c r="I69" s="90">
        <v>45693</v>
      </c>
      <c r="J69" s="89" t="s">
        <v>3972</v>
      </c>
      <c r="K69" s="64" t="s">
        <v>3990</v>
      </c>
      <c r="L69" s="89">
        <v>2</v>
      </c>
    </row>
    <row r="70" spans="1:12" hidden="1">
      <c r="A70" s="89">
        <v>48300301</v>
      </c>
      <c r="B70" s="90">
        <v>45692</v>
      </c>
      <c r="C70" s="89" t="s">
        <v>63</v>
      </c>
      <c r="D70" s="89" t="s">
        <v>326</v>
      </c>
      <c r="E70" s="91" t="s">
        <v>4012</v>
      </c>
      <c r="F70" s="89">
        <v>1</v>
      </c>
      <c r="G70" s="89">
        <v>1</v>
      </c>
      <c r="H70" s="89" t="s">
        <v>3968</v>
      </c>
      <c r="I70" s="90">
        <v>45679</v>
      </c>
      <c r="J70" s="89" t="s">
        <v>3969</v>
      </c>
      <c r="K70" s="64" t="s">
        <v>3990</v>
      </c>
      <c r="L70" s="89">
        <v>2</v>
      </c>
    </row>
    <row r="71" spans="1:12" hidden="1">
      <c r="A71" s="89">
        <v>60002072</v>
      </c>
      <c r="B71" s="90">
        <v>45692</v>
      </c>
      <c r="C71" s="89" t="s">
        <v>202</v>
      </c>
      <c r="D71" s="89" t="s">
        <v>350</v>
      </c>
      <c r="E71" s="91" t="s">
        <v>351</v>
      </c>
      <c r="F71" s="89">
        <v>1</v>
      </c>
      <c r="G71" s="89">
        <v>1</v>
      </c>
      <c r="H71" s="89" t="s">
        <v>3968</v>
      </c>
      <c r="I71" s="90">
        <v>45692</v>
      </c>
      <c r="J71" s="89" t="s">
        <v>3969</v>
      </c>
      <c r="K71" s="64" t="s">
        <v>3990</v>
      </c>
      <c r="L71" s="89">
        <v>2</v>
      </c>
    </row>
    <row r="72" spans="1:12" hidden="1">
      <c r="A72" s="89">
        <v>50000343</v>
      </c>
      <c r="B72" s="90">
        <v>45692</v>
      </c>
      <c r="C72" s="89" t="s">
        <v>73</v>
      </c>
      <c r="D72" s="89" t="s">
        <v>354</v>
      </c>
      <c r="E72" s="91" t="s">
        <v>355</v>
      </c>
      <c r="F72" s="89">
        <v>1</v>
      </c>
      <c r="G72" s="89">
        <v>1</v>
      </c>
      <c r="H72" s="89" t="s">
        <v>3968</v>
      </c>
      <c r="I72" s="90">
        <v>45693</v>
      </c>
      <c r="J72" s="89" t="s">
        <v>3972</v>
      </c>
      <c r="K72" s="64" t="s">
        <v>3990</v>
      </c>
      <c r="L72" s="89">
        <v>2</v>
      </c>
    </row>
    <row r="73" spans="1:12" hidden="1">
      <c r="A73" s="89">
        <v>50000202</v>
      </c>
      <c r="B73" s="90">
        <v>45692</v>
      </c>
      <c r="C73" s="89" t="s">
        <v>93</v>
      </c>
      <c r="D73" s="89" t="s">
        <v>65</v>
      </c>
      <c r="E73" s="91" t="s">
        <v>362</v>
      </c>
      <c r="F73" s="89">
        <v>1</v>
      </c>
      <c r="G73" s="89">
        <v>1</v>
      </c>
      <c r="H73" s="89" t="s">
        <v>3968</v>
      </c>
      <c r="I73" s="90">
        <v>45663</v>
      </c>
      <c r="J73" s="89" t="s">
        <v>3969</v>
      </c>
      <c r="K73" s="64" t="s">
        <v>3990</v>
      </c>
      <c r="L73" s="89">
        <v>2</v>
      </c>
    </row>
    <row r="74" spans="1:12" hidden="1">
      <c r="A74" s="89">
        <v>48000482</v>
      </c>
      <c r="B74" s="90">
        <v>45692</v>
      </c>
      <c r="C74" s="89" t="s">
        <v>152</v>
      </c>
      <c r="D74" s="89" t="s">
        <v>335</v>
      </c>
      <c r="E74" s="91" t="s">
        <v>1136</v>
      </c>
      <c r="F74" s="89">
        <v>1</v>
      </c>
      <c r="G74" s="89">
        <v>1</v>
      </c>
      <c r="H74" s="89" t="s">
        <v>3968</v>
      </c>
      <c r="I74" s="90">
        <v>45705</v>
      </c>
      <c r="J74" s="89" t="s">
        <v>3969</v>
      </c>
      <c r="K74" s="64" t="s">
        <v>3990</v>
      </c>
      <c r="L74" s="89">
        <v>2</v>
      </c>
    </row>
    <row r="75" spans="1:12" hidden="1">
      <c r="A75" s="89">
        <v>44000059</v>
      </c>
      <c r="B75" s="90">
        <v>45692</v>
      </c>
      <c r="C75" s="89" t="s">
        <v>63</v>
      </c>
      <c r="D75" s="89" t="s">
        <v>369</v>
      </c>
      <c r="E75" s="91" t="s">
        <v>370</v>
      </c>
      <c r="F75" s="89">
        <v>1</v>
      </c>
      <c r="G75" s="89">
        <v>1</v>
      </c>
      <c r="H75" s="89" t="s">
        <v>3968</v>
      </c>
      <c r="I75" s="90">
        <v>45681</v>
      </c>
      <c r="J75" s="89" t="s">
        <v>3969</v>
      </c>
      <c r="K75" s="64" t="s">
        <v>3990</v>
      </c>
      <c r="L75" s="89">
        <v>2</v>
      </c>
    </row>
    <row r="76" spans="1:12" hidden="1">
      <c r="A76" s="89">
        <v>44000059</v>
      </c>
      <c r="B76" s="90">
        <v>45692</v>
      </c>
      <c r="C76" s="89" t="s">
        <v>63</v>
      </c>
      <c r="D76" s="89" t="s">
        <v>371</v>
      </c>
      <c r="E76" s="91" t="s">
        <v>372</v>
      </c>
      <c r="F76" s="89">
        <v>1</v>
      </c>
      <c r="G76" s="89">
        <v>1</v>
      </c>
      <c r="H76" s="89" t="s">
        <v>3968</v>
      </c>
      <c r="I76" s="90">
        <v>45692</v>
      </c>
      <c r="J76" s="89" t="s">
        <v>3969</v>
      </c>
      <c r="K76" s="69" t="s">
        <v>3990</v>
      </c>
      <c r="L76" s="89">
        <v>2</v>
      </c>
    </row>
    <row r="77" spans="1:12" hidden="1">
      <c r="A77" s="89">
        <v>50110372</v>
      </c>
      <c r="B77" s="90">
        <v>45692</v>
      </c>
      <c r="C77" s="89" t="s">
        <v>73</v>
      </c>
      <c r="D77" s="89" t="s">
        <v>375</v>
      </c>
      <c r="E77" s="91" t="s">
        <v>4013</v>
      </c>
      <c r="F77" s="89">
        <v>1</v>
      </c>
      <c r="G77" s="89">
        <v>0</v>
      </c>
      <c r="H77" s="89" t="s">
        <v>3971</v>
      </c>
      <c r="I77" s="89"/>
      <c r="J77" s="89" t="s">
        <v>3969</v>
      </c>
      <c r="K77" s="92" t="s">
        <v>3990</v>
      </c>
      <c r="L77" s="89">
        <v>2</v>
      </c>
    </row>
    <row r="78" spans="1:12" hidden="1">
      <c r="A78" s="89">
        <v>50110372</v>
      </c>
      <c r="B78" s="90">
        <v>45692</v>
      </c>
      <c r="C78" s="89" t="s">
        <v>73</v>
      </c>
      <c r="D78" s="89" t="s">
        <v>378</v>
      </c>
      <c r="E78" s="91" t="s">
        <v>379</v>
      </c>
      <c r="F78" s="89">
        <v>1</v>
      </c>
      <c r="G78" s="89">
        <v>1</v>
      </c>
      <c r="H78" s="89" t="s">
        <v>3971</v>
      </c>
      <c r="I78" s="90">
        <v>45692</v>
      </c>
      <c r="J78" s="89" t="s">
        <v>3969</v>
      </c>
      <c r="K78" s="94" t="s">
        <v>3990</v>
      </c>
      <c r="L78" s="89">
        <v>2</v>
      </c>
    </row>
    <row r="79" spans="1:12" hidden="1">
      <c r="A79" s="89">
        <v>51000136</v>
      </c>
      <c r="B79" s="90">
        <v>45693</v>
      </c>
      <c r="C79" s="89" t="s">
        <v>103</v>
      </c>
      <c r="D79" s="89" t="s">
        <v>308</v>
      </c>
      <c r="E79" s="91" t="s">
        <v>309</v>
      </c>
      <c r="F79" s="89">
        <v>1</v>
      </c>
      <c r="G79" s="89">
        <v>0</v>
      </c>
      <c r="H79" s="89" t="s">
        <v>3968</v>
      </c>
      <c r="I79" s="89"/>
      <c r="J79" s="89" t="s">
        <v>3969</v>
      </c>
      <c r="K79" s="92" t="s">
        <v>3990</v>
      </c>
      <c r="L79" s="89">
        <v>2</v>
      </c>
    </row>
    <row r="80" spans="1:12" hidden="1">
      <c r="A80" s="89">
        <v>50000343</v>
      </c>
      <c r="B80" s="90">
        <v>45694</v>
      </c>
      <c r="C80" s="89" t="s">
        <v>73</v>
      </c>
      <c r="D80" s="89" t="s">
        <v>397</v>
      </c>
      <c r="E80" s="91" t="s">
        <v>4014</v>
      </c>
      <c r="F80" s="89">
        <v>1</v>
      </c>
      <c r="G80" s="89">
        <v>1</v>
      </c>
      <c r="H80" s="89" t="s">
        <v>3968</v>
      </c>
      <c r="I80" s="90">
        <v>45692</v>
      </c>
      <c r="J80" s="89" t="s">
        <v>3969</v>
      </c>
      <c r="K80" s="93" t="s">
        <v>3990</v>
      </c>
      <c r="L80" s="89">
        <v>2</v>
      </c>
    </row>
    <row r="81" spans="1:12" hidden="1">
      <c r="A81" s="89" t="s">
        <v>404</v>
      </c>
      <c r="B81" s="90">
        <v>45694</v>
      </c>
      <c r="C81" s="89" t="s">
        <v>402</v>
      </c>
      <c r="D81" s="89" t="s">
        <v>405</v>
      </c>
      <c r="E81" s="91" t="s">
        <v>4015</v>
      </c>
      <c r="F81" s="89">
        <v>1</v>
      </c>
      <c r="G81" s="89">
        <v>1</v>
      </c>
      <c r="H81" s="89" t="s">
        <v>3968</v>
      </c>
      <c r="I81" s="90">
        <v>45693</v>
      </c>
      <c r="J81" s="89" t="s">
        <v>3969</v>
      </c>
      <c r="K81" s="69" t="s">
        <v>3990</v>
      </c>
      <c r="L81" s="89">
        <v>2</v>
      </c>
    </row>
    <row r="82" spans="1:12" hidden="1">
      <c r="A82" s="89">
        <v>60002095</v>
      </c>
      <c r="B82" s="90">
        <v>45695</v>
      </c>
      <c r="C82" s="89" t="s">
        <v>73</v>
      </c>
      <c r="D82" s="89" t="s">
        <v>358</v>
      </c>
      <c r="E82" s="91" t="s">
        <v>359</v>
      </c>
      <c r="F82" s="89">
        <v>1</v>
      </c>
      <c r="G82" s="89">
        <v>0</v>
      </c>
      <c r="H82" s="89" t="s">
        <v>3971</v>
      </c>
      <c r="I82" s="89"/>
      <c r="J82" s="89" t="s">
        <v>3969</v>
      </c>
      <c r="K82" s="92" t="s">
        <v>3990</v>
      </c>
      <c r="L82" s="89">
        <v>2</v>
      </c>
    </row>
    <row r="83" spans="1:12" hidden="1">
      <c r="A83" s="89" t="s">
        <v>409</v>
      </c>
      <c r="B83" s="90">
        <v>45695</v>
      </c>
      <c r="C83" s="89" t="s">
        <v>334</v>
      </c>
      <c r="D83" s="89" t="s">
        <v>410</v>
      </c>
      <c r="E83" s="91" t="s">
        <v>411</v>
      </c>
      <c r="F83" s="89">
        <v>1</v>
      </c>
      <c r="G83" s="89">
        <v>1</v>
      </c>
      <c r="H83" s="89" t="s">
        <v>3968</v>
      </c>
      <c r="I83" s="90">
        <v>45677</v>
      </c>
      <c r="J83" s="89" t="s">
        <v>3969</v>
      </c>
      <c r="K83" s="93" t="s">
        <v>3990</v>
      </c>
      <c r="L83" s="89">
        <v>2</v>
      </c>
    </row>
    <row r="84" spans="1:12" hidden="1">
      <c r="A84" s="89">
        <v>44000321</v>
      </c>
      <c r="B84" s="90">
        <v>45695</v>
      </c>
      <c r="C84" s="89" t="s">
        <v>417</v>
      </c>
      <c r="D84" s="89" t="s">
        <v>418</v>
      </c>
      <c r="E84" s="91" t="s">
        <v>419</v>
      </c>
      <c r="F84" s="89">
        <v>1</v>
      </c>
      <c r="G84" s="89">
        <v>1</v>
      </c>
      <c r="H84" s="89" t="s">
        <v>3968</v>
      </c>
      <c r="I84" s="90">
        <v>45672</v>
      </c>
      <c r="J84" s="89" t="s">
        <v>3969</v>
      </c>
      <c r="K84" s="64" t="s">
        <v>3990</v>
      </c>
      <c r="L84" s="89">
        <v>2</v>
      </c>
    </row>
    <row r="85" spans="1:12" hidden="1">
      <c r="A85" s="89">
        <v>44000321</v>
      </c>
      <c r="B85" s="90">
        <v>45695</v>
      </c>
      <c r="C85" s="89" t="s">
        <v>417</v>
      </c>
      <c r="D85" s="89" t="s">
        <v>422</v>
      </c>
      <c r="E85" s="91" t="s">
        <v>423</v>
      </c>
      <c r="F85" s="89">
        <v>1</v>
      </c>
      <c r="G85" s="89">
        <v>1</v>
      </c>
      <c r="H85" s="89" t="s">
        <v>3968</v>
      </c>
      <c r="I85" s="90">
        <v>45672</v>
      </c>
      <c r="J85" s="89" t="s">
        <v>3969</v>
      </c>
      <c r="K85" s="64" t="s">
        <v>3990</v>
      </c>
      <c r="L85" s="89">
        <v>2</v>
      </c>
    </row>
    <row r="86" spans="1:12" hidden="1">
      <c r="A86" s="89">
        <v>50000343</v>
      </c>
      <c r="B86" s="90">
        <v>45698</v>
      </c>
      <c r="C86" s="89" t="s">
        <v>73</v>
      </c>
      <c r="D86" s="89" t="s">
        <v>330</v>
      </c>
      <c r="E86" s="91" t="s">
        <v>331</v>
      </c>
      <c r="F86" s="89">
        <v>1</v>
      </c>
      <c r="G86" s="89">
        <v>1</v>
      </c>
      <c r="H86" s="89" t="s">
        <v>3968</v>
      </c>
      <c r="I86" s="90">
        <v>45698</v>
      </c>
      <c r="J86" s="89" t="s">
        <v>3972</v>
      </c>
      <c r="K86" s="64" t="s">
        <v>3990</v>
      </c>
      <c r="L86" s="89">
        <v>2</v>
      </c>
    </row>
    <row r="87" spans="1:12" hidden="1">
      <c r="A87" s="89">
        <v>48300375</v>
      </c>
      <c r="B87" s="90">
        <v>45698</v>
      </c>
      <c r="C87" s="89" t="s">
        <v>4016</v>
      </c>
      <c r="D87" s="89" t="s">
        <v>429</v>
      </c>
      <c r="E87" s="91" t="s">
        <v>4017</v>
      </c>
      <c r="F87" s="89">
        <v>1</v>
      </c>
      <c r="G87" s="89">
        <v>1</v>
      </c>
      <c r="H87" s="89" t="s">
        <v>3968</v>
      </c>
      <c r="I87" s="89"/>
      <c r="J87" s="89" t="s">
        <v>3969</v>
      </c>
      <c r="K87" s="64" t="s">
        <v>3990</v>
      </c>
      <c r="L87" s="89">
        <v>2</v>
      </c>
    </row>
    <row r="88" spans="1:12" hidden="1">
      <c r="A88" s="89">
        <v>50110372</v>
      </c>
      <c r="B88" s="90">
        <v>45698</v>
      </c>
      <c r="C88" s="89" t="s">
        <v>73</v>
      </c>
      <c r="D88" s="89" t="s">
        <v>80</v>
      </c>
      <c r="E88" s="91" t="s">
        <v>433</v>
      </c>
      <c r="F88" s="89">
        <v>1</v>
      </c>
      <c r="G88" s="89">
        <v>1</v>
      </c>
      <c r="H88" s="89" t="s">
        <v>3968</v>
      </c>
      <c r="I88" s="90">
        <v>45695</v>
      </c>
      <c r="J88" s="89" t="s">
        <v>3969</v>
      </c>
      <c r="K88" s="64" t="s">
        <v>3990</v>
      </c>
      <c r="L88" s="89">
        <v>2</v>
      </c>
    </row>
    <row r="89" spans="1:12" hidden="1">
      <c r="A89" s="89">
        <v>50110229</v>
      </c>
      <c r="B89" s="90">
        <v>45698</v>
      </c>
      <c r="C89" s="89" t="s">
        <v>109</v>
      </c>
      <c r="D89" s="89" t="s">
        <v>436</v>
      </c>
      <c r="E89" s="91" t="s">
        <v>437</v>
      </c>
      <c r="F89" s="89">
        <v>1</v>
      </c>
      <c r="G89" s="89">
        <v>1</v>
      </c>
      <c r="H89" s="89" t="s">
        <v>3971</v>
      </c>
      <c r="I89" s="90">
        <v>45698</v>
      </c>
      <c r="J89" s="89" t="s">
        <v>3969</v>
      </c>
      <c r="K89" s="64" t="s">
        <v>3990</v>
      </c>
      <c r="L89" s="89">
        <v>2</v>
      </c>
    </row>
    <row r="90" spans="1:12" ht="15.6" hidden="1">
      <c r="A90" s="95">
        <v>50000260</v>
      </c>
      <c r="B90" s="96">
        <v>45719</v>
      </c>
      <c r="C90" s="97" t="s">
        <v>85</v>
      </c>
      <c r="D90" s="97" t="s">
        <v>663</v>
      </c>
      <c r="E90" s="76" t="s">
        <v>4029</v>
      </c>
      <c r="F90" s="97">
        <v>1</v>
      </c>
      <c r="G90" s="98">
        <v>1</v>
      </c>
      <c r="H90" s="98" t="s">
        <v>3968</v>
      </c>
      <c r="I90" s="99"/>
      <c r="J90" s="100" t="s">
        <v>3969</v>
      </c>
      <c r="K90" s="64" t="s">
        <v>3990</v>
      </c>
      <c r="L90" s="101">
        <f>MONTH(Table4[[#This Row],[Order Date]])</f>
        <v>2</v>
      </c>
    </row>
    <row r="91" spans="1:12" ht="15.6" hidden="1">
      <c r="A91" s="95">
        <v>50000260</v>
      </c>
      <c r="B91" s="96">
        <v>45719</v>
      </c>
      <c r="C91" s="97" t="s">
        <v>85</v>
      </c>
      <c r="D91" s="97" t="s">
        <v>4030</v>
      </c>
      <c r="E91" s="76" t="s">
        <v>4031</v>
      </c>
      <c r="F91" s="97">
        <v>1</v>
      </c>
      <c r="G91" s="98">
        <v>1</v>
      </c>
      <c r="H91" s="98" t="s">
        <v>3968</v>
      </c>
      <c r="I91" s="99"/>
      <c r="J91" s="100" t="s">
        <v>3969</v>
      </c>
      <c r="K91" s="64" t="s">
        <v>3990</v>
      </c>
      <c r="L91" s="101">
        <f>MONTH(Table4[[#This Row],[Order Date]])</f>
        <v>2</v>
      </c>
    </row>
    <row r="92" spans="1:12" ht="15.6" hidden="1">
      <c r="A92" s="95">
        <v>51000323</v>
      </c>
      <c r="B92" s="102">
        <v>45722</v>
      </c>
      <c r="C92" s="97" t="s">
        <v>103</v>
      </c>
      <c r="D92" s="97" t="s">
        <v>35</v>
      </c>
      <c r="E92" s="76" t="s">
        <v>682</v>
      </c>
      <c r="F92" s="97">
        <v>1</v>
      </c>
      <c r="G92" s="98">
        <v>1</v>
      </c>
      <c r="H92" s="98" t="s">
        <v>3968</v>
      </c>
      <c r="I92" s="99"/>
      <c r="J92" s="100" t="s">
        <v>3969</v>
      </c>
      <c r="K92" s="64" t="s">
        <v>3990</v>
      </c>
      <c r="L92" s="101">
        <f>MONTH(Table4[[#This Row],[Order Date]])</f>
        <v>2</v>
      </c>
    </row>
    <row r="93" spans="1:12" ht="15.6" hidden="1">
      <c r="A93" s="95">
        <v>51000323</v>
      </c>
      <c r="B93" s="96">
        <v>45722</v>
      </c>
      <c r="C93" s="97" t="s">
        <v>103</v>
      </c>
      <c r="D93" s="97" t="s">
        <v>683</v>
      </c>
      <c r="E93" s="76" t="s">
        <v>684</v>
      </c>
      <c r="F93" s="97">
        <v>1</v>
      </c>
      <c r="G93" s="98">
        <v>1</v>
      </c>
      <c r="H93" s="98" t="s">
        <v>3968</v>
      </c>
      <c r="I93" s="99"/>
      <c r="J93" s="98" t="s">
        <v>3969</v>
      </c>
      <c r="K93" s="69" t="s">
        <v>3990</v>
      </c>
      <c r="L93" s="101">
        <f>MONTH(Table4[[#This Row],[Order Date]])</f>
        <v>2</v>
      </c>
    </row>
    <row r="94" spans="1:12" ht="15.6" hidden="1">
      <c r="A94" s="103">
        <v>51000323</v>
      </c>
      <c r="B94" s="104">
        <v>45722</v>
      </c>
      <c r="C94" s="105" t="s">
        <v>103</v>
      </c>
      <c r="D94" s="105" t="s">
        <v>680</v>
      </c>
      <c r="E94" s="80" t="s">
        <v>681</v>
      </c>
      <c r="F94" s="105">
        <v>1</v>
      </c>
      <c r="G94" s="89">
        <v>0</v>
      </c>
      <c r="H94" s="89" t="s">
        <v>3968</v>
      </c>
      <c r="I94" s="90"/>
      <c r="J94" s="89" t="s">
        <v>3969</v>
      </c>
      <c r="K94" s="92" t="s">
        <v>3990</v>
      </c>
      <c r="L94" s="89">
        <f>MONTH(Table4[[#This Row],[Order Date]])</f>
        <v>2</v>
      </c>
    </row>
    <row r="95" spans="1:12" ht="15.6" hidden="1">
      <c r="A95" s="106">
        <v>44000010</v>
      </c>
      <c r="B95" s="107">
        <v>45722</v>
      </c>
      <c r="C95" s="106" t="s">
        <v>4032</v>
      </c>
      <c r="D95" s="106" t="s">
        <v>736</v>
      </c>
      <c r="E95" s="81" t="s">
        <v>737</v>
      </c>
      <c r="F95" s="106">
        <v>1</v>
      </c>
      <c r="G95" s="108">
        <v>1</v>
      </c>
      <c r="H95" s="108" t="s">
        <v>3968</v>
      </c>
      <c r="I95" s="109"/>
      <c r="J95" s="110" t="s">
        <v>3969</v>
      </c>
      <c r="K95" s="93" t="s">
        <v>3990</v>
      </c>
      <c r="L95" s="111">
        <f>MONTH(Table4[[#This Row],[Order Date]])</f>
        <v>2</v>
      </c>
    </row>
    <row r="96" spans="1:12" ht="15.6" hidden="1">
      <c r="A96" s="112">
        <v>43000422</v>
      </c>
      <c r="B96" s="96">
        <v>45722</v>
      </c>
      <c r="C96" s="97" t="s">
        <v>225</v>
      </c>
      <c r="D96" s="97" t="s">
        <v>1872</v>
      </c>
      <c r="E96" s="77" t="s">
        <v>1873</v>
      </c>
      <c r="F96" s="97">
        <v>1</v>
      </c>
      <c r="G96" s="98">
        <v>1</v>
      </c>
      <c r="H96" s="98" t="s">
        <v>3968</v>
      </c>
      <c r="I96" s="99"/>
      <c r="J96" s="100" t="s">
        <v>3969</v>
      </c>
      <c r="K96" s="64" t="s">
        <v>3990</v>
      </c>
      <c r="L96" s="101">
        <f>MONTH(Table4[[#This Row],[Order Date]])</f>
        <v>2</v>
      </c>
    </row>
    <row r="97" spans="1:12" ht="15.6" hidden="1">
      <c r="A97" s="97">
        <v>43000422</v>
      </c>
      <c r="B97" s="96">
        <v>45722</v>
      </c>
      <c r="C97" s="97" t="s">
        <v>225</v>
      </c>
      <c r="D97" s="97" t="s">
        <v>98</v>
      </c>
      <c r="E97" s="78" t="s">
        <v>4033</v>
      </c>
      <c r="F97" s="97">
        <v>2</v>
      </c>
      <c r="G97" s="98">
        <v>2</v>
      </c>
      <c r="H97" s="98" t="s">
        <v>3968</v>
      </c>
      <c r="I97" s="99"/>
      <c r="J97" s="98" t="s">
        <v>3969</v>
      </c>
      <c r="K97" s="64" t="s">
        <v>3990</v>
      </c>
      <c r="L97" s="101">
        <f>MONTH(Table4[[#This Row],[Order Date]])</f>
        <v>2</v>
      </c>
    </row>
    <row r="98" spans="1:12" ht="15.6" hidden="1">
      <c r="A98" s="112">
        <v>43000422</v>
      </c>
      <c r="B98" s="102">
        <v>45722</v>
      </c>
      <c r="C98" s="112" t="s">
        <v>225</v>
      </c>
      <c r="D98" s="112" t="s">
        <v>4034</v>
      </c>
      <c r="E98" s="79" t="s">
        <v>4035</v>
      </c>
      <c r="F98" s="112">
        <v>1</v>
      </c>
      <c r="G98" s="100">
        <v>1</v>
      </c>
      <c r="H98" s="100" t="s">
        <v>3968</v>
      </c>
      <c r="I98" s="113"/>
      <c r="J98" s="100" t="s">
        <v>3969</v>
      </c>
      <c r="K98" s="64" t="s">
        <v>3990</v>
      </c>
      <c r="L98" s="100">
        <f>MONTH(Table4[[#This Row],[Order Date]])</f>
        <v>2</v>
      </c>
    </row>
    <row r="99" spans="1:12" hidden="1">
      <c r="A99" s="112">
        <v>50110372</v>
      </c>
      <c r="B99" s="102">
        <v>45723</v>
      </c>
      <c r="C99" s="112" t="s">
        <v>73</v>
      </c>
      <c r="D99" s="112" t="s">
        <v>4036</v>
      </c>
      <c r="E99" s="114" t="s">
        <v>4037</v>
      </c>
      <c r="F99" s="112">
        <v>1</v>
      </c>
      <c r="G99" s="100">
        <v>1</v>
      </c>
      <c r="H99" s="100" t="s">
        <v>3968</v>
      </c>
      <c r="I99" s="113"/>
      <c r="J99" s="100" t="s">
        <v>3969</v>
      </c>
      <c r="K99" s="64" t="s">
        <v>3990</v>
      </c>
      <c r="L99" s="100">
        <f>MONTH(Table4[[#This Row],[Order Date]])</f>
        <v>2</v>
      </c>
    </row>
    <row r="100" spans="1:12" hidden="1">
      <c r="A100" s="63">
        <v>50000260</v>
      </c>
      <c r="B100" s="115" t="s">
        <v>4038</v>
      </c>
      <c r="C100" s="63" t="s">
        <v>85</v>
      </c>
      <c r="D100" s="63" t="s">
        <v>663</v>
      </c>
      <c r="E100" s="116" t="s">
        <v>4029</v>
      </c>
      <c r="F100" s="63">
        <v>1</v>
      </c>
      <c r="G100" s="64">
        <v>1</v>
      </c>
      <c r="H100" s="64" t="s">
        <v>3968</v>
      </c>
      <c r="I100" s="117"/>
      <c r="J100" s="64" t="s">
        <v>3969</v>
      </c>
      <c r="K100" s="64" t="s">
        <v>3990</v>
      </c>
      <c r="L100" s="64">
        <v>3</v>
      </c>
    </row>
    <row r="101" spans="1:12" hidden="1">
      <c r="A101" s="63">
        <v>51000323</v>
      </c>
      <c r="B101" s="115">
        <v>45722</v>
      </c>
      <c r="C101" s="63" t="s">
        <v>103</v>
      </c>
      <c r="D101" s="63" t="s">
        <v>35</v>
      </c>
      <c r="E101" s="116" t="s">
        <v>682</v>
      </c>
      <c r="F101" s="63">
        <v>1</v>
      </c>
      <c r="G101" s="64">
        <v>1</v>
      </c>
      <c r="H101" s="64" t="s">
        <v>3968</v>
      </c>
      <c r="I101" s="117"/>
      <c r="J101" s="64" t="s">
        <v>3969</v>
      </c>
      <c r="K101" s="64" t="s">
        <v>3990</v>
      </c>
      <c r="L101" s="64">
        <v>3</v>
      </c>
    </row>
    <row r="102" spans="1:12" hidden="1">
      <c r="A102" s="63">
        <v>51000323</v>
      </c>
      <c r="B102" s="115">
        <v>45722</v>
      </c>
      <c r="C102" s="63" t="s">
        <v>103</v>
      </c>
      <c r="D102" s="63" t="s">
        <v>683</v>
      </c>
      <c r="E102" s="116" t="s">
        <v>684</v>
      </c>
      <c r="F102" s="63">
        <v>1</v>
      </c>
      <c r="G102" s="64">
        <v>1</v>
      </c>
      <c r="H102" s="64" t="s">
        <v>3968</v>
      </c>
      <c r="I102" s="117"/>
      <c r="J102" s="64" t="s">
        <v>3969</v>
      </c>
      <c r="K102" s="64" t="s">
        <v>3990</v>
      </c>
      <c r="L102" s="64">
        <v>3</v>
      </c>
    </row>
    <row r="103" spans="1:12" hidden="1">
      <c r="A103" s="63">
        <v>51000323</v>
      </c>
      <c r="B103" s="115">
        <v>45722</v>
      </c>
      <c r="C103" s="63" t="s">
        <v>103</v>
      </c>
      <c r="D103" s="63" t="s">
        <v>680</v>
      </c>
      <c r="E103" s="116" t="s">
        <v>681</v>
      </c>
      <c r="F103" s="63">
        <v>1</v>
      </c>
      <c r="G103" s="64">
        <v>1</v>
      </c>
      <c r="H103" s="64" t="s">
        <v>3968</v>
      </c>
      <c r="I103" s="117"/>
      <c r="J103" s="64" t="s">
        <v>3969</v>
      </c>
      <c r="K103" s="64" t="s">
        <v>3990</v>
      </c>
      <c r="L103" s="64">
        <v>3</v>
      </c>
    </row>
    <row r="104" spans="1:12" hidden="1">
      <c r="A104" s="63">
        <v>44000010</v>
      </c>
      <c r="B104" s="115">
        <v>45722</v>
      </c>
      <c r="C104" s="63" t="s">
        <v>4032</v>
      </c>
      <c r="D104" s="63" t="s">
        <v>736</v>
      </c>
      <c r="E104" s="116" t="s">
        <v>737</v>
      </c>
      <c r="F104" s="63">
        <v>1</v>
      </c>
      <c r="G104" s="64">
        <v>1</v>
      </c>
      <c r="H104" s="64" t="s">
        <v>3968</v>
      </c>
      <c r="I104" s="117"/>
      <c r="J104" s="64" t="s">
        <v>3969</v>
      </c>
      <c r="K104" s="64" t="s">
        <v>3990</v>
      </c>
      <c r="L104" s="64">
        <v>3</v>
      </c>
    </row>
    <row r="105" spans="1:12" hidden="1">
      <c r="A105" s="63">
        <v>43000422</v>
      </c>
      <c r="B105" s="115">
        <v>45722</v>
      </c>
      <c r="C105" s="63" t="s">
        <v>225</v>
      </c>
      <c r="D105" s="63" t="s">
        <v>1872</v>
      </c>
      <c r="E105" s="118" t="s">
        <v>1873</v>
      </c>
      <c r="F105" s="63">
        <v>1</v>
      </c>
      <c r="G105" s="64">
        <v>1</v>
      </c>
      <c r="H105" s="64" t="s">
        <v>3968</v>
      </c>
      <c r="I105" s="117"/>
      <c r="J105" s="64" t="s">
        <v>3969</v>
      </c>
      <c r="K105" s="64" t="s">
        <v>3990</v>
      </c>
      <c r="L105" s="64">
        <v>3</v>
      </c>
    </row>
    <row r="106" spans="1:12" hidden="1">
      <c r="A106" s="63">
        <v>43000422</v>
      </c>
      <c r="B106" s="115">
        <v>45722</v>
      </c>
      <c r="C106" s="63" t="s">
        <v>225</v>
      </c>
      <c r="D106" s="63" t="s">
        <v>98</v>
      </c>
      <c r="E106" s="119" t="s">
        <v>4033</v>
      </c>
      <c r="F106" s="63">
        <v>2</v>
      </c>
      <c r="G106" s="64">
        <v>2</v>
      </c>
      <c r="H106" s="64" t="s">
        <v>3968</v>
      </c>
      <c r="I106" s="117"/>
      <c r="J106" s="64" t="s">
        <v>3969</v>
      </c>
      <c r="K106" s="64" t="s">
        <v>3990</v>
      </c>
      <c r="L106" s="64">
        <v>3</v>
      </c>
    </row>
    <row r="107" spans="1:12" hidden="1">
      <c r="A107" s="63">
        <v>43000422</v>
      </c>
      <c r="B107" s="115">
        <v>45722</v>
      </c>
      <c r="C107" s="63" t="s">
        <v>225</v>
      </c>
      <c r="D107" s="63" t="s">
        <v>4034</v>
      </c>
      <c r="E107" s="116" t="s">
        <v>4035</v>
      </c>
      <c r="F107" s="63">
        <v>1</v>
      </c>
      <c r="G107" s="64">
        <v>1</v>
      </c>
      <c r="H107" s="64" t="s">
        <v>3968</v>
      </c>
      <c r="I107" s="117"/>
      <c r="J107" s="64" t="s">
        <v>3969</v>
      </c>
      <c r="K107" s="64" t="s">
        <v>3990</v>
      </c>
      <c r="L107" s="64">
        <v>3</v>
      </c>
    </row>
    <row r="108" spans="1:12" hidden="1">
      <c r="A108" s="63">
        <v>50110372</v>
      </c>
      <c r="B108" s="115">
        <v>45723</v>
      </c>
      <c r="C108" s="63" t="s">
        <v>73</v>
      </c>
      <c r="D108" s="63" t="s">
        <v>4036</v>
      </c>
      <c r="E108" s="116" t="s">
        <v>4037</v>
      </c>
      <c r="F108" s="63">
        <v>1</v>
      </c>
      <c r="G108" s="64">
        <v>1</v>
      </c>
      <c r="H108" s="64" t="s">
        <v>3968</v>
      </c>
      <c r="I108" s="117"/>
      <c r="J108" s="64" t="s">
        <v>3969</v>
      </c>
      <c r="K108" s="64" t="s">
        <v>3990</v>
      </c>
      <c r="L108" s="64">
        <v>3</v>
      </c>
    </row>
    <row r="109" spans="1:12" hidden="1">
      <c r="A109" s="63">
        <v>50000260</v>
      </c>
      <c r="B109" s="115">
        <v>45726</v>
      </c>
      <c r="C109" s="63" t="s">
        <v>85</v>
      </c>
      <c r="D109" s="63" t="s">
        <v>4039</v>
      </c>
      <c r="E109" s="116" t="s">
        <v>4040</v>
      </c>
      <c r="F109" s="63">
        <v>1</v>
      </c>
      <c r="G109" s="64">
        <v>1</v>
      </c>
      <c r="H109" s="64" t="s">
        <v>3968</v>
      </c>
      <c r="I109" s="117"/>
      <c r="J109" s="64" t="s">
        <v>3969</v>
      </c>
      <c r="K109" s="64" t="s">
        <v>3990</v>
      </c>
      <c r="L109" s="64">
        <v>3</v>
      </c>
    </row>
    <row r="110" spans="1:12" hidden="1">
      <c r="A110" s="63">
        <v>61000037</v>
      </c>
      <c r="B110" s="115">
        <v>45708</v>
      </c>
      <c r="C110" s="63" t="s">
        <v>515</v>
      </c>
      <c r="D110" s="63" t="s">
        <v>517</v>
      </c>
      <c r="E110" s="116" t="s">
        <v>4041</v>
      </c>
      <c r="F110" s="63">
        <v>1</v>
      </c>
      <c r="G110" s="64">
        <v>1</v>
      </c>
      <c r="H110" s="64" t="s">
        <v>3971</v>
      </c>
      <c r="I110" s="117">
        <v>45728</v>
      </c>
      <c r="J110" s="64" t="s">
        <v>3969</v>
      </c>
      <c r="K110" s="64" t="s">
        <v>3990</v>
      </c>
      <c r="L110" s="64">
        <v>2</v>
      </c>
    </row>
    <row r="111" spans="1:12" hidden="1">
      <c r="A111" s="63">
        <v>48000044</v>
      </c>
      <c r="B111" s="115">
        <v>45728</v>
      </c>
      <c r="C111" s="63" t="s">
        <v>118</v>
      </c>
      <c r="D111" s="63" t="s">
        <v>789</v>
      </c>
      <c r="E111" s="116" t="s">
        <v>3522</v>
      </c>
      <c r="F111" s="63">
        <v>1</v>
      </c>
      <c r="G111" s="64">
        <v>1</v>
      </c>
      <c r="H111" s="64" t="s">
        <v>3968</v>
      </c>
      <c r="I111" s="117"/>
      <c r="J111" s="64" t="s">
        <v>3969</v>
      </c>
      <c r="K111" s="64" t="s">
        <v>3990</v>
      </c>
      <c r="L111" s="64">
        <v>3</v>
      </c>
    </row>
    <row r="112" spans="1:12" hidden="1">
      <c r="A112" s="63">
        <v>48000002</v>
      </c>
      <c r="B112" s="115">
        <v>45728</v>
      </c>
      <c r="C112" s="63" t="s">
        <v>720</v>
      </c>
      <c r="D112" s="63" t="s">
        <v>721</v>
      </c>
      <c r="E112" s="116" t="s">
        <v>4042</v>
      </c>
      <c r="F112" s="63">
        <v>1</v>
      </c>
      <c r="G112" s="64">
        <v>1</v>
      </c>
      <c r="H112" s="64" t="s">
        <v>3968</v>
      </c>
      <c r="I112" s="117"/>
      <c r="J112" s="64" t="s">
        <v>3969</v>
      </c>
      <c r="K112" s="64" t="s">
        <v>3990</v>
      </c>
      <c r="L112" s="64">
        <v>3</v>
      </c>
    </row>
    <row r="113" spans="1:12" hidden="1">
      <c r="A113" s="63">
        <v>50000530</v>
      </c>
      <c r="B113" s="115">
        <v>45729</v>
      </c>
      <c r="C113" s="63" t="s">
        <v>79</v>
      </c>
      <c r="D113" s="63" t="s">
        <v>2800</v>
      </c>
      <c r="E113" s="116" t="s">
        <v>2801</v>
      </c>
      <c r="F113" s="63">
        <v>2</v>
      </c>
      <c r="G113" s="64">
        <v>2</v>
      </c>
      <c r="H113" s="64" t="s">
        <v>3968</v>
      </c>
      <c r="I113" s="117"/>
      <c r="J113" s="64" t="s">
        <v>3969</v>
      </c>
      <c r="K113" s="64" t="s">
        <v>3990</v>
      </c>
      <c r="L113" s="64">
        <v>3</v>
      </c>
    </row>
    <row r="114" spans="1:12" hidden="1">
      <c r="A114" s="63">
        <v>50000530</v>
      </c>
      <c r="B114" s="115">
        <v>45729</v>
      </c>
      <c r="C114" s="63" t="s">
        <v>79</v>
      </c>
      <c r="D114" s="63" t="s">
        <v>80</v>
      </c>
      <c r="E114" s="116" t="s">
        <v>4043</v>
      </c>
      <c r="F114" s="63">
        <v>1</v>
      </c>
      <c r="G114" s="64">
        <v>1</v>
      </c>
      <c r="H114" s="64" t="s">
        <v>3968</v>
      </c>
      <c r="I114" s="117"/>
      <c r="J114" s="64" t="s">
        <v>3969</v>
      </c>
      <c r="K114" s="64" t="s">
        <v>3990</v>
      </c>
      <c r="L114" s="64">
        <v>3</v>
      </c>
    </row>
    <row r="115" spans="1:12" hidden="1">
      <c r="A115" s="63">
        <v>40000288</v>
      </c>
      <c r="B115" s="115">
        <v>45730</v>
      </c>
      <c r="C115" s="63" t="s">
        <v>202</v>
      </c>
      <c r="D115" s="63" t="s">
        <v>1331</v>
      </c>
      <c r="E115" s="116" t="s">
        <v>3233</v>
      </c>
      <c r="F115" s="63">
        <v>1</v>
      </c>
      <c r="G115" s="64">
        <v>1</v>
      </c>
      <c r="H115" s="64" t="s">
        <v>3968</v>
      </c>
      <c r="I115" s="117"/>
      <c r="J115" s="64" t="s">
        <v>3969</v>
      </c>
      <c r="K115" s="64" t="s">
        <v>3990</v>
      </c>
      <c r="L115" s="64">
        <v>3</v>
      </c>
    </row>
    <row r="116" spans="1:12" hidden="1">
      <c r="A116" s="63">
        <v>48500665</v>
      </c>
      <c r="B116" s="115">
        <v>45730</v>
      </c>
      <c r="C116" s="63" t="s">
        <v>639</v>
      </c>
      <c r="D116" s="63" t="s">
        <v>645</v>
      </c>
      <c r="E116" s="116" t="s">
        <v>4044</v>
      </c>
      <c r="F116" s="63">
        <v>1</v>
      </c>
      <c r="G116" s="64">
        <v>1</v>
      </c>
      <c r="H116" s="64" t="s">
        <v>3968</v>
      </c>
      <c r="I116" s="117"/>
      <c r="J116" s="64" t="s">
        <v>3969</v>
      </c>
      <c r="K116" s="64" t="s">
        <v>3990</v>
      </c>
      <c r="L116" s="64">
        <v>3</v>
      </c>
    </row>
    <row r="117" spans="1:12" hidden="1">
      <c r="A117" s="63">
        <v>60002072</v>
      </c>
      <c r="B117" s="115">
        <v>45730</v>
      </c>
      <c r="C117" s="63" t="s">
        <v>202</v>
      </c>
      <c r="D117" s="63" t="s">
        <v>716</v>
      </c>
      <c r="E117" s="116" t="s">
        <v>4045</v>
      </c>
      <c r="F117" s="63">
        <v>1</v>
      </c>
      <c r="G117" s="64">
        <v>1</v>
      </c>
      <c r="H117" s="64" t="s">
        <v>3968</v>
      </c>
      <c r="I117" s="117"/>
      <c r="J117" s="64" t="s">
        <v>3969</v>
      </c>
      <c r="K117" s="64" t="s">
        <v>3990</v>
      </c>
      <c r="L117" s="64">
        <v>3</v>
      </c>
    </row>
    <row r="118" spans="1:12" hidden="1">
      <c r="A118" s="63">
        <v>60002072</v>
      </c>
      <c r="B118" s="115">
        <v>45730</v>
      </c>
      <c r="C118" s="63" t="s">
        <v>202</v>
      </c>
      <c r="D118" s="63" t="s">
        <v>4046</v>
      </c>
      <c r="E118" s="116" t="s">
        <v>4047</v>
      </c>
      <c r="F118" s="63">
        <v>1</v>
      </c>
      <c r="G118" s="64">
        <v>1</v>
      </c>
      <c r="H118" s="64" t="s">
        <v>3968</v>
      </c>
      <c r="I118" s="117"/>
      <c r="J118" s="64" t="s">
        <v>3969</v>
      </c>
      <c r="K118" s="64" t="s">
        <v>3990</v>
      </c>
      <c r="L118" s="64">
        <v>3</v>
      </c>
    </row>
    <row r="119" spans="1:12" hidden="1">
      <c r="A119" s="63">
        <v>60002072</v>
      </c>
      <c r="B119" s="115">
        <v>45730</v>
      </c>
      <c r="C119" s="63" t="s">
        <v>202</v>
      </c>
      <c r="D119" s="63" t="s">
        <v>114</v>
      </c>
      <c r="E119" s="116" t="s">
        <v>1466</v>
      </c>
      <c r="F119" s="63">
        <v>1</v>
      </c>
      <c r="G119" s="64">
        <v>1</v>
      </c>
      <c r="H119" s="64" t="s">
        <v>3968</v>
      </c>
      <c r="I119" s="117"/>
      <c r="J119" s="64" t="s">
        <v>3969</v>
      </c>
      <c r="K119" s="64" t="s">
        <v>3990</v>
      </c>
      <c r="L119" s="64">
        <v>3</v>
      </c>
    </row>
    <row r="120" spans="1:12" hidden="1">
      <c r="A120" s="64">
        <v>44000059</v>
      </c>
      <c r="B120" s="115">
        <v>45730</v>
      </c>
      <c r="C120" s="63" t="s">
        <v>63</v>
      </c>
      <c r="D120" s="63" t="s">
        <v>4048</v>
      </c>
      <c r="E120" s="116" t="s">
        <v>4049</v>
      </c>
      <c r="F120" s="63">
        <v>1</v>
      </c>
      <c r="G120" s="64">
        <v>1</v>
      </c>
      <c r="H120" s="64" t="s">
        <v>3968</v>
      </c>
      <c r="I120" s="117"/>
      <c r="J120" s="64" t="s">
        <v>3969</v>
      </c>
      <c r="K120" s="64" t="s">
        <v>3990</v>
      </c>
      <c r="L120" s="64">
        <v>3</v>
      </c>
    </row>
    <row r="121" spans="1:12" hidden="1">
      <c r="A121" s="63">
        <v>50110261</v>
      </c>
      <c r="B121" s="115">
        <v>45722</v>
      </c>
      <c r="C121" s="63" t="s">
        <v>225</v>
      </c>
      <c r="D121" s="63" t="s">
        <v>614</v>
      </c>
      <c r="E121" s="116" t="s">
        <v>615</v>
      </c>
      <c r="F121" s="63">
        <v>1</v>
      </c>
      <c r="G121" s="64">
        <v>1</v>
      </c>
      <c r="H121" s="64" t="s">
        <v>3971</v>
      </c>
      <c r="I121" s="117"/>
      <c r="J121" s="67" t="s">
        <v>3969</v>
      </c>
      <c r="K121" s="67" t="s">
        <v>3990</v>
      </c>
      <c r="L121" s="64">
        <v>3</v>
      </c>
    </row>
    <row r="122" spans="1:12" hidden="1">
      <c r="A122" s="68">
        <v>47100399</v>
      </c>
      <c r="B122" s="120">
        <v>45722</v>
      </c>
      <c r="C122" s="68" t="s">
        <v>233</v>
      </c>
      <c r="D122" s="68" t="s">
        <v>668</v>
      </c>
      <c r="E122" s="121" t="s">
        <v>669</v>
      </c>
      <c r="F122" s="68">
        <v>1</v>
      </c>
      <c r="G122" s="69">
        <v>1</v>
      </c>
      <c r="H122" s="69" t="s">
        <v>3968</v>
      </c>
      <c r="I122" s="122"/>
      <c r="J122" s="71" t="s">
        <v>3969</v>
      </c>
      <c r="K122" s="71" t="s">
        <v>3990</v>
      </c>
      <c r="L122" s="69">
        <v>3</v>
      </c>
    </row>
    <row r="123" spans="1:12" hidden="1">
      <c r="A123" s="123">
        <v>50110372</v>
      </c>
      <c r="B123" s="124">
        <v>45722</v>
      </c>
      <c r="C123" s="123" t="s">
        <v>73</v>
      </c>
      <c r="D123" s="123" t="s">
        <v>672</v>
      </c>
      <c r="E123" s="125" t="s">
        <v>673</v>
      </c>
      <c r="F123" s="123">
        <v>1</v>
      </c>
      <c r="G123" s="92">
        <v>0</v>
      </c>
      <c r="H123" s="92" t="s">
        <v>3968</v>
      </c>
      <c r="I123" s="126"/>
      <c r="J123" s="127" t="s">
        <v>3969</v>
      </c>
      <c r="K123" s="127" t="s">
        <v>3990</v>
      </c>
      <c r="L123" s="92">
        <v>3</v>
      </c>
    </row>
    <row r="124" spans="1:12" hidden="1">
      <c r="A124" s="128">
        <v>51000136</v>
      </c>
      <c r="B124" s="129">
        <v>45722</v>
      </c>
      <c r="C124" s="128" t="s">
        <v>103</v>
      </c>
      <c r="D124" s="128" t="s">
        <v>676</v>
      </c>
      <c r="E124" s="130" t="s">
        <v>677</v>
      </c>
      <c r="F124" s="128">
        <v>1</v>
      </c>
      <c r="G124" s="93">
        <v>1</v>
      </c>
      <c r="H124" s="93" t="s">
        <v>3968</v>
      </c>
      <c r="I124" s="131"/>
      <c r="J124" s="132" t="s">
        <v>3969</v>
      </c>
      <c r="K124" s="132" t="s">
        <v>3990</v>
      </c>
      <c r="L124" s="93">
        <v>3</v>
      </c>
    </row>
    <row r="125" spans="1:12" hidden="1">
      <c r="A125" s="63">
        <v>51000323</v>
      </c>
      <c r="B125" s="115">
        <v>45723</v>
      </c>
      <c r="C125" s="63" t="s">
        <v>103</v>
      </c>
      <c r="D125" s="63" t="s">
        <v>680</v>
      </c>
      <c r="E125" s="116" t="s">
        <v>681</v>
      </c>
      <c r="F125" s="63">
        <v>1</v>
      </c>
      <c r="G125" s="64">
        <v>1</v>
      </c>
      <c r="H125" s="64" t="s">
        <v>3968</v>
      </c>
      <c r="I125" s="117"/>
      <c r="J125" s="67" t="s">
        <v>3969</v>
      </c>
      <c r="K125" s="67" t="s">
        <v>3990</v>
      </c>
      <c r="L125" s="64">
        <v>3</v>
      </c>
    </row>
    <row r="126" spans="1:12" hidden="1">
      <c r="A126" s="68">
        <v>51000323</v>
      </c>
      <c r="B126" s="120">
        <v>45723</v>
      </c>
      <c r="C126" s="68" t="s">
        <v>103</v>
      </c>
      <c r="D126" s="68" t="s">
        <v>35</v>
      </c>
      <c r="E126" s="121" t="s">
        <v>682</v>
      </c>
      <c r="F126" s="68">
        <v>1</v>
      </c>
      <c r="G126" s="69">
        <v>1</v>
      </c>
      <c r="H126" s="69" t="s">
        <v>3968</v>
      </c>
      <c r="I126" s="122"/>
      <c r="J126" s="71" t="s">
        <v>3969</v>
      </c>
      <c r="K126" s="71" t="s">
        <v>3990</v>
      </c>
      <c r="L126" s="69">
        <v>3</v>
      </c>
    </row>
    <row r="127" spans="1:12" hidden="1">
      <c r="A127" s="123">
        <v>51000323</v>
      </c>
      <c r="B127" s="124">
        <v>45723</v>
      </c>
      <c r="C127" s="123" t="s">
        <v>103</v>
      </c>
      <c r="D127" s="123" t="s">
        <v>683</v>
      </c>
      <c r="E127" s="125" t="s">
        <v>684</v>
      </c>
      <c r="F127" s="123">
        <v>1</v>
      </c>
      <c r="G127" s="92">
        <v>0</v>
      </c>
      <c r="H127" s="92" t="s">
        <v>3968</v>
      </c>
      <c r="I127" s="126"/>
      <c r="J127" s="127" t="s">
        <v>3969</v>
      </c>
      <c r="K127" s="127" t="s">
        <v>3990</v>
      </c>
      <c r="L127" s="92">
        <v>3</v>
      </c>
    </row>
    <row r="128" spans="1:12" hidden="1">
      <c r="A128" s="128">
        <v>51000136</v>
      </c>
      <c r="B128" s="129">
        <v>45723</v>
      </c>
      <c r="C128" s="128" t="s">
        <v>103</v>
      </c>
      <c r="D128" s="128" t="s">
        <v>686</v>
      </c>
      <c r="E128" s="130" t="s">
        <v>687</v>
      </c>
      <c r="F128" s="128">
        <v>1</v>
      </c>
      <c r="G128" s="93">
        <v>1</v>
      </c>
      <c r="H128" s="93" t="s">
        <v>3968</v>
      </c>
      <c r="I128" s="131"/>
      <c r="J128" s="132" t="s">
        <v>3969</v>
      </c>
      <c r="K128" s="132" t="s">
        <v>3990</v>
      </c>
      <c r="L128" s="93">
        <v>3</v>
      </c>
    </row>
    <row r="129" spans="1:12" hidden="1">
      <c r="A129" s="68">
        <v>51000323</v>
      </c>
      <c r="B129" s="120">
        <v>45723</v>
      </c>
      <c r="C129" s="68" t="s">
        <v>103</v>
      </c>
      <c r="D129" s="68" t="s">
        <v>686</v>
      </c>
      <c r="E129" s="121" t="s">
        <v>687</v>
      </c>
      <c r="F129" s="68">
        <v>1</v>
      </c>
      <c r="G129" s="69">
        <v>1</v>
      </c>
      <c r="H129" s="69" t="s">
        <v>3968</v>
      </c>
      <c r="I129" s="122"/>
      <c r="J129" s="71" t="s">
        <v>3969</v>
      </c>
      <c r="K129" s="71" t="s">
        <v>3990</v>
      </c>
      <c r="L129" s="69">
        <v>3</v>
      </c>
    </row>
    <row r="130" spans="1:12" hidden="1">
      <c r="A130" s="123">
        <v>60002095</v>
      </c>
      <c r="B130" s="124">
        <v>45723</v>
      </c>
      <c r="C130" s="123" t="s">
        <v>73</v>
      </c>
      <c r="D130" s="123" t="s">
        <v>691</v>
      </c>
      <c r="E130" s="125" t="s">
        <v>4050</v>
      </c>
      <c r="F130" s="123">
        <v>1</v>
      </c>
      <c r="G130" s="92">
        <v>0</v>
      </c>
      <c r="H130" s="92" t="s">
        <v>3968</v>
      </c>
      <c r="I130" s="126"/>
      <c r="J130" s="127" t="s">
        <v>3969</v>
      </c>
      <c r="K130" s="127" t="s">
        <v>3990</v>
      </c>
      <c r="L130" s="92">
        <v>3</v>
      </c>
    </row>
    <row r="131" spans="1:12" hidden="1">
      <c r="A131" s="123">
        <v>51000323</v>
      </c>
      <c r="B131" s="124">
        <v>45728</v>
      </c>
      <c r="C131" s="123" t="s">
        <v>103</v>
      </c>
      <c r="D131" s="123" t="s">
        <v>699</v>
      </c>
      <c r="E131" s="125" t="s">
        <v>4051</v>
      </c>
      <c r="F131" s="123">
        <v>1</v>
      </c>
      <c r="G131" s="92">
        <v>0</v>
      </c>
      <c r="H131" s="92" t="s">
        <v>3971</v>
      </c>
      <c r="I131" s="126">
        <v>45742</v>
      </c>
      <c r="J131" s="127" t="s">
        <v>3969</v>
      </c>
      <c r="K131" s="92" t="s">
        <v>3990</v>
      </c>
      <c r="L131" s="92">
        <v>3</v>
      </c>
    </row>
    <row r="132" spans="1:12" hidden="1">
      <c r="A132" s="128">
        <v>50110261</v>
      </c>
      <c r="B132" s="129">
        <v>45728</v>
      </c>
      <c r="C132" s="128" t="s">
        <v>225</v>
      </c>
      <c r="D132" s="128" t="s">
        <v>707</v>
      </c>
      <c r="E132" s="130" t="s">
        <v>708</v>
      </c>
      <c r="F132" s="128">
        <v>1</v>
      </c>
      <c r="G132" s="93">
        <v>1</v>
      </c>
      <c r="H132" s="93" t="s">
        <v>3971</v>
      </c>
      <c r="I132" s="131"/>
      <c r="J132" s="132" t="s">
        <v>647</v>
      </c>
      <c r="K132" s="132" t="s">
        <v>3990</v>
      </c>
      <c r="L132" s="93">
        <v>3</v>
      </c>
    </row>
    <row r="133" spans="1:12" hidden="1">
      <c r="A133" s="63">
        <v>60002072</v>
      </c>
      <c r="B133" s="115">
        <v>45729</v>
      </c>
      <c r="C133" s="63" t="s">
        <v>202</v>
      </c>
      <c r="D133" s="63" t="s">
        <v>716</v>
      </c>
      <c r="E133" s="116" t="s">
        <v>717</v>
      </c>
      <c r="F133" s="63">
        <v>1</v>
      </c>
      <c r="G133" s="64">
        <v>1</v>
      </c>
      <c r="H133" s="64" t="s">
        <v>3968</v>
      </c>
      <c r="I133" s="117"/>
      <c r="J133" s="67" t="s">
        <v>3969</v>
      </c>
      <c r="K133" s="67" t="s">
        <v>3990</v>
      </c>
      <c r="L133" s="64">
        <v>3</v>
      </c>
    </row>
    <row r="134" spans="1:12" hidden="1">
      <c r="A134" s="63">
        <v>48000002</v>
      </c>
      <c r="B134" s="115">
        <v>45729</v>
      </c>
      <c r="C134" s="63" t="s">
        <v>720</v>
      </c>
      <c r="D134" s="63" t="s">
        <v>721</v>
      </c>
      <c r="E134" s="116" t="s">
        <v>4052</v>
      </c>
      <c r="F134" s="63">
        <v>1</v>
      </c>
      <c r="G134" s="64">
        <v>1</v>
      </c>
      <c r="H134" s="64" t="s">
        <v>3968</v>
      </c>
      <c r="I134" s="117"/>
      <c r="J134" s="67" t="s">
        <v>3969</v>
      </c>
      <c r="K134" s="67" t="s">
        <v>3990</v>
      </c>
      <c r="L134" s="64">
        <v>3</v>
      </c>
    </row>
    <row r="135" spans="1:12" hidden="1">
      <c r="A135" s="63">
        <v>48000002</v>
      </c>
      <c r="B135" s="115">
        <v>45729</v>
      </c>
      <c r="C135" s="63" t="s">
        <v>720</v>
      </c>
      <c r="D135" s="63" t="s">
        <v>723</v>
      </c>
      <c r="E135" s="116" t="s">
        <v>4053</v>
      </c>
      <c r="F135" s="63">
        <v>1</v>
      </c>
      <c r="G135" s="64">
        <v>1</v>
      </c>
      <c r="H135" s="64" t="s">
        <v>3968</v>
      </c>
      <c r="I135" s="117"/>
      <c r="J135" s="67" t="s">
        <v>3969</v>
      </c>
      <c r="K135" s="67" t="s">
        <v>3990</v>
      </c>
      <c r="L135" s="64">
        <v>3</v>
      </c>
    </row>
    <row r="136" spans="1:12" hidden="1">
      <c r="A136" s="63">
        <v>60002095</v>
      </c>
      <c r="B136" s="115">
        <v>45729</v>
      </c>
      <c r="C136" s="63" t="s">
        <v>73</v>
      </c>
      <c r="D136" s="63" t="s">
        <v>727</v>
      </c>
      <c r="E136" s="116" t="s">
        <v>4054</v>
      </c>
      <c r="F136" s="63">
        <v>1</v>
      </c>
      <c r="G136" s="64">
        <v>1</v>
      </c>
      <c r="H136" s="64" t="s">
        <v>3968</v>
      </c>
      <c r="I136" s="117"/>
      <c r="J136" s="67" t="s">
        <v>3969</v>
      </c>
      <c r="K136" s="67" t="s">
        <v>3990</v>
      </c>
      <c r="L136" s="64">
        <v>3</v>
      </c>
    </row>
    <row r="137" spans="1:12" hidden="1">
      <c r="A137" s="63">
        <v>50110261</v>
      </c>
      <c r="B137" s="115">
        <v>45730</v>
      </c>
      <c r="C137" s="63" t="s">
        <v>225</v>
      </c>
      <c r="D137" s="63" t="s">
        <v>658</v>
      </c>
      <c r="E137" s="116" t="s">
        <v>659</v>
      </c>
      <c r="F137" s="63">
        <v>1</v>
      </c>
      <c r="G137" s="64">
        <v>1</v>
      </c>
      <c r="H137" s="64" t="s">
        <v>3968</v>
      </c>
      <c r="I137" s="117"/>
      <c r="J137" s="67" t="s">
        <v>3969</v>
      </c>
      <c r="K137" s="67" t="s">
        <v>3990</v>
      </c>
      <c r="L137" s="64">
        <v>3</v>
      </c>
    </row>
    <row r="138" spans="1:12" hidden="1">
      <c r="A138" s="63">
        <v>51000316</v>
      </c>
      <c r="B138" s="115">
        <v>45730</v>
      </c>
      <c r="C138" s="63" t="s">
        <v>103</v>
      </c>
      <c r="D138" s="63" t="s">
        <v>146</v>
      </c>
      <c r="E138" s="116" t="s">
        <v>147</v>
      </c>
      <c r="F138" s="63">
        <v>2</v>
      </c>
      <c r="G138" s="64">
        <v>2</v>
      </c>
      <c r="H138" s="64" t="s">
        <v>3968</v>
      </c>
      <c r="I138" s="117"/>
      <c r="J138" s="67" t="s">
        <v>3969</v>
      </c>
      <c r="K138" s="67" t="s">
        <v>3990</v>
      </c>
      <c r="L138" s="64">
        <v>3</v>
      </c>
    </row>
    <row r="139" spans="1:12" hidden="1">
      <c r="A139" s="63">
        <v>50300141</v>
      </c>
      <c r="B139" s="115">
        <v>45730</v>
      </c>
      <c r="C139" s="63" t="s">
        <v>402</v>
      </c>
      <c r="D139" s="63" t="s">
        <v>624</v>
      </c>
      <c r="E139" s="116" t="s">
        <v>733</v>
      </c>
      <c r="F139" s="63">
        <v>1</v>
      </c>
      <c r="G139" s="64">
        <v>1</v>
      </c>
      <c r="H139" s="64" t="s">
        <v>3968</v>
      </c>
      <c r="I139" s="117"/>
      <c r="J139" s="67" t="s">
        <v>3969</v>
      </c>
      <c r="K139" s="67" t="s">
        <v>3990</v>
      </c>
      <c r="L139" s="64">
        <v>3</v>
      </c>
    </row>
    <row r="140" spans="1:12" hidden="1">
      <c r="A140" s="63">
        <v>44000010</v>
      </c>
      <c r="B140" s="115">
        <v>45730</v>
      </c>
      <c r="C140" s="63" t="s">
        <v>334</v>
      </c>
      <c r="D140" s="63" t="s">
        <v>736</v>
      </c>
      <c r="E140" s="116" t="s">
        <v>1310</v>
      </c>
      <c r="F140" s="63">
        <v>1</v>
      </c>
      <c r="G140" s="64">
        <v>1</v>
      </c>
      <c r="H140" s="64" t="s">
        <v>3968</v>
      </c>
      <c r="I140" s="117"/>
      <c r="J140" s="67" t="s">
        <v>3969</v>
      </c>
      <c r="K140" s="67" t="s">
        <v>3990</v>
      </c>
      <c r="L140" s="64">
        <v>3</v>
      </c>
    </row>
    <row r="141" spans="1:12" hidden="1">
      <c r="A141" s="63">
        <v>51000136</v>
      </c>
      <c r="B141" s="115">
        <v>45730</v>
      </c>
      <c r="C141" s="63" t="s">
        <v>103</v>
      </c>
      <c r="D141" s="63" t="s">
        <v>743</v>
      </c>
      <c r="E141" s="116" t="s">
        <v>744</v>
      </c>
      <c r="F141" s="63">
        <v>1</v>
      </c>
      <c r="G141" s="64">
        <v>1</v>
      </c>
      <c r="H141" s="64" t="s">
        <v>3968</v>
      </c>
      <c r="I141" s="117"/>
      <c r="J141" s="67" t="s">
        <v>3969</v>
      </c>
      <c r="K141" s="67" t="s">
        <v>3990</v>
      </c>
      <c r="L141" s="64">
        <v>3</v>
      </c>
    </row>
    <row r="142" spans="1:12" hidden="1">
      <c r="A142" s="63">
        <v>48000482</v>
      </c>
      <c r="B142" s="115">
        <v>45730</v>
      </c>
      <c r="C142" s="63" t="s">
        <v>152</v>
      </c>
      <c r="D142" s="63" t="s">
        <v>130</v>
      </c>
      <c r="E142" s="116" t="s">
        <v>4055</v>
      </c>
      <c r="F142" s="63">
        <v>2</v>
      </c>
      <c r="G142" s="64">
        <v>2</v>
      </c>
      <c r="H142" s="64" t="s">
        <v>3968</v>
      </c>
      <c r="I142" s="117"/>
      <c r="J142" s="67" t="s">
        <v>3969</v>
      </c>
      <c r="K142" s="67" t="s">
        <v>3990</v>
      </c>
      <c r="L142" s="64">
        <v>3</v>
      </c>
    </row>
    <row r="143" spans="1:12" hidden="1">
      <c r="A143" s="63" t="s">
        <v>749</v>
      </c>
      <c r="B143" s="115">
        <v>45730</v>
      </c>
      <c r="C143" s="63" t="s">
        <v>202</v>
      </c>
      <c r="D143" s="63" t="s">
        <v>750</v>
      </c>
      <c r="E143" s="116" t="s">
        <v>751</v>
      </c>
      <c r="F143" s="63">
        <v>1</v>
      </c>
      <c r="G143" s="64">
        <v>1</v>
      </c>
      <c r="H143" s="64" t="s">
        <v>3968</v>
      </c>
      <c r="I143" s="117"/>
      <c r="J143" s="67" t="s">
        <v>3969</v>
      </c>
      <c r="K143" s="67" t="s">
        <v>3990</v>
      </c>
      <c r="L143" s="64">
        <v>3</v>
      </c>
    </row>
    <row r="144" spans="1:12" hidden="1">
      <c r="A144" s="63">
        <v>50110261</v>
      </c>
      <c r="B144" s="115">
        <v>45733</v>
      </c>
      <c r="C144" s="63" t="s">
        <v>225</v>
      </c>
      <c r="D144" s="63" t="s">
        <v>35</v>
      </c>
      <c r="E144" s="116" t="s">
        <v>662</v>
      </c>
      <c r="F144" s="63">
        <v>1</v>
      </c>
      <c r="G144" s="64">
        <v>1</v>
      </c>
      <c r="H144" s="64" t="s">
        <v>3968</v>
      </c>
      <c r="I144" s="117"/>
      <c r="J144" s="67" t="s">
        <v>3969</v>
      </c>
      <c r="K144" s="67" t="s">
        <v>3990</v>
      </c>
      <c r="L144" s="64">
        <v>3</v>
      </c>
    </row>
    <row r="145" spans="1:12" hidden="1">
      <c r="A145" s="63">
        <v>50110261</v>
      </c>
      <c r="B145" s="115">
        <v>45733</v>
      </c>
      <c r="C145" s="63" t="s">
        <v>225</v>
      </c>
      <c r="D145" s="63" t="s">
        <v>663</v>
      </c>
      <c r="E145" s="116" t="s">
        <v>664</v>
      </c>
      <c r="F145" s="63">
        <v>1</v>
      </c>
      <c r="G145" s="64">
        <v>1</v>
      </c>
      <c r="H145" s="64" t="s">
        <v>3968</v>
      </c>
      <c r="I145" s="117"/>
      <c r="J145" s="67" t="s">
        <v>3969</v>
      </c>
      <c r="K145" s="67" t="s">
        <v>3990</v>
      </c>
      <c r="L145" s="64">
        <v>3</v>
      </c>
    </row>
    <row r="146" spans="1:12" hidden="1">
      <c r="A146" s="63">
        <v>50110261</v>
      </c>
      <c r="B146" s="115">
        <v>45733</v>
      </c>
      <c r="C146" s="63" t="s">
        <v>225</v>
      </c>
      <c r="D146" s="63" t="s">
        <v>136</v>
      </c>
      <c r="E146" s="116" t="s">
        <v>665</v>
      </c>
      <c r="F146" s="63">
        <v>1</v>
      </c>
      <c r="G146" s="64">
        <v>1</v>
      </c>
      <c r="H146" s="64" t="s">
        <v>3968</v>
      </c>
      <c r="I146" s="117"/>
      <c r="J146" s="67" t="s">
        <v>3969</v>
      </c>
      <c r="K146" s="67" t="s">
        <v>3990</v>
      </c>
      <c r="L146" s="64">
        <v>3</v>
      </c>
    </row>
    <row r="147" spans="1:12" hidden="1">
      <c r="A147" s="63">
        <v>50110261</v>
      </c>
      <c r="B147" s="115">
        <v>45733</v>
      </c>
      <c r="C147" s="63" t="s">
        <v>225</v>
      </c>
      <c r="D147" s="63" t="s">
        <v>134</v>
      </c>
      <c r="E147" s="116" t="s">
        <v>665</v>
      </c>
      <c r="F147" s="63">
        <v>1</v>
      </c>
      <c r="G147" s="64">
        <v>1</v>
      </c>
      <c r="H147" s="64" t="s">
        <v>3968</v>
      </c>
      <c r="I147" s="117"/>
      <c r="J147" s="67" t="s">
        <v>3969</v>
      </c>
      <c r="K147" s="67" t="s">
        <v>3990</v>
      </c>
      <c r="L147" s="64">
        <v>3</v>
      </c>
    </row>
    <row r="148" spans="1:12" hidden="1">
      <c r="A148" s="63">
        <v>50110372</v>
      </c>
      <c r="B148" s="115">
        <v>45733</v>
      </c>
      <c r="C148" s="63" t="s">
        <v>73</v>
      </c>
      <c r="D148" s="63" t="s">
        <v>80</v>
      </c>
      <c r="E148" s="116" t="s">
        <v>81</v>
      </c>
      <c r="F148" s="63">
        <v>1</v>
      </c>
      <c r="G148" s="64">
        <v>1</v>
      </c>
      <c r="H148" s="64" t="s">
        <v>3968</v>
      </c>
      <c r="I148" s="117"/>
      <c r="J148" s="67" t="s">
        <v>3969</v>
      </c>
      <c r="K148" s="67" t="s">
        <v>3990</v>
      </c>
      <c r="L148" s="64">
        <v>3</v>
      </c>
    </row>
    <row r="149" spans="1:12" hidden="1">
      <c r="A149" s="63">
        <v>50110372</v>
      </c>
      <c r="B149" s="115">
        <v>45733</v>
      </c>
      <c r="C149" s="63" t="s">
        <v>73</v>
      </c>
      <c r="D149" s="63" t="s">
        <v>136</v>
      </c>
      <c r="E149" s="116" t="s">
        <v>4056</v>
      </c>
      <c r="F149" s="63">
        <v>1</v>
      </c>
      <c r="G149" s="64">
        <v>1</v>
      </c>
      <c r="H149" s="64" t="s">
        <v>3968</v>
      </c>
      <c r="I149" s="117"/>
      <c r="J149" s="67" t="s">
        <v>3969</v>
      </c>
      <c r="K149" s="67" t="s">
        <v>3990</v>
      </c>
      <c r="L149" s="64">
        <v>3</v>
      </c>
    </row>
    <row r="150" spans="1:12" hidden="1">
      <c r="A150" s="63">
        <v>50110372</v>
      </c>
      <c r="B150" s="115">
        <v>45733</v>
      </c>
      <c r="C150" s="63" t="s">
        <v>73</v>
      </c>
      <c r="D150" s="63" t="s">
        <v>134</v>
      </c>
      <c r="E150" s="116" t="s">
        <v>740</v>
      </c>
      <c r="F150" s="63">
        <v>1</v>
      </c>
      <c r="G150" s="64">
        <v>1</v>
      </c>
      <c r="H150" s="64" t="s">
        <v>3968</v>
      </c>
      <c r="I150" s="117"/>
      <c r="J150" s="67" t="s">
        <v>3969</v>
      </c>
      <c r="K150" s="67" t="s">
        <v>3990</v>
      </c>
      <c r="L150" s="64">
        <v>3</v>
      </c>
    </row>
    <row r="151" spans="1:12" hidden="1">
      <c r="A151" s="68">
        <v>51000136</v>
      </c>
      <c r="B151" s="120">
        <v>45733</v>
      </c>
      <c r="C151" s="68" t="s">
        <v>103</v>
      </c>
      <c r="D151" s="68" t="s">
        <v>754</v>
      </c>
      <c r="E151" s="121" t="s">
        <v>4057</v>
      </c>
      <c r="F151" s="68">
        <v>1</v>
      </c>
      <c r="G151" s="69">
        <v>1</v>
      </c>
      <c r="H151" s="69" t="s">
        <v>3968</v>
      </c>
      <c r="I151" s="122"/>
      <c r="J151" s="71" t="s">
        <v>3969</v>
      </c>
      <c r="K151" s="71" t="s">
        <v>3990</v>
      </c>
      <c r="L151" s="69">
        <v>3</v>
      </c>
    </row>
    <row r="152" spans="1:12" hidden="1">
      <c r="A152" s="123">
        <v>51000323</v>
      </c>
      <c r="B152" s="124">
        <v>45733</v>
      </c>
      <c r="C152" s="123" t="s">
        <v>103</v>
      </c>
      <c r="D152" s="123" t="s">
        <v>758</v>
      </c>
      <c r="E152" s="125" t="s">
        <v>4058</v>
      </c>
      <c r="F152" s="123">
        <v>1</v>
      </c>
      <c r="G152" s="92">
        <v>0</v>
      </c>
      <c r="H152" s="92" t="s">
        <v>3968</v>
      </c>
      <c r="I152" s="126"/>
      <c r="J152" s="127" t="s">
        <v>3969</v>
      </c>
      <c r="K152" s="127" t="s">
        <v>3990</v>
      </c>
      <c r="L152" s="92">
        <v>3</v>
      </c>
    </row>
    <row r="153" spans="1:12" hidden="1">
      <c r="A153" s="123">
        <v>51000323</v>
      </c>
      <c r="B153" s="124">
        <v>45733</v>
      </c>
      <c r="C153" s="123" t="s">
        <v>103</v>
      </c>
      <c r="D153" s="123" t="s">
        <v>762</v>
      </c>
      <c r="E153" s="125" t="s">
        <v>4059</v>
      </c>
      <c r="F153" s="123">
        <v>1</v>
      </c>
      <c r="G153" s="92">
        <v>0</v>
      </c>
      <c r="H153" s="92" t="s">
        <v>3968</v>
      </c>
      <c r="I153" s="126"/>
      <c r="J153" s="127" t="s">
        <v>3969</v>
      </c>
      <c r="K153" s="127" t="s">
        <v>3990</v>
      </c>
      <c r="L153" s="92">
        <v>3</v>
      </c>
    </row>
    <row r="154" spans="1:12" hidden="1">
      <c r="A154" s="133">
        <v>50000530</v>
      </c>
      <c r="B154" s="134">
        <v>45733</v>
      </c>
      <c r="C154" s="133" t="s">
        <v>79</v>
      </c>
      <c r="D154" s="133" t="s">
        <v>766</v>
      </c>
      <c r="E154" s="135" t="s">
        <v>4060</v>
      </c>
      <c r="F154" s="133">
        <v>2</v>
      </c>
      <c r="G154" s="94">
        <v>2</v>
      </c>
      <c r="H154" s="94" t="s">
        <v>3968</v>
      </c>
      <c r="I154" s="136"/>
      <c r="J154" s="137" t="s">
        <v>3969</v>
      </c>
      <c r="K154" s="137" t="s">
        <v>3990</v>
      </c>
      <c r="L154" s="94">
        <v>3</v>
      </c>
    </row>
    <row r="155" spans="1:12" hidden="1">
      <c r="A155" s="123">
        <v>60002095</v>
      </c>
      <c r="B155" s="124">
        <v>45733</v>
      </c>
      <c r="C155" s="123" t="s">
        <v>73</v>
      </c>
      <c r="D155" s="123" t="s">
        <v>771</v>
      </c>
      <c r="E155" s="125" t="s">
        <v>772</v>
      </c>
      <c r="F155" s="123">
        <v>1</v>
      </c>
      <c r="G155" s="92">
        <v>0</v>
      </c>
      <c r="H155" s="92" t="s">
        <v>3971</v>
      </c>
      <c r="I155" s="126"/>
      <c r="J155" s="127" t="s">
        <v>3969</v>
      </c>
      <c r="K155" s="127" t="s">
        <v>3990</v>
      </c>
      <c r="L155" s="92">
        <v>3</v>
      </c>
    </row>
    <row r="156" spans="1:12" hidden="1">
      <c r="A156" s="123">
        <v>48000432</v>
      </c>
      <c r="B156" s="124">
        <v>45735</v>
      </c>
      <c r="C156" s="123" t="s">
        <v>63</v>
      </c>
      <c r="D156" s="123" t="s">
        <v>776</v>
      </c>
      <c r="E156" s="125" t="s">
        <v>777</v>
      </c>
      <c r="F156" s="123">
        <v>1</v>
      </c>
      <c r="G156" s="92">
        <v>0</v>
      </c>
      <c r="H156" s="92" t="s">
        <v>3968</v>
      </c>
      <c r="I156" s="126"/>
      <c r="J156" s="127" t="s">
        <v>3969</v>
      </c>
      <c r="K156" s="127" t="s">
        <v>3990</v>
      </c>
      <c r="L156" s="92">
        <v>3</v>
      </c>
    </row>
    <row r="157" spans="1:12" hidden="1">
      <c r="A157" s="128">
        <v>50300129</v>
      </c>
      <c r="B157" s="129">
        <v>45735</v>
      </c>
      <c r="C157" s="128" t="s">
        <v>780</v>
      </c>
      <c r="D157" s="128" t="s">
        <v>511</v>
      </c>
      <c r="E157" s="130" t="s">
        <v>781</v>
      </c>
      <c r="F157" s="128">
        <v>1</v>
      </c>
      <c r="G157" s="93">
        <v>1</v>
      </c>
      <c r="H157" s="93" t="s">
        <v>3968</v>
      </c>
      <c r="I157" s="131"/>
      <c r="J157" s="132" t="s">
        <v>3969</v>
      </c>
      <c r="K157" s="132" t="s">
        <v>3990</v>
      </c>
      <c r="L157" s="93">
        <v>3</v>
      </c>
    </row>
    <row r="158" spans="1:12" hidden="1">
      <c r="A158" s="63">
        <v>51000323</v>
      </c>
      <c r="B158" s="115">
        <v>45735</v>
      </c>
      <c r="C158" s="63" t="s">
        <v>103</v>
      </c>
      <c r="D158" s="63" t="s">
        <v>785</v>
      </c>
      <c r="E158" s="116" t="s">
        <v>786</v>
      </c>
      <c r="F158" s="63">
        <v>1</v>
      </c>
      <c r="G158" s="64">
        <v>1</v>
      </c>
      <c r="H158" s="64" t="s">
        <v>3968</v>
      </c>
      <c r="I158" s="117"/>
      <c r="J158" s="67" t="s">
        <v>3969</v>
      </c>
      <c r="K158" s="67" t="s">
        <v>3990</v>
      </c>
      <c r="L158" s="64">
        <v>3</v>
      </c>
    </row>
    <row r="159" spans="1:12" hidden="1">
      <c r="A159" s="68">
        <v>48000044</v>
      </c>
      <c r="B159" s="120">
        <v>45735</v>
      </c>
      <c r="C159" s="68" t="s">
        <v>118</v>
      </c>
      <c r="D159" s="68" t="s">
        <v>789</v>
      </c>
      <c r="E159" s="121" t="s">
        <v>790</v>
      </c>
      <c r="F159" s="68">
        <v>1</v>
      </c>
      <c r="G159" s="69">
        <v>1</v>
      </c>
      <c r="H159" s="69" t="s">
        <v>3968</v>
      </c>
      <c r="I159" s="122"/>
      <c r="J159" s="71" t="s">
        <v>3969</v>
      </c>
      <c r="K159" s="71" t="s">
        <v>3990</v>
      </c>
      <c r="L159" s="69">
        <v>3</v>
      </c>
    </row>
    <row r="160" spans="1:12" hidden="1">
      <c r="A160" s="123">
        <v>50000260</v>
      </c>
      <c r="B160" s="124">
        <v>45736</v>
      </c>
      <c r="C160" s="123" t="s">
        <v>85</v>
      </c>
      <c r="D160" s="123" t="s">
        <v>803</v>
      </c>
      <c r="E160" s="125" t="s">
        <v>804</v>
      </c>
      <c r="F160" s="123">
        <v>1</v>
      </c>
      <c r="G160" s="92">
        <v>0</v>
      </c>
      <c r="H160" s="92" t="s">
        <v>3971</v>
      </c>
      <c r="I160" s="126"/>
      <c r="J160" s="127" t="s">
        <v>3969</v>
      </c>
      <c r="K160" s="127" t="s">
        <v>3990</v>
      </c>
      <c r="L160" s="92">
        <v>3</v>
      </c>
    </row>
    <row r="161" spans="1:12" hidden="1">
      <c r="A161" s="128">
        <v>50110229</v>
      </c>
      <c r="B161" s="129">
        <v>45736</v>
      </c>
      <c r="C161" s="128" t="s">
        <v>109</v>
      </c>
      <c r="D161" s="128" t="s">
        <v>4022</v>
      </c>
      <c r="E161" s="130" t="s">
        <v>76</v>
      </c>
      <c r="F161" s="128">
        <v>1</v>
      </c>
      <c r="G161" s="93">
        <v>1</v>
      </c>
      <c r="H161" s="93" t="s">
        <v>3971</v>
      </c>
      <c r="I161" s="131"/>
      <c r="J161" s="132" t="s">
        <v>3969</v>
      </c>
      <c r="K161" s="132" t="s">
        <v>3990</v>
      </c>
      <c r="L161" s="93">
        <v>3</v>
      </c>
    </row>
    <row r="162" spans="1:12" hidden="1">
      <c r="A162" s="68">
        <v>50110372</v>
      </c>
      <c r="B162" s="120">
        <v>45737</v>
      </c>
      <c r="C162" s="68" t="s">
        <v>73</v>
      </c>
      <c r="D162" s="68" t="s">
        <v>811</v>
      </c>
      <c r="E162" s="121" t="s">
        <v>159</v>
      </c>
      <c r="F162" s="68">
        <v>1</v>
      </c>
      <c r="G162" s="69">
        <v>1</v>
      </c>
      <c r="H162" s="69" t="s">
        <v>3968</v>
      </c>
      <c r="I162" s="122"/>
      <c r="J162" s="71" t="s">
        <v>3969</v>
      </c>
      <c r="K162" s="71" t="s">
        <v>3990</v>
      </c>
      <c r="L162" s="69">
        <v>3</v>
      </c>
    </row>
    <row r="163" spans="1:12" hidden="1">
      <c r="A163" s="123">
        <v>50110372</v>
      </c>
      <c r="B163" s="124">
        <v>45737</v>
      </c>
      <c r="C163" s="123" t="s">
        <v>73</v>
      </c>
      <c r="D163" s="123" t="s">
        <v>813</v>
      </c>
      <c r="E163" s="125" t="s">
        <v>814</v>
      </c>
      <c r="F163" s="123">
        <v>1</v>
      </c>
      <c r="G163" s="92">
        <v>0</v>
      </c>
      <c r="H163" s="92" t="s">
        <v>3968</v>
      </c>
      <c r="I163" s="126"/>
      <c r="J163" s="127" t="s">
        <v>3969</v>
      </c>
      <c r="K163" s="127" t="s">
        <v>3990</v>
      </c>
      <c r="L163" s="92">
        <v>3</v>
      </c>
    </row>
    <row r="164" spans="1:12" hidden="1">
      <c r="A164" s="128">
        <v>50110372</v>
      </c>
      <c r="B164" s="129">
        <v>45737</v>
      </c>
      <c r="C164" s="128" t="s">
        <v>73</v>
      </c>
      <c r="D164" s="128" t="s">
        <v>619</v>
      </c>
      <c r="E164" s="130" t="s">
        <v>812</v>
      </c>
      <c r="F164" s="128">
        <v>1</v>
      </c>
      <c r="G164" s="93">
        <v>1</v>
      </c>
      <c r="H164" s="93" t="s">
        <v>3968</v>
      </c>
      <c r="I164" s="131"/>
      <c r="J164" s="132" t="s">
        <v>3969</v>
      </c>
      <c r="K164" s="132" t="s">
        <v>3990</v>
      </c>
      <c r="L164" s="93">
        <v>3</v>
      </c>
    </row>
    <row r="165" spans="1:12" hidden="1">
      <c r="A165" s="63">
        <v>60002072</v>
      </c>
      <c r="B165" s="115">
        <v>45740</v>
      </c>
      <c r="C165" s="63" t="s">
        <v>202</v>
      </c>
      <c r="D165" s="63" t="s">
        <v>114</v>
      </c>
      <c r="E165" s="116" t="s">
        <v>817</v>
      </c>
      <c r="F165" s="63">
        <v>1</v>
      </c>
      <c r="G165" s="64">
        <v>1</v>
      </c>
      <c r="H165" s="64" t="s">
        <v>3968</v>
      </c>
      <c r="I165" s="117"/>
      <c r="J165" s="67" t="s">
        <v>3969</v>
      </c>
      <c r="K165" s="67" t="s">
        <v>3990</v>
      </c>
      <c r="L165" s="64">
        <v>3</v>
      </c>
    </row>
    <row r="166" spans="1:12" hidden="1">
      <c r="A166" s="63">
        <v>50300097</v>
      </c>
      <c r="B166" s="115">
        <v>45741</v>
      </c>
      <c r="C166" s="63" t="s">
        <v>445</v>
      </c>
      <c r="D166" s="63" t="s">
        <v>114</v>
      </c>
      <c r="E166" s="116" t="s">
        <v>817</v>
      </c>
      <c r="F166" s="63">
        <v>1</v>
      </c>
      <c r="G166" s="64">
        <v>1</v>
      </c>
      <c r="H166" s="64" t="s">
        <v>3968</v>
      </c>
      <c r="I166" s="117"/>
      <c r="J166" s="67" t="s">
        <v>3969</v>
      </c>
      <c r="K166" s="67" t="s">
        <v>3990</v>
      </c>
      <c r="L166" s="64">
        <v>3</v>
      </c>
    </row>
    <row r="167" spans="1:12" hidden="1">
      <c r="A167" s="68">
        <v>50300097</v>
      </c>
      <c r="B167" s="120">
        <v>45741</v>
      </c>
      <c r="C167" s="68" t="s">
        <v>445</v>
      </c>
      <c r="D167" s="68" t="s">
        <v>820</v>
      </c>
      <c r="E167" s="121" t="s">
        <v>821</v>
      </c>
      <c r="F167" s="68">
        <v>1</v>
      </c>
      <c r="G167" s="69">
        <v>1</v>
      </c>
      <c r="H167" s="69" t="s">
        <v>3968</v>
      </c>
      <c r="I167" s="122"/>
      <c r="J167" s="71" t="s">
        <v>3969</v>
      </c>
      <c r="K167" s="71" t="s">
        <v>3990</v>
      </c>
      <c r="L167" s="69">
        <v>3</v>
      </c>
    </row>
    <row r="168" spans="1:12" hidden="1">
      <c r="A168" s="123">
        <v>50300129</v>
      </c>
      <c r="B168" s="124">
        <v>45741</v>
      </c>
      <c r="C168" s="123" t="s">
        <v>780</v>
      </c>
      <c r="D168" s="123" t="s">
        <v>824</v>
      </c>
      <c r="E168" s="125" t="s">
        <v>825</v>
      </c>
      <c r="F168" s="123">
        <v>1</v>
      </c>
      <c r="G168" s="92">
        <v>0</v>
      </c>
      <c r="H168" s="92" t="s">
        <v>3968</v>
      </c>
      <c r="I168" s="126"/>
      <c r="J168" s="127" t="s">
        <v>3969</v>
      </c>
      <c r="K168" s="127" t="s">
        <v>3990</v>
      </c>
      <c r="L168" s="92">
        <v>3</v>
      </c>
    </row>
    <row r="169" spans="1:12" hidden="1">
      <c r="A169" s="123">
        <v>50110229</v>
      </c>
      <c r="B169" s="124">
        <v>45741</v>
      </c>
      <c r="C169" s="123" t="s">
        <v>109</v>
      </c>
      <c r="D169" s="123" t="s">
        <v>829</v>
      </c>
      <c r="E169" s="125" t="s">
        <v>830</v>
      </c>
      <c r="F169" s="123">
        <v>1</v>
      </c>
      <c r="G169" s="92">
        <v>0</v>
      </c>
      <c r="H169" s="92" t="s">
        <v>3971</v>
      </c>
      <c r="I169" s="126"/>
      <c r="J169" s="127" t="s">
        <v>3969</v>
      </c>
      <c r="K169" s="127" t="s">
        <v>3990</v>
      </c>
      <c r="L169" s="92">
        <v>3</v>
      </c>
    </row>
    <row r="170" spans="1:12" hidden="1">
      <c r="A170" s="133">
        <v>50110057</v>
      </c>
      <c r="B170" s="134">
        <v>45743</v>
      </c>
      <c r="C170" s="133" t="s">
        <v>181</v>
      </c>
      <c r="D170" s="133" t="s">
        <v>273</v>
      </c>
      <c r="E170" s="135" t="s">
        <v>4061</v>
      </c>
      <c r="F170" s="133">
        <v>1</v>
      </c>
      <c r="G170" s="94">
        <v>1</v>
      </c>
      <c r="H170" s="94" t="s">
        <v>3968</v>
      </c>
      <c r="I170" s="136"/>
      <c r="J170" s="137" t="s">
        <v>3969</v>
      </c>
      <c r="K170" s="137" t="s">
        <v>3990</v>
      </c>
      <c r="L170" s="94">
        <v>3</v>
      </c>
    </row>
    <row r="171" spans="1:12" hidden="1">
      <c r="A171" s="63">
        <v>50110057</v>
      </c>
      <c r="B171" s="115">
        <v>45749</v>
      </c>
      <c r="C171" s="63" t="s">
        <v>181</v>
      </c>
      <c r="D171" s="138" t="s">
        <v>849</v>
      </c>
      <c r="E171" s="116" t="s">
        <v>4062</v>
      </c>
      <c r="F171" s="63">
        <v>1</v>
      </c>
      <c r="G171" s="64">
        <v>1</v>
      </c>
      <c r="H171" s="64" t="s">
        <v>3968</v>
      </c>
      <c r="I171" s="117">
        <v>45748</v>
      </c>
      <c r="J171" s="67" t="s">
        <v>3969</v>
      </c>
      <c r="K171" s="71" t="s">
        <v>3990</v>
      </c>
      <c r="L171" s="100">
        <v>4</v>
      </c>
    </row>
    <row r="172" spans="1:12" hidden="1">
      <c r="A172" s="63">
        <v>50110057</v>
      </c>
      <c r="B172" s="115">
        <v>45749</v>
      </c>
      <c r="C172" s="63" t="s">
        <v>181</v>
      </c>
      <c r="D172" s="138" t="s">
        <v>850</v>
      </c>
      <c r="E172" s="116" t="s">
        <v>851</v>
      </c>
      <c r="F172" s="63">
        <v>1</v>
      </c>
      <c r="G172" s="64">
        <v>1</v>
      </c>
      <c r="H172" s="64" t="s">
        <v>3968</v>
      </c>
      <c r="I172" s="117">
        <v>45748</v>
      </c>
      <c r="J172" s="67" t="s">
        <v>3969</v>
      </c>
      <c r="K172" s="71" t="s">
        <v>3990</v>
      </c>
      <c r="L172" s="100">
        <v>4</v>
      </c>
    </row>
    <row r="173" spans="1:12" hidden="1">
      <c r="A173" s="63">
        <v>48300301</v>
      </c>
      <c r="B173" s="115">
        <v>45749</v>
      </c>
      <c r="C173" s="63" t="s">
        <v>63</v>
      </c>
      <c r="D173" s="138" t="s">
        <v>854</v>
      </c>
      <c r="E173" s="116" t="s">
        <v>4063</v>
      </c>
      <c r="F173" s="63">
        <v>1</v>
      </c>
      <c r="G173" s="64">
        <v>1</v>
      </c>
      <c r="H173" s="64" t="s">
        <v>3968</v>
      </c>
      <c r="I173" s="117">
        <v>45748</v>
      </c>
      <c r="J173" s="67" t="s">
        <v>3969</v>
      </c>
      <c r="K173" s="71" t="s">
        <v>3990</v>
      </c>
      <c r="L173" s="100">
        <v>4</v>
      </c>
    </row>
    <row r="174" spans="1:12" hidden="1">
      <c r="A174" s="63">
        <v>48300301</v>
      </c>
      <c r="B174" s="115">
        <v>45749</v>
      </c>
      <c r="C174" s="63" t="s">
        <v>63</v>
      </c>
      <c r="D174" s="138" t="s">
        <v>856</v>
      </c>
      <c r="E174" s="116" t="s">
        <v>4064</v>
      </c>
      <c r="F174" s="63">
        <v>1</v>
      </c>
      <c r="G174" s="64">
        <v>1</v>
      </c>
      <c r="H174" s="64" t="s">
        <v>3968</v>
      </c>
      <c r="I174" s="117">
        <v>45748</v>
      </c>
      <c r="J174" s="67" t="s">
        <v>3969</v>
      </c>
      <c r="K174" s="71" t="s">
        <v>3990</v>
      </c>
      <c r="L174" s="100">
        <v>4</v>
      </c>
    </row>
    <row r="175" spans="1:12" hidden="1">
      <c r="A175" s="63">
        <v>48000432</v>
      </c>
      <c r="B175" s="115">
        <v>45749</v>
      </c>
      <c r="C175" s="63" t="s">
        <v>63</v>
      </c>
      <c r="D175" s="138" t="s">
        <v>856</v>
      </c>
      <c r="E175" s="116" t="s">
        <v>4064</v>
      </c>
      <c r="F175" s="63">
        <v>1</v>
      </c>
      <c r="G175" s="64">
        <v>1</v>
      </c>
      <c r="H175" s="64" t="s">
        <v>3968</v>
      </c>
      <c r="I175" s="117">
        <v>45748</v>
      </c>
      <c r="J175" s="67" t="s">
        <v>3969</v>
      </c>
      <c r="K175" s="71" t="s">
        <v>3990</v>
      </c>
      <c r="L175" s="100">
        <v>4</v>
      </c>
    </row>
    <row r="176" spans="1:12" hidden="1">
      <c r="A176" s="63">
        <v>50000260</v>
      </c>
      <c r="B176" s="115">
        <v>45749</v>
      </c>
      <c r="C176" s="63" t="s">
        <v>85</v>
      </c>
      <c r="D176" s="138" t="s">
        <v>875</v>
      </c>
      <c r="E176" s="116" t="s">
        <v>876</v>
      </c>
      <c r="F176" s="63">
        <v>3</v>
      </c>
      <c r="G176" s="64">
        <v>3</v>
      </c>
      <c r="H176" s="64" t="s">
        <v>3968</v>
      </c>
      <c r="I176" s="117"/>
      <c r="J176" s="67" t="s">
        <v>3969</v>
      </c>
      <c r="K176" s="71" t="s">
        <v>3990</v>
      </c>
      <c r="L176" s="100">
        <v>4</v>
      </c>
    </row>
    <row r="177" spans="1:12" hidden="1">
      <c r="A177" s="63">
        <v>50000260</v>
      </c>
      <c r="B177" s="115">
        <v>45749</v>
      </c>
      <c r="C177" s="63" t="s">
        <v>85</v>
      </c>
      <c r="D177" s="138" t="s">
        <v>354</v>
      </c>
      <c r="E177" s="116" t="s">
        <v>878</v>
      </c>
      <c r="F177" s="63">
        <v>1</v>
      </c>
      <c r="G177" s="64">
        <v>1</v>
      </c>
      <c r="H177" s="64" t="s">
        <v>3968</v>
      </c>
      <c r="I177" s="117"/>
      <c r="J177" s="67" t="s">
        <v>3969</v>
      </c>
      <c r="K177" s="71" t="s">
        <v>3990</v>
      </c>
      <c r="L177" s="100">
        <v>4</v>
      </c>
    </row>
    <row r="178" spans="1:12" hidden="1">
      <c r="A178" s="63">
        <v>50000260</v>
      </c>
      <c r="B178" s="115">
        <v>45749</v>
      </c>
      <c r="C178" s="63" t="s">
        <v>85</v>
      </c>
      <c r="D178" s="138" t="s">
        <v>879</v>
      </c>
      <c r="E178" s="116" t="s">
        <v>880</v>
      </c>
      <c r="F178" s="63">
        <v>1</v>
      </c>
      <c r="G178" s="64">
        <v>1</v>
      </c>
      <c r="H178" s="64" t="s">
        <v>3968</v>
      </c>
      <c r="I178" s="117"/>
      <c r="J178" s="67" t="s">
        <v>3969</v>
      </c>
      <c r="K178" s="71" t="s">
        <v>3990</v>
      </c>
      <c r="L178" s="100">
        <v>4</v>
      </c>
    </row>
    <row r="179" spans="1:12" hidden="1">
      <c r="A179" s="63">
        <v>50000260</v>
      </c>
      <c r="B179" s="115">
        <v>45749</v>
      </c>
      <c r="C179" s="63" t="s">
        <v>85</v>
      </c>
      <c r="D179" s="138" t="s">
        <v>881</v>
      </c>
      <c r="E179" s="116" t="s">
        <v>882</v>
      </c>
      <c r="F179" s="63">
        <v>1</v>
      </c>
      <c r="G179" s="64">
        <v>1</v>
      </c>
      <c r="H179" s="64" t="s">
        <v>3968</v>
      </c>
      <c r="I179" s="117">
        <v>45748</v>
      </c>
      <c r="J179" s="67" t="s">
        <v>3969</v>
      </c>
      <c r="K179" s="71" t="s">
        <v>3990</v>
      </c>
      <c r="L179" s="100">
        <v>4</v>
      </c>
    </row>
    <row r="180" spans="1:12" hidden="1">
      <c r="A180" s="63">
        <v>50000260</v>
      </c>
      <c r="B180" s="115">
        <v>45749</v>
      </c>
      <c r="C180" s="63" t="s">
        <v>85</v>
      </c>
      <c r="D180" s="138" t="s">
        <v>883</v>
      </c>
      <c r="E180" s="116" t="s">
        <v>884</v>
      </c>
      <c r="F180" s="63">
        <v>1</v>
      </c>
      <c r="G180" s="64">
        <v>1</v>
      </c>
      <c r="H180" s="64" t="s">
        <v>3968</v>
      </c>
      <c r="I180" s="117"/>
      <c r="J180" s="67" t="s">
        <v>3969</v>
      </c>
      <c r="K180" s="71" t="s">
        <v>3990</v>
      </c>
      <c r="L180" s="100">
        <v>4</v>
      </c>
    </row>
    <row r="181" spans="1:12" hidden="1">
      <c r="A181" s="63">
        <v>50000260</v>
      </c>
      <c r="B181" s="115">
        <v>45749</v>
      </c>
      <c r="C181" s="63" t="s">
        <v>85</v>
      </c>
      <c r="D181" s="138" t="s">
        <v>885</v>
      </c>
      <c r="E181" s="116" t="s">
        <v>4065</v>
      </c>
      <c r="F181" s="63">
        <v>1</v>
      </c>
      <c r="G181" s="64">
        <v>1</v>
      </c>
      <c r="H181" s="64" t="s">
        <v>3968</v>
      </c>
      <c r="I181" s="117">
        <v>45749</v>
      </c>
      <c r="J181" s="67" t="s">
        <v>3969</v>
      </c>
      <c r="K181" s="71" t="s">
        <v>3990</v>
      </c>
      <c r="L181" s="100">
        <v>4</v>
      </c>
    </row>
    <row r="182" spans="1:12" hidden="1">
      <c r="A182" s="63">
        <v>50000260</v>
      </c>
      <c r="B182" s="115">
        <v>45749</v>
      </c>
      <c r="C182" s="63" t="s">
        <v>85</v>
      </c>
      <c r="D182" s="138" t="s">
        <v>887</v>
      </c>
      <c r="E182" s="116" t="s">
        <v>888</v>
      </c>
      <c r="F182" s="63">
        <v>3</v>
      </c>
      <c r="G182" s="64">
        <v>3</v>
      </c>
      <c r="H182" s="64" t="s">
        <v>3968</v>
      </c>
      <c r="I182" s="117"/>
      <c r="J182" s="67" t="s">
        <v>3969</v>
      </c>
      <c r="K182" s="71" t="s">
        <v>3990</v>
      </c>
      <c r="L182" s="100">
        <v>4</v>
      </c>
    </row>
    <row r="183" spans="1:12" hidden="1">
      <c r="A183" s="63">
        <v>50000260</v>
      </c>
      <c r="B183" s="115">
        <v>45749</v>
      </c>
      <c r="C183" s="63" t="s">
        <v>85</v>
      </c>
      <c r="D183" s="138" t="s">
        <v>672</v>
      </c>
      <c r="E183" s="116" t="s">
        <v>891</v>
      </c>
      <c r="F183" s="63">
        <v>1</v>
      </c>
      <c r="G183" s="64">
        <v>1</v>
      </c>
      <c r="H183" s="64" t="s">
        <v>3968</v>
      </c>
      <c r="I183" s="117"/>
      <c r="J183" s="67" t="s">
        <v>3969</v>
      </c>
      <c r="K183" s="71" t="s">
        <v>3990</v>
      </c>
      <c r="L183" s="100">
        <v>4</v>
      </c>
    </row>
    <row r="184" spans="1:12" hidden="1">
      <c r="A184" s="63">
        <v>48500271</v>
      </c>
      <c r="B184" s="115">
        <v>45750</v>
      </c>
      <c r="C184" s="63" t="s">
        <v>898</v>
      </c>
      <c r="D184" s="138" t="s">
        <v>900</v>
      </c>
      <c r="E184" s="116" t="s">
        <v>4066</v>
      </c>
      <c r="F184" s="63">
        <v>1</v>
      </c>
      <c r="G184" s="64">
        <v>1</v>
      </c>
      <c r="H184" s="64" t="s">
        <v>3968</v>
      </c>
      <c r="I184" s="117">
        <v>45750</v>
      </c>
      <c r="J184" s="67" t="s">
        <v>3969</v>
      </c>
      <c r="K184" s="71" t="s">
        <v>3990</v>
      </c>
      <c r="L184" s="100">
        <v>4</v>
      </c>
    </row>
    <row r="185" spans="1:12" hidden="1">
      <c r="A185" s="63">
        <v>51000136</v>
      </c>
      <c r="B185" s="115">
        <v>45751</v>
      </c>
      <c r="C185" s="63" t="s">
        <v>103</v>
      </c>
      <c r="D185" s="138" t="s">
        <v>146</v>
      </c>
      <c r="E185" s="116" t="s">
        <v>147</v>
      </c>
      <c r="F185" s="63">
        <v>1</v>
      </c>
      <c r="G185" s="64">
        <v>1</v>
      </c>
      <c r="H185" s="64" t="s">
        <v>3968</v>
      </c>
      <c r="I185" s="117">
        <v>45750</v>
      </c>
      <c r="J185" s="67" t="s">
        <v>3969</v>
      </c>
      <c r="K185" s="71" t="s">
        <v>3990</v>
      </c>
      <c r="L185" s="100">
        <v>4</v>
      </c>
    </row>
    <row r="186" spans="1:12" hidden="1">
      <c r="A186" s="63" t="s">
        <v>871</v>
      </c>
      <c r="B186" s="115">
        <v>45751</v>
      </c>
      <c r="C186" s="63" t="s">
        <v>445</v>
      </c>
      <c r="D186" s="138" t="s">
        <v>906</v>
      </c>
      <c r="E186" s="116" t="s">
        <v>907</v>
      </c>
      <c r="F186" s="63">
        <v>1</v>
      </c>
      <c r="G186" s="64">
        <v>1</v>
      </c>
      <c r="H186" s="64" t="s">
        <v>3968</v>
      </c>
      <c r="I186" s="117">
        <v>45750</v>
      </c>
      <c r="J186" s="67" t="s">
        <v>3969</v>
      </c>
      <c r="K186" s="71" t="s">
        <v>3990</v>
      </c>
      <c r="L186" s="100">
        <v>4</v>
      </c>
    </row>
    <row r="187" spans="1:12" hidden="1">
      <c r="A187" s="63">
        <v>51000136</v>
      </c>
      <c r="B187" s="115">
        <v>45751</v>
      </c>
      <c r="C187" s="63" t="s">
        <v>4016</v>
      </c>
      <c r="D187" s="138" t="s">
        <v>727</v>
      </c>
      <c r="E187" s="116" t="s">
        <v>4067</v>
      </c>
      <c r="F187" s="63">
        <v>1</v>
      </c>
      <c r="G187" s="64">
        <v>1</v>
      </c>
      <c r="H187" s="64" t="s">
        <v>3968</v>
      </c>
      <c r="I187" s="117">
        <v>45749</v>
      </c>
      <c r="J187" s="67" t="s">
        <v>3969</v>
      </c>
      <c r="K187" s="71" t="s">
        <v>3990</v>
      </c>
      <c r="L187" s="100">
        <v>4</v>
      </c>
    </row>
    <row r="188" spans="1:12" hidden="1">
      <c r="A188" s="63">
        <v>51000136</v>
      </c>
      <c r="B188" s="115">
        <v>45754</v>
      </c>
      <c r="C188" s="63" t="s">
        <v>916</v>
      </c>
      <c r="D188" s="138" t="s">
        <v>918</v>
      </c>
      <c r="E188" s="116" t="s">
        <v>919</v>
      </c>
      <c r="F188" s="63">
        <v>1</v>
      </c>
      <c r="G188" s="64">
        <v>1</v>
      </c>
      <c r="H188" s="64" t="s">
        <v>3968</v>
      </c>
      <c r="I188" s="117"/>
      <c r="J188" s="67" t="s">
        <v>3969</v>
      </c>
      <c r="K188" s="71" t="s">
        <v>3990</v>
      </c>
      <c r="L188" s="100">
        <v>4</v>
      </c>
    </row>
    <row r="189" spans="1:12" hidden="1">
      <c r="A189" s="63">
        <v>47200115</v>
      </c>
      <c r="B189" s="115">
        <v>45755</v>
      </c>
      <c r="C189" s="63" t="s">
        <v>455</v>
      </c>
      <c r="D189" s="138" t="s">
        <v>326</v>
      </c>
      <c r="E189" s="116" t="s">
        <v>4068</v>
      </c>
      <c r="F189" s="63">
        <v>1</v>
      </c>
      <c r="G189" s="64">
        <v>1</v>
      </c>
      <c r="H189" s="64" t="s">
        <v>3968</v>
      </c>
      <c r="I189" s="117"/>
      <c r="J189" s="67" t="s">
        <v>3969</v>
      </c>
      <c r="K189" s="71" t="s">
        <v>3990</v>
      </c>
      <c r="L189" s="100">
        <v>4</v>
      </c>
    </row>
    <row r="190" spans="1:12" hidden="1">
      <c r="A190" s="63">
        <v>50000202</v>
      </c>
      <c r="B190" s="115">
        <v>45755</v>
      </c>
      <c r="C190" s="63" t="s">
        <v>93</v>
      </c>
      <c r="D190" s="138" t="s">
        <v>924</v>
      </c>
      <c r="E190" s="116" t="s">
        <v>925</v>
      </c>
      <c r="F190" s="63">
        <v>1</v>
      </c>
      <c r="G190" s="64">
        <v>1</v>
      </c>
      <c r="H190" s="64" t="s">
        <v>3968</v>
      </c>
      <c r="I190" s="117">
        <v>45750</v>
      </c>
      <c r="J190" s="67" t="s">
        <v>3969</v>
      </c>
      <c r="K190" s="71" t="s">
        <v>3990</v>
      </c>
      <c r="L190" s="100">
        <v>4</v>
      </c>
    </row>
    <row r="191" spans="1:12" hidden="1">
      <c r="A191" s="63">
        <v>51000136</v>
      </c>
      <c r="B191" s="115">
        <v>45755</v>
      </c>
      <c r="C191" s="63" t="s">
        <v>103</v>
      </c>
      <c r="D191" s="138" t="s">
        <v>932</v>
      </c>
      <c r="E191" s="116" t="s">
        <v>933</v>
      </c>
      <c r="F191" s="63">
        <v>1</v>
      </c>
      <c r="G191" s="64">
        <v>1</v>
      </c>
      <c r="H191" s="64" t="s">
        <v>3968</v>
      </c>
      <c r="I191" s="117">
        <v>45754</v>
      </c>
      <c r="J191" s="67" t="s">
        <v>3969</v>
      </c>
      <c r="K191" s="71" t="s">
        <v>3990</v>
      </c>
      <c r="L191" s="100">
        <v>4</v>
      </c>
    </row>
    <row r="192" spans="1:12" hidden="1">
      <c r="A192" s="63">
        <v>50000530</v>
      </c>
      <c r="B192" s="115">
        <v>45756</v>
      </c>
      <c r="C192" s="63" t="s">
        <v>4069</v>
      </c>
      <c r="D192" s="138" t="s">
        <v>330</v>
      </c>
      <c r="E192" s="116" t="s">
        <v>936</v>
      </c>
      <c r="F192" s="63">
        <v>1</v>
      </c>
      <c r="G192" s="64">
        <v>1</v>
      </c>
      <c r="H192" s="64" t="s">
        <v>3968</v>
      </c>
      <c r="I192" s="117"/>
      <c r="J192" s="67" t="s">
        <v>3969</v>
      </c>
      <c r="K192" s="71" t="s">
        <v>3990</v>
      </c>
      <c r="L192" s="100">
        <v>4</v>
      </c>
    </row>
    <row r="193" spans="1:12" hidden="1">
      <c r="A193" s="63">
        <v>51000136</v>
      </c>
      <c r="B193" s="115">
        <v>45756</v>
      </c>
      <c r="C193" s="63" t="s">
        <v>103</v>
      </c>
      <c r="D193" s="138" t="s">
        <v>939</v>
      </c>
      <c r="E193" s="116" t="s">
        <v>940</v>
      </c>
      <c r="F193" s="63">
        <v>1</v>
      </c>
      <c r="G193" s="64">
        <v>1</v>
      </c>
      <c r="H193" s="64" t="s">
        <v>3968</v>
      </c>
      <c r="I193" s="117"/>
      <c r="J193" s="67" t="s">
        <v>3969</v>
      </c>
      <c r="K193" s="71" t="s">
        <v>3990</v>
      </c>
      <c r="L193" s="100">
        <v>4</v>
      </c>
    </row>
    <row r="194" spans="1:12" hidden="1">
      <c r="A194" s="63">
        <v>44000216</v>
      </c>
      <c r="B194" s="115">
        <v>45756</v>
      </c>
      <c r="C194" s="63" t="s">
        <v>54</v>
      </c>
      <c r="D194" s="138" t="s">
        <v>943</v>
      </c>
      <c r="E194" s="116" t="s">
        <v>944</v>
      </c>
      <c r="F194" s="63">
        <v>1</v>
      </c>
      <c r="G194" s="64">
        <v>1</v>
      </c>
      <c r="H194" s="64" t="s">
        <v>3968</v>
      </c>
      <c r="I194" s="117"/>
      <c r="J194" s="67" t="s">
        <v>3969</v>
      </c>
      <c r="K194" s="71" t="s">
        <v>3990</v>
      </c>
      <c r="L194" s="100">
        <v>4</v>
      </c>
    </row>
    <row r="195" spans="1:12" hidden="1">
      <c r="A195" s="63">
        <v>48300315</v>
      </c>
      <c r="B195" s="115">
        <v>45756</v>
      </c>
      <c r="C195" s="63" t="s">
        <v>54</v>
      </c>
      <c r="D195" s="138" t="s">
        <v>335</v>
      </c>
      <c r="E195" s="116" t="s">
        <v>4070</v>
      </c>
      <c r="F195" s="63">
        <v>1</v>
      </c>
      <c r="G195" s="64">
        <v>1</v>
      </c>
      <c r="H195" s="64" t="s">
        <v>3968</v>
      </c>
      <c r="I195" s="117"/>
      <c r="J195" s="67" t="s">
        <v>3969</v>
      </c>
      <c r="K195" s="71" t="s">
        <v>3990</v>
      </c>
      <c r="L195" s="100">
        <v>4</v>
      </c>
    </row>
    <row r="196" spans="1:12" hidden="1">
      <c r="A196" s="63">
        <v>60002095</v>
      </c>
      <c r="B196" s="115">
        <v>45758</v>
      </c>
      <c r="C196" s="63" t="s">
        <v>73</v>
      </c>
      <c r="D196" s="138" t="s">
        <v>952</v>
      </c>
      <c r="E196" s="116" t="s">
        <v>953</v>
      </c>
      <c r="F196" s="63">
        <v>1</v>
      </c>
      <c r="G196" s="64">
        <v>1</v>
      </c>
      <c r="H196" s="64" t="s">
        <v>3968</v>
      </c>
      <c r="I196" s="117"/>
      <c r="J196" s="67" t="s">
        <v>3969</v>
      </c>
      <c r="K196" s="71" t="s">
        <v>3990</v>
      </c>
      <c r="L196" s="100">
        <v>4</v>
      </c>
    </row>
    <row r="197" spans="1:12" hidden="1">
      <c r="A197" s="63">
        <v>50110193</v>
      </c>
      <c r="B197" s="115">
        <v>45757</v>
      </c>
      <c r="C197" s="63" t="s">
        <v>33</v>
      </c>
      <c r="D197" s="138" t="s">
        <v>158</v>
      </c>
      <c r="E197" s="116" t="s">
        <v>956</v>
      </c>
      <c r="F197" s="63">
        <v>1</v>
      </c>
      <c r="G197" s="64">
        <v>1</v>
      </c>
      <c r="H197" s="64" t="s">
        <v>3968</v>
      </c>
      <c r="I197" s="117"/>
      <c r="J197" s="67" t="s">
        <v>3969</v>
      </c>
      <c r="K197" s="71" t="s">
        <v>3990</v>
      </c>
      <c r="L197" s="100">
        <v>4</v>
      </c>
    </row>
    <row r="198" spans="1:12" hidden="1">
      <c r="A198" s="63">
        <v>50110261</v>
      </c>
      <c r="B198" s="115">
        <v>45756</v>
      </c>
      <c r="C198" s="63" t="s">
        <v>225</v>
      </c>
      <c r="D198" s="138" t="s">
        <v>959</v>
      </c>
      <c r="E198" s="116" t="s">
        <v>960</v>
      </c>
      <c r="F198" s="63">
        <v>1</v>
      </c>
      <c r="G198" s="64">
        <v>1</v>
      </c>
      <c r="H198" s="64" t="s">
        <v>3968</v>
      </c>
      <c r="I198" s="117">
        <v>45782</v>
      </c>
      <c r="J198" s="67" t="s">
        <v>3969</v>
      </c>
      <c r="K198" s="71" t="s">
        <v>3990</v>
      </c>
      <c r="L198" s="100">
        <v>4</v>
      </c>
    </row>
    <row r="199" spans="1:12" hidden="1">
      <c r="A199" s="63">
        <v>51000136</v>
      </c>
      <c r="B199" s="115">
        <v>45757</v>
      </c>
      <c r="C199" s="63" t="s">
        <v>103</v>
      </c>
      <c r="D199" s="138" t="s">
        <v>963</v>
      </c>
      <c r="E199" s="116" t="s">
        <v>964</v>
      </c>
      <c r="F199" s="63">
        <v>1</v>
      </c>
      <c r="G199" s="64">
        <v>1</v>
      </c>
      <c r="H199" s="64" t="s">
        <v>3968</v>
      </c>
      <c r="I199" s="117"/>
      <c r="J199" s="67" t="s">
        <v>3969</v>
      </c>
      <c r="K199" s="71" t="s">
        <v>3990</v>
      </c>
      <c r="L199" s="100">
        <v>4</v>
      </c>
    </row>
    <row r="200" spans="1:12" hidden="1">
      <c r="A200" s="63" t="s">
        <v>871</v>
      </c>
      <c r="B200" s="115">
        <v>45756</v>
      </c>
      <c r="C200" s="63" t="s">
        <v>445</v>
      </c>
      <c r="D200" s="138" t="s">
        <v>158</v>
      </c>
      <c r="E200" s="116" t="s">
        <v>956</v>
      </c>
      <c r="F200" s="63">
        <v>1</v>
      </c>
      <c r="G200" s="64">
        <v>1</v>
      </c>
      <c r="H200" s="64" t="s">
        <v>3968</v>
      </c>
      <c r="I200" s="117"/>
      <c r="J200" s="67" t="s">
        <v>3969</v>
      </c>
      <c r="K200" s="71" t="s">
        <v>3990</v>
      </c>
      <c r="L200" s="100">
        <v>4</v>
      </c>
    </row>
    <row r="201" spans="1:12" hidden="1">
      <c r="A201" s="63" t="s">
        <v>871</v>
      </c>
      <c r="B201" s="115">
        <v>45756</v>
      </c>
      <c r="C201" s="63" t="s">
        <v>445</v>
      </c>
      <c r="D201" s="138" t="s">
        <v>134</v>
      </c>
      <c r="E201" s="116" t="s">
        <v>4071</v>
      </c>
      <c r="F201" s="63">
        <v>1</v>
      </c>
      <c r="G201" s="64">
        <v>1</v>
      </c>
      <c r="H201" s="64" t="s">
        <v>3968</v>
      </c>
      <c r="I201" s="117"/>
      <c r="J201" s="67" t="s">
        <v>3969</v>
      </c>
      <c r="K201" s="71" t="s">
        <v>3990</v>
      </c>
      <c r="L201" s="100">
        <v>4</v>
      </c>
    </row>
    <row r="202" spans="1:12" hidden="1">
      <c r="A202" s="63" t="s">
        <v>871</v>
      </c>
      <c r="B202" s="115">
        <v>45756</v>
      </c>
      <c r="C202" s="63" t="s">
        <v>445</v>
      </c>
      <c r="D202" s="138" t="s">
        <v>136</v>
      </c>
      <c r="E202" s="116" t="s">
        <v>4072</v>
      </c>
      <c r="F202" s="63">
        <v>1</v>
      </c>
      <c r="G202" s="64">
        <v>1</v>
      </c>
      <c r="H202" s="64" t="s">
        <v>3968</v>
      </c>
      <c r="I202" s="117"/>
      <c r="J202" s="67" t="s">
        <v>3969</v>
      </c>
      <c r="K202" s="71" t="s">
        <v>3990</v>
      </c>
      <c r="L202" s="100">
        <v>4</v>
      </c>
    </row>
    <row r="203" spans="1:12" hidden="1">
      <c r="A203" s="64">
        <v>51000323</v>
      </c>
      <c r="B203" s="115">
        <v>45758</v>
      </c>
      <c r="C203" s="63" t="s">
        <v>103</v>
      </c>
      <c r="D203" s="138" t="s">
        <v>971</v>
      </c>
      <c r="E203" s="116" t="s">
        <v>633</v>
      </c>
      <c r="F203" s="63">
        <v>2</v>
      </c>
      <c r="G203" s="64">
        <v>2</v>
      </c>
      <c r="H203" s="64" t="s">
        <v>3968</v>
      </c>
      <c r="I203" s="117">
        <v>45758</v>
      </c>
      <c r="J203" s="67" t="s">
        <v>3969</v>
      </c>
      <c r="K203" s="71" t="s">
        <v>3990</v>
      </c>
      <c r="L203" s="100">
        <v>4</v>
      </c>
    </row>
    <row r="204" spans="1:12" hidden="1">
      <c r="A204" s="63">
        <v>48000002</v>
      </c>
      <c r="B204" s="115">
        <v>45758</v>
      </c>
      <c r="C204" s="63" t="s">
        <v>720</v>
      </c>
      <c r="D204" s="138" t="s">
        <v>974</v>
      </c>
      <c r="E204" s="116" t="s">
        <v>4073</v>
      </c>
      <c r="F204" s="63">
        <v>1</v>
      </c>
      <c r="G204" s="64">
        <v>1</v>
      </c>
      <c r="H204" s="64" t="s">
        <v>3968</v>
      </c>
      <c r="I204" s="117"/>
      <c r="J204" s="67" t="s">
        <v>3969</v>
      </c>
      <c r="K204" s="71" t="s">
        <v>3990</v>
      </c>
      <c r="L204" s="100">
        <v>4</v>
      </c>
    </row>
    <row r="205" spans="1:12" hidden="1">
      <c r="A205" s="63">
        <v>50110193</v>
      </c>
      <c r="B205" s="115">
        <v>45758</v>
      </c>
      <c r="C205" s="63" t="s">
        <v>33</v>
      </c>
      <c r="D205" s="138" t="s">
        <v>978</v>
      </c>
      <c r="E205" s="116" t="s">
        <v>979</v>
      </c>
      <c r="F205" s="63">
        <v>1</v>
      </c>
      <c r="G205" s="64">
        <v>1</v>
      </c>
      <c r="H205" s="64" t="s">
        <v>3968</v>
      </c>
      <c r="I205" s="117"/>
      <c r="J205" s="67" t="s">
        <v>3969</v>
      </c>
      <c r="K205" s="71" t="s">
        <v>3990</v>
      </c>
      <c r="L205" s="100">
        <v>4</v>
      </c>
    </row>
    <row r="206" spans="1:12" hidden="1">
      <c r="A206" s="68">
        <v>46000018</v>
      </c>
      <c r="B206" s="120">
        <v>45758</v>
      </c>
      <c r="C206" s="68" t="s">
        <v>982</v>
      </c>
      <c r="D206" s="139" t="s">
        <v>984</v>
      </c>
      <c r="E206" s="121" t="s">
        <v>985</v>
      </c>
      <c r="F206" s="68">
        <v>1</v>
      </c>
      <c r="G206" s="69">
        <v>1</v>
      </c>
      <c r="H206" s="69" t="s">
        <v>3968</v>
      </c>
      <c r="I206" s="122"/>
      <c r="J206" s="71" t="s">
        <v>3969</v>
      </c>
      <c r="K206" s="71" t="s">
        <v>3990</v>
      </c>
      <c r="L206" s="98">
        <v>4</v>
      </c>
    </row>
    <row r="207" spans="1:12" hidden="1">
      <c r="A207" s="123">
        <v>46000053</v>
      </c>
      <c r="B207" s="124">
        <v>45758</v>
      </c>
      <c r="C207" s="123" t="s">
        <v>982</v>
      </c>
      <c r="D207" s="123" t="s">
        <v>988</v>
      </c>
      <c r="E207" s="125" t="s">
        <v>4074</v>
      </c>
      <c r="F207" s="123">
        <v>1</v>
      </c>
      <c r="G207" s="92">
        <v>0</v>
      </c>
      <c r="H207" s="92" t="s">
        <v>3968</v>
      </c>
      <c r="I207" s="126"/>
      <c r="J207" s="127" t="s">
        <v>3969</v>
      </c>
      <c r="K207" s="127" t="s">
        <v>3990</v>
      </c>
      <c r="L207" s="89">
        <v>4</v>
      </c>
    </row>
    <row r="208" spans="1:12" hidden="1">
      <c r="A208" s="133">
        <v>46000018</v>
      </c>
      <c r="B208" s="134">
        <v>45758</v>
      </c>
      <c r="C208" s="133" t="s">
        <v>982</v>
      </c>
      <c r="D208" s="140" t="s">
        <v>990</v>
      </c>
      <c r="E208" s="135" t="s">
        <v>4075</v>
      </c>
      <c r="F208" s="133">
        <v>1</v>
      </c>
      <c r="G208" s="94">
        <v>1</v>
      </c>
      <c r="H208" s="94" t="s">
        <v>3968</v>
      </c>
      <c r="I208" s="136"/>
      <c r="J208" s="137" t="s">
        <v>3969</v>
      </c>
      <c r="K208" s="137" t="s">
        <v>3990</v>
      </c>
      <c r="L208" s="108">
        <v>4</v>
      </c>
    </row>
    <row r="209" spans="1:12" hidden="1">
      <c r="A209" s="123">
        <v>46000018</v>
      </c>
      <c r="B209" s="124">
        <v>45758</v>
      </c>
      <c r="C209" s="123" t="s">
        <v>982</v>
      </c>
      <c r="D209" s="123" t="s">
        <v>992</v>
      </c>
      <c r="E209" s="125" t="s">
        <v>993</v>
      </c>
      <c r="F209" s="123">
        <v>1</v>
      </c>
      <c r="G209" s="92">
        <v>0</v>
      </c>
      <c r="H209" s="92" t="s">
        <v>3968</v>
      </c>
      <c r="I209" s="126"/>
      <c r="J209" s="127" t="s">
        <v>3969</v>
      </c>
      <c r="K209" s="127" t="s">
        <v>3990</v>
      </c>
      <c r="L209" s="89">
        <v>4</v>
      </c>
    </row>
    <row r="210" spans="1:12" hidden="1">
      <c r="A210" s="123">
        <v>46000018</v>
      </c>
      <c r="B210" s="124">
        <v>45758</v>
      </c>
      <c r="C210" s="123" t="s">
        <v>982</v>
      </c>
      <c r="D210" s="123" t="s">
        <v>939</v>
      </c>
      <c r="E210" s="125" t="s">
        <v>120</v>
      </c>
      <c r="F210" s="123">
        <v>1</v>
      </c>
      <c r="G210" s="92">
        <v>0</v>
      </c>
      <c r="H210" s="92" t="s">
        <v>3968</v>
      </c>
      <c r="I210" s="126"/>
      <c r="J210" s="127" t="s">
        <v>3969</v>
      </c>
      <c r="K210" s="127" t="s">
        <v>3990</v>
      </c>
      <c r="L210" s="89">
        <v>4</v>
      </c>
    </row>
    <row r="211" spans="1:12" hidden="1">
      <c r="A211" s="133">
        <v>46000053</v>
      </c>
      <c r="B211" s="134">
        <v>45758</v>
      </c>
      <c r="C211" s="133" t="s">
        <v>982</v>
      </c>
      <c r="D211" s="140" t="s">
        <v>996</v>
      </c>
      <c r="E211" s="135" t="s">
        <v>1145</v>
      </c>
      <c r="F211" s="133">
        <v>1</v>
      </c>
      <c r="G211" s="94">
        <v>1</v>
      </c>
      <c r="H211" s="94" t="s">
        <v>3968</v>
      </c>
      <c r="I211" s="136"/>
      <c r="J211" s="137" t="s">
        <v>3969</v>
      </c>
      <c r="K211" s="137" t="s">
        <v>3990</v>
      </c>
      <c r="L211" s="108">
        <v>4</v>
      </c>
    </row>
    <row r="212" spans="1:12" hidden="1">
      <c r="A212" s="123">
        <v>46000018</v>
      </c>
      <c r="B212" s="124">
        <v>45758</v>
      </c>
      <c r="C212" s="123" t="s">
        <v>982</v>
      </c>
      <c r="D212" s="123" t="s">
        <v>1000</v>
      </c>
      <c r="E212" s="125" t="s">
        <v>1001</v>
      </c>
      <c r="F212" s="123">
        <v>1</v>
      </c>
      <c r="G212" s="92">
        <v>0</v>
      </c>
      <c r="H212" s="92" t="s">
        <v>3968</v>
      </c>
      <c r="I212" s="126"/>
      <c r="J212" s="127" t="s">
        <v>3969</v>
      </c>
      <c r="K212" s="127" t="s">
        <v>3990</v>
      </c>
      <c r="L212" s="89">
        <v>4</v>
      </c>
    </row>
    <row r="213" spans="1:12" hidden="1">
      <c r="A213" s="123">
        <v>46000018</v>
      </c>
      <c r="B213" s="124">
        <v>45758</v>
      </c>
      <c r="C213" s="123" t="s">
        <v>982</v>
      </c>
      <c r="D213" s="123" t="s">
        <v>1004</v>
      </c>
      <c r="E213" s="125" t="s">
        <v>1005</v>
      </c>
      <c r="F213" s="123">
        <v>1</v>
      </c>
      <c r="G213" s="92">
        <v>0</v>
      </c>
      <c r="H213" s="92" t="s">
        <v>3968</v>
      </c>
      <c r="I213" s="126"/>
      <c r="J213" s="127" t="s">
        <v>3969</v>
      </c>
      <c r="K213" s="127" t="s">
        <v>3990</v>
      </c>
      <c r="L213" s="89">
        <v>4</v>
      </c>
    </row>
    <row r="214" spans="1:12" hidden="1">
      <c r="A214" s="123">
        <v>46000018</v>
      </c>
      <c r="B214" s="124">
        <v>45758</v>
      </c>
      <c r="C214" s="123" t="s">
        <v>982</v>
      </c>
      <c r="D214" s="123" t="s">
        <v>1009</v>
      </c>
      <c r="E214" s="125" t="s">
        <v>4076</v>
      </c>
      <c r="F214" s="123">
        <v>1</v>
      </c>
      <c r="G214" s="92">
        <v>0</v>
      </c>
      <c r="H214" s="92" t="s">
        <v>3968</v>
      </c>
      <c r="I214" s="126"/>
      <c r="J214" s="127" t="s">
        <v>3969</v>
      </c>
      <c r="K214" s="127" t="s">
        <v>3990</v>
      </c>
      <c r="L214" s="89">
        <v>4</v>
      </c>
    </row>
    <row r="215" spans="1:12" hidden="1">
      <c r="A215" s="93">
        <v>51000323</v>
      </c>
      <c r="B215" s="129">
        <v>45756</v>
      </c>
      <c r="C215" s="128" t="s">
        <v>103</v>
      </c>
      <c r="D215" s="141" t="s">
        <v>1020</v>
      </c>
      <c r="E215" s="130" t="s">
        <v>1021</v>
      </c>
      <c r="F215" s="128">
        <v>1</v>
      </c>
      <c r="G215" s="93">
        <v>1</v>
      </c>
      <c r="H215" s="93" t="s">
        <v>3968</v>
      </c>
      <c r="I215" s="131">
        <v>45754</v>
      </c>
      <c r="J215" s="132" t="s">
        <v>3969</v>
      </c>
      <c r="K215" s="137" t="s">
        <v>3990</v>
      </c>
      <c r="L215" s="110">
        <v>4</v>
      </c>
    </row>
    <row r="216" spans="1:12" hidden="1">
      <c r="A216" s="63" t="s">
        <v>871</v>
      </c>
      <c r="B216" s="115">
        <v>45761</v>
      </c>
      <c r="C216" s="63" t="s">
        <v>445</v>
      </c>
      <c r="D216" s="138" t="s">
        <v>1024</v>
      </c>
      <c r="E216" s="116" t="s">
        <v>1025</v>
      </c>
      <c r="F216" s="63">
        <v>1</v>
      </c>
      <c r="G216" s="64">
        <v>1</v>
      </c>
      <c r="H216" s="64" t="s">
        <v>3968</v>
      </c>
      <c r="I216" s="117"/>
      <c r="J216" s="67" t="s">
        <v>3969</v>
      </c>
      <c r="K216" s="71" t="s">
        <v>3990</v>
      </c>
      <c r="L216" s="100">
        <v>4</v>
      </c>
    </row>
    <row r="217" spans="1:12" hidden="1">
      <c r="A217" s="63">
        <v>44000058</v>
      </c>
      <c r="B217" s="115">
        <v>45761</v>
      </c>
      <c r="C217" s="63" t="s">
        <v>569</v>
      </c>
      <c r="D217" s="138" t="s">
        <v>1032</v>
      </c>
      <c r="E217" s="116" t="s">
        <v>1033</v>
      </c>
      <c r="F217" s="63">
        <v>3</v>
      </c>
      <c r="G217" s="64">
        <v>3</v>
      </c>
      <c r="H217" s="64" t="s">
        <v>3968</v>
      </c>
      <c r="I217" s="117"/>
      <c r="J217" s="67" t="s">
        <v>3969</v>
      </c>
      <c r="K217" s="71" t="s">
        <v>3990</v>
      </c>
      <c r="L217" s="100">
        <v>4</v>
      </c>
    </row>
    <row r="218" spans="1:12" hidden="1">
      <c r="A218" s="63">
        <v>61000037</v>
      </c>
      <c r="B218" s="115">
        <v>45750</v>
      </c>
      <c r="C218" s="63" t="s">
        <v>515</v>
      </c>
      <c r="D218" s="138" t="s">
        <v>1036</v>
      </c>
      <c r="E218" s="116" t="s">
        <v>1037</v>
      </c>
      <c r="F218" s="63">
        <v>1</v>
      </c>
      <c r="G218" s="64">
        <v>1</v>
      </c>
      <c r="H218" s="64" t="s">
        <v>3968</v>
      </c>
      <c r="I218" s="117"/>
      <c r="J218" s="67" t="s">
        <v>3969</v>
      </c>
      <c r="K218" s="71" t="s">
        <v>3990</v>
      </c>
      <c r="L218" s="100">
        <v>4</v>
      </c>
    </row>
    <row r="219" spans="1:12" hidden="1">
      <c r="A219" s="63">
        <v>46000053</v>
      </c>
      <c r="B219" s="115">
        <v>45761</v>
      </c>
      <c r="C219" s="63" t="s">
        <v>982</v>
      </c>
      <c r="D219" s="138" t="s">
        <v>572</v>
      </c>
      <c r="E219" s="116" t="s">
        <v>1042</v>
      </c>
      <c r="F219" s="63">
        <v>1</v>
      </c>
      <c r="G219" s="64">
        <v>1</v>
      </c>
      <c r="H219" s="64" t="s">
        <v>3968</v>
      </c>
      <c r="I219" s="117"/>
      <c r="J219" s="67" t="s">
        <v>3969</v>
      </c>
      <c r="K219" s="71" t="s">
        <v>3990</v>
      </c>
      <c r="L219" s="100">
        <v>4</v>
      </c>
    </row>
    <row r="220" spans="1:12" hidden="1">
      <c r="A220" s="63">
        <v>50110229</v>
      </c>
      <c r="B220" s="115">
        <v>45762</v>
      </c>
      <c r="C220" s="63" t="s">
        <v>109</v>
      </c>
      <c r="D220" s="138" t="s">
        <v>1052</v>
      </c>
      <c r="E220" s="116" t="s">
        <v>1053</v>
      </c>
      <c r="F220" s="63">
        <v>1</v>
      </c>
      <c r="G220" s="64">
        <v>1</v>
      </c>
      <c r="H220" s="64" t="s">
        <v>3968</v>
      </c>
      <c r="I220" s="117"/>
      <c r="J220" s="67" t="s">
        <v>3969</v>
      </c>
      <c r="K220" s="71" t="s">
        <v>3990</v>
      </c>
      <c r="L220" s="100">
        <v>4</v>
      </c>
    </row>
    <row r="221" spans="1:12" hidden="1">
      <c r="A221" s="63">
        <v>50110372</v>
      </c>
      <c r="B221" s="115">
        <v>45762</v>
      </c>
      <c r="C221" s="63" t="s">
        <v>73</v>
      </c>
      <c r="D221" s="138" t="s">
        <v>1056</v>
      </c>
      <c r="E221" s="116" t="s">
        <v>1057</v>
      </c>
      <c r="F221" s="63">
        <v>1</v>
      </c>
      <c r="G221" s="64">
        <v>1</v>
      </c>
      <c r="H221" s="64" t="s">
        <v>3968</v>
      </c>
      <c r="I221" s="117">
        <v>45758</v>
      </c>
      <c r="J221" s="67" t="s">
        <v>3969</v>
      </c>
      <c r="K221" s="71" t="s">
        <v>3990</v>
      </c>
      <c r="L221" s="100">
        <v>4</v>
      </c>
    </row>
    <row r="222" spans="1:12" hidden="1">
      <c r="A222" s="63">
        <v>50110372</v>
      </c>
      <c r="B222" s="115">
        <v>45762</v>
      </c>
      <c r="C222" s="63" t="s">
        <v>73</v>
      </c>
      <c r="D222" s="138" t="s">
        <v>1058</v>
      </c>
      <c r="E222" s="116" t="s">
        <v>1059</v>
      </c>
      <c r="F222" s="63">
        <v>1</v>
      </c>
      <c r="G222" s="64">
        <v>1</v>
      </c>
      <c r="H222" s="64" t="s">
        <v>3968</v>
      </c>
      <c r="I222" s="117">
        <v>45758</v>
      </c>
      <c r="J222" s="67" t="s">
        <v>3969</v>
      </c>
      <c r="K222" s="71" t="s">
        <v>3990</v>
      </c>
      <c r="L222" s="100">
        <v>4</v>
      </c>
    </row>
    <row r="223" spans="1:12" hidden="1">
      <c r="A223" s="63">
        <v>50110193</v>
      </c>
      <c r="B223" s="115">
        <v>45762</v>
      </c>
      <c r="C223" s="63" t="s">
        <v>33</v>
      </c>
      <c r="D223" s="138" t="s">
        <v>1052</v>
      </c>
      <c r="E223" s="116" t="s">
        <v>1053</v>
      </c>
      <c r="F223" s="63">
        <v>2</v>
      </c>
      <c r="G223" s="64">
        <v>2</v>
      </c>
      <c r="H223" s="64" t="s">
        <v>3968</v>
      </c>
      <c r="I223" s="117"/>
      <c r="J223" s="67" t="s">
        <v>3969</v>
      </c>
      <c r="K223" s="71" t="s">
        <v>3990</v>
      </c>
      <c r="L223" s="100">
        <v>4</v>
      </c>
    </row>
    <row r="224" spans="1:12" hidden="1">
      <c r="A224" s="68">
        <v>60002095</v>
      </c>
      <c r="B224" s="120">
        <v>45762</v>
      </c>
      <c r="C224" s="68" t="s">
        <v>73</v>
      </c>
      <c r="D224" s="139" t="s">
        <v>1058</v>
      </c>
      <c r="E224" s="121" t="s">
        <v>1059</v>
      </c>
      <c r="F224" s="68">
        <v>1</v>
      </c>
      <c r="G224" s="69">
        <v>1</v>
      </c>
      <c r="H224" s="69" t="s">
        <v>3968</v>
      </c>
      <c r="I224" s="122"/>
      <c r="J224" s="71" t="s">
        <v>3969</v>
      </c>
      <c r="K224" s="71" t="s">
        <v>3990</v>
      </c>
      <c r="L224" s="98">
        <v>4</v>
      </c>
    </row>
    <row r="225" spans="1:12" hidden="1">
      <c r="A225" s="123">
        <v>50110193</v>
      </c>
      <c r="B225" s="124">
        <v>45763</v>
      </c>
      <c r="C225" s="123" t="s">
        <v>33</v>
      </c>
      <c r="D225" s="123" t="s">
        <v>1066</v>
      </c>
      <c r="E225" s="125" t="s">
        <v>1067</v>
      </c>
      <c r="F225" s="123">
        <v>1</v>
      </c>
      <c r="G225" s="92">
        <v>0</v>
      </c>
      <c r="H225" s="92" t="s">
        <v>3968</v>
      </c>
      <c r="I225" s="126"/>
      <c r="J225" s="127" t="s">
        <v>3969</v>
      </c>
      <c r="K225" s="127" t="s">
        <v>3990</v>
      </c>
      <c r="L225" s="89">
        <v>4</v>
      </c>
    </row>
    <row r="226" spans="1:12" hidden="1">
      <c r="A226" s="128" t="s">
        <v>871</v>
      </c>
      <c r="B226" s="129">
        <v>45763</v>
      </c>
      <c r="C226" s="128" t="s">
        <v>445</v>
      </c>
      <c r="D226" s="141" t="s">
        <v>1070</v>
      </c>
      <c r="E226" s="130" t="s">
        <v>1071</v>
      </c>
      <c r="F226" s="128">
        <v>1</v>
      </c>
      <c r="G226" s="93">
        <v>1</v>
      </c>
      <c r="H226" s="93" t="s">
        <v>3968</v>
      </c>
      <c r="I226" s="131"/>
      <c r="J226" s="132" t="s">
        <v>3969</v>
      </c>
      <c r="K226" s="137" t="s">
        <v>3990</v>
      </c>
      <c r="L226" s="110">
        <v>4</v>
      </c>
    </row>
    <row r="227" spans="1:12" hidden="1">
      <c r="A227" s="63">
        <v>50000260</v>
      </c>
      <c r="B227" s="115">
        <v>45769</v>
      </c>
      <c r="C227" s="63" t="s">
        <v>85</v>
      </c>
      <c r="D227" s="138" t="s">
        <v>1103</v>
      </c>
      <c r="E227" s="116" t="s">
        <v>592</v>
      </c>
      <c r="F227" s="63">
        <v>1</v>
      </c>
      <c r="G227" s="64">
        <v>1</v>
      </c>
      <c r="H227" s="64" t="s">
        <v>3968</v>
      </c>
      <c r="I227" s="117"/>
      <c r="J227" s="67" t="s">
        <v>3969</v>
      </c>
      <c r="K227" s="71" t="s">
        <v>3990</v>
      </c>
      <c r="L227" s="100">
        <v>4</v>
      </c>
    </row>
    <row r="228" spans="1:12" hidden="1">
      <c r="A228" s="69">
        <v>51100110</v>
      </c>
      <c r="B228" s="120">
        <v>45769</v>
      </c>
      <c r="C228" s="68" t="s">
        <v>1106</v>
      </c>
      <c r="D228" s="139" t="s">
        <v>1108</v>
      </c>
      <c r="E228" s="121" t="s">
        <v>1109</v>
      </c>
      <c r="F228" s="68">
        <v>1</v>
      </c>
      <c r="G228" s="69">
        <v>1</v>
      </c>
      <c r="H228" s="69" t="s">
        <v>3968</v>
      </c>
      <c r="I228" s="122">
        <v>45764</v>
      </c>
      <c r="J228" s="71" t="s">
        <v>3969</v>
      </c>
      <c r="K228" s="71" t="s">
        <v>3990</v>
      </c>
      <c r="L228" s="98">
        <v>4</v>
      </c>
    </row>
    <row r="229" spans="1:12" hidden="1">
      <c r="A229" s="92">
        <v>51100110</v>
      </c>
      <c r="B229" s="124">
        <v>45769</v>
      </c>
      <c r="C229" s="123" t="s">
        <v>1106</v>
      </c>
      <c r="D229" s="123" t="s">
        <v>1112</v>
      </c>
      <c r="E229" s="125" t="s">
        <v>1113</v>
      </c>
      <c r="F229" s="123">
        <v>1</v>
      </c>
      <c r="G229" s="92">
        <v>0</v>
      </c>
      <c r="H229" s="92" t="s">
        <v>3968</v>
      </c>
      <c r="I229" s="126"/>
      <c r="J229" s="127" t="s">
        <v>3969</v>
      </c>
      <c r="K229" s="127" t="s">
        <v>3990</v>
      </c>
      <c r="L229" s="89">
        <v>4</v>
      </c>
    </row>
    <row r="230" spans="1:12" hidden="1">
      <c r="A230" s="123">
        <v>46000018</v>
      </c>
      <c r="B230" s="124">
        <v>45771</v>
      </c>
      <c r="C230" s="123" t="s">
        <v>982</v>
      </c>
      <c r="D230" s="123" t="s">
        <v>1000</v>
      </c>
      <c r="E230" s="125" t="s">
        <v>1001</v>
      </c>
      <c r="F230" s="123">
        <v>1</v>
      </c>
      <c r="G230" s="92">
        <v>0</v>
      </c>
      <c r="H230" s="92" t="s">
        <v>3968</v>
      </c>
      <c r="I230" s="126"/>
      <c r="J230" s="127" t="s">
        <v>3969</v>
      </c>
      <c r="K230" s="127" t="s">
        <v>3990</v>
      </c>
      <c r="L230" s="89">
        <v>4</v>
      </c>
    </row>
    <row r="231" spans="1:12" hidden="1">
      <c r="A231" s="128">
        <v>50110229</v>
      </c>
      <c r="B231" s="129">
        <v>45771</v>
      </c>
      <c r="C231" s="128" t="s">
        <v>109</v>
      </c>
      <c r="D231" s="141" t="s">
        <v>94</v>
      </c>
      <c r="E231" s="130" t="s">
        <v>1118</v>
      </c>
      <c r="F231" s="128">
        <v>1</v>
      </c>
      <c r="G231" s="93">
        <v>1</v>
      </c>
      <c r="H231" s="93" t="s">
        <v>3968</v>
      </c>
      <c r="I231" s="131"/>
      <c r="J231" s="132" t="s">
        <v>3969</v>
      </c>
      <c r="K231" s="137" t="s">
        <v>3990</v>
      </c>
      <c r="L231" s="110">
        <v>4</v>
      </c>
    </row>
    <row r="232" spans="1:12" hidden="1">
      <c r="A232" s="68">
        <v>50110057</v>
      </c>
      <c r="B232" s="120">
        <v>45771</v>
      </c>
      <c r="C232" s="68" t="s">
        <v>181</v>
      </c>
      <c r="D232" s="139" t="s">
        <v>1121</v>
      </c>
      <c r="E232" s="121" t="s">
        <v>1122</v>
      </c>
      <c r="F232" s="68">
        <v>2</v>
      </c>
      <c r="G232" s="69">
        <v>2</v>
      </c>
      <c r="H232" s="69" t="s">
        <v>3968</v>
      </c>
      <c r="I232" s="122">
        <v>45764</v>
      </c>
      <c r="J232" s="71" t="s">
        <v>3969</v>
      </c>
      <c r="K232" s="71" t="s">
        <v>3990</v>
      </c>
      <c r="L232" s="98">
        <v>4</v>
      </c>
    </row>
    <row r="233" spans="1:12" hidden="1">
      <c r="A233" s="123">
        <v>50110057</v>
      </c>
      <c r="B233" s="124">
        <v>45771</v>
      </c>
      <c r="C233" s="123" t="s">
        <v>181</v>
      </c>
      <c r="D233" s="123" t="s">
        <v>1124</v>
      </c>
      <c r="E233" s="125" t="s">
        <v>1125</v>
      </c>
      <c r="F233" s="123">
        <v>1</v>
      </c>
      <c r="G233" s="92">
        <v>0</v>
      </c>
      <c r="H233" s="92" t="s">
        <v>3968</v>
      </c>
      <c r="I233" s="126"/>
      <c r="J233" s="127" t="s">
        <v>3969</v>
      </c>
      <c r="K233" s="127" t="s">
        <v>3990</v>
      </c>
      <c r="L233" s="89">
        <v>4</v>
      </c>
    </row>
    <row r="234" spans="1:12" hidden="1">
      <c r="A234" s="133">
        <v>50110057</v>
      </c>
      <c r="B234" s="134">
        <v>45771</v>
      </c>
      <c r="C234" s="133" t="s">
        <v>181</v>
      </c>
      <c r="D234" s="140" t="s">
        <v>879</v>
      </c>
      <c r="E234" s="135" t="s">
        <v>1126</v>
      </c>
      <c r="F234" s="133">
        <v>2</v>
      </c>
      <c r="G234" s="94">
        <v>1</v>
      </c>
      <c r="H234" s="94" t="s">
        <v>3968</v>
      </c>
      <c r="I234" s="136"/>
      <c r="J234" s="137" t="s">
        <v>3969</v>
      </c>
      <c r="K234" s="137" t="s">
        <v>3990</v>
      </c>
      <c r="L234" s="108">
        <v>4</v>
      </c>
    </row>
    <row r="235" spans="1:12" hidden="1">
      <c r="A235" s="123">
        <v>50110057</v>
      </c>
      <c r="B235" s="124">
        <v>45771</v>
      </c>
      <c r="C235" s="123" t="s">
        <v>181</v>
      </c>
      <c r="D235" s="123" t="s">
        <v>1131</v>
      </c>
      <c r="E235" s="125" t="s">
        <v>1132</v>
      </c>
      <c r="F235" s="123">
        <v>1</v>
      </c>
      <c r="G235" s="92">
        <v>0</v>
      </c>
      <c r="H235" s="92" t="s">
        <v>3968</v>
      </c>
      <c r="I235" s="126"/>
      <c r="J235" s="127" t="s">
        <v>3969</v>
      </c>
      <c r="K235" s="127" t="s">
        <v>3990</v>
      </c>
      <c r="L235" s="89">
        <v>4</v>
      </c>
    </row>
    <row r="236" spans="1:12" hidden="1">
      <c r="A236" s="128">
        <v>44000059</v>
      </c>
      <c r="B236" s="129">
        <v>45772</v>
      </c>
      <c r="C236" s="128" t="s">
        <v>63</v>
      </c>
      <c r="D236" s="141" t="s">
        <v>1135</v>
      </c>
      <c r="E236" s="130" t="s">
        <v>1136</v>
      </c>
      <c r="F236" s="128">
        <v>1</v>
      </c>
      <c r="G236" s="93">
        <v>1</v>
      </c>
      <c r="H236" s="93" t="s">
        <v>3968</v>
      </c>
      <c r="I236" s="131"/>
      <c r="J236" s="132" t="s">
        <v>3969</v>
      </c>
      <c r="K236" s="137" t="s">
        <v>3990</v>
      </c>
      <c r="L236" s="110">
        <v>4</v>
      </c>
    </row>
    <row r="237" spans="1:12" hidden="1">
      <c r="A237" s="63">
        <v>50110372</v>
      </c>
      <c r="B237" s="115">
        <v>45775</v>
      </c>
      <c r="C237" s="63" t="s">
        <v>73</v>
      </c>
      <c r="D237" s="138" t="s">
        <v>265</v>
      </c>
      <c r="E237" s="116" t="s">
        <v>266</v>
      </c>
      <c r="F237" s="63">
        <v>1</v>
      </c>
      <c r="G237" s="64">
        <v>1</v>
      </c>
      <c r="H237" s="64" t="s">
        <v>3968</v>
      </c>
      <c r="I237" s="117"/>
      <c r="J237" s="67" t="s">
        <v>3969</v>
      </c>
      <c r="K237" s="71" t="s">
        <v>3990</v>
      </c>
      <c r="L237" s="100">
        <v>4</v>
      </c>
    </row>
    <row r="238" spans="1:12" hidden="1">
      <c r="A238" s="63">
        <v>60002095</v>
      </c>
      <c r="B238" s="115">
        <v>45775</v>
      </c>
      <c r="C238" s="63" t="s">
        <v>73</v>
      </c>
      <c r="D238" s="138" t="s">
        <v>1141</v>
      </c>
      <c r="E238" s="116" t="s">
        <v>1142</v>
      </c>
      <c r="F238" s="63">
        <v>1</v>
      </c>
      <c r="G238" s="64">
        <v>1</v>
      </c>
      <c r="H238" s="64" t="s">
        <v>3968</v>
      </c>
      <c r="I238" s="117">
        <v>45764</v>
      </c>
      <c r="J238" s="67" t="s">
        <v>3969</v>
      </c>
      <c r="K238" s="71" t="s">
        <v>3990</v>
      </c>
      <c r="L238" s="100">
        <v>4</v>
      </c>
    </row>
    <row r="239" spans="1:12" hidden="1">
      <c r="A239" s="63">
        <v>46000018</v>
      </c>
      <c r="B239" s="115">
        <v>45776</v>
      </c>
      <c r="C239" s="63" t="s">
        <v>982</v>
      </c>
      <c r="D239" s="138" t="s">
        <v>996</v>
      </c>
      <c r="E239" s="116" t="s">
        <v>1145</v>
      </c>
      <c r="F239" s="63">
        <v>1</v>
      </c>
      <c r="G239" s="64">
        <v>1</v>
      </c>
      <c r="H239" s="64" t="s">
        <v>3968</v>
      </c>
      <c r="I239" s="117"/>
      <c r="J239" s="67" t="s">
        <v>3969</v>
      </c>
      <c r="K239" s="71" t="s">
        <v>3990</v>
      </c>
      <c r="L239" s="100">
        <v>4</v>
      </c>
    </row>
    <row r="240" spans="1:12" hidden="1">
      <c r="A240" s="68">
        <v>50110193</v>
      </c>
      <c r="B240" s="120">
        <v>45776</v>
      </c>
      <c r="C240" s="68" t="s">
        <v>33</v>
      </c>
      <c r="D240" s="139" t="s">
        <v>1148</v>
      </c>
      <c r="E240" s="121" t="s">
        <v>1149</v>
      </c>
      <c r="F240" s="68">
        <v>1</v>
      </c>
      <c r="G240" s="69">
        <v>1</v>
      </c>
      <c r="H240" s="69" t="s">
        <v>3968</v>
      </c>
      <c r="I240" s="122">
        <v>45772</v>
      </c>
      <c r="J240" s="71" t="s">
        <v>3969</v>
      </c>
      <c r="K240" s="71" t="s">
        <v>3990</v>
      </c>
      <c r="L240" s="98">
        <v>4</v>
      </c>
    </row>
    <row r="241" spans="1:12" hidden="1">
      <c r="A241" s="123">
        <v>50110193</v>
      </c>
      <c r="B241" s="124">
        <v>45776</v>
      </c>
      <c r="C241" s="123" t="s">
        <v>33</v>
      </c>
      <c r="D241" s="123" t="s">
        <v>1151</v>
      </c>
      <c r="E241" s="125" t="s">
        <v>1152</v>
      </c>
      <c r="F241" s="123">
        <v>1</v>
      </c>
      <c r="G241" s="92">
        <v>0</v>
      </c>
      <c r="H241" s="92" t="s">
        <v>3968</v>
      </c>
      <c r="I241" s="126"/>
      <c r="J241" s="127" t="s">
        <v>3969</v>
      </c>
      <c r="K241" s="127" t="s">
        <v>3990</v>
      </c>
      <c r="L241" s="89">
        <v>4</v>
      </c>
    </row>
    <row r="242" spans="1:12" hidden="1">
      <c r="A242" s="128">
        <v>61000037</v>
      </c>
      <c r="B242" s="129">
        <v>45776</v>
      </c>
      <c r="C242" s="128" t="s">
        <v>515</v>
      </c>
      <c r="D242" s="141" t="s">
        <v>1156</v>
      </c>
      <c r="E242" s="130" t="s">
        <v>1157</v>
      </c>
      <c r="F242" s="128">
        <v>1</v>
      </c>
      <c r="G242" s="93">
        <v>1</v>
      </c>
      <c r="H242" s="93" t="s">
        <v>3968</v>
      </c>
      <c r="I242" s="131"/>
      <c r="J242" s="132" t="s">
        <v>3969</v>
      </c>
      <c r="K242" s="137" t="s">
        <v>3990</v>
      </c>
      <c r="L242" s="110">
        <v>4</v>
      </c>
    </row>
    <row r="243" spans="1:12" hidden="1">
      <c r="A243" s="68">
        <v>61000037</v>
      </c>
      <c r="B243" s="120">
        <v>45776</v>
      </c>
      <c r="C243" s="68" t="s">
        <v>515</v>
      </c>
      <c r="D243" s="139" t="s">
        <v>1159</v>
      </c>
      <c r="E243" s="121" t="s">
        <v>1160</v>
      </c>
      <c r="F243" s="68">
        <v>1</v>
      </c>
      <c r="G243" s="69">
        <v>1</v>
      </c>
      <c r="H243" s="69" t="s">
        <v>3968</v>
      </c>
      <c r="I243" s="122"/>
      <c r="J243" s="71" t="s">
        <v>3969</v>
      </c>
      <c r="K243" s="71" t="s">
        <v>3990</v>
      </c>
      <c r="L243" s="98">
        <v>4</v>
      </c>
    </row>
    <row r="244" spans="1:12">
      <c r="A244" s="112">
        <v>50110229</v>
      </c>
      <c r="B244" s="113">
        <v>45782</v>
      </c>
      <c r="C244" s="112" t="s">
        <v>109</v>
      </c>
      <c r="D244" s="112" t="s">
        <v>330</v>
      </c>
      <c r="E244" s="114" t="s">
        <v>1163</v>
      </c>
      <c r="F244" s="112">
        <v>1</v>
      </c>
      <c r="G244" s="100">
        <v>1</v>
      </c>
      <c r="H244" s="100" t="s">
        <v>3968</v>
      </c>
      <c r="I244" s="117"/>
      <c r="J244" s="67" t="s">
        <v>3969</v>
      </c>
      <c r="K244" s="67" t="s">
        <v>3990</v>
      </c>
      <c r="L244" s="100">
        <v>5</v>
      </c>
    </row>
    <row r="245" spans="1:12">
      <c r="A245" s="112">
        <v>50110229</v>
      </c>
      <c r="B245" s="113">
        <v>45782</v>
      </c>
      <c r="C245" s="112" t="s">
        <v>109</v>
      </c>
      <c r="D245" s="112" t="s">
        <v>75</v>
      </c>
      <c r="E245" s="114" t="s">
        <v>1166</v>
      </c>
      <c r="F245" s="112">
        <v>1</v>
      </c>
      <c r="G245" s="100">
        <v>1</v>
      </c>
      <c r="H245" s="100" t="s">
        <v>3968</v>
      </c>
      <c r="I245" s="117"/>
      <c r="J245" s="67" t="s">
        <v>3969</v>
      </c>
      <c r="K245" s="67" t="s">
        <v>3990</v>
      </c>
      <c r="L245" s="100">
        <v>5</v>
      </c>
    </row>
    <row r="246" spans="1:12">
      <c r="A246" s="97">
        <v>48300400</v>
      </c>
      <c r="B246" s="99">
        <v>45782</v>
      </c>
      <c r="C246" s="97" t="s">
        <v>1169</v>
      </c>
      <c r="D246" s="97" t="s">
        <v>280</v>
      </c>
      <c r="E246" s="142" t="s">
        <v>1170</v>
      </c>
      <c r="F246" s="97">
        <v>1</v>
      </c>
      <c r="G246" s="98">
        <v>1</v>
      </c>
      <c r="H246" s="98" t="s">
        <v>3968</v>
      </c>
      <c r="I246" s="122"/>
      <c r="J246" s="71" t="s">
        <v>3969</v>
      </c>
      <c r="K246" s="71" t="s">
        <v>3990</v>
      </c>
      <c r="L246" s="100">
        <v>5</v>
      </c>
    </row>
    <row r="247" spans="1:12">
      <c r="A247" s="105">
        <v>50110229</v>
      </c>
      <c r="B247" s="90">
        <v>45782</v>
      </c>
      <c r="C247" s="105" t="s">
        <v>109</v>
      </c>
      <c r="D247" s="105" t="s">
        <v>1174</v>
      </c>
      <c r="E247" s="143" t="s">
        <v>1175</v>
      </c>
      <c r="F247" s="105">
        <v>2</v>
      </c>
      <c r="G247" s="89">
        <v>1</v>
      </c>
      <c r="H247" s="89" t="s">
        <v>3968</v>
      </c>
      <c r="I247" s="126"/>
      <c r="J247" s="127" t="s">
        <v>3969</v>
      </c>
      <c r="K247" s="127" t="s">
        <v>3990</v>
      </c>
      <c r="L247" s="100">
        <v>5</v>
      </c>
    </row>
    <row r="248" spans="1:12">
      <c r="A248" s="144">
        <v>50110229</v>
      </c>
      <c r="B248" s="145">
        <v>45782</v>
      </c>
      <c r="C248" s="144" t="s">
        <v>109</v>
      </c>
      <c r="D248" s="144" t="s">
        <v>1178</v>
      </c>
      <c r="E248" s="146" t="s">
        <v>1179</v>
      </c>
      <c r="F248" s="144">
        <v>1</v>
      </c>
      <c r="G248" s="110">
        <v>1</v>
      </c>
      <c r="H248" s="110" t="s">
        <v>3968</v>
      </c>
      <c r="I248" s="131"/>
      <c r="J248" s="132" t="s">
        <v>3969</v>
      </c>
      <c r="K248" s="132" t="s">
        <v>3990</v>
      </c>
      <c r="L248" s="100">
        <v>5</v>
      </c>
    </row>
    <row r="249" spans="1:12">
      <c r="A249" s="97">
        <v>60002095</v>
      </c>
      <c r="B249" s="99">
        <v>45782</v>
      </c>
      <c r="C249" s="97" t="s">
        <v>73</v>
      </c>
      <c r="D249" s="97" t="s">
        <v>446</v>
      </c>
      <c r="E249" s="142" t="s">
        <v>1182</v>
      </c>
      <c r="F249" s="97">
        <v>1</v>
      </c>
      <c r="G249" s="98">
        <v>1</v>
      </c>
      <c r="H249" s="98" t="s">
        <v>3968</v>
      </c>
      <c r="I249" s="122"/>
      <c r="J249" s="71" t="s">
        <v>3969</v>
      </c>
      <c r="K249" s="71" t="s">
        <v>3990</v>
      </c>
      <c r="L249" s="100">
        <v>5</v>
      </c>
    </row>
    <row r="250" spans="1:12">
      <c r="A250" s="105">
        <v>50110229</v>
      </c>
      <c r="B250" s="104">
        <v>45782</v>
      </c>
      <c r="C250" s="105" t="s">
        <v>109</v>
      </c>
      <c r="D250" s="105" t="s">
        <v>1185</v>
      </c>
      <c r="E250" s="143" t="s">
        <v>1186</v>
      </c>
      <c r="F250" s="105">
        <v>1</v>
      </c>
      <c r="G250" s="89">
        <v>1</v>
      </c>
      <c r="H250" s="89" t="s">
        <v>3968</v>
      </c>
      <c r="I250" s="126"/>
      <c r="J250" s="127" t="s">
        <v>3969</v>
      </c>
      <c r="K250" s="127" t="s">
        <v>3990</v>
      </c>
      <c r="L250" s="100">
        <v>5</v>
      </c>
    </row>
    <row r="251" spans="1:12">
      <c r="A251" s="144">
        <v>50110229</v>
      </c>
      <c r="B251" s="147">
        <v>45782</v>
      </c>
      <c r="C251" s="144" t="s">
        <v>109</v>
      </c>
      <c r="D251" s="144" t="s">
        <v>1187</v>
      </c>
      <c r="E251" s="146" t="s">
        <v>1188</v>
      </c>
      <c r="F251" s="144">
        <v>1</v>
      </c>
      <c r="G251" s="110">
        <v>1</v>
      </c>
      <c r="H251" s="110" t="s">
        <v>3968</v>
      </c>
      <c r="I251" s="131"/>
      <c r="J251" s="132" t="s">
        <v>3969</v>
      </c>
      <c r="K251" s="132" t="s">
        <v>3990</v>
      </c>
      <c r="L251" s="100">
        <v>5</v>
      </c>
    </row>
    <row r="252" spans="1:12">
      <c r="A252" s="97">
        <v>50110229</v>
      </c>
      <c r="B252" s="96">
        <v>45782</v>
      </c>
      <c r="C252" s="97" t="s">
        <v>109</v>
      </c>
      <c r="D252" s="97" t="s">
        <v>1189</v>
      </c>
      <c r="E252" s="142" t="s">
        <v>1190</v>
      </c>
      <c r="F252" s="97">
        <v>1</v>
      </c>
      <c r="G252" s="98">
        <v>1</v>
      </c>
      <c r="H252" s="98" t="s">
        <v>3971</v>
      </c>
      <c r="I252" s="122"/>
      <c r="J252" s="71" t="s">
        <v>3969</v>
      </c>
      <c r="K252" s="71" t="s">
        <v>3990</v>
      </c>
      <c r="L252" s="100">
        <v>5</v>
      </c>
    </row>
    <row r="253" spans="1:12">
      <c r="A253" s="105">
        <v>50110229</v>
      </c>
      <c r="B253" s="104">
        <v>45783</v>
      </c>
      <c r="C253" s="105" t="s">
        <v>109</v>
      </c>
      <c r="D253" s="105" t="s">
        <v>1193</v>
      </c>
      <c r="E253" s="143" t="s">
        <v>1194</v>
      </c>
      <c r="F253" s="105">
        <v>1</v>
      </c>
      <c r="G253" s="89">
        <v>1</v>
      </c>
      <c r="H253" s="89" t="s">
        <v>3968</v>
      </c>
      <c r="I253" s="126"/>
      <c r="J253" s="127" t="s">
        <v>3969</v>
      </c>
      <c r="K253" s="127" t="s">
        <v>3990</v>
      </c>
      <c r="L253" s="100">
        <v>5</v>
      </c>
    </row>
    <row r="254" spans="1:12">
      <c r="A254" s="106">
        <v>51100064</v>
      </c>
      <c r="B254" s="107">
        <v>45783</v>
      </c>
      <c r="C254" s="106" t="s">
        <v>1196</v>
      </c>
      <c r="D254" s="106" t="s">
        <v>4077</v>
      </c>
      <c r="E254" s="148" t="s">
        <v>4078</v>
      </c>
      <c r="F254" s="106">
        <v>1</v>
      </c>
      <c r="G254" s="108">
        <v>1</v>
      </c>
      <c r="H254" s="108" t="s">
        <v>3968</v>
      </c>
      <c r="I254" s="136"/>
      <c r="J254" s="137" t="s">
        <v>3969</v>
      </c>
      <c r="K254" s="137" t="s">
        <v>3990</v>
      </c>
      <c r="L254" s="100">
        <v>5</v>
      </c>
    </row>
    <row r="255" spans="1:12">
      <c r="A255" s="105">
        <v>48000432</v>
      </c>
      <c r="B255" s="104">
        <v>45783</v>
      </c>
      <c r="C255" s="105" t="s">
        <v>63</v>
      </c>
      <c r="D255" s="105" t="s">
        <v>1201</v>
      </c>
      <c r="E255" s="143" t="s">
        <v>1001</v>
      </c>
      <c r="F255" s="105">
        <v>1</v>
      </c>
      <c r="G255" s="89">
        <v>1</v>
      </c>
      <c r="H255" s="89" t="s">
        <v>3968</v>
      </c>
      <c r="I255" s="126"/>
      <c r="J255" s="127" t="s">
        <v>3969</v>
      </c>
      <c r="K255" s="127" t="s">
        <v>3990</v>
      </c>
      <c r="L255" s="100">
        <v>5</v>
      </c>
    </row>
    <row r="256" spans="1:12">
      <c r="A256" s="144">
        <v>50000351</v>
      </c>
      <c r="B256" s="147">
        <v>45784</v>
      </c>
      <c r="C256" s="144" t="s">
        <v>445</v>
      </c>
      <c r="D256" s="144" t="s">
        <v>1204</v>
      </c>
      <c r="E256" s="146" t="s">
        <v>1205</v>
      </c>
      <c r="F256" s="144">
        <v>5</v>
      </c>
      <c r="G256" s="110">
        <v>5</v>
      </c>
      <c r="H256" s="110" t="s">
        <v>3968</v>
      </c>
      <c r="I256" s="131"/>
      <c r="J256" s="132" t="s">
        <v>3969</v>
      </c>
      <c r="K256" s="132" t="s">
        <v>3990</v>
      </c>
      <c r="L256" s="100">
        <v>5</v>
      </c>
    </row>
    <row r="257" spans="1:12">
      <c r="A257" s="112">
        <v>50000351</v>
      </c>
      <c r="B257" s="102">
        <v>45784</v>
      </c>
      <c r="C257" s="112" t="s">
        <v>445</v>
      </c>
      <c r="D257" s="112" t="s">
        <v>1206</v>
      </c>
      <c r="E257" s="114" t="s">
        <v>1207</v>
      </c>
      <c r="F257" s="112">
        <v>5</v>
      </c>
      <c r="G257" s="100">
        <v>5</v>
      </c>
      <c r="H257" s="100" t="s">
        <v>3968</v>
      </c>
      <c r="I257" s="117"/>
      <c r="J257" s="67" t="s">
        <v>3969</v>
      </c>
      <c r="K257" s="67" t="s">
        <v>3990</v>
      </c>
      <c r="L257" s="100">
        <v>5</v>
      </c>
    </row>
    <row r="258" spans="1:12">
      <c r="A258" s="112">
        <v>51000136</v>
      </c>
      <c r="B258" s="102">
        <v>45784</v>
      </c>
      <c r="C258" s="112" t="s">
        <v>103</v>
      </c>
      <c r="D258" s="112" t="s">
        <v>1211</v>
      </c>
      <c r="E258" s="114" t="s">
        <v>1212</v>
      </c>
      <c r="F258" s="112">
        <v>8</v>
      </c>
      <c r="G258" s="100">
        <v>8</v>
      </c>
      <c r="H258" s="100" t="s">
        <v>3968</v>
      </c>
      <c r="I258" s="117"/>
      <c r="J258" s="67" t="s">
        <v>3969</v>
      </c>
      <c r="K258" s="67" t="s">
        <v>3990</v>
      </c>
      <c r="L258" s="100">
        <v>5</v>
      </c>
    </row>
    <row r="259" spans="1:12">
      <c r="A259" s="97">
        <v>51000136</v>
      </c>
      <c r="B259" s="96">
        <v>45784</v>
      </c>
      <c r="C259" s="97" t="s">
        <v>103</v>
      </c>
      <c r="D259" s="97" t="s">
        <v>436</v>
      </c>
      <c r="E259" s="142" t="s">
        <v>1215</v>
      </c>
      <c r="F259" s="97">
        <v>2</v>
      </c>
      <c r="G259" s="98">
        <v>2</v>
      </c>
      <c r="H259" s="98" t="s">
        <v>3968</v>
      </c>
      <c r="I259" s="122"/>
      <c r="J259" s="71" t="s">
        <v>3969</v>
      </c>
      <c r="K259" s="71" t="s">
        <v>3990</v>
      </c>
      <c r="L259" s="100">
        <v>5</v>
      </c>
    </row>
    <row r="260" spans="1:12">
      <c r="A260" s="105">
        <v>50110229</v>
      </c>
      <c r="B260" s="104">
        <v>45784</v>
      </c>
      <c r="C260" s="105" t="s">
        <v>109</v>
      </c>
      <c r="D260" s="105" t="s">
        <v>1066</v>
      </c>
      <c r="E260" s="143" t="s">
        <v>1218</v>
      </c>
      <c r="F260" s="105">
        <v>1</v>
      </c>
      <c r="G260" s="89">
        <v>0</v>
      </c>
      <c r="H260" s="89" t="s">
        <v>3968</v>
      </c>
      <c r="I260" s="126"/>
      <c r="J260" s="127" t="s">
        <v>3969</v>
      </c>
      <c r="K260" s="127" t="s">
        <v>3990</v>
      </c>
      <c r="L260" s="100">
        <v>5</v>
      </c>
    </row>
    <row r="261" spans="1:12">
      <c r="A261" s="105">
        <v>48000482</v>
      </c>
      <c r="B261" s="104">
        <v>45785</v>
      </c>
      <c r="C261" s="105" t="s">
        <v>152</v>
      </c>
      <c r="D261" s="105" t="s">
        <v>1221</v>
      </c>
      <c r="E261" s="143" t="s">
        <v>1222</v>
      </c>
      <c r="F261" s="105">
        <v>1</v>
      </c>
      <c r="G261" s="89">
        <v>0</v>
      </c>
      <c r="H261" s="89" t="s">
        <v>3968</v>
      </c>
      <c r="I261" s="126"/>
      <c r="J261" s="127" t="s">
        <v>3969</v>
      </c>
      <c r="K261" s="127" t="s">
        <v>3990</v>
      </c>
      <c r="L261" s="100">
        <v>5</v>
      </c>
    </row>
    <row r="262" spans="1:12">
      <c r="A262" s="106">
        <v>50000260</v>
      </c>
      <c r="B262" s="107">
        <v>45785</v>
      </c>
      <c r="C262" s="106" t="s">
        <v>85</v>
      </c>
      <c r="D262" s="106" t="s">
        <v>1226</v>
      </c>
      <c r="E262" s="148" t="s">
        <v>1227</v>
      </c>
      <c r="F262" s="106">
        <v>1</v>
      </c>
      <c r="G262" s="108">
        <v>1</v>
      </c>
      <c r="H262" s="108" t="s">
        <v>3968</v>
      </c>
      <c r="I262" s="136"/>
      <c r="J262" s="137" t="s">
        <v>3969</v>
      </c>
      <c r="K262" s="137" t="s">
        <v>3990</v>
      </c>
      <c r="L262" s="100">
        <v>5</v>
      </c>
    </row>
    <row r="263" spans="1:12">
      <c r="A263" s="105">
        <v>50110229</v>
      </c>
      <c r="B263" s="104">
        <v>45785</v>
      </c>
      <c r="C263" s="105" t="s">
        <v>109</v>
      </c>
      <c r="D263" s="105" t="s">
        <v>1230</v>
      </c>
      <c r="E263" s="143" t="s">
        <v>1231</v>
      </c>
      <c r="F263" s="105">
        <v>1</v>
      </c>
      <c r="G263" s="89">
        <v>0</v>
      </c>
      <c r="H263" s="89" t="s">
        <v>3968</v>
      </c>
      <c r="I263" s="126"/>
      <c r="J263" s="127" t="s">
        <v>3969</v>
      </c>
      <c r="K263" s="127" t="s">
        <v>3990</v>
      </c>
      <c r="L263" s="100">
        <v>5</v>
      </c>
    </row>
    <row r="264" spans="1:12">
      <c r="A264" s="144">
        <v>44000059</v>
      </c>
      <c r="B264" s="147">
        <v>45789</v>
      </c>
      <c r="C264" s="144" t="s">
        <v>63</v>
      </c>
      <c r="D264" s="144" t="s">
        <v>540</v>
      </c>
      <c r="E264" s="146" t="s">
        <v>1234</v>
      </c>
      <c r="F264" s="144">
        <v>1</v>
      </c>
      <c r="G264" s="110">
        <v>1</v>
      </c>
      <c r="H264" s="110" t="s">
        <v>3968</v>
      </c>
      <c r="I264" s="131"/>
      <c r="J264" s="132" t="s">
        <v>3969</v>
      </c>
      <c r="K264" s="132" t="s">
        <v>3990</v>
      </c>
      <c r="L264" s="100">
        <v>5</v>
      </c>
    </row>
    <row r="265" spans="1:12">
      <c r="A265" s="112">
        <v>60002072</v>
      </c>
      <c r="B265" s="102">
        <v>45789</v>
      </c>
      <c r="C265" s="112" t="s">
        <v>202</v>
      </c>
      <c r="D265" s="112" t="s">
        <v>1237</v>
      </c>
      <c r="E265" s="114" t="s">
        <v>1238</v>
      </c>
      <c r="F265" s="112">
        <v>4</v>
      </c>
      <c r="G265" s="100">
        <v>4</v>
      </c>
      <c r="H265" s="100" t="s">
        <v>3968</v>
      </c>
      <c r="I265" s="117"/>
      <c r="J265" s="67" t="s">
        <v>3969</v>
      </c>
      <c r="K265" s="67" t="s">
        <v>3990</v>
      </c>
      <c r="L265" s="100">
        <v>5</v>
      </c>
    </row>
    <row r="266" spans="1:12">
      <c r="A266" s="112">
        <v>51000323</v>
      </c>
      <c r="B266" s="102">
        <v>45789</v>
      </c>
      <c r="C266" s="112" t="s">
        <v>103</v>
      </c>
      <c r="D266" s="112" t="s">
        <v>1241</v>
      </c>
      <c r="E266" s="114" t="s">
        <v>4021</v>
      </c>
      <c r="F266" s="112">
        <v>2</v>
      </c>
      <c r="G266" s="100">
        <v>2</v>
      </c>
      <c r="H266" s="100" t="s">
        <v>3968</v>
      </c>
      <c r="I266" s="117"/>
      <c r="J266" s="67" t="s">
        <v>3969</v>
      </c>
      <c r="K266" s="67" t="s">
        <v>3990</v>
      </c>
      <c r="L266" s="100">
        <v>5</v>
      </c>
    </row>
    <row r="267" spans="1:12">
      <c r="A267" s="112">
        <v>51000136</v>
      </c>
      <c r="B267" s="102">
        <v>45789</v>
      </c>
      <c r="C267" s="112" t="s">
        <v>103</v>
      </c>
      <c r="D267" s="112" t="s">
        <v>1241</v>
      </c>
      <c r="E267" s="114" t="s">
        <v>4021</v>
      </c>
      <c r="F267" s="112">
        <v>2</v>
      </c>
      <c r="G267" s="100">
        <v>2</v>
      </c>
      <c r="H267" s="100" t="s">
        <v>3968</v>
      </c>
      <c r="I267" s="117"/>
      <c r="J267" s="67" t="s">
        <v>3969</v>
      </c>
      <c r="K267" s="67" t="s">
        <v>3990</v>
      </c>
      <c r="L267" s="100">
        <v>5</v>
      </c>
    </row>
    <row r="268" spans="1:12">
      <c r="A268" s="112">
        <v>48000432</v>
      </c>
      <c r="B268" s="102">
        <v>45789</v>
      </c>
      <c r="C268" s="112" t="s">
        <v>63</v>
      </c>
      <c r="D268" s="112" t="s">
        <v>1246</v>
      </c>
      <c r="E268" s="114" t="s">
        <v>1247</v>
      </c>
      <c r="F268" s="112">
        <v>1</v>
      </c>
      <c r="G268" s="100">
        <v>1</v>
      </c>
      <c r="H268" s="100" t="s">
        <v>3968</v>
      </c>
      <c r="I268" s="117"/>
      <c r="J268" s="67" t="s">
        <v>3969</v>
      </c>
      <c r="K268" s="67" t="s">
        <v>3990</v>
      </c>
      <c r="L268" s="100">
        <v>5</v>
      </c>
    </row>
    <row r="269" spans="1:12">
      <c r="A269" s="112">
        <v>50110057</v>
      </c>
      <c r="B269" s="102">
        <v>45789</v>
      </c>
      <c r="C269" s="112" t="s">
        <v>4164</v>
      </c>
      <c r="D269" s="112" t="s">
        <v>4079</v>
      </c>
      <c r="E269" s="114" t="s">
        <v>1251</v>
      </c>
      <c r="F269" s="112">
        <v>1</v>
      </c>
      <c r="G269" s="100">
        <v>1</v>
      </c>
      <c r="H269" s="100" t="s">
        <v>3968</v>
      </c>
      <c r="I269" s="117"/>
      <c r="J269" s="67" t="s">
        <v>3969</v>
      </c>
      <c r="K269" s="67" t="s">
        <v>3990</v>
      </c>
      <c r="L269" s="100">
        <v>5</v>
      </c>
    </row>
    <row r="270" spans="1:12">
      <c r="A270" s="112">
        <v>60002095</v>
      </c>
      <c r="B270" s="102">
        <v>45789</v>
      </c>
      <c r="C270" s="112" t="s">
        <v>73</v>
      </c>
      <c r="D270" s="112" t="s">
        <v>1254</v>
      </c>
      <c r="E270" s="114" t="s">
        <v>1255</v>
      </c>
      <c r="F270" s="112">
        <v>1</v>
      </c>
      <c r="G270" s="100">
        <v>1</v>
      </c>
      <c r="H270" s="100" t="s">
        <v>3968</v>
      </c>
      <c r="I270" s="117"/>
      <c r="J270" s="67" t="s">
        <v>3969</v>
      </c>
      <c r="K270" s="67" t="s">
        <v>3990</v>
      </c>
      <c r="L270" s="100">
        <v>5</v>
      </c>
    </row>
    <row r="271" spans="1:12">
      <c r="A271" s="112">
        <v>50110372</v>
      </c>
      <c r="B271" s="102">
        <v>45789</v>
      </c>
      <c r="C271" s="112" t="s">
        <v>73</v>
      </c>
      <c r="D271" s="112" t="s">
        <v>1178</v>
      </c>
      <c r="E271" s="114" t="s">
        <v>1179</v>
      </c>
      <c r="F271" s="112">
        <v>1</v>
      </c>
      <c r="G271" s="100">
        <v>1</v>
      </c>
      <c r="H271" s="100" t="s">
        <v>3968</v>
      </c>
      <c r="I271" s="117"/>
      <c r="J271" s="67" t="s">
        <v>3969</v>
      </c>
      <c r="K271" s="67" t="s">
        <v>3990</v>
      </c>
      <c r="L271" s="100">
        <v>5</v>
      </c>
    </row>
    <row r="272" spans="1:12">
      <c r="A272" s="112">
        <v>50110372</v>
      </c>
      <c r="B272" s="102">
        <v>45789</v>
      </c>
      <c r="C272" s="112" t="s">
        <v>73</v>
      </c>
      <c r="D272" s="112" t="s">
        <v>126</v>
      </c>
      <c r="E272" s="114" t="s">
        <v>127</v>
      </c>
      <c r="F272" s="112">
        <v>1</v>
      </c>
      <c r="G272" s="100">
        <v>1</v>
      </c>
      <c r="H272" s="100" t="s">
        <v>3968</v>
      </c>
      <c r="I272" s="117"/>
      <c r="J272" s="67" t="s">
        <v>3969</v>
      </c>
      <c r="K272" s="67" t="s">
        <v>3990</v>
      </c>
      <c r="L272" s="100">
        <v>5</v>
      </c>
    </row>
    <row r="273" spans="1:12">
      <c r="A273" s="112">
        <v>60002095</v>
      </c>
      <c r="B273" s="102">
        <v>45792</v>
      </c>
      <c r="C273" s="112" t="s">
        <v>73</v>
      </c>
      <c r="D273" s="112" t="s">
        <v>1261</v>
      </c>
      <c r="E273" s="114" t="s">
        <v>1262</v>
      </c>
      <c r="F273" s="112">
        <v>1</v>
      </c>
      <c r="G273" s="100">
        <v>1</v>
      </c>
      <c r="H273" s="100" t="s">
        <v>3968</v>
      </c>
      <c r="I273" s="117"/>
      <c r="J273" s="67" t="s">
        <v>3969</v>
      </c>
      <c r="K273" s="67" t="s">
        <v>3990</v>
      </c>
      <c r="L273" s="100">
        <v>5</v>
      </c>
    </row>
    <row r="274" spans="1:12">
      <c r="A274" s="112">
        <v>50110193</v>
      </c>
      <c r="B274" s="102">
        <v>45792</v>
      </c>
      <c r="C274" s="112" t="s">
        <v>33</v>
      </c>
      <c r="D274" s="112" t="s">
        <v>136</v>
      </c>
      <c r="E274" s="114" t="s">
        <v>4080</v>
      </c>
      <c r="F274" s="112">
        <v>1</v>
      </c>
      <c r="G274" s="100">
        <v>1</v>
      </c>
      <c r="H274" s="100" t="s">
        <v>3968</v>
      </c>
      <c r="I274" s="117"/>
      <c r="J274" s="67" t="s">
        <v>3969</v>
      </c>
      <c r="K274" s="67" t="s">
        <v>3990</v>
      </c>
      <c r="L274" s="100">
        <v>5</v>
      </c>
    </row>
    <row r="275" spans="1:12">
      <c r="A275" s="112">
        <v>50110193</v>
      </c>
      <c r="B275" s="102">
        <v>45792</v>
      </c>
      <c r="C275" s="112" t="s">
        <v>33</v>
      </c>
      <c r="D275" s="112" t="s">
        <v>1265</v>
      </c>
      <c r="E275" s="114" t="s">
        <v>1266</v>
      </c>
      <c r="F275" s="112">
        <v>1</v>
      </c>
      <c r="G275" s="100">
        <v>1</v>
      </c>
      <c r="H275" s="100" t="s">
        <v>3968</v>
      </c>
      <c r="I275" s="117"/>
      <c r="J275" s="67" t="s">
        <v>3969</v>
      </c>
      <c r="K275" s="67" t="s">
        <v>3990</v>
      </c>
      <c r="L275" s="100">
        <v>5</v>
      </c>
    </row>
    <row r="276" spans="1:12">
      <c r="A276" s="112">
        <v>51000323</v>
      </c>
      <c r="B276" s="102">
        <v>45792</v>
      </c>
      <c r="C276" s="112" t="s">
        <v>103</v>
      </c>
      <c r="D276" s="112" t="s">
        <v>1269</v>
      </c>
      <c r="E276" s="114" t="s">
        <v>1270</v>
      </c>
      <c r="F276" s="112">
        <v>2</v>
      </c>
      <c r="G276" s="100">
        <v>2</v>
      </c>
      <c r="H276" s="100" t="s">
        <v>3968</v>
      </c>
      <c r="I276" s="117"/>
      <c r="J276" s="67" t="s">
        <v>3969</v>
      </c>
      <c r="K276" s="67" t="s">
        <v>3990</v>
      </c>
      <c r="L276" s="100">
        <v>5</v>
      </c>
    </row>
    <row r="277" spans="1:12">
      <c r="A277" s="97">
        <v>50110193</v>
      </c>
      <c r="B277" s="96">
        <v>45793</v>
      </c>
      <c r="C277" s="97" t="s">
        <v>33</v>
      </c>
      <c r="D277" s="97" t="s">
        <v>1273</v>
      </c>
      <c r="E277" s="142" t="s">
        <v>1274</v>
      </c>
      <c r="F277" s="97">
        <v>1</v>
      </c>
      <c r="G277" s="98">
        <v>1</v>
      </c>
      <c r="H277" s="98" t="s">
        <v>3968</v>
      </c>
      <c r="I277" s="122"/>
      <c r="J277" s="71" t="s">
        <v>3969</v>
      </c>
      <c r="K277" s="71" t="s">
        <v>3990</v>
      </c>
      <c r="L277" s="100">
        <v>5</v>
      </c>
    </row>
    <row r="278" spans="1:12">
      <c r="A278" s="105">
        <v>50300097</v>
      </c>
      <c r="B278" s="104">
        <v>45793</v>
      </c>
      <c r="C278" s="105" t="s">
        <v>445</v>
      </c>
      <c r="D278" s="105" t="s">
        <v>1277</v>
      </c>
      <c r="E278" s="143" t="s">
        <v>767</v>
      </c>
      <c r="F278" s="105">
        <v>1</v>
      </c>
      <c r="G278" s="89">
        <v>0</v>
      </c>
      <c r="H278" s="89" t="s">
        <v>3968</v>
      </c>
      <c r="I278" s="126"/>
      <c r="J278" s="127" t="s">
        <v>3969</v>
      </c>
      <c r="K278" s="127" t="s">
        <v>3990</v>
      </c>
      <c r="L278" s="100">
        <v>5</v>
      </c>
    </row>
    <row r="279" spans="1:12">
      <c r="A279" s="144">
        <v>50300098</v>
      </c>
      <c r="B279" s="147">
        <v>45793</v>
      </c>
      <c r="C279" s="144" t="s">
        <v>445</v>
      </c>
      <c r="D279" s="144" t="s">
        <v>1148</v>
      </c>
      <c r="E279" s="146" t="s">
        <v>1279</v>
      </c>
      <c r="F279" s="144">
        <v>1</v>
      </c>
      <c r="G279" s="110">
        <v>1</v>
      </c>
      <c r="H279" s="110" t="s">
        <v>3968</v>
      </c>
      <c r="I279" s="131"/>
      <c r="J279" s="132" t="s">
        <v>3969</v>
      </c>
      <c r="K279" s="132" t="s">
        <v>3990</v>
      </c>
      <c r="L279" s="100">
        <v>5</v>
      </c>
    </row>
    <row r="280" spans="1:12">
      <c r="A280" s="112">
        <v>48000044</v>
      </c>
      <c r="B280" s="102">
        <v>45793</v>
      </c>
      <c r="C280" s="112" t="s">
        <v>118</v>
      </c>
      <c r="D280" s="112" t="s">
        <v>153</v>
      </c>
      <c r="E280" s="114" t="s">
        <v>154</v>
      </c>
      <c r="F280" s="112">
        <v>1</v>
      </c>
      <c r="G280" s="100">
        <v>1</v>
      </c>
      <c r="H280" s="100" t="s">
        <v>3968</v>
      </c>
      <c r="I280" s="117"/>
      <c r="J280" s="67" t="s">
        <v>3969</v>
      </c>
      <c r="K280" s="67" t="s">
        <v>3990</v>
      </c>
      <c r="L280" s="100">
        <v>5</v>
      </c>
    </row>
    <row r="281" spans="1:12">
      <c r="A281" s="97">
        <v>50110229</v>
      </c>
      <c r="B281" s="96">
        <v>45793</v>
      </c>
      <c r="C281" s="97" t="s">
        <v>109</v>
      </c>
      <c r="D281" s="97" t="s">
        <v>1293</v>
      </c>
      <c r="E281" s="142" t="s">
        <v>1294</v>
      </c>
      <c r="F281" s="97">
        <v>1</v>
      </c>
      <c r="G281" s="98">
        <v>1</v>
      </c>
      <c r="H281" s="98" t="s">
        <v>3968</v>
      </c>
      <c r="I281" s="122"/>
      <c r="J281" s="71" t="s">
        <v>3969</v>
      </c>
      <c r="K281" s="71" t="s">
        <v>3990</v>
      </c>
      <c r="L281" s="100">
        <v>5</v>
      </c>
    </row>
    <row r="282" spans="1:12">
      <c r="A282" s="112">
        <v>51000136</v>
      </c>
      <c r="B282" s="102">
        <v>45793</v>
      </c>
      <c r="C282" s="112" t="s">
        <v>103</v>
      </c>
      <c r="D282" s="112" t="s">
        <v>597</v>
      </c>
      <c r="E282" s="114" t="s">
        <v>1297</v>
      </c>
      <c r="F282" s="162">
        <v>1</v>
      </c>
      <c r="G282" s="110">
        <v>1</v>
      </c>
      <c r="H282" s="110" t="s">
        <v>3968</v>
      </c>
      <c r="I282" s="131"/>
      <c r="J282" s="132" t="s">
        <v>3969</v>
      </c>
      <c r="K282" s="132" t="s">
        <v>3990</v>
      </c>
      <c r="L282" s="100">
        <v>5</v>
      </c>
    </row>
    <row r="283" spans="1:12">
      <c r="A283" s="112">
        <v>51000136</v>
      </c>
      <c r="B283" s="102">
        <v>45793</v>
      </c>
      <c r="C283" s="112" t="s">
        <v>103</v>
      </c>
      <c r="D283" s="112" t="s">
        <v>1298</v>
      </c>
      <c r="E283" s="114" t="s">
        <v>1299</v>
      </c>
      <c r="F283" s="162">
        <v>1</v>
      </c>
      <c r="G283" s="100">
        <v>1</v>
      </c>
      <c r="H283" s="100" t="s">
        <v>3968</v>
      </c>
      <c r="I283" s="113"/>
      <c r="J283" s="100" t="s">
        <v>3969</v>
      </c>
      <c r="K283" s="100" t="s">
        <v>3990</v>
      </c>
      <c r="L283" s="100">
        <v>5</v>
      </c>
    </row>
    <row r="284" spans="1:12">
      <c r="A284" s="112">
        <v>50110193</v>
      </c>
      <c r="B284" s="102">
        <v>45797</v>
      </c>
      <c r="C284" s="112" t="s">
        <v>33</v>
      </c>
      <c r="D284" s="112" t="s">
        <v>1302</v>
      </c>
      <c r="E284" s="114" t="s">
        <v>1303</v>
      </c>
      <c r="F284" s="162">
        <v>1</v>
      </c>
      <c r="G284" s="100">
        <v>1</v>
      </c>
      <c r="H284" s="100" t="s">
        <v>3968</v>
      </c>
      <c r="I284" s="113"/>
      <c r="J284" s="100" t="s">
        <v>3969</v>
      </c>
      <c r="K284" s="100" t="s">
        <v>3990</v>
      </c>
      <c r="L284" s="100">
        <v>5</v>
      </c>
    </row>
    <row r="285" spans="1:12">
      <c r="A285" s="112">
        <v>50110372</v>
      </c>
      <c r="B285" s="102">
        <v>45797</v>
      </c>
      <c r="C285" s="112" t="s">
        <v>73</v>
      </c>
      <c r="D285" s="112" t="s">
        <v>1306</v>
      </c>
      <c r="E285" s="114" t="s">
        <v>1307</v>
      </c>
      <c r="F285" s="162">
        <v>1</v>
      </c>
      <c r="G285" s="100">
        <v>1</v>
      </c>
      <c r="H285" s="100" t="s">
        <v>3968</v>
      </c>
      <c r="I285" s="113"/>
      <c r="J285" s="100" t="s">
        <v>3969</v>
      </c>
      <c r="K285" s="100" t="s">
        <v>3990</v>
      </c>
      <c r="L285" s="100">
        <v>5</v>
      </c>
    </row>
    <row r="286" spans="1:12">
      <c r="A286" s="112">
        <v>44000216</v>
      </c>
      <c r="B286" s="102">
        <v>45797</v>
      </c>
      <c r="C286" s="112" t="s">
        <v>54</v>
      </c>
      <c r="D286" s="112" t="s">
        <v>736</v>
      </c>
      <c r="E286" s="114" t="s">
        <v>1310</v>
      </c>
      <c r="F286" s="162">
        <v>1</v>
      </c>
      <c r="G286" s="100">
        <v>1</v>
      </c>
      <c r="H286" s="100" t="s">
        <v>3968</v>
      </c>
      <c r="I286" s="113"/>
      <c r="J286" s="100" t="s">
        <v>3969</v>
      </c>
      <c r="K286" s="100" t="s">
        <v>3990</v>
      </c>
      <c r="L286" s="100">
        <v>5</v>
      </c>
    </row>
    <row r="287" spans="1:12">
      <c r="A287" s="112">
        <v>50110372</v>
      </c>
      <c r="B287" s="102">
        <v>45800</v>
      </c>
      <c r="C287" s="112" t="s">
        <v>73</v>
      </c>
      <c r="D287" s="112" t="s">
        <v>80</v>
      </c>
      <c r="E287" s="114" t="s">
        <v>907</v>
      </c>
      <c r="F287" s="162">
        <v>1</v>
      </c>
      <c r="G287" s="100">
        <v>1</v>
      </c>
      <c r="H287" s="100" t="s">
        <v>3968</v>
      </c>
      <c r="I287" s="113"/>
      <c r="J287" s="100" t="s">
        <v>3969</v>
      </c>
      <c r="K287" s="100" t="s">
        <v>3990</v>
      </c>
      <c r="L287" s="100">
        <v>5</v>
      </c>
    </row>
    <row r="288" spans="1:12">
      <c r="A288" s="112">
        <v>50110057</v>
      </c>
      <c r="B288" s="102">
        <v>45803</v>
      </c>
      <c r="C288" s="112" t="s">
        <v>181</v>
      </c>
      <c r="D288" s="112" t="s">
        <v>1315</v>
      </c>
      <c r="E288" s="114" t="s">
        <v>1316</v>
      </c>
      <c r="F288" s="162">
        <v>1</v>
      </c>
      <c r="G288" s="100">
        <v>1</v>
      </c>
      <c r="H288" s="100" t="s">
        <v>3968</v>
      </c>
      <c r="I288" s="113"/>
      <c r="J288" s="100" t="s">
        <v>3969</v>
      </c>
      <c r="K288" s="100" t="s">
        <v>3990</v>
      </c>
      <c r="L288" s="100">
        <v>5</v>
      </c>
    </row>
    <row r="289" spans="1:12">
      <c r="A289" s="112">
        <v>50000530</v>
      </c>
      <c r="B289" s="102">
        <v>45803</v>
      </c>
      <c r="C289" s="112" t="s">
        <v>79</v>
      </c>
      <c r="D289" s="112" t="s">
        <v>879</v>
      </c>
      <c r="E289" s="114" t="s">
        <v>1320</v>
      </c>
      <c r="F289" s="162">
        <v>2</v>
      </c>
      <c r="G289" s="100">
        <v>1</v>
      </c>
      <c r="H289" s="100" t="s">
        <v>3968</v>
      </c>
      <c r="I289" s="113"/>
      <c r="J289" s="100" t="s">
        <v>3969</v>
      </c>
      <c r="K289" s="100" t="s">
        <v>3990</v>
      </c>
      <c r="L289" s="100">
        <v>5</v>
      </c>
    </row>
    <row r="290" spans="1:12">
      <c r="A290" s="112">
        <v>50000530</v>
      </c>
      <c r="B290" s="102">
        <v>45803</v>
      </c>
      <c r="C290" s="112" t="s">
        <v>79</v>
      </c>
      <c r="D290" s="112" t="s">
        <v>1174</v>
      </c>
      <c r="E290" s="114" t="s">
        <v>1322</v>
      </c>
      <c r="F290" s="162">
        <v>4</v>
      </c>
      <c r="G290" s="100">
        <v>2</v>
      </c>
      <c r="H290" s="100" t="s">
        <v>3968</v>
      </c>
      <c r="I290" s="113"/>
      <c r="J290" s="100" t="s">
        <v>3969</v>
      </c>
      <c r="K290" s="100" t="s">
        <v>3990</v>
      </c>
      <c r="L290" s="100">
        <v>5</v>
      </c>
    </row>
    <row r="291" spans="1:12">
      <c r="A291" s="112">
        <v>47100399</v>
      </c>
      <c r="B291" s="102">
        <v>45803</v>
      </c>
      <c r="C291" s="112" t="s">
        <v>233</v>
      </c>
      <c r="D291" s="112" t="s">
        <v>1325</v>
      </c>
      <c r="E291" s="114" t="s">
        <v>1326</v>
      </c>
      <c r="F291" s="162">
        <v>2</v>
      </c>
      <c r="G291" s="100">
        <v>4</v>
      </c>
      <c r="H291" s="100" t="s">
        <v>3968</v>
      </c>
      <c r="I291" s="113"/>
      <c r="J291" s="100" t="s">
        <v>3969</v>
      </c>
      <c r="K291" s="100" t="s">
        <v>3990</v>
      </c>
      <c r="L291" s="100">
        <v>5</v>
      </c>
    </row>
    <row r="292" spans="1:12">
      <c r="A292" s="112">
        <v>50110229</v>
      </c>
      <c r="B292" s="102">
        <v>45799</v>
      </c>
      <c r="C292" s="112" t="s">
        <v>109</v>
      </c>
      <c r="D292" s="112" t="s">
        <v>94</v>
      </c>
      <c r="E292" s="114" t="s">
        <v>1118</v>
      </c>
      <c r="F292" s="162">
        <v>1</v>
      </c>
      <c r="G292" s="100">
        <v>2</v>
      </c>
      <c r="H292" s="100" t="s">
        <v>3968</v>
      </c>
      <c r="I292" s="113"/>
      <c r="J292" s="100" t="s">
        <v>3969</v>
      </c>
      <c r="K292" s="100" t="s">
        <v>3990</v>
      </c>
      <c r="L292" s="100">
        <v>5</v>
      </c>
    </row>
    <row r="293" spans="1:12">
      <c r="A293" s="112">
        <v>60002072</v>
      </c>
      <c r="B293" s="102">
        <v>45803</v>
      </c>
      <c r="C293" s="112" t="s">
        <v>202</v>
      </c>
      <c r="D293" s="112" t="s">
        <v>1331</v>
      </c>
      <c r="E293" s="114" t="s">
        <v>1332</v>
      </c>
      <c r="F293" s="162">
        <v>1</v>
      </c>
      <c r="G293" s="100">
        <v>1</v>
      </c>
      <c r="H293" s="100" t="s">
        <v>3968</v>
      </c>
      <c r="I293" s="113"/>
      <c r="J293" s="100" t="s">
        <v>3969</v>
      </c>
      <c r="K293" s="100" t="s">
        <v>3990</v>
      </c>
      <c r="L293" s="100">
        <v>5</v>
      </c>
    </row>
    <row r="294" spans="1:12">
      <c r="A294" s="112">
        <v>60002072</v>
      </c>
      <c r="B294" s="102">
        <v>45803</v>
      </c>
      <c r="C294" s="112" t="s">
        <v>202</v>
      </c>
      <c r="D294" s="112" t="s">
        <v>1331</v>
      </c>
      <c r="E294" s="114" t="s">
        <v>1332</v>
      </c>
      <c r="F294" s="162">
        <v>1</v>
      </c>
      <c r="G294" s="100">
        <v>1</v>
      </c>
      <c r="H294" s="100" t="s">
        <v>3968</v>
      </c>
      <c r="I294" s="113"/>
      <c r="J294" s="100" t="s">
        <v>3969</v>
      </c>
      <c r="K294" s="100" t="s">
        <v>3990</v>
      </c>
      <c r="L294" s="100">
        <v>5</v>
      </c>
    </row>
    <row r="295" spans="1:12">
      <c r="A295" s="112">
        <v>51000323</v>
      </c>
      <c r="B295" s="102">
        <v>45803</v>
      </c>
      <c r="C295" s="112" t="s">
        <v>103</v>
      </c>
      <c r="D295" s="112" t="s">
        <v>158</v>
      </c>
      <c r="E295" s="114" t="s">
        <v>159</v>
      </c>
      <c r="F295" s="162">
        <v>1</v>
      </c>
      <c r="G295" s="100">
        <v>1</v>
      </c>
      <c r="H295" s="100" t="s">
        <v>3968</v>
      </c>
      <c r="I295" s="113"/>
      <c r="J295" s="100" t="s">
        <v>3969</v>
      </c>
      <c r="K295" s="100" t="s">
        <v>3990</v>
      </c>
      <c r="L295" s="100">
        <v>5</v>
      </c>
    </row>
    <row r="296" spans="1:12">
      <c r="A296" s="112">
        <v>48500556</v>
      </c>
      <c r="B296" s="102">
        <v>45804</v>
      </c>
      <c r="C296" s="112" t="s">
        <v>1339</v>
      </c>
      <c r="D296" s="112" t="s">
        <v>1340</v>
      </c>
      <c r="E296" s="114" t="s">
        <v>1341</v>
      </c>
      <c r="F296" s="162">
        <v>1</v>
      </c>
      <c r="G296" s="100">
        <v>1</v>
      </c>
      <c r="H296" s="100" t="s">
        <v>3968</v>
      </c>
      <c r="I296" s="113"/>
      <c r="J296" s="100" t="s">
        <v>3969</v>
      </c>
      <c r="K296" s="100" t="s">
        <v>3990</v>
      </c>
      <c r="L296" s="100">
        <v>5</v>
      </c>
    </row>
    <row r="297" spans="1:12">
      <c r="A297" s="112">
        <v>48300375</v>
      </c>
      <c r="B297" s="102">
        <v>45804</v>
      </c>
      <c r="C297" s="112" t="s">
        <v>4016</v>
      </c>
      <c r="D297" s="112" t="s">
        <v>304</v>
      </c>
      <c r="E297" s="114" t="s">
        <v>1344</v>
      </c>
      <c r="F297" s="162">
        <v>1</v>
      </c>
      <c r="G297" s="100">
        <v>1</v>
      </c>
      <c r="H297" s="100" t="s">
        <v>3968</v>
      </c>
      <c r="I297" s="113"/>
      <c r="J297" s="100" t="s">
        <v>3969</v>
      </c>
      <c r="K297" s="100" t="s">
        <v>3990</v>
      </c>
      <c r="L297" s="100">
        <v>5</v>
      </c>
    </row>
    <row r="298" spans="1:12">
      <c r="A298" s="112">
        <v>48300253</v>
      </c>
      <c r="B298" s="102">
        <v>45804</v>
      </c>
      <c r="C298" s="112" t="s">
        <v>4081</v>
      </c>
      <c r="D298" s="112" t="s">
        <v>1348</v>
      </c>
      <c r="E298" s="114" t="s">
        <v>1349</v>
      </c>
      <c r="F298" s="162">
        <v>1</v>
      </c>
      <c r="G298" s="100">
        <v>1</v>
      </c>
      <c r="H298" s="100" t="s">
        <v>3968</v>
      </c>
      <c r="I298" s="113"/>
      <c r="J298" s="100" t="s">
        <v>3969</v>
      </c>
      <c r="K298" s="100" t="s">
        <v>3990</v>
      </c>
      <c r="L298" s="100">
        <v>5</v>
      </c>
    </row>
    <row r="299" spans="1:12">
      <c r="A299" s="112">
        <v>50300129</v>
      </c>
      <c r="B299" s="102">
        <v>45804</v>
      </c>
      <c r="C299" s="112" t="s">
        <v>780</v>
      </c>
      <c r="D299" s="112" t="s">
        <v>1352</v>
      </c>
      <c r="E299" s="114" t="s">
        <v>4082</v>
      </c>
      <c r="F299" s="162">
        <v>1</v>
      </c>
      <c r="G299" s="100">
        <v>1</v>
      </c>
      <c r="H299" s="100" t="s">
        <v>3968</v>
      </c>
      <c r="I299" s="113"/>
      <c r="J299" s="100" t="s">
        <v>3969</v>
      </c>
      <c r="K299" s="100" t="s">
        <v>3990</v>
      </c>
      <c r="L299" s="100">
        <v>5</v>
      </c>
    </row>
    <row r="300" spans="1:12">
      <c r="A300" s="112">
        <v>50300129</v>
      </c>
      <c r="B300" s="102">
        <v>45804</v>
      </c>
      <c r="C300" s="112" t="s">
        <v>780</v>
      </c>
      <c r="D300" s="112" t="s">
        <v>1354</v>
      </c>
      <c r="E300" s="114" t="s">
        <v>1355</v>
      </c>
      <c r="F300" s="162">
        <v>1</v>
      </c>
      <c r="G300" s="100">
        <v>1</v>
      </c>
      <c r="H300" s="100" t="s">
        <v>3968</v>
      </c>
      <c r="I300" s="113"/>
      <c r="J300" s="100" t="s">
        <v>3969</v>
      </c>
      <c r="K300" s="100" t="s">
        <v>3990</v>
      </c>
      <c r="L300" s="100">
        <v>5</v>
      </c>
    </row>
    <row r="301" spans="1:12">
      <c r="A301" s="112">
        <v>50300129</v>
      </c>
      <c r="B301" s="102">
        <v>45804</v>
      </c>
      <c r="C301" s="112" t="s">
        <v>780</v>
      </c>
      <c r="D301" s="112" t="s">
        <v>1356</v>
      </c>
      <c r="E301" s="114" t="s">
        <v>1357</v>
      </c>
      <c r="F301" s="162">
        <v>1</v>
      </c>
      <c r="G301" s="100">
        <v>1</v>
      </c>
      <c r="H301" s="100" t="s">
        <v>3968</v>
      </c>
      <c r="I301" s="113"/>
      <c r="J301" s="100" t="s">
        <v>3969</v>
      </c>
      <c r="K301" s="100" t="s">
        <v>3990</v>
      </c>
      <c r="L301" s="100">
        <v>5</v>
      </c>
    </row>
    <row r="302" spans="1:12">
      <c r="A302" s="112">
        <v>50300129</v>
      </c>
      <c r="B302" s="102">
        <v>45804</v>
      </c>
      <c r="C302" s="112" t="s">
        <v>780</v>
      </c>
      <c r="D302" s="112" t="s">
        <v>1358</v>
      </c>
      <c r="E302" s="114" t="s">
        <v>1359</v>
      </c>
      <c r="F302" s="162">
        <v>1</v>
      </c>
      <c r="G302" s="100">
        <v>1</v>
      </c>
      <c r="H302" s="100" t="s">
        <v>3968</v>
      </c>
      <c r="I302" s="113"/>
      <c r="J302" s="100" t="s">
        <v>3969</v>
      </c>
      <c r="K302" s="100" t="s">
        <v>3990</v>
      </c>
      <c r="L302" s="100">
        <v>5</v>
      </c>
    </row>
    <row r="303" spans="1:12">
      <c r="A303" s="112">
        <v>50110057</v>
      </c>
      <c r="B303" s="102">
        <v>45805</v>
      </c>
      <c r="C303" s="112" t="s">
        <v>181</v>
      </c>
      <c r="D303" s="112" t="s">
        <v>1362</v>
      </c>
      <c r="E303" s="114" t="s">
        <v>1363</v>
      </c>
      <c r="F303" s="162">
        <v>1</v>
      </c>
      <c r="G303" s="98">
        <v>1</v>
      </c>
      <c r="H303" s="98" t="s">
        <v>3968</v>
      </c>
      <c r="I303" s="99"/>
      <c r="J303" s="98" t="s">
        <v>3969</v>
      </c>
      <c r="K303" s="98" t="s">
        <v>3990</v>
      </c>
      <c r="L303" s="100">
        <v>5</v>
      </c>
    </row>
    <row r="304" spans="1:12">
      <c r="A304" s="112">
        <v>50110261</v>
      </c>
      <c r="B304" s="102">
        <v>45805</v>
      </c>
      <c r="C304" s="112" t="s">
        <v>225</v>
      </c>
      <c r="D304" s="112" t="s">
        <v>1366</v>
      </c>
      <c r="E304" s="114" t="s">
        <v>1175</v>
      </c>
      <c r="F304" s="162">
        <v>4</v>
      </c>
      <c r="G304" s="100">
        <v>0</v>
      </c>
      <c r="H304" s="100" t="s">
        <v>3968</v>
      </c>
      <c r="I304" s="113"/>
      <c r="J304" s="100" t="s">
        <v>3969</v>
      </c>
      <c r="K304" s="100" t="s">
        <v>3990</v>
      </c>
      <c r="L304" s="100">
        <v>5</v>
      </c>
    </row>
    <row r="305" spans="1:12">
      <c r="A305" s="97">
        <v>50110261</v>
      </c>
      <c r="B305" s="96">
        <v>45806</v>
      </c>
      <c r="C305" s="97" t="s">
        <v>225</v>
      </c>
      <c r="D305" s="97" t="s">
        <v>80</v>
      </c>
      <c r="E305" s="142" t="s">
        <v>81</v>
      </c>
      <c r="F305" s="163">
        <v>1</v>
      </c>
      <c r="G305" s="98">
        <v>1</v>
      </c>
      <c r="H305" s="98" t="s">
        <v>3968</v>
      </c>
      <c r="I305" s="99"/>
      <c r="J305" s="98" t="s">
        <v>3969</v>
      </c>
      <c r="K305" s="98" t="s">
        <v>3990</v>
      </c>
      <c r="L305" s="100">
        <v>5</v>
      </c>
    </row>
    <row r="308" spans="1:12">
      <c r="G308" s="75"/>
    </row>
  </sheetData>
  <dataValidations count="2">
    <dataValidation type="date" allowBlank="1" showInputMessage="1" showErrorMessage="1" sqref="B250:B291 B293:B305" xr:uid="{DCB08EE9-6BE2-43CF-A129-0CA2140AD96F}">
      <formula1>44927</formula1>
      <formula2>46387</formula2>
    </dataValidation>
    <dataValidation type="date" allowBlank="1" showInputMessage="1" showErrorMessage="1" sqref="B244:B249" xr:uid="{3E65DFF8-BCFD-4910-A54D-5FE0716500ED}">
      <formula1>45292</formula1>
      <formula2>46387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4B0775-69D6-4E39-8804-BFB15D6812F0}">
          <x14:formula1>
            <xm:f>DB!$E$2:$E$3</xm:f>
          </x14:formula1>
          <xm:sqref>K131 J90:K112 K4:K89</xm:sqref>
        </x14:dataValidation>
        <x14:dataValidation type="list" allowBlank="1" showInputMessage="1" showErrorMessage="1" xr:uid="{37A55711-F6AD-4CD1-82E2-052125626ABC}">
          <x14:formula1>
            <xm:f>DB!$C$2:$C$3</xm:f>
          </x14:formula1>
          <xm:sqref>H90:H112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18CD-CB7B-4AC9-BE32-E3ABB31B7ED1}">
  <dimension ref="A1:L89"/>
  <sheetViews>
    <sheetView workbookViewId="0"/>
  </sheetViews>
  <sheetFormatPr defaultRowHeight="14.45"/>
  <cols>
    <col min="1" max="1" width="34.85546875" bestFit="1" customWidth="1"/>
    <col min="2" max="2" width="13.140625" bestFit="1" customWidth="1"/>
    <col min="3" max="3" width="18" bestFit="1" customWidth="1"/>
    <col min="4" max="4" width="15" bestFit="1" customWidth="1"/>
    <col min="5" max="5" width="50.140625" bestFit="1" customWidth="1"/>
    <col min="6" max="6" width="18.855468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5.7109375" bestFit="1" customWidth="1"/>
    <col min="11" max="11" width="23.140625" bestFit="1" customWidth="1"/>
  </cols>
  <sheetData>
    <row r="1" spans="1:12">
      <c r="A1" s="73" t="s">
        <v>4163</v>
      </c>
    </row>
    <row r="3" spans="1:12">
      <c r="A3" t="s">
        <v>3979</v>
      </c>
      <c r="B3" t="s">
        <v>3980</v>
      </c>
      <c r="C3" t="s">
        <v>3981</v>
      </c>
      <c r="D3" t="s">
        <v>3982</v>
      </c>
      <c r="E3" t="s">
        <v>3983</v>
      </c>
      <c r="F3" t="s">
        <v>3984</v>
      </c>
      <c r="G3" t="s">
        <v>3985</v>
      </c>
      <c r="H3" t="s">
        <v>3986</v>
      </c>
      <c r="I3" t="s">
        <v>3987</v>
      </c>
      <c r="J3" t="s">
        <v>3988</v>
      </c>
      <c r="K3" t="s">
        <v>3989</v>
      </c>
      <c r="L3" t="s">
        <v>26</v>
      </c>
    </row>
    <row r="4" spans="1:12">
      <c r="A4">
        <v>41000142</v>
      </c>
      <c r="B4" s="72">
        <v>45716</v>
      </c>
      <c r="C4" t="s">
        <v>192</v>
      </c>
      <c r="D4" t="s">
        <v>654</v>
      </c>
      <c r="E4" t="s">
        <v>655</v>
      </c>
      <c r="F4">
        <v>1</v>
      </c>
      <c r="G4">
        <v>1</v>
      </c>
      <c r="H4" t="s">
        <v>3968</v>
      </c>
      <c r="I4" s="72">
        <v>45623</v>
      </c>
      <c r="J4" t="s">
        <v>3969</v>
      </c>
      <c r="K4" t="s">
        <v>3977</v>
      </c>
      <c r="L4">
        <v>2</v>
      </c>
    </row>
    <row r="5" spans="1:12">
      <c r="A5" t="s">
        <v>641</v>
      </c>
      <c r="B5" s="72">
        <v>45716</v>
      </c>
      <c r="C5" t="s">
        <v>639</v>
      </c>
      <c r="D5" t="s">
        <v>648</v>
      </c>
      <c r="E5" t="s">
        <v>649</v>
      </c>
      <c r="F5">
        <v>1</v>
      </c>
      <c r="G5">
        <v>0</v>
      </c>
      <c r="H5" t="s">
        <v>3971</v>
      </c>
      <c r="J5" t="s">
        <v>3969</v>
      </c>
      <c r="K5" t="s">
        <v>3977</v>
      </c>
      <c r="L5">
        <v>2</v>
      </c>
    </row>
    <row r="6" spans="1:12">
      <c r="A6" t="s">
        <v>641</v>
      </c>
      <c r="B6" s="72">
        <v>45716</v>
      </c>
      <c r="C6" t="s">
        <v>639</v>
      </c>
      <c r="D6" t="s">
        <v>645</v>
      </c>
      <c r="E6" t="s">
        <v>4028</v>
      </c>
      <c r="F6">
        <v>1</v>
      </c>
      <c r="G6">
        <v>0</v>
      </c>
      <c r="H6" t="s">
        <v>3971</v>
      </c>
      <c r="J6" t="s">
        <v>3969</v>
      </c>
      <c r="K6" t="s">
        <v>3977</v>
      </c>
      <c r="L6">
        <v>2</v>
      </c>
    </row>
    <row r="7" spans="1:12">
      <c r="A7" t="s">
        <v>641</v>
      </c>
      <c r="B7" s="72">
        <v>45716</v>
      </c>
      <c r="C7" t="s">
        <v>639</v>
      </c>
      <c r="D7" t="s">
        <v>326</v>
      </c>
      <c r="E7" t="s">
        <v>4027</v>
      </c>
      <c r="F7">
        <v>1</v>
      </c>
      <c r="G7">
        <v>1</v>
      </c>
      <c r="H7" t="s">
        <v>3968</v>
      </c>
      <c r="I7" s="72">
        <v>45713</v>
      </c>
      <c r="J7" t="s">
        <v>3969</v>
      </c>
      <c r="K7" t="s">
        <v>3977</v>
      </c>
      <c r="L7">
        <v>2</v>
      </c>
    </row>
    <row r="8" spans="1:12">
      <c r="A8" t="s">
        <v>641</v>
      </c>
      <c r="B8" s="72">
        <v>45716</v>
      </c>
      <c r="C8" t="s">
        <v>639</v>
      </c>
      <c r="D8" t="s">
        <v>642</v>
      </c>
      <c r="E8" t="s">
        <v>4026</v>
      </c>
      <c r="F8">
        <v>1</v>
      </c>
      <c r="G8">
        <v>1</v>
      </c>
      <c r="H8" t="s">
        <v>3968</v>
      </c>
      <c r="I8" s="72">
        <v>45713</v>
      </c>
      <c r="J8" t="s">
        <v>3969</v>
      </c>
      <c r="K8" t="s">
        <v>3977</v>
      </c>
      <c r="L8">
        <v>2</v>
      </c>
    </row>
    <row r="9" spans="1:12">
      <c r="A9">
        <v>50000202</v>
      </c>
      <c r="B9" s="72">
        <v>45715</v>
      </c>
      <c r="C9" t="s">
        <v>93</v>
      </c>
      <c r="D9" t="s">
        <v>495</v>
      </c>
      <c r="E9" t="s">
        <v>635</v>
      </c>
      <c r="F9">
        <v>2</v>
      </c>
      <c r="G9">
        <v>2</v>
      </c>
      <c r="H9" t="s">
        <v>3968</v>
      </c>
      <c r="I9" s="72">
        <v>45715</v>
      </c>
      <c r="J9" t="s">
        <v>3969</v>
      </c>
      <c r="K9" t="s">
        <v>3977</v>
      </c>
      <c r="L9">
        <v>2</v>
      </c>
    </row>
    <row r="10" spans="1:12">
      <c r="A10">
        <v>50000202</v>
      </c>
      <c r="B10" s="72">
        <v>45715</v>
      </c>
      <c r="C10" t="s">
        <v>93</v>
      </c>
      <c r="D10" t="s">
        <v>130</v>
      </c>
      <c r="E10" t="s">
        <v>633</v>
      </c>
      <c r="F10">
        <v>2</v>
      </c>
      <c r="G10">
        <v>2</v>
      </c>
      <c r="H10" t="s">
        <v>3968</v>
      </c>
      <c r="I10" s="72">
        <v>45714</v>
      </c>
      <c r="J10" t="s">
        <v>3969</v>
      </c>
      <c r="K10" t="s">
        <v>3977</v>
      </c>
      <c r="L10">
        <v>2</v>
      </c>
    </row>
    <row r="11" spans="1:12">
      <c r="A11">
        <v>50000260</v>
      </c>
      <c r="B11" s="72">
        <v>45715</v>
      </c>
      <c r="C11" t="s">
        <v>85</v>
      </c>
      <c r="D11" t="s">
        <v>80</v>
      </c>
      <c r="E11" t="s">
        <v>81</v>
      </c>
      <c r="F11">
        <v>1</v>
      </c>
      <c r="G11">
        <v>1</v>
      </c>
      <c r="H11" t="s">
        <v>3968</v>
      </c>
      <c r="I11" s="72">
        <v>45713</v>
      </c>
      <c r="J11" t="s">
        <v>3969</v>
      </c>
      <c r="K11" t="s">
        <v>3977</v>
      </c>
      <c r="L11">
        <v>2</v>
      </c>
    </row>
    <row r="12" spans="1:12">
      <c r="A12">
        <v>50000260</v>
      </c>
      <c r="B12" s="72">
        <v>45715</v>
      </c>
      <c r="C12" t="s">
        <v>85</v>
      </c>
      <c r="D12" t="s">
        <v>629</v>
      </c>
      <c r="E12" t="s">
        <v>630</v>
      </c>
      <c r="F12">
        <v>1</v>
      </c>
      <c r="G12">
        <v>1</v>
      </c>
      <c r="H12" t="s">
        <v>3968</v>
      </c>
      <c r="I12" s="72">
        <v>45713</v>
      </c>
      <c r="J12" t="s">
        <v>3969</v>
      </c>
      <c r="K12" t="s">
        <v>3977</v>
      </c>
      <c r="L12">
        <v>2</v>
      </c>
    </row>
    <row r="13" spans="1:12">
      <c r="A13">
        <v>50300141</v>
      </c>
      <c r="B13" s="72">
        <v>45715</v>
      </c>
      <c r="C13" t="s">
        <v>402</v>
      </c>
      <c r="D13" t="s">
        <v>624</v>
      </c>
      <c r="E13" t="s">
        <v>625</v>
      </c>
      <c r="F13">
        <v>1</v>
      </c>
      <c r="G13">
        <v>1</v>
      </c>
      <c r="H13" t="s">
        <v>3968</v>
      </c>
      <c r="I13" s="72">
        <v>45709</v>
      </c>
      <c r="J13" t="s">
        <v>3969</v>
      </c>
      <c r="K13" t="s">
        <v>3977</v>
      </c>
      <c r="L13">
        <v>2</v>
      </c>
    </row>
    <row r="14" spans="1:12">
      <c r="A14">
        <v>50000530</v>
      </c>
      <c r="B14" s="72">
        <v>45715</v>
      </c>
      <c r="C14" t="s">
        <v>79</v>
      </c>
      <c r="D14" t="s">
        <v>619</v>
      </c>
      <c r="E14" t="s">
        <v>620</v>
      </c>
      <c r="F14">
        <v>1</v>
      </c>
      <c r="G14">
        <v>1</v>
      </c>
      <c r="H14" t="s">
        <v>3968</v>
      </c>
      <c r="I14" s="72">
        <v>45713</v>
      </c>
      <c r="J14" t="s">
        <v>3969</v>
      </c>
      <c r="K14" t="s">
        <v>3977</v>
      </c>
      <c r="L14">
        <v>2</v>
      </c>
    </row>
    <row r="15" spans="1:12">
      <c r="A15" t="s">
        <v>609</v>
      </c>
      <c r="B15" s="72">
        <v>45715</v>
      </c>
      <c r="C15" t="s">
        <v>4025</v>
      </c>
      <c r="D15" t="s">
        <v>610</v>
      </c>
      <c r="E15" t="s">
        <v>611</v>
      </c>
      <c r="F15">
        <v>1</v>
      </c>
      <c r="G15">
        <v>1</v>
      </c>
      <c r="H15" t="s">
        <v>3968</v>
      </c>
      <c r="I15" s="72">
        <v>45679</v>
      </c>
      <c r="J15" t="s">
        <v>3969</v>
      </c>
      <c r="K15" t="s">
        <v>3977</v>
      </c>
      <c r="L15">
        <v>2</v>
      </c>
    </row>
    <row r="16" spans="1:12">
      <c r="A16">
        <v>51000323</v>
      </c>
      <c r="B16" s="72">
        <v>45715</v>
      </c>
      <c r="C16" t="s">
        <v>103</v>
      </c>
      <c r="D16" t="s">
        <v>605</v>
      </c>
      <c r="E16" t="s">
        <v>606</v>
      </c>
      <c r="F16">
        <v>1</v>
      </c>
      <c r="G16">
        <v>1</v>
      </c>
      <c r="H16" t="s">
        <v>3968</v>
      </c>
      <c r="J16" t="s">
        <v>3972</v>
      </c>
      <c r="K16" t="s">
        <v>3977</v>
      </c>
      <c r="L16">
        <v>2</v>
      </c>
    </row>
    <row r="17" spans="1:12">
      <c r="A17">
        <v>51000323</v>
      </c>
      <c r="B17" s="72">
        <v>45715</v>
      </c>
      <c r="C17" t="s">
        <v>103</v>
      </c>
      <c r="D17" t="s">
        <v>603</v>
      </c>
      <c r="E17" t="s">
        <v>604</v>
      </c>
      <c r="F17">
        <v>1</v>
      </c>
      <c r="G17">
        <v>1</v>
      </c>
      <c r="H17" t="s">
        <v>3968</v>
      </c>
      <c r="I17" s="72">
        <v>45715</v>
      </c>
      <c r="J17" t="s">
        <v>3969</v>
      </c>
      <c r="K17" t="s">
        <v>3977</v>
      </c>
      <c r="L17">
        <v>2</v>
      </c>
    </row>
    <row r="18" spans="1:12">
      <c r="A18">
        <v>51000136</v>
      </c>
      <c r="B18" s="72">
        <v>45715</v>
      </c>
      <c r="C18" t="s">
        <v>103</v>
      </c>
      <c r="D18" t="s">
        <v>599</v>
      </c>
      <c r="E18" t="s">
        <v>600</v>
      </c>
      <c r="F18">
        <v>1</v>
      </c>
      <c r="G18">
        <v>0</v>
      </c>
      <c r="H18" t="s">
        <v>3968</v>
      </c>
      <c r="J18" t="s">
        <v>3969</v>
      </c>
      <c r="K18" t="s">
        <v>3977</v>
      </c>
      <c r="L18">
        <v>2</v>
      </c>
    </row>
    <row r="19" spans="1:12">
      <c r="A19">
        <v>51000136</v>
      </c>
      <c r="B19" s="72">
        <v>45715</v>
      </c>
      <c r="C19" t="s">
        <v>103</v>
      </c>
      <c r="D19" t="s">
        <v>597</v>
      </c>
      <c r="E19" t="s">
        <v>4024</v>
      </c>
      <c r="F19">
        <v>1</v>
      </c>
      <c r="G19">
        <v>1</v>
      </c>
      <c r="H19" t="s">
        <v>3968</v>
      </c>
      <c r="I19" s="72">
        <v>45723</v>
      </c>
      <c r="J19" t="s">
        <v>3969</v>
      </c>
      <c r="K19" t="s">
        <v>3977</v>
      </c>
      <c r="L19">
        <v>2</v>
      </c>
    </row>
    <row r="20" spans="1:12">
      <c r="A20">
        <v>51000136</v>
      </c>
      <c r="B20" s="72">
        <v>45715</v>
      </c>
      <c r="C20" t="s">
        <v>103</v>
      </c>
      <c r="D20" t="s">
        <v>595</v>
      </c>
      <c r="E20" t="s">
        <v>596</v>
      </c>
      <c r="F20">
        <v>1</v>
      </c>
      <c r="G20">
        <v>1</v>
      </c>
      <c r="H20" t="s">
        <v>3968</v>
      </c>
      <c r="I20" s="72">
        <v>45723</v>
      </c>
      <c r="J20" t="s">
        <v>3969</v>
      </c>
      <c r="K20" t="s">
        <v>3977</v>
      </c>
      <c r="L20">
        <v>2</v>
      </c>
    </row>
    <row r="21" spans="1:12">
      <c r="A21">
        <v>51000136</v>
      </c>
      <c r="B21" s="72">
        <v>45715</v>
      </c>
      <c r="C21" t="s">
        <v>103</v>
      </c>
      <c r="D21" t="s">
        <v>593</v>
      </c>
      <c r="E21" t="s">
        <v>594</v>
      </c>
      <c r="F21">
        <v>1</v>
      </c>
      <c r="G21">
        <v>1</v>
      </c>
      <c r="H21" t="s">
        <v>3968</v>
      </c>
      <c r="J21" t="s">
        <v>3972</v>
      </c>
      <c r="K21" t="s">
        <v>3977</v>
      </c>
      <c r="L21">
        <v>2</v>
      </c>
    </row>
    <row r="22" spans="1:12">
      <c r="A22">
        <v>51000136</v>
      </c>
      <c r="B22" s="72">
        <v>45715</v>
      </c>
      <c r="C22" t="s">
        <v>103</v>
      </c>
      <c r="D22" t="s">
        <v>591</v>
      </c>
      <c r="E22" t="s">
        <v>592</v>
      </c>
      <c r="F22">
        <v>1</v>
      </c>
      <c r="G22">
        <v>1</v>
      </c>
      <c r="H22" t="s">
        <v>3968</v>
      </c>
      <c r="I22" s="72">
        <v>45715</v>
      </c>
      <c r="J22" t="s">
        <v>3969</v>
      </c>
      <c r="K22" t="s">
        <v>3977</v>
      </c>
      <c r="L22">
        <v>2</v>
      </c>
    </row>
    <row r="23" spans="1:12">
      <c r="A23">
        <v>51000136</v>
      </c>
      <c r="B23" s="72">
        <v>45715</v>
      </c>
      <c r="C23" t="s">
        <v>103</v>
      </c>
      <c r="D23" t="s">
        <v>589</v>
      </c>
      <c r="E23" t="s">
        <v>590</v>
      </c>
      <c r="F23">
        <v>1</v>
      </c>
      <c r="G23">
        <v>1</v>
      </c>
      <c r="H23" t="s">
        <v>3968</v>
      </c>
      <c r="J23" t="s">
        <v>3972</v>
      </c>
      <c r="K23" t="s">
        <v>3977</v>
      </c>
      <c r="L23">
        <v>2</v>
      </c>
    </row>
    <row r="24" spans="1:12">
      <c r="A24">
        <v>50110193</v>
      </c>
      <c r="B24" s="72">
        <v>45715</v>
      </c>
      <c r="C24" t="s">
        <v>33</v>
      </c>
      <c r="D24" t="s">
        <v>4023</v>
      </c>
      <c r="E24" t="s">
        <v>36</v>
      </c>
      <c r="F24">
        <v>1</v>
      </c>
      <c r="G24">
        <v>1</v>
      </c>
      <c r="H24" t="s">
        <v>3968</v>
      </c>
      <c r="I24" s="72">
        <v>45663</v>
      </c>
      <c r="J24" t="s">
        <v>3969</v>
      </c>
      <c r="K24" t="s">
        <v>3977</v>
      </c>
      <c r="L24">
        <v>2</v>
      </c>
    </row>
    <row r="25" spans="1:12">
      <c r="A25">
        <v>60002095</v>
      </c>
      <c r="B25" s="72">
        <v>45714</v>
      </c>
      <c r="C25" t="s">
        <v>73</v>
      </c>
      <c r="D25" t="s">
        <v>578</v>
      </c>
      <c r="E25" t="s">
        <v>579</v>
      </c>
      <c r="F25">
        <v>1</v>
      </c>
      <c r="G25">
        <v>0</v>
      </c>
      <c r="H25" t="s">
        <v>3968</v>
      </c>
      <c r="J25" t="s">
        <v>3969</v>
      </c>
      <c r="K25" t="s">
        <v>3977</v>
      </c>
      <c r="L25">
        <v>2</v>
      </c>
    </row>
    <row r="26" spans="1:12">
      <c r="A26">
        <v>44000058</v>
      </c>
      <c r="B26" s="72">
        <v>45714</v>
      </c>
      <c r="C26" t="s">
        <v>569</v>
      </c>
      <c r="D26" t="s">
        <v>574</v>
      </c>
      <c r="E26" t="s">
        <v>575</v>
      </c>
      <c r="F26">
        <v>1</v>
      </c>
      <c r="G26">
        <v>1</v>
      </c>
      <c r="H26" t="s">
        <v>3968</v>
      </c>
      <c r="I26" s="72">
        <v>45714</v>
      </c>
      <c r="J26" t="s">
        <v>3969</v>
      </c>
      <c r="K26" t="s">
        <v>3977</v>
      </c>
      <c r="L26">
        <v>2</v>
      </c>
    </row>
    <row r="27" spans="1:12">
      <c r="A27">
        <v>44000058</v>
      </c>
      <c r="B27" s="72">
        <v>45714</v>
      </c>
      <c r="C27" t="s">
        <v>569</v>
      </c>
      <c r="D27" t="s">
        <v>570</v>
      </c>
      <c r="E27" t="s">
        <v>571</v>
      </c>
      <c r="F27">
        <v>1</v>
      </c>
      <c r="G27">
        <v>1</v>
      </c>
      <c r="H27" t="s">
        <v>3968</v>
      </c>
      <c r="I27" s="72">
        <v>45714</v>
      </c>
      <c r="J27" t="s">
        <v>3969</v>
      </c>
      <c r="K27" t="s">
        <v>3977</v>
      </c>
      <c r="L27">
        <v>2</v>
      </c>
    </row>
    <row r="28" spans="1:12">
      <c r="A28">
        <v>60002072</v>
      </c>
      <c r="B28" s="72">
        <v>45714</v>
      </c>
      <c r="C28" t="s">
        <v>202</v>
      </c>
      <c r="D28" t="s">
        <v>350</v>
      </c>
      <c r="E28" t="s">
        <v>351</v>
      </c>
      <c r="F28">
        <v>1</v>
      </c>
      <c r="G28">
        <v>1</v>
      </c>
      <c r="H28" t="s">
        <v>3971</v>
      </c>
      <c r="I28" s="72">
        <v>45713</v>
      </c>
      <c r="J28" t="s">
        <v>3969</v>
      </c>
      <c r="K28" t="s">
        <v>3977</v>
      </c>
      <c r="L28">
        <v>2</v>
      </c>
    </row>
    <row r="29" spans="1:12">
      <c r="A29">
        <v>50110372</v>
      </c>
      <c r="B29" s="72">
        <v>45714</v>
      </c>
      <c r="C29" t="s">
        <v>73</v>
      </c>
      <c r="D29" t="s">
        <v>215</v>
      </c>
      <c r="E29" t="s">
        <v>557</v>
      </c>
      <c r="F29">
        <v>1</v>
      </c>
      <c r="G29">
        <v>1</v>
      </c>
      <c r="H29" t="s">
        <v>3968</v>
      </c>
      <c r="J29" t="s">
        <v>3972</v>
      </c>
      <c r="K29" t="s">
        <v>3977</v>
      </c>
      <c r="L29">
        <v>2</v>
      </c>
    </row>
    <row r="30" spans="1:12">
      <c r="A30">
        <v>50110229</v>
      </c>
      <c r="B30" s="72">
        <v>45714</v>
      </c>
      <c r="C30" t="s">
        <v>109</v>
      </c>
      <c r="D30" t="s">
        <v>215</v>
      </c>
      <c r="E30" t="s">
        <v>557</v>
      </c>
      <c r="F30">
        <v>1</v>
      </c>
      <c r="G30">
        <v>1</v>
      </c>
      <c r="H30" t="s">
        <v>3968</v>
      </c>
      <c r="J30" t="s">
        <v>3972</v>
      </c>
      <c r="K30" t="s">
        <v>3977</v>
      </c>
      <c r="L30">
        <v>2</v>
      </c>
    </row>
    <row r="31" spans="1:12">
      <c r="A31">
        <v>50110193</v>
      </c>
      <c r="B31" s="72">
        <v>45714</v>
      </c>
      <c r="C31" t="s">
        <v>33</v>
      </c>
      <c r="D31" t="s">
        <v>215</v>
      </c>
      <c r="E31" t="s">
        <v>557</v>
      </c>
      <c r="F31">
        <v>1</v>
      </c>
      <c r="G31">
        <v>1</v>
      </c>
      <c r="H31" t="s">
        <v>3968</v>
      </c>
      <c r="J31" t="s">
        <v>3972</v>
      </c>
      <c r="K31" t="s">
        <v>3977</v>
      </c>
      <c r="L31">
        <v>2</v>
      </c>
    </row>
    <row r="32" spans="1:12">
      <c r="A32">
        <v>50000530</v>
      </c>
      <c r="B32" s="72">
        <v>45714</v>
      </c>
      <c r="C32" t="s">
        <v>79</v>
      </c>
      <c r="D32" t="s">
        <v>4022</v>
      </c>
      <c r="E32" t="s">
        <v>76</v>
      </c>
      <c r="F32">
        <v>1</v>
      </c>
      <c r="G32">
        <v>1</v>
      </c>
      <c r="H32" t="s">
        <v>3968</v>
      </c>
      <c r="I32" s="72">
        <v>45712</v>
      </c>
      <c r="J32" t="s">
        <v>3969</v>
      </c>
      <c r="K32" t="s">
        <v>3977</v>
      </c>
      <c r="L32">
        <v>2</v>
      </c>
    </row>
    <row r="33" spans="1:12">
      <c r="A33">
        <v>48300301</v>
      </c>
      <c r="B33" s="72">
        <v>45712</v>
      </c>
      <c r="C33" t="s">
        <v>63</v>
      </c>
      <c r="D33" t="s">
        <v>540</v>
      </c>
      <c r="E33" t="s">
        <v>541</v>
      </c>
      <c r="F33">
        <v>1</v>
      </c>
      <c r="G33">
        <v>1</v>
      </c>
      <c r="H33" t="s">
        <v>3968</v>
      </c>
      <c r="I33" s="72">
        <v>45680</v>
      </c>
      <c r="J33" t="s">
        <v>3969</v>
      </c>
      <c r="K33" t="s">
        <v>3977</v>
      </c>
      <c r="L33">
        <v>2</v>
      </c>
    </row>
    <row r="34" spans="1:12">
      <c r="A34">
        <v>50110372</v>
      </c>
      <c r="B34" s="72">
        <v>45712</v>
      </c>
      <c r="C34" t="s">
        <v>73</v>
      </c>
      <c r="D34" t="s">
        <v>536</v>
      </c>
      <c r="E34" t="s">
        <v>537</v>
      </c>
      <c r="F34">
        <v>1</v>
      </c>
      <c r="G34">
        <v>0</v>
      </c>
      <c r="H34" t="s">
        <v>3971</v>
      </c>
      <c r="J34" t="s">
        <v>3969</v>
      </c>
      <c r="K34" t="s">
        <v>3977</v>
      </c>
      <c r="L34">
        <v>2</v>
      </c>
    </row>
    <row r="35" spans="1:12">
      <c r="A35">
        <v>51000174</v>
      </c>
      <c r="B35" s="72">
        <v>45709</v>
      </c>
      <c r="C35" t="s">
        <v>118</v>
      </c>
      <c r="D35" t="s">
        <v>158</v>
      </c>
      <c r="E35" t="s">
        <v>159</v>
      </c>
      <c r="F35">
        <v>1</v>
      </c>
      <c r="G35">
        <v>1</v>
      </c>
      <c r="H35" t="s">
        <v>3968</v>
      </c>
      <c r="I35" s="72">
        <v>45705</v>
      </c>
      <c r="J35" t="s">
        <v>3969</v>
      </c>
      <c r="K35" t="s">
        <v>3977</v>
      </c>
      <c r="L35">
        <v>2</v>
      </c>
    </row>
    <row r="36" spans="1:12">
      <c r="A36">
        <v>50000260</v>
      </c>
      <c r="B36" s="72">
        <v>45709</v>
      </c>
      <c r="C36" t="s">
        <v>85</v>
      </c>
      <c r="D36" t="s">
        <v>531</v>
      </c>
      <c r="E36" t="s">
        <v>532</v>
      </c>
      <c r="F36">
        <v>1</v>
      </c>
      <c r="G36">
        <v>0</v>
      </c>
      <c r="H36" t="s">
        <v>3971</v>
      </c>
      <c r="J36" t="s">
        <v>3969</v>
      </c>
      <c r="K36" t="s">
        <v>3977</v>
      </c>
      <c r="L36">
        <v>2</v>
      </c>
    </row>
    <row r="37" spans="1:12">
      <c r="A37">
        <v>50000260</v>
      </c>
      <c r="B37" s="72">
        <v>45709</v>
      </c>
      <c r="C37" t="s">
        <v>85</v>
      </c>
      <c r="D37" t="s">
        <v>94</v>
      </c>
      <c r="E37" t="s">
        <v>530</v>
      </c>
      <c r="F37">
        <v>3</v>
      </c>
      <c r="G37">
        <v>3</v>
      </c>
      <c r="H37" t="s">
        <v>3968</v>
      </c>
      <c r="I37" s="72">
        <v>45707</v>
      </c>
      <c r="J37" t="s">
        <v>3969</v>
      </c>
      <c r="K37" t="s">
        <v>3977</v>
      </c>
      <c r="L37">
        <v>2</v>
      </c>
    </row>
    <row r="38" spans="1:12">
      <c r="A38">
        <v>50000260</v>
      </c>
      <c r="B38" s="72">
        <v>45709</v>
      </c>
      <c r="C38" t="s">
        <v>85</v>
      </c>
      <c r="D38" t="s">
        <v>529</v>
      </c>
      <c r="E38" t="s">
        <v>187</v>
      </c>
      <c r="F38">
        <v>1</v>
      </c>
      <c r="G38">
        <v>1</v>
      </c>
      <c r="H38" t="s">
        <v>3968</v>
      </c>
      <c r="I38" s="72">
        <v>45707</v>
      </c>
      <c r="J38" t="s">
        <v>3969</v>
      </c>
      <c r="K38" t="s">
        <v>3977</v>
      </c>
      <c r="L38">
        <v>2</v>
      </c>
    </row>
    <row r="39" spans="1:12">
      <c r="A39">
        <v>50000260</v>
      </c>
      <c r="B39" s="72">
        <v>45709</v>
      </c>
      <c r="C39" t="s">
        <v>85</v>
      </c>
      <c r="D39" t="s">
        <v>527</v>
      </c>
      <c r="E39" t="s">
        <v>528</v>
      </c>
      <c r="F39">
        <v>1</v>
      </c>
      <c r="G39">
        <v>1</v>
      </c>
      <c r="H39" t="s">
        <v>3968</v>
      </c>
      <c r="I39" s="72">
        <v>45707</v>
      </c>
      <c r="J39" t="s">
        <v>3969</v>
      </c>
      <c r="K39" t="s">
        <v>3977</v>
      </c>
      <c r="L39">
        <v>2</v>
      </c>
    </row>
    <row r="40" spans="1:12">
      <c r="A40">
        <v>50000260</v>
      </c>
      <c r="B40" s="72">
        <v>45709</v>
      </c>
      <c r="C40" t="s">
        <v>85</v>
      </c>
      <c r="D40" t="s">
        <v>245</v>
      </c>
      <c r="E40" t="s">
        <v>526</v>
      </c>
      <c r="F40">
        <v>3</v>
      </c>
      <c r="G40">
        <v>0</v>
      </c>
      <c r="H40" t="s">
        <v>3971</v>
      </c>
      <c r="J40" t="s">
        <v>3969</v>
      </c>
      <c r="K40" t="s">
        <v>3977</v>
      </c>
      <c r="L40">
        <v>2</v>
      </c>
    </row>
    <row r="41" spans="1:12">
      <c r="A41">
        <v>50000202</v>
      </c>
      <c r="B41" s="72">
        <v>45708</v>
      </c>
      <c r="C41" t="s">
        <v>93</v>
      </c>
      <c r="D41" t="s">
        <v>511</v>
      </c>
      <c r="E41" t="s">
        <v>512</v>
      </c>
      <c r="F41">
        <v>1</v>
      </c>
      <c r="G41">
        <v>1</v>
      </c>
      <c r="H41" t="s">
        <v>3968</v>
      </c>
      <c r="I41" s="72">
        <v>45699</v>
      </c>
      <c r="J41" t="s">
        <v>3969</v>
      </c>
      <c r="K41" t="s">
        <v>3977</v>
      </c>
      <c r="L41">
        <v>2</v>
      </c>
    </row>
    <row r="42" spans="1:12">
      <c r="A42">
        <v>50110193</v>
      </c>
      <c r="B42" s="72">
        <v>45708</v>
      </c>
      <c r="C42" t="s">
        <v>33</v>
      </c>
      <c r="D42" t="s">
        <v>507</v>
      </c>
      <c r="E42" t="s">
        <v>508</v>
      </c>
      <c r="F42">
        <v>1</v>
      </c>
      <c r="G42">
        <v>1</v>
      </c>
      <c r="H42" t="s">
        <v>3968</v>
      </c>
      <c r="I42" s="72">
        <v>45708</v>
      </c>
      <c r="J42" t="s">
        <v>3969</v>
      </c>
      <c r="K42" t="s">
        <v>3977</v>
      </c>
      <c r="L42">
        <v>2</v>
      </c>
    </row>
    <row r="43" spans="1:12">
      <c r="A43">
        <v>50110193</v>
      </c>
      <c r="B43" s="72">
        <v>45708</v>
      </c>
      <c r="C43" t="s">
        <v>33</v>
      </c>
      <c r="D43" t="s">
        <v>504</v>
      </c>
      <c r="E43" t="s">
        <v>505</v>
      </c>
      <c r="F43">
        <v>1</v>
      </c>
      <c r="G43">
        <v>1</v>
      </c>
      <c r="H43" t="s">
        <v>3968</v>
      </c>
      <c r="I43" s="72">
        <v>45708</v>
      </c>
      <c r="J43" t="s">
        <v>3969</v>
      </c>
      <c r="K43" t="s">
        <v>3977</v>
      </c>
      <c r="L43">
        <v>2</v>
      </c>
    </row>
    <row r="44" spans="1:12">
      <c r="A44">
        <v>50110193</v>
      </c>
      <c r="B44" s="72">
        <v>45708</v>
      </c>
      <c r="C44" t="s">
        <v>33</v>
      </c>
      <c r="D44" t="s">
        <v>500</v>
      </c>
      <c r="E44" t="s">
        <v>501</v>
      </c>
      <c r="F44">
        <v>1</v>
      </c>
      <c r="G44">
        <v>1</v>
      </c>
      <c r="H44" t="s">
        <v>3968</v>
      </c>
      <c r="I44" s="72">
        <v>45708</v>
      </c>
      <c r="J44" t="s">
        <v>3969</v>
      </c>
      <c r="K44" t="s">
        <v>3977</v>
      </c>
      <c r="L44">
        <v>2</v>
      </c>
    </row>
    <row r="45" spans="1:12">
      <c r="A45">
        <v>51000323</v>
      </c>
      <c r="B45" s="72">
        <v>45708</v>
      </c>
      <c r="C45" t="s">
        <v>103</v>
      </c>
      <c r="D45" t="s">
        <v>130</v>
      </c>
      <c r="E45" t="s">
        <v>4021</v>
      </c>
      <c r="F45">
        <v>2</v>
      </c>
      <c r="G45">
        <v>2</v>
      </c>
      <c r="H45" t="s">
        <v>3968</v>
      </c>
      <c r="I45" s="72">
        <v>45707</v>
      </c>
      <c r="J45" t="s">
        <v>3969</v>
      </c>
      <c r="K45" t="s">
        <v>3977</v>
      </c>
      <c r="L45">
        <v>2</v>
      </c>
    </row>
    <row r="46" spans="1:12">
      <c r="A46">
        <v>51000323</v>
      </c>
      <c r="B46" s="72">
        <v>45708</v>
      </c>
      <c r="C46" t="s">
        <v>103</v>
      </c>
      <c r="D46" t="s">
        <v>495</v>
      </c>
      <c r="E46" t="s">
        <v>496</v>
      </c>
      <c r="F46">
        <v>1</v>
      </c>
      <c r="G46">
        <v>1</v>
      </c>
      <c r="H46" t="s">
        <v>3968</v>
      </c>
      <c r="I46" s="72">
        <v>45708</v>
      </c>
      <c r="J46" t="s">
        <v>3969</v>
      </c>
      <c r="K46" t="s">
        <v>3977</v>
      </c>
      <c r="L46">
        <v>2</v>
      </c>
    </row>
    <row r="47" spans="1:12">
      <c r="A47">
        <v>43000422</v>
      </c>
      <c r="B47" s="72">
        <v>45708</v>
      </c>
      <c r="C47" t="s">
        <v>225</v>
      </c>
      <c r="D47" t="s">
        <v>440</v>
      </c>
      <c r="E47" t="s">
        <v>441</v>
      </c>
      <c r="F47">
        <v>1</v>
      </c>
      <c r="G47">
        <v>1</v>
      </c>
      <c r="H47" t="s">
        <v>3968</v>
      </c>
      <c r="I47" s="72">
        <v>45693</v>
      </c>
      <c r="J47" t="s">
        <v>3969</v>
      </c>
      <c r="K47" t="s">
        <v>3977</v>
      </c>
      <c r="L47">
        <v>2</v>
      </c>
    </row>
    <row r="48" spans="1:12">
      <c r="A48">
        <v>48000432</v>
      </c>
      <c r="B48" s="72">
        <v>45707</v>
      </c>
      <c r="C48" t="s">
        <v>63</v>
      </c>
      <c r="D48" t="s">
        <v>488</v>
      </c>
      <c r="E48" t="s">
        <v>489</v>
      </c>
      <c r="F48">
        <v>1</v>
      </c>
      <c r="G48">
        <v>1</v>
      </c>
      <c r="H48" t="s">
        <v>3968</v>
      </c>
      <c r="I48" s="72">
        <v>45700</v>
      </c>
      <c r="J48" t="s">
        <v>3969</v>
      </c>
      <c r="K48" t="s">
        <v>3977</v>
      </c>
      <c r="L48">
        <v>2</v>
      </c>
    </row>
    <row r="49" spans="1:12">
      <c r="A49">
        <v>50110193</v>
      </c>
      <c r="B49" s="72">
        <v>45707</v>
      </c>
      <c r="C49" t="s">
        <v>33</v>
      </c>
      <c r="D49" t="s">
        <v>484</v>
      </c>
      <c r="E49" t="s">
        <v>485</v>
      </c>
      <c r="F49">
        <v>1</v>
      </c>
      <c r="G49">
        <v>1</v>
      </c>
      <c r="H49" t="s">
        <v>3968</v>
      </c>
      <c r="I49" s="72">
        <v>45701</v>
      </c>
      <c r="J49" t="s">
        <v>3969</v>
      </c>
      <c r="K49" t="s">
        <v>3977</v>
      </c>
      <c r="L49">
        <v>2</v>
      </c>
    </row>
    <row r="50" spans="1:12">
      <c r="A50" t="s">
        <v>182</v>
      </c>
      <c r="B50" s="72">
        <v>45707</v>
      </c>
      <c r="C50" t="s">
        <v>3997</v>
      </c>
      <c r="D50" t="s">
        <v>479</v>
      </c>
      <c r="E50" t="s">
        <v>480</v>
      </c>
      <c r="F50">
        <v>1</v>
      </c>
      <c r="G50">
        <v>1</v>
      </c>
      <c r="H50" t="s">
        <v>3968</v>
      </c>
      <c r="I50" s="72">
        <v>45692</v>
      </c>
      <c r="J50" t="s">
        <v>3969</v>
      </c>
      <c r="K50" t="s">
        <v>3977</v>
      </c>
      <c r="L50">
        <v>2</v>
      </c>
    </row>
    <row r="51" spans="1:12">
      <c r="A51">
        <v>48300375</v>
      </c>
      <c r="B51" s="72">
        <v>45707</v>
      </c>
      <c r="C51" t="s">
        <v>4016</v>
      </c>
      <c r="D51" t="s">
        <v>280</v>
      </c>
      <c r="E51" t="s">
        <v>318</v>
      </c>
      <c r="F51">
        <v>1</v>
      </c>
      <c r="G51">
        <v>1</v>
      </c>
      <c r="H51" t="s">
        <v>3968</v>
      </c>
      <c r="I51" s="72">
        <v>45636</v>
      </c>
      <c r="J51" t="s">
        <v>3969</v>
      </c>
      <c r="K51" t="s">
        <v>3977</v>
      </c>
      <c r="L51">
        <v>2</v>
      </c>
    </row>
    <row r="52" spans="1:12">
      <c r="A52">
        <v>50000202</v>
      </c>
      <c r="B52" s="72">
        <v>45707</v>
      </c>
      <c r="C52" t="s">
        <v>93</v>
      </c>
      <c r="D52" t="s">
        <v>470</v>
      </c>
      <c r="E52" t="s">
        <v>4020</v>
      </c>
      <c r="F52">
        <v>1</v>
      </c>
      <c r="G52">
        <v>1</v>
      </c>
      <c r="H52" t="s">
        <v>3968</v>
      </c>
      <c r="I52" s="72">
        <v>45705</v>
      </c>
      <c r="J52" t="s">
        <v>3969</v>
      </c>
      <c r="K52" t="s">
        <v>3977</v>
      </c>
      <c r="L52">
        <v>2</v>
      </c>
    </row>
    <row r="53" spans="1:12">
      <c r="A53">
        <v>60002072</v>
      </c>
      <c r="B53" s="72">
        <v>45707</v>
      </c>
      <c r="C53" t="s">
        <v>202</v>
      </c>
      <c r="D53" t="s">
        <v>464</v>
      </c>
      <c r="E53" t="s">
        <v>465</v>
      </c>
      <c r="F53">
        <v>1</v>
      </c>
      <c r="G53">
        <v>1</v>
      </c>
      <c r="H53" t="s">
        <v>3968</v>
      </c>
      <c r="I53" s="72">
        <v>45693</v>
      </c>
      <c r="J53" t="s">
        <v>3969</v>
      </c>
      <c r="K53" t="s">
        <v>3977</v>
      </c>
      <c r="L53">
        <v>2</v>
      </c>
    </row>
    <row r="54" spans="1:12">
      <c r="A54">
        <v>60002072</v>
      </c>
      <c r="B54" s="72">
        <v>45707</v>
      </c>
      <c r="C54" t="s">
        <v>202</v>
      </c>
      <c r="D54" t="s">
        <v>114</v>
      </c>
      <c r="E54" t="s">
        <v>463</v>
      </c>
      <c r="F54">
        <v>1</v>
      </c>
      <c r="G54">
        <v>1</v>
      </c>
      <c r="H54" t="s">
        <v>3968</v>
      </c>
      <c r="I54" s="72">
        <v>45693</v>
      </c>
      <c r="J54" t="s">
        <v>3969</v>
      </c>
      <c r="K54" t="s">
        <v>3977</v>
      </c>
      <c r="L54">
        <v>2</v>
      </c>
    </row>
    <row r="55" spans="1:12">
      <c r="A55">
        <v>47200115</v>
      </c>
      <c r="B55" s="72">
        <v>45706</v>
      </c>
      <c r="C55" t="s">
        <v>455</v>
      </c>
      <c r="D55" t="s">
        <v>457</v>
      </c>
      <c r="E55" t="s">
        <v>4019</v>
      </c>
      <c r="F55">
        <v>1</v>
      </c>
      <c r="G55">
        <v>1</v>
      </c>
      <c r="H55" t="s">
        <v>3968</v>
      </c>
      <c r="I55" s="72">
        <v>45642</v>
      </c>
      <c r="J55" t="s">
        <v>3969</v>
      </c>
      <c r="K55" t="s">
        <v>3977</v>
      </c>
      <c r="L55">
        <v>2</v>
      </c>
    </row>
    <row r="56" spans="1:12">
      <c r="A56">
        <v>60002095</v>
      </c>
      <c r="B56" s="72">
        <v>45701</v>
      </c>
      <c r="C56" t="s">
        <v>73</v>
      </c>
      <c r="D56" t="s">
        <v>451</v>
      </c>
      <c r="E56" t="s">
        <v>452</v>
      </c>
      <c r="F56">
        <v>1</v>
      </c>
      <c r="G56">
        <v>1</v>
      </c>
      <c r="H56" t="s">
        <v>3968</v>
      </c>
      <c r="I56" s="72">
        <v>45701</v>
      </c>
      <c r="J56" t="s">
        <v>3969</v>
      </c>
      <c r="K56" t="s">
        <v>3977</v>
      </c>
      <c r="L56">
        <v>2</v>
      </c>
    </row>
    <row r="57" spans="1:12">
      <c r="A57">
        <v>50300097</v>
      </c>
      <c r="B57" s="72">
        <v>45699</v>
      </c>
      <c r="C57" t="s">
        <v>445</v>
      </c>
      <c r="D57" t="s">
        <v>446</v>
      </c>
      <c r="E57" t="s">
        <v>4018</v>
      </c>
      <c r="F57">
        <v>1</v>
      </c>
      <c r="G57">
        <v>1</v>
      </c>
      <c r="H57" t="s">
        <v>3968</v>
      </c>
      <c r="I57" s="72">
        <v>45691</v>
      </c>
      <c r="J57" t="s">
        <v>3969</v>
      </c>
      <c r="K57" t="s">
        <v>3977</v>
      </c>
      <c r="L57">
        <v>2</v>
      </c>
    </row>
    <row r="58" spans="1:12">
      <c r="A58">
        <v>50110057</v>
      </c>
      <c r="B58" s="72">
        <v>45691</v>
      </c>
      <c r="C58" t="s">
        <v>181</v>
      </c>
      <c r="D58" t="s">
        <v>284</v>
      </c>
      <c r="E58" t="s">
        <v>285</v>
      </c>
      <c r="F58">
        <v>1</v>
      </c>
      <c r="G58">
        <v>0</v>
      </c>
      <c r="H58" t="s">
        <v>3968</v>
      </c>
      <c r="I58" s="72">
        <v>45706</v>
      </c>
      <c r="J58" t="s">
        <v>3969</v>
      </c>
      <c r="K58" t="s">
        <v>3977</v>
      </c>
      <c r="L58">
        <v>2</v>
      </c>
    </row>
    <row r="59" spans="1:12">
      <c r="A59">
        <v>50110057</v>
      </c>
      <c r="B59" s="72">
        <v>45691</v>
      </c>
      <c r="C59" t="s">
        <v>181</v>
      </c>
      <c r="D59" t="s">
        <v>286</v>
      </c>
      <c r="E59" t="s">
        <v>287</v>
      </c>
      <c r="F59">
        <v>1</v>
      </c>
      <c r="G59">
        <v>1</v>
      </c>
      <c r="H59" t="s">
        <v>3968</v>
      </c>
      <c r="I59" s="72">
        <v>45706</v>
      </c>
      <c r="J59" t="s">
        <v>3969</v>
      </c>
      <c r="K59" t="s">
        <v>3977</v>
      </c>
      <c r="L59">
        <v>2</v>
      </c>
    </row>
    <row r="60" spans="1:12">
      <c r="A60">
        <v>50110057</v>
      </c>
      <c r="B60" s="72">
        <v>45691</v>
      </c>
      <c r="C60" t="s">
        <v>181</v>
      </c>
      <c r="D60" t="s">
        <v>288</v>
      </c>
      <c r="E60" t="s">
        <v>289</v>
      </c>
      <c r="F60">
        <v>1</v>
      </c>
      <c r="G60">
        <v>1</v>
      </c>
      <c r="H60" t="s">
        <v>3968</v>
      </c>
      <c r="I60" s="72">
        <v>45706</v>
      </c>
      <c r="J60" t="s">
        <v>3969</v>
      </c>
      <c r="K60" t="s">
        <v>3977</v>
      </c>
      <c r="L60">
        <v>2</v>
      </c>
    </row>
    <row r="61" spans="1:12">
      <c r="A61">
        <v>50110372</v>
      </c>
      <c r="B61" s="72">
        <v>45691</v>
      </c>
      <c r="C61" t="s">
        <v>73</v>
      </c>
      <c r="D61" t="s">
        <v>292</v>
      </c>
      <c r="E61" t="s">
        <v>293</v>
      </c>
      <c r="F61">
        <v>1</v>
      </c>
      <c r="G61">
        <v>1</v>
      </c>
      <c r="H61" t="s">
        <v>3971</v>
      </c>
      <c r="I61" s="72">
        <v>45705</v>
      </c>
      <c r="J61" t="s">
        <v>3969</v>
      </c>
      <c r="K61" t="s">
        <v>3977</v>
      </c>
      <c r="L61">
        <v>2</v>
      </c>
    </row>
    <row r="62" spans="1:12">
      <c r="A62">
        <v>50110057</v>
      </c>
      <c r="B62" s="72">
        <v>45691</v>
      </c>
      <c r="C62" t="s">
        <v>181</v>
      </c>
      <c r="D62" t="s">
        <v>297</v>
      </c>
      <c r="E62" t="s">
        <v>4008</v>
      </c>
      <c r="F62">
        <v>1</v>
      </c>
      <c r="G62">
        <v>1</v>
      </c>
      <c r="H62" t="s">
        <v>3968</v>
      </c>
      <c r="J62" t="s">
        <v>3972</v>
      </c>
      <c r="K62" t="s">
        <v>3977</v>
      </c>
      <c r="L62">
        <v>2</v>
      </c>
    </row>
    <row r="63" spans="1:12">
      <c r="A63">
        <v>43000422</v>
      </c>
      <c r="B63" s="72">
        <v>45691</v>
      </c>
      <c r="C63" t="s">
        <v>225</v>
      </c>
      <c r="D63" t="s">
        <v>302</v>
      </c>
      <c r="E63" t="s">
        <v>4009</v>
      </c>
      <c r="F63">
        <v>1</v>
      </c>
      <c r="G63">
        <v>1</v>
      </c>
      <c r="H63" t="s">
        <v>3968</v>
      </c>
      <c r="I63" s="72">
        <v>45681</v>
      </c>
      <c r="J63" t="s">
        <v>3969</v>
      </c>
      <c r="K63" t="s">
        <v>3977</v>
      </c>
      <c r="L63">
        <v>2</v>
      </c>
    </row>
    <row r="64" spans="1:12">
      <c r="A64">
        <v>48000482</v>
      </c>
      <c r="B64" s="72">
        <v>45691</v>
      </c>
      <c r="C64" t="s">
        <v>152</v>
      </c>
      <c r="D64" t="s">
        <v>312</v>
      </c>
      <c r="E64" t="s">
        <v>313</v>
      </c>
      <c r="F64">
        <v>1</v>
      </c>
      <c r="G64">
        <v>1</v>
      </c>
      <c r="H64" t="s">
        <v>3968</v>
      </c>
      <c r="I64" s="72">
        <v>45691</v>
      </c>
      <c r="J64" t="s">
        <v>3969</v>
      </c>
      <c r="K64" t="s">
        <v>3977</v>
      </c>
      <c r="L64">
        <v>2</v>
      </c>
    </row>
    <row r="65" spans="1:12">
      <c r="A65">
        <v>48000482</v>
      </c>
      <c r="B65" s="72">
        <v>45691</v>
      </c>
      <c r="C65" t="s">
        <v>152</v>
      </c>
      <c r="D65" t="s">
        <v>280</v>
      </c>
      <c r="E65" t="s">
        <v>4007</v>
      </c>
      <c r="F65">
        <v>1</v>
      </c>
      <c r="G65">
        <v>1</v>
      </c>
      <c r="H65" t="s">
        <v>3968</v>
      </c>
      <c r="I65" s="72">
        <v>45672</v>
      </c>
      <c r="J65" t="s">
        <v>3969</v>
      </c>
      <c r="K65" t="s">
        <v>3977</v>
      </c>
      <c r="L65">
        <v>2</v>
      </c>
    </row>
    <row r="66" spans="1:12">
      <c r="A66">
        <v>50000530</v>
      </c>
      <c r="B66" s="72">
        <v>45691</v>
      </c>
      <c r="C66" t="s">
        <v>79</v>
      </c>
      <c r="D66" t="s">
        <v>321</v>
      </c>
      <c r="E66" t="s">
        <v>4010</v>
      </c>
      <c r="F66">
        <v>1</v>
      </c>
      <c r="G66">
        <v>1</v>
      </c>
      <c r="H66" t="s">
        <v>3971</v>
      </c>
      <c r="I66" s="72">
        <v>45688</v>
      </c>
      <c r="J66" t="s">
        <v>3969</v>
      </c>
      <c r="K66" t="s">
        <v>3977</v>
      </c>
      <c r="L66">
        <v>2</v>
      </c>
    </row>
    <row r="67" spans="1:12">
      <c r="A67">
        <v>50000530</v>
      </c>
      <c r="B67" s="72">
        <v>45691</v>
      </c>
      <c r="C67" t="s">
        <v>79</v>
      </c>
      <c r="D67" t="s">
        <v>330</v>
      </c>
      <c r="E67" t="s">
        <v>331</v>
      </c>
      <c r="F67">
        <v>1</v>
      </c>
      <c r="G67">
        <v>1</v>
      </c>
      <c r="H67" t="s">
        <v>3968</v>
      </c>
      <c r="I67" s="72">
        <v>45688</v>
      </c>
      <c r="J67" t="s">
        <v>3969</v>
      </c>
      <c r="K67" t="s">
        <v>3977</v>
      </c>
      <c r="L67">
        <v>2</v>
      </c>
    </row>
    <row r="68" spans="1:12">
      <c r="A68">
        <v>44000010</v>
      </c>
      <c r="B68" s="72">
        <v>45691</v>
      </c>
      <c r="C68" t="s">
        <v>334</v>
      </c>
      <c r="D68" t="s">
        <v>335</v>
      </c>
      <c r="E68" t="s">
        <v>4011</v>
      </c>
      <c r="F68">
        <v>1</v>
      </c>
      <c r="G68">
        <v>1</v>
      </c>
      <c r="H68" t="s">
        <v>3968</v>
      </c>
      <c r="I68" s="72">
        <v>45705</v>
      </c>
      <c r="J68" t="s">
        <v>3969</v>
      </c>
      <c r="K68" t="s">
        <v>3977</v>
      </c>
      <c r="L68">
        <v>2</v>
      </c>
    </row>
    <row r="69" spans="1:12">
      <c r="A69">
        <v>50110193</v>
      </c>
      <c r="B69" s="72">
        <v>45691</v>
      </c>
      <c r="C69" t="s">
        <v>33</v>
      </c>
      <c r="D69" t="s">
        <v>340</v>
      </c>
      <c r="E69" t="s">
        <v>341</v>
      </c>
      <c r="F69">
        <v>1</v>
      </c>
      <c r="G69">
        <v>1</v>
      </c>
      <c r="H69" t="s">
        <v>3968</v>
      </c>
      <c r="I69" s="72">
        <v>45693</v>
      </c>
      <c r="J69" t="s">
        <v>3972</v>
      </c>
      <c r="K69" t="s">
        <v>3977</v>
      </c>
      <c r="L69">
        <v>2</v>
      </c>
    </row>
    <row r="70" spans="1:12">
      <c r="A70">
        <v>48300301</v>
      </c>
      <c r="B70" s="72">
        <v>45692</v>
      </c>
      <c r="C70" t="s">
        <v>63</v>
      </c>
      <c r="D70" t="s">
        <v>326</v>
      </c>
      <c r="E70" t="s">
        <v>4012</v>
      </c>
      <c r="F70">
        <v>1</v>
      </c>
      <c r="G70">
        <v>1</v>
      </c>
      <c r="H70" t="s">
        <v>3968</v>
      </c>
      <c r="I70" s="72">
        <v>45679</v>
      </c>
      <c r="J70" t="s">
        <v>3969</v>
      </c>
      <c r="K70" t="s">
        <v>3977</v>
      </c>
      <c r="L70">
        <v>2</v>
      </c>
    </row>
    <row r="71" spans="1:12">
      <c r="A71">
        <v>60002072</v>
      </c>
      <c r="B71" s="72">
        <v>45692</v>
      </c>
      <c r="C71" t="s">
        <v>202</v>
      </c>
      <c r="D71" t="s">
        <v>350</v>
      </c>
      <c r="E71" t="s">
        <v>351</v>
      </c>
      <c r="F71">
        <v>1</v>
      </c>
      <c r="G71">
        <v>1</v>
      </c>
      <c r="H71" t="s">
        <v>3968</v>
      </c>
      <c r="I71" s="72">
        <v>45692</v>
      </c>
      <c r="J71" t="s">
        <v>3969</v>
      </c>
      <c r="K71" t="s">
        <v>3977</v>
      </c>
      <c r="L71">
        <v>2</v>
      </c>
    </row>
    <row r="72" spans="1:12">
      <c r="A72">
        <v>50000343</v>
      </c>
      <c r="B72" s="72">
        <v>45692</v>
      </c>
      <c r="C72" t="s">
        <v>73</v>
      </c>
      <c r="D72" t="s">
        <v>354</v>
      </c>
      <c r="E72" t="s">
        <v>355</v>
      </c>
      <c r="F72">
        <v>1</v>
      </c>
      <c r="G72">
        <v>1</v>
      </c>
      <c r="H72" t="s">
        <v>3968</v>
      </c>
      <c r="I72" s="72">
        <v>45693</v>
      </c>
      <c r="J72" t="s">
        <v>3972</v>
      </c>
      <c r="K72" t="s">
        <v>3977</v>
      </c>
      <c r="L72">
        <v>2</v>
      </c>
    </row>
    <row r="73" spans="1:12">
      <c r="A73">
        <v>50000202</v>
      </c>
      <c r="B73" s="72">
        <v>45692</v>
      </c>
      <c r="C73" t="s">
        <v>93</v>
      </c>
      <c r="D73" t="s">
        <v>65</v>
      </c>
      <c r="E73" t="s">
        <v>362</v>
      </c>
      <c r="F73">
        <v>1</v>
      </c>
      <c r="G73">
        <v>1</v>
      </c>
      <c r="H73" t="s">
        <v>3968</v>
      </c>
      <c r="I73" s="72">
        <v>45663</v>
      </c>
      <c r="J73" t="s">
        <v>3969</v>
      </c>
      <c r="K73" t="s">
        <v>3977</v>
      </c>
      <c r="L73">
        <v>2</v>
      </c>
    </row>
    <row r="74" spans="1:12">
      <c r="A74">
        <v>48000482</v>
      </c>
      <c r="B74" s="72">
        <v>45692</v>
      </c>
      <c r="C74" t="s">
        <v>152</v>
      </c>
      <c r="D74" t="s">
        <v>335</v>
      </c>
      <c r="E74" t="s">
        <v>1136</v>
      </c>
      <c r="F74">
        <v>1</v>
      </c>
      <c r="G74">
        <v>1</v>
      </c>
      <c r="H74" t="s">
        <v>3968</v>
      </c>
      <c r="I74" s="72">
        <v>45705</v>
      </c>
      <c r="J74" t="s">
        <v>3969</v>
      </c>
      <c r="K74" t="s">
        <v>3977</v>
      </c>
      <c r="L74">
        <v>2</v>
      </c>
    </row>
    <row r="75" spans="1:12">
      <c r="A75">
        <v>44000059</v>
      </c>
      <c r="B75" s="72">
        <v>45692</v>
      </c>
      <c r="C75" t="s">
        <v>63</v>
      </c>
      <c r="D75" t="s">
        <v>369</v>
      </c>
      <c r="E75" t="s">
        <v>370</v>
      </c>
      <c r="F75">
        <v>1</v>
      </c>
      <c r="G75">
        <v>1</v>
      </c>
      <c r="H75" t="s">
        <v>3968</v>
      </c>
      <c r="I75" s="72">
        <v>45681</v>
      </c>
      <c r="J75" t="s">
        <v>3969</v>
      </c>
      <c r="K75" t="s">
        <v>3977</v>
      </c>
      <c r="L75">
        <v>2</v>
      </c>
    </row>
    <row r="76" spans="1:12">
      <c r="A76">
        <v>44000059</v>
      </c>
      <c r="B76" s="72">
        <v>45692</v>
      </c>
      <c r="C76" t="s">
        <v>63</v>
      </c>
      <c r="D76" t="s">
        <v>371</v>
      </c>
      <c r="E76" t="s">
        <v>372</v>
      </c>
      <c r="F76">
        <v>1</v>
      </c>
      <c r="G76">
        <v>1</v>
      </c>
      <c r="H76" t="s">
        <v>3968</v>
      </c>
      <c r="I76" s="72">
        <v>45692</v>
      </c>
      <c r="J76" t="s">
        <v>3969</v>
      </c>
      <c r="K76" t="s">
        <v>3977</v>
      </c>
      <c r="L76">
        <v>2</v>
      </c>
    </row>
    <row r="77" spans="1:12">
      <c r="A77">
        <v>50110372</v>
      </c>
      <c r="B77" s="72">
        <v>45692</v>
      </c>
      <c r="C77" t="s">
        <v>73</v>
      </c>
      <c r="D77" t="s">
        <v>375</v>
      </c>
      <c r="E77" t="s">
        <v>4013</v>
      </c>
      <c r="F77">
        <v>1</v>
      </c>
      <c r="G77">
        <v>0</v>
      </c>
      <c r="H77" t="s">
        <v>3971</v>
      </c>
      <c r="J77" t="s">
        <v>3969</v>
      </c>
      <c r="K77" t="s">
        <v>3977</v>
      </c>
      <c r="L77">
        <v>2</v>
      </c>
    </row>
    <row r="78" spans="1:12">
      <c r="A78">
        <v>50110372</v>
      </c>
      <c r="B78" s="72">
        <v>45692</v>
      </c>
      <c r="C78" t="s">
        <v>73</v>
      </c>
      <c r="D78" t="s">
        <v>378</v>
      </c>
      <c r="E78" t="s">
        <v>379</v>
      </c>
      <c r="F78">
        <v>1</v>
      </c>
      <c r="G78">
        <v>1</v>
      </c>
      <c r="H78" t="s">
        <v>3971</v>
      </c>
      <c r="I78" s="72">
        <v>45692</v>
      </c>
      <c r="J78" t="s">
        <v>3969</v>
      </c>
      <c r="K78" t="s">
        <v>3977</v>
      </c>
      <c r="L78">
        <v>2</v>
      </c>
    </row>
    <row r="79" spans="1:12">
      <c r="A79">
        <v>51000136</v>
      </c>
      <c r="B79" s="72">
        <v>45693</v>
      </c>
      <c r="C79" t="s">
        <v>103</v>
      </c>
      <c r="D79" t="s">
        <v>308</v>
      </c>
      <c r="E79" t="s">
        <v>309</v>
      </c>
      <c r="F79">
        <v>1</v>
      </c>
      <c r="G79">
        <v>0</v>
      </c>
      <c r="H79" t="s">
        <v>3968</v>
      </c>
      <c r="J79" t="s">
        <v>3969</v>
      </c>
      <c r="K79" t="s">
        <v>3977</v>
      </c>
      <c r="L79">
        <v>2</v>
      </c>
    </row>
    <row r="80" spans="1:12">
      <c r="A80">
        <v>50000343</v>
      </c>
      <c r="B80" s="72">
        <v>45694</v>
      </c>
      <c r="C80" t="s">
        <v>73</v>
      </c>
      <c r="D80" t="s">
        <v>397</v>
      </c>
      <c r="E80" t="s">
        <v>4014</v>
      </c>
      <c r="F80">
        <v>1</v>
      </c>
      <c r="G80">
        <v>1</v>
      </c>
      <c r="H80" t="s">
        <v>3968</v>
      </c>
      <c r="I80" s="72">
        <v>45692</v>
      </c>
      <c r="J80" t="s">
        <v>3969</v>
      </c>
      <c r="K80" t="s">
        <v>3977</v>
      </c>
      <c r="L80">
        <v>2</v>
      </c>
    </row>
    <row r="81" spans="1:12">
      <c r="A81" t="s">
        <v>404</v>
      </c>
      <c r="B81" s="72">
        <v>45694</v>
      </c>
      <c r="C81" t="s">
        <v>402</v>
      </c>
      <c r="D81" t="s">
        <v>405</v>
      </c>
      <c r="E81" t="s">
        <v>4015</v>
      </c>
      <c r="F81">
        <v>1</v>
      </c>
      <c r="G81">
        <v>1</v>
      </c>
      <c r="H81" t="s">
        <v>3968</v>
      </c>
      <c r="I81" s="72">
        <v>45693</v>
      </c>
      <c r="J81" t="s">
        <v>3969</v>
      </c>
      <c r="K81" t="s">
        <v>3977</v>
      </c>
      <c r="L81">
        <v>2</v>
      </c>
    </row>
    <row r="82" spans="1:12">
      <c r="A82">
        <v>60002095</v>
      </c>
      <c r="B82" s="72">
        <v>45695</v>
      </c>
      <c r="C82" t="s">
        <v>73</v>
      </c>
      <c r="D82" t="s">
        <v>358</v>
      </c>
      <c r="E82" t="s">
        <v>359</v>
      </c>
      <c r="F82">
        <v>1</v>
      </c>
      <c r="G82">
        <v>0</v>
      </c>
      <c r="H82" t="s">
        <v>3971</v>
      </c>
      <c r="J82" t="s">
        <v>3969</v>
      </c>
      <c r="K82" t="s">
        <v>3977</v>
      </c>
      <c r="L82">
        <v>2</v>
      </c>
    </row>
    <row r="83" spans="1:12">
      <c r="A83" t="s">
        <v>409</v>
      </c>
      <c r="B83" s="72">
        <v>45695</v>
      </c>
      <c r="C83" t="s">
        <v>334</v>
      </c>
      <c r="D83" t="s">
        <v>410</v>
      </c>
      <c r="E83" t="s">
        <v>411</v>
      </c>
      <c r="F83">
        <v>1</v>
      </c>
      <c r="G83">
        <v>1</v>
      </c>
      <c r="H83" t="s">
        <v>3968</v>
      </c>
      <c r="I83" s="72">
        <v>45677</v>
      </c>
      <c r="J83" t="s">
        <v>3969</v>
      </c>
      <c r="K83" t="s">
        <v>3977</v>
      </c>
      <c r="L83">
        <v>2</v>
      </c>
    </row>
    <row r="84" spans="1:12">
      <c r="A84">
        <v>44000321</v>
      </c>
      <c r="B84" s="72">
        <v>45695</v>
      </c>
      <c r="C84" t="s">
        <v>417</v>
      </c>
      <c r="D84" t="s">
        <v>418</v>
      </c>
      <c r="E84" t="s">
        <v>419</v>
      </c>
      <c r="F84">
        <v>1</v>
      </c>
      <c r="G84">
        <v>1</v>
      </c>
      <c r="H84" t="s">
        <v>3968</v>
      </c>
      <c r="I84" s="72">
        <v>45672</v>
      </c>
      <c r="J84" t="s">
        <v>3969</v>
      </c>
      <c r="K84" t="s">
        <v>3977</v>
      </c>
      <c r="L84">
        <v>2</v>
      </c>
    </row>
    <row r="85" spans="1:12">
      <c r="A85">
        <v>44000321</v>
      </c>
      <c r="B85" s="72">
        <v>45695</v>
      </c>
      <c r="C85" t="s">
        <v>417</v>
      </c>
      <c r="D85" t="s">
        <v>422</v>
      </c>
      <c r="E85" t="s">
        <v>423</v>
      </c>
      <c r="F85">
        <v>1</v>
      </c>
      <c r="G85">
        <v>1</v>
      </c>
      <c r="H85" t="s">
        <v>3968</v>
      </c>
      <c r="I85" s="72">
        <v>45672</v>
      </c>
      <c r="J85" t="s">
        <v>3969</v>
      </c>
      <c r="K85" t="s">
        <v>3977</v>
      </c>
      <c r="L85">
        <v>2</v>
      </c>
    </row>
    <row r="86" spans="1:12">
      <c r="A86">
        <v>50000343</v>
      </c>
      <c r="B86" s="72">
        <v>45698</v>
      </c>
      <c r="C86" t="s">
        <v>73</v>
      </c>
      <c r="D86" t="s">
        <v>330</v>
      </c>
      <c r="E86" t="s">
        <v>331</v>
      </c>
      <c r="F86">
        <v>1</v>
      </c>
      <c r="G86">
        <v>1</v>
      </c>
      <c r="H86" t="s">
        <v>3968</v>
      </c>
      <c r="I86" s="72">
        <v>45698</v>
      </c>
      <c r="J86" t="s">
        <v>3972</v>
      </c>
      <c r="K86" t="s">
        <v>3977</v>
      </c>
      <c r="L86">
        <v>2</v>
      </c>
    </row>
    <row r="87" spans="1:12">
      <c r="A87">
        <v>48300375</v>
      </c>
      <c r="B87" s="72">
        <v>45698</v>
      </c>
      <c r="C87" t="s">
        <v>4016</v>
      </c>
      <c r="D87" t="s">
        <v>429</v>
      </c>
      <c r="E87" t="s">
        <v>4017</v>
      </c>
      <c r="F87">
        <v>1</v>
      </c>
      <c r="G87">
        <v>1</v>
      </c>
      <c r="H87" t="s">
        <v>3968</v>
      </c>
      <c r="J87" t="s">
        <v>3969</v>
      </c>
      <c r="K87" t="s">
        <v>3977</v>
      </c>
      <c r="L87">
        <v>2</v>
      </c>
    </row>
    <row r="88" spans="1:12">
      <c r="A88">
        <v>50110372</v>
      </c>
      <c r="B88" s="72">
        <v>45698</v>
      </c>
      <c r="C88" t="s">
        <v>73</v>
      </c>
      <c r="D88" t="s">
        <v>80</v>
      </c>
      <c r="E88" t="s">
        <v>433</v>
      </c>
      <c r="F88">
        <v>1</v>
      </c>
      <c r="G88">
        <v>1</v>
      </c>
      <c r="H88" t="s">
        <v>3968</v>
      </c>
      <c r="I88" s="72">
        <v>45695</v>
      </c>
      <c r="J88" t="s">
        <v>3969</v>
      </c>
      <c r="K88" t="s">
        <v>3977</v>
      </c>
      <c r="L88">
        <v>2</v>
      </c>
    </row>
    <row r="89" spans="1:12">
      <c r="A89">
        <v>50110229</v>
      </c>
      <c r="B89" s="72">
        <v>45698</v>
      </c>
      <c r="C89" t="s">
        <v>109</v>
      </c>
      <c r="D89" t="s">
        <v>436</v>
      </c>
      <c r="E89" t="s">
        <v>437</v>
      </c>
      <c r="F89">
        <v>1</v>
      </c>
      <c r="G89">
        <v>1</v>
      </c>
      <c r="H89" t="s">
        <v>3971</v>
      </c>
      <c r="I89" s="72">
        <v>45698</v>
      </c>
      <c r="J89" t="s">
        <v>3969</v>
      </c>
      <c r="K89" t="s">
        <v>3977</v>
      </c>
      <c r="L89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B775-FCCD-45B5-9FF6-1A88E42135F8}">
  <dimension ref="A1:Y88"/>
  <sheetViews>
    <sheetView topLeftCell="T11" workbookViewId="0">
      <selection activeCell="T11" sqref="T11"/>
    </sheetView>
  </sheetViews>
  <sheetFormatPr defaultRowHeight="14.45"/>
  <cols>
    <col min="1" max="1" width="10.285156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855468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140625" bestFit="1" customWidth="1"/>
    <col min="10" max="10" width="15.28515625" bestFit="1" customWidth="1"/>
    <col min="11" max="11" width="11.85546875" bestFit="1" customWidth="1"/>
    <col min="12" max="12" width="21.140625" bestFit="1" customWidth="1"/>
    <col min="13" max="13" width="21.7109375" bestFit="1" customWidth="1"/>
    <col min="14" max="14" width="13.855468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140625" bestFit="1" customWidth="1"/>
    <col min="19" max="19" width="20.28515625" bestFit="1" customWidth="1"/>
    <col min="20" max="20" width="27.7109375" bestFit="1" customWidth="1"/>
    <col min="21" max="21" width="17.140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85546875" bestFit="1" customWidth="1"/>
  </cols>
  <sheetData>
    <row r="1" spans="1:25">
      <c r="A1" s="73" t="s">
        <v>4137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4138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17</v>
      </c>
      <c r="Q3" t="s">
        <v>3964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>
      <c r="A4" t="s">
        <v>627</v>
      </c>
      <c r="B4" s="72">
        <v>45715</v>
      </c>
      <c r="C4" s="72">
        <v>45715</v>
      </c>
      <c r="D4" t="s">
        <v>628</v>
      </c>
      <c r="E4" t="s">
        <v>85</v>
      </c>
      <c r="F4" t="s">
        <v>2496</v>
      </c>
      <c r="G4">
        <v>50000260</v>
      </c>
      <c r="H4" t="s">
        <v>629</v>
      </c>
      <c r="I4" t="s">
        <v>630</v>
      </c>
      <c r="J4">
        <v>1</v>
      </c>
      <c r="K4" t="s">
        <v>37</v>
      </c>
      <c r="L4" t="s">
        <v>217</v>
      </c>
      <c r="N4" t="s">
        <v>58</v>
      </c>
      <c r="O4">
        <v>1</v>
      </c>
      <c r="Q4" t="s">
        <v>37</v>
      </c>
      <c r="R4" s="72">
        <v>45713</v>
      </c>
      <c r="V4" t="s">
        <v>41</v>
      </c>
      <c r="W4">
        <v>631.67999999999995</v>
      </c>
      <c r="X4">
        <v>631.67999999999995</v>
      </c>
    </row>
    <row r="5" spans="1:25">
      <c r="A5" t="s">
        <v>621</v>
      </c>
      <c r="B5" s="72">
        <v>45715</v>
      </c>
      <c r="C5" s="72">
        <v>45715</v>
      </c>
      <c r="D5" t="s">
        <v>622</v>
      </c>
      <c r="E5" t="s">
        <v>402</v>
      </c>
      <c r="F5" t="s">
        <v>403</v>
      </c>
      <c r="G5">
        <v>50300141</v>
      </c>
      <c r="H5" t="s">
        <v>624</v>
      </c>
      <c r="I5" t="s">
        <v>625</v>
      </c>
      <c r="J5">
        <v>1</v>
      </c>
      <c r="K5" t="s">
        <v>37</v>
      </c>
      <c r="L5" t="s">
        <v>217</v>
      </c>
      <c r="N5" t="s">
        <v>58</v>
      </c>
      <c r="O5">
        <v>1</v>
      </c>
      <c r="P5" t="s">
        <v>626</v>
      </c>
      <c r="Q5" t="s">
        <v>4139</v>
      </c>
      <c r="R5" s="72">
        <v>45709</v>
      </c>
      <c r="V5" t="s">
        <v>229</v>
      </c>
      <c r="W5">
        <v>339.68</v>
      </c>
      <c r="X5">
        <v>339.68</v>
      </c>
    </row>
    <row r="6" spans="1:25">
      <c r="A6" t="s">
        <v>617</v>
      </c>
      <c r="B6" s="72">
        <v>45715</v>
      </c>
      <c r="C6" s="72">
        <v>45715</v>
      </c>
      <c r="D6" t="s">
        <v>618</v>
      </c>
      <c r="E6" t="s">
        <v>79</v>
      </c>
      <c r="F6" t="s">
        <v>2496</v>
      </c>
      <c r="G6">
        <v>50000530</v>
      </c>
      <c r="H6" t="s">
        <v>619</v>
      </c>
      <c r="I6" t="s">
        <v>620</v>
      </c>
      <c r="J6">
        <v>1</v>
      </c>
      <c r="K6" t="s">
        <v>37</v>
      </c>
      <c r="L6" t="s">
        <v>217</v>
      </c>
      <c r="N6" t="s">
        <v>58</v>
      </c>
      <c r="O6">
        <v>1</v>
      </c>
      <c r="Q6" t="s">
        <v>4140</v>
      </c>
      <c r="R6" s="72">
        <v>45713</v>
      </c>
      <c r="W6">
        <v>91.76</v>
      </c>
      <c r="X6">
        <v>91.76</v>
      </c>
    </row>
    <row r="7" spans="1:25">
      <c r="A7" t="s">
        <v>607</v>
      </c>
      <c r="B7" s="72">
        <v>45715</v>
      </c>
      <c r="C7" s="72">
        <v>45715</v>
      </c>
      <c r="D7" t="s">
        <v>608</v>
      </c>
      <c r="E7" t="s">
        <v>4025</v>
      </c>
      <c r="F7" t="s">
        <v>2496</v>
      </c>
      <c r="G7" t="s">
        <v>609</v>
      </c>
      <c r="H7" t="s">
        <v>610</v>
      </c>
      <c r="I7" t="s">
        <v>611</v>
      </c>
      <c r="J7">
        <v>1</v>
      </c>
      <c r="K7" t="s">
        <v>37</v>
      </c>
      <c r="L7" t="s">
        <v>38</v>
      </c>
      <c r="N7" t="s">
        <v>58</v>
      </c>
      <c r="O7">
        <v>1</v>
      </c>
      <c r="Q7" t="s">
        <v>37</v>
      </c>
      <c r="R7" s="72">
        <v>45679</v>
      </c>
      <c r="V7" t="s">
        <v>41</v>
      </c>
      <c r="W7">
        <v>140.44999999999999</v>
      </c>
      <c r="X7">
        <v>140.44999999999999</v>
      </c>
    </row>
    <row r="8" spans="1:25">
      <c r="A8" t="s">
        <v>601</v>
      </c>
      <c r="B8" s="72">
        <v>45715</v>
      </c>
      <c r="C8" s="72">
        <v>45714</v>
      </c>
      <c r="D8" t="s">
        <v>602</v>
      </c>
      <c r="E8" t="s">
        <v>103</v>
      </c>
      <c r="F8" t="s">
        <v>2527</v>
      </c>
      <c r="G8">
        <v>51000323</v>
      </c>
      <c r="H8" t="s">
        <v>605</v>
      </c>
      <c r="I8" t="s">
        <v>606</v>
      </c>
      <c r="J8">
        <v>1</v>
      </c>
      <c r="K8" t="s">
        <v>37</v>
      </c>
      <c r="L8" t="s">
        <v>217</v>
      </c>
      <c r="N8" t="s">
        <v>39</v>
      </c>
      <c r="O8">
        <v>1</v>
      </c>
      <c r="Q8" t="s">
        <v>4141</v>
      </c>
      <c r="V8" t="s">
        <v>41</v>
      </c>
      <c r="W8">
        <v>96.35</v>
      </c>
      <c r="X8">
        <v>96.35</v>
      </c>
    </row>
    <row r="9" spans="1:25">
      <c r="A9" t="s">
        <v>601</v>
      </c>
      <c r="B9" s="72">
        <v>45715</v>
      </c>
      <c r="C9" s="72">
        <v>45714</v>
      </c>
      <c r="D9" t="s">
        <v>602</v>
      </c>
      <c r="E9" t="s">
        <v>103</v>
      </c>
      <c r="F9" t="s">
        <v>2527</v>
      </c>
      <c r="G9">
        <v>51000323</v>
      </c>
      <c r="H9" t="s">
        <v>603</v>
      </c>
      <c r="I9" t="s">
        <v>604</v>
      </c>
      <c r="J9">
        <v>1</v>
      </c>
      <c r="K9" t="s">
        <v>37</v>
      </c>
      <c r="L9" t="s">
        <v>217</v>
      </c>
      <c r="N9" t="s">
        <v>89</v>
      </c>
      <c r="O9">
        <v>0</v>
      </c>
      <c r="Q9" t="s">
        <v>4141</v>
      </c>
      <c r="V9" t="s">
        <v>41</v>
      </c>
      <c r="W9">
        <v>874.36</v>
      </c>
      <c r="X9">
        <v>874.36</v>
      </c>
    </row>
    <row r="10" spans="1:25">
      <c r="A10" t="s">
        <v>587</v>
      </c>
      <c r="B10" s="72">
        <v>45715</v>
      </c>
      <c r="C10" s="72">
        <v>45714</v>
      </c>
      <c r="D10" t="s">
        <v>588</v>
      </c>
      <c r="E10" t="s">
        <v>103</v>
      </c>
      <c r="F10" t="s">
        <v>2527</v>
      </c>
      <c r="G10">
        <v>51000136</v>
      </c>
      <c r="H10" t="s">
        <v>599</v>
      </c>
      <c r="I10" t="s">
        <v>600</v>
      </c>
      <c r="J10">
        <v>1</v>
      </c>
      <c r="K10" t="s">
        <v>37</v>
      </c>
      <c r="L10" t="s">
        <v>217</v>
      </c>
      <c r="N10" t="s">
        <v>89</v>
      </c>
      <c r="O10">
        <v>0</v>
      </c>
      <c r="Q10" t="s">
        <v>37</v>
      </c>
      <c r="V10" t="s">
        <v>41</v>
      </c>
      <c r="W10">
        <v>66.959999999999994</v>
      </c>
      <c r="X10">
        <v>66.959999999999994</v>
      </c>
    </row>
    <row r="11" spans="1:25">
      <c r="A11" t="s">
        <v>587</v>
      </c>
      <c r="B11" s="72">
        <v>45715</v>
      </c>
      <c r="C11" s="72">
        <v>45714</v>
      </c>
      <c r="D11" t="s">
        <v>588</v>
      </c>
      <c r="E11" t="s">
        <v>103</v>
      </c>
      <c r="F11" t="s">
        <v>2527</v>
      </c>
      <c r="G11">
        <v>51000136</v>
      </c>
      <c r="H11" t="s">
        <v>597</v>
      </c>
      <c r="I11" t="s">
        <v>4024</v>
      </c>
      <c r="J11">
        <v>1</v>
      </c>
      <c r="K11" t="s">
        <v>37</v>
      </c>
      <c r="L11" t="s">
        <v>217</v>
      </c>
      <c r="N11" t="s">
        <v>58</v>
      </c>
      <c r="O11">
        <v>1</v>
      </c>
      <c r="Q11" t="s">
        <v>4142</v>
      </c>
      <c r="R11" s="72">
        <v>45723</v>
      </c>
      <c r="V11" t="s">
        <v>41</v>
      </c>
      <c r="W11">
        <v>720.36</v>
      </c>
      <c r="X11">
        <v>720.36</v>
      </c>
    </row>
    <row r="12" spans="1:25">
      <c r="A12" t="s">
        <v>587</v>
      </c>
      <c r="B12" s="72">
        <v>45715</v>
      </c>
      <c r="C12" s="72">
        <v>45714</v>
      </c>
      <c r="D12" t="s">
        <v>588</v>
      </c>
      <c r="E12" t="s">
        <v>103</v>
      </c>
      <c r="F12" t="s">
        <v>2527</v>
      </c>
      <c r="G12">
        <v>51000136</v>
      </c>
      <c r="H12" t="s">
        <v>595</v>
      </c>
      <c r="I12" t="s">
        <v>596</v>
      </c>
      <c r="J12">
        <v>1</v>
      </c>
      <c r="K12" t="s">
        <v>37</v>
      </c>
      <c r="L12" t="s">
        <v>217</v>
      </c>
      <c r="N12" t="s">
        <v>58</v>
      </c>
      <c r="O12">
        <v>1</v>
      </c>
      <c r="Q12" t="s">
        <v>4142</v>
      </c>
      <c r="R12" s="72">
        <v>45723</v>
      </c>
      <c r="V12" t="s">
        <v>41</v>
      </c>
      <c r="W12">
        <v>260.14999999999998</v>
      </c>
      <c r="X12">
        <v>260.14999999999998</v>
      </c>
    </row>
    <row r="13" spans="1:25">
      <c r="A13" t="s">
        <v>587</v>
      </c>
      <c r="B13" s="72">
        <v>45715</v>
      </c>
      <c r="C13" s="72">
        <v>45714</v>
      </c>
      <c r="D13" t="s">
        <v>588</v>
      </c>
      <c r="E13" t="s">
        <v>103</v>
      </c>
      <c r="F13" t="s">
        <v>2527</v>
      </c>
      <c r="G13">
        <v>51000136</v>
      </c>
      <c r="H13" t="s">
        <v>593</v>
      </c>
      <c r="I13" t="s">
        <v>594</v>
      </c>
      <c r="J13">
        <v>1</v>
      </c>
      <c r="K13" t="s">
        <v>37</v>
      </c>
      <c r="L13" t="s">
        <v>217</v>
      </c>
      <c r="N13" t="s">
        <v>39</v>
      </c>
      <c r="O13">
        <v>1</v>
      </c>
      <c r="Q13" t="s">
        <v>4141</v>
      </c>
      <c r="V13" t="s">
        <v>41</v>
      </c>
      <c r="W13">
        <v>475.51</v>
      </c>
      <c r="X13">
        <v>475.51</v>
      </c>
    </row>
    <row r="14" spans="1:25">
      <c r="A14" t="s">
        <v>587</v>
      </c>
      <c r="B14" s="72">
        <v>45715</v>
      </c>
      <c r="C14" s="72">
        <v>45714</v>
      </c>
      <c r="D14" t="s">
        <v>588</v>
      </c>
      <c r="E14" t="s">
        <v>103</v>
      </c>
      <c r="F14" t="s">
        <v>2527</v>
      </c>
      <c r="G14">
        <v>51000136</v>
      </c>
      <c r="H14" t="s">
        <v>591</v>
      </c>
      <c r="I14" t="s">
        <v>592</v>
      </c>
      <c r="J14">
        <v>1</v>
      </c>
      <c r="K14" t="s">
        <v>37</v>
      </c>
      <c r="L14" t="s">
        <v>217</v>
      </c>
      <c r="N14" t="s">
        <v>89</v>
      </c>
      <c r="O14">
        <v>0</v>
      </c>
      <c r="P14" t="s">
        <v>165</v>
      </c>
      <c r="Q14" t="s">
        <v>4141</v>
      </c>
      <c r="V14" t="s">
        <v>41</v>
      </c>
      <c r="W14">
        <v>354.38</v>
      </c>
      <c r="X14">
        <v>354.38</v>
      </c>
    </row>
    <row r="15" spans="1:25">
      <c r="A15" t="s">
        <v>587</v>
      </c>
      <c r="B15" s="72">
        <v>45715</v>
      </c>
      <c r="C15" s="72">
        <v>45714</v>
      </c>
      <c r="D15" t="s">
        <v>588</v>
      </c>
      <c r="E15" t="s">
        <v>103</v>
      </c>
      <c r="F15" t="s">
        <v>2527</v>
      </c>
      <c r="G15">
        <v>51000136</v>
      </c>
      <c r="H15" t="s">
        <v>589</v>
      </c>
      <c r="I15" t="s">
        <v>590</v>
      </c>
      <c r="J15">
        <v>1</v>
      </c>
      <c r="K15" t="s">
        <v>37</v>
      </c>
      <c r="L15" t="s">
        <v>217</v>
      </c>
      <c r="N15" t="s">
        <v>39</v>
      </c>
      <c r="O15">
        <v>1</v>
      </c>
      <c r="Q15" t="s">
        <v>4141</v>
      </c>
      <c r="V15" t="s">
        <v>41</v>
      </c>
      <c r="W15">
        <v>1207.54</v>
      </c>
      <c r="X15">
        <v>1207.54</v>
      </c>
    </row>
    <row r="16" spans="1:25">
      <c r="A16" t="s">
        <v>31</v>
      </c>
      <c r="B16" s="72">
        <v>45715</v>
      </c>
      <c r="C16" s="72">
        <v>45715</v>
      </c>
      <c r="D16" t="s">
        <v>32</v>
      </c>
      <c r="E16" t="s">
        <v>33</v>
      </c>
      <c r="F16" t="s">
        <v>2491</v>
      </c>
      <c r="G16">
        <v>50110193</v>
      </c>
      <c r="H16" t="s">
        <v>4023</v>
      </c>
      <c r="I16" t="s">
        <v>36</v>
      </c>
      <c r="J16">
        <v>1</v>
      </c>
      <c r="K16" t="s">
        <v>37</v>
      </c>
      <c r="L16" t="s">
        <v>38</v>
      </c>
      <c r="M16" t="s">
        <v>39</v>
      </c>
      <c r="N16" t="s">
        <v>58</v>
      </c>
      <c r="O16">
        <v>1</v>
      </c>
      <c r="Q16" t="s">
        <v>3970</v>
      </c>
      <c r="R16" s="72">
        <v>45663</v>
      </c>
      <c r="V16" t="s">
        <v>41</v>
      </c>
      <c r="W16">
        <v>790.42</v>
      </c>
      <c r="X16">
        <v>790.42</v>
      </c>
    </row>
    <row r="17" spans="1:24">
      <c r="A17" t="s">
        <v>576</v>
      </c>
      <c r="B17" s="72">
        <v>45714</v>
      </c>
      <c r="C17" s="72">
        <v>45714</v>
      </c>
      <c r="D17" t="s">
        <v>577</v>
      </c>
      <c r="E17" t="s">
        <v>73</v>
      </c>
      <c r="F17" t="s">
        <v>203</v>
      </c>
      <c r="G17">
        <v>60002095</v>
      </c>
      <c r="H17" t="s">
        <v>578</v>
      </c>
      <c r="I17" t="s">
        <v>579</v>
      </c>
      <c r="J17">
        <v>1</v>
      </c>
      <c r="K17" t="s">
        <v>37</v>
      </c>
      <c r="L17" t="s">
        <v>68</v>
      </c>
      <c r="N17" t="s">
        <v>89</v>
      </c>
      <c r="O17">
        <v>0</v>
      </c>
      <c r="P17" t="s">
        <v>580</v>
      </c>
      <c r="Q17" t="s">
        <v>37</v>
      </c>
      <c r="V17" t="s">
        <v>41</v>
      </c>
      <c r="W17">
        <v>4432.21</v>
      </c>
      <c r="X17">
        <v>4432.21</v>
      </c>
    </row>
    <row r="18" spans="1:24">
      <c r="A18" t="s">
        <v>567</v>
      </c>
      <c r="B18" s="72">
        <v>45714</v>
      </c>
      <c r="C18" s="72">
        <v>45714</v>
      </c>
      <c r="D18" t="s">
        <v>568</v>
      </c>
      <c r="E18" t="s">
        <v>569</v>
      </c>
      <c r="F18" t="s">
        <v>55</v>
      </c>
      <c r="G18">
        <v>44000058</v>
      </c>
      <c r="H18" t="s">
        <v>574</v>
      </c>
      <c r="I18" t="s">
        <v>575</v>
      </c>
      <c r="J18">
        <v>1</v>
      </c>
      <c r="K18" t="s">
        <v>37</v>
      </c>
      <c r="L18" t="s">
        <v>217</v>
      </c>
      <c r="N18" t="s">
        <v>58</v>
      </c>
      <c r="O18">
        <v>1</v>
      </c>
      <c r="Q18" t="s">
        <v>4140</v>
      </c>
      <c r="R18" s="72">
        <v>45714</v>
      </c>
      <c r="V18" t="s">
        <v>573</v>
      </c>
      <c r="W18">
        <v>1323.87</v>
      </c>
      <c r="X18">
        <v>1323.87</v>
      </c>
    </row>
    <row r="19" spans="1:24">
      <c r="A19" t="s">
        <v>567</v>
      </c>
      <c r="B19" s="72">
        <v>45714</v>
      </c>
      <c r="C19" s="72">
        <v>45714</v>
      </c>
      <c r="D19" t="s">
        <v>568</v>
      </c>
      <c r="E19" t="s">
        <v>569</v>
      </c>
      <c r="F19" t="s">
        <v>55</v>
      </c>
      <c r="G19">
        <v>44000058</v>
      </c>
      <c r="H19" t="s">
        <v>570</v>
      </c>
      <c r="I19" t="s">
        <v>571</v>
      </c>
      <c r="J19">
        <v>1</v>
      </c>
      <c r="K19" t="s">
        <v>37</v>
      </c>
      <c r="L19" t="s">
        <v>217</v>
      </c>
      <c r="N19" t="s">
        <v>58</v>
      </c>
      <c r="O19">
        <v>1</v>
      </c>
      <c r="P19" t="s">
        <v>572</v>
      </c>
      <c r="Q19" t="s">
        <v>4140</v>
      </c>
      <c r="R19" s="72">
        <v>45714</v>
      </c>
      <c r="V19" t="s">
        <v>573</v>
      </c>
      <c r="W19">
        <v>966.08</v>
      </c>
      <c r="X19">
        <v>966.08</v>
      </c>
    </row>
    <row r="20" spans="1:24">
      <c r="A20" t="s">
        <v>565</v>
      </c>
      <c r="B20" s="72">
        <v>45714</v>
      </c>
      <c r="C20" s="72">
        <v>45713</v>
      </c>
      <c r="D20" t="s">
        <v>566</v>
      </c>
      <c r="E20" t="s">
        <v>202</v>
      </c>
      <c r="F20" t="s">
        <v>203</v>
      </c>
      <c r="G20">
        <v>60002072</v>
      </c>
      <c r="H20" t="s">
        <v>350</v>
      </c>
      <c r="I20" t="s">
        <v>351</v>
      </c>
      <c r="J20">
        <v>1</v>
      </c>
      <c r="K20" t="s">
        <v>67</v>
      </c>
      <c r="L20" t="s">
        <v>346</v>
      </c>
      <c r="M20" t="s">
        <v>58</v>
      </c>
      <c r="N20" t="s">
        <v>58</v>
      </c>
      <c r="O20">
        <v>1</v>
      </c>
      <c r="Q20" t="s">
        <v>4143</v>
      </c>
      <c r="R20" s="72">
        <v>45713</v>
      </c>
      <c r="W20">
        <v>886.36</v>
      </c>
      <c r="X20">
        <v>886.36</v>
      </c>
    </row>
    <row r="21" spans="1:24">
      <c r="A21" t="s">
        <v>563</v>
      </c>
      <c r="B21" s="72">
        <v>45714</v>
      </c>
      <c r="C21" s="72">
        <v>45714</v>
      </c>
      <c r="D21" t="s">
        <v>564</v>
      </c>
      <c r="E21" t="s">
        <v>73</v>
      </c>
      <c r="F21" t="s">
        <v>2491</v>
      </c>
      <c r="G21">
        <v>50110372</v>
      </c>
      <c r="H21" t="s">
        <v>215</v>
      </c>
      <c r="I21" t="s">
        <v>557</v>
      </c>
      <c r="J21">
        <v>1</v>
      </c>
      <c r="K21" t="s">
        <v>37</v>
      </c>
      <c r="L21" t="s">
        <v>217</v>
      </c>
      <c r="M21" t="s">
        <v>39</v>
      </c>
      <c r="N21" t="s">
        <v>39</v>
      </c>
      <c r="O21">
        <v>1</v>
      </c>
      <c r="P21" t="s">
        <v>218</v>
      </c>
      <c r="Q21" t="s">
        <v>37</v>
      </c>
      <c r="V21" t="s">
        <v>41</v>
      </c>
      <c r="W21">
        <v>22.54</v>
      </c>
      <c r="X21">
        <v>22.54</v>
      </c>
    </row>
    <row r="22" spans="1:24">
      <c r="A22" t="s">
        <v>560</v>
      </c>
      <c r="B22" s="72">
        <v>45714</v>
      </c>
      <c r="C22" s="72">
        <v>45713</v>
      </c>
      <c r="D22" t="s">
        <v>561</v>
      </c>
      <c r="E22" t="s">
        <v>73</v>
      </c>
      <c r="F22" t="s">
        <v>203</v>
      </c>
      <c r="G22" t="s">
        <v>562</v>
      </c>
      <c r="H22" t="s">
        <v>521</v>
      </c>
      <c r="I22" t="s">
        <v>522</v>
      </c>
      <c r="J22">
        <v>1</v>
      </c>
      <c r="K22" t="s">
        <v>67</v>
      </c>
      <c r="L22" t="s">
        <v>346</v>
      </c>
      <c r="M22" t="s">
        <v>88</v>
      </c>
      <c r="N22" t="s">
        <v>89</v>
      </c>
      <c r="O22">
        <v>0</v>
      </c>
      <c r="Q22" t="s">
        <v>4144</v>
      </c>
      <c r="V22" t="s">
        <v>41</v>
      </c>
      <c r="W22">
        <v>2531.29</v>
      </c>
      <c r="X22">
        <v>2531.29</v>
      </c>
    </row>
    <row r="23" spans="1:24">
      <c r="A23" t="s">
        <v>558</v>
      </c>
      <c r="B23" s="72">
        <v>45714</v>
      </c>
      <c r="C23" s="72">
        <v>45713</v>
      </c>
      <c r="D23" t="s">
        <v>559</v>
      </c>
      <c r="E23" t="s">
        <v>109</v>
      </c>
      <c r="F23" t="s">
        <v>2491</v>
      </c>
      <c r="G23">
        <v>50110229</v>
      </c>
      <c r="H23" t="s">
        <v>215</v>
      </c>
      <c r="I23" t="s">
        <v>557</v>
      </c>
      <c r="J23">
        <v>1</v>
      </c>
      <c r="K23" t="s">
        <v>37</v>
      </c>
      <c r="L23" t="s">
        <v>217</v>
      </c>
      <c r="M23" t="s">
        <v>39</v>
      </c>
      <c r="N23" t="s">
        <v>39</v>
      </c>
      <c r="O23">
        <v>1</v>
      </c>
      <c r="P23" t="s">
        <v>218</v>
      </c>
      <c r="Q23" t="s">
        <v>37</v>
      </c>
      <c r="V23" t="s">
        <v>41</v>
      </c>
      <c r="W23">
        <v>22.54</v>
      </c>
      <c r="X23">
        <v>22.54</v>
      </c>
    </row>
    <row r="24" spans="1:24">
      <c r="A24" t="s">
        <v>555</v>
      </c>
      <c r="B24" s="72">
        <v>45714</v>
      </c>
      <c r="C24" s="72">
        <v>45713</v>
      </c>
      <c r="D24" t="s">
        <v>556</v>
      </c>
      <c r="E24" t="s">
        <v>33</v>
      </c>
      <c r="F24" t="s">
        <v>2491</v>
      </c>
      <c r="G24">
        <v>50110193</v>
      </c>
      <c r="H24" t="s">
        <v>215</v>
      </c>
      <c r="I24" t="s">
        <v>557</v>
      </c>
      <c r="J24">
        <v>1</v>
      </c>
      <c r="K24" t="s">
        <v>37</v>
      </c>
      <c r="L24" t="s">
        <v>217</v>
      </c>
      <c r="M24" t="s">
        <v>39</v>
      </c>
      <c r="N24" t="s">
        <v>39</v>
      </c>
      <c r="O24">
        <v>1</v>
      </c>
      <c r="P24" t="s">
        <v>218</v>
      </c>
      <c r="Q24" t="s">
        <v>37</v>
      </c>
      <c r="V24" t="s">
        <v>41</v>
      </c>
      <c r="W24">
        <v>22.54</v>
      </c>
      <c r="X24">
        <v>22.54</v>
      </c>
    </row>
    <row r="25" spans="1:24">
      <c r="A25" t="s">
        <v>552</v>
      </c>
      <c r="B25" s="72">
        <v>45714</v>
      </c>
      <c r="C25" s="72">
        <v>45713</v>
      </c>
      <c r="D25" t="s">
        <v>553</v>
      </c>
      <c r="E25" t="s">
        <v>79</v>
      </c>
      <c r="F25" t="s">
        <v>2496</v>
      </c>
      <c r="G25">
        <v>50000530</v>
      </c>
      <c r="H25" t="s">
        <v>4022</v>
      </c>
      <c r="I25" t="s">
        <v>76</v>
      </c>
      <c r="J25">
        <v>1</v>
      </c>
      <c r="K25" t="s">
        <v>37</v>
      </c>
      <c r="L25" t="s">
        <v>217</v>
      </c>
      <c r="M25" t="s">
        <v>58</v>
      </c>
      <c r="N25" t="s">
        <v>58</v>
      </c>
      <c r="O25">
        <v>1</v>
      </c>
      <c r="Q25" t="s">
        <v>3970</v>
      </c>
      <c r="R25" s="72">
        <v>45712</v>
      </c>
      <c r="V25" t="s">
        <v>554</v>
      </c>
      <c r="W25">
        <v>1187.4100000000001</v>
      </c>
      <c r="X25">
        <v>1187.4100000000001</v>
      </c>
    </row>
    <row r="26" spans="1:24">
      <c r="A26" t="s">
        <v>550</v>
      </c>
      <c r="B26" s="72">
        <v>45713</v>
      </c>
      <c r="C26" s="72">
        <v>45713</v>
      </c>
      <c r="E26" t="s">
        <v>381</v>
      </c>
      <c r="H26" t="s">
        <v>4145</v>
      </c>
      <c r="I26" t="s">
        <v>4146</v>
      </c>
      <c r="J26">
        <v>2</v>
      </c>
      <c r="N26" t="s">
        <v>89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547</v>
      </c>
      <c r="B27" s="72">
        <v>45713</v>
      </c>
      <c r="C27" s="72">
        <v>45713</v>
      </c>
      <c r="E27" t="s">
        <v>192</v>
      </c>
      <c r="F27" t="s">
        <v>4147</v>
      </c>
      <c r="G27">
        <v>51000129</v>
      </c>
      <c r="H27" t="s">
        <v>4148</v>
      </c>
      <c r="I27" t="s">
        <v>4149</v>
      </c>
      <c r="J27">
        <v>1</v>
      </c>
      <c r="N27" t="s">
        <v>89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538</v>
      </c>
      <c r="B28" s="72">
        <v>45712</v>
      </c>
      <c r="C28" s="72">
        <v>45709</v>
      </c>
      <c r="D28" t="s">
        <v>539</v>
      </c>
      <c r="E28" t="s">
        <v>63</v>
      </c>
      <c r="F28" t="s">
        <v>173</v>
      </c>
      <c r="G28">
        <v>48300301</v>
      </c>
      <c r="H28" t="s">
        <v>540</v>
      </c>
      <c r="I28" t="s">
        <v>541</v>
      </c>
      <c r="J28">
        <v>1</v>
      </c>
      <c r="K28" t="s">
        <v>37</v>
      </c>
      <c r="L28" t="s">
        <v>48</v>
      </c>
      <c r="M28" t="s">
        <v>58</v>
      </c>
      <c r="N28" t="s">
        <v>58</v>
      </c>
      <c r="O28">
        <v>1</v>
      </c>
      <c r="P28" t="s">
        <v>542</v>
      </c>
      <c r="Q28" t="s">
        <v>3970</v>
      </c>
      <c r="R28" s="72">
        <v>45680</v>
      </c>
      <c r="V28" t="s">
        <v>70</v>
      </c>
      <c r="W28">
        <v>1240.6400000000001</v>
      </c>
      <c r="X28">
        <v>1240.6400000000001</v>
      </c>
    </row>
    <row r="29" spans="1:24">
      <c r="A29" t="s">
        <v>534</v>
      </c>
      <c r="B29" s="72">
        <v>45712</v>
      </c>
      <c r="C29" s="72">
        <v>45709</v>
      </c>
      <c r="D29" t="s">
        <v>535</v>
      </c>
      <c r="E29" t="s">
        <v>73</v>
      </c>
      <c r="F29" t="s">
        <v>2491</v>
      </c>
      <c r="G29">
        <v>50110372</v>
      </c>
      <c r="H29" t="s">
        <v>536</v>
      </c>
      <c r="I29" t="s">
        <v>537</v>
      </c>
      <c r="J29">
        <v>1</v>
      </c>
      <c r="K29" t="s">
        <v>67</v>
      </c>
      <c r="L29" t="s">
        <v>68</v>
      </c>
      <c r="M29" t="s">
        <v>88</v>
      </c>
      <c r="N29" t="s">
        <v>89</v>
      </c>
      <c r="O29">
        <v>0</v>
      </c>
      <c r="Q29" t="s">
        <v>4144</v>
      </c>
      <c r="V29" t="s">
        <v>41</v>
      </c>
      <c r="W29">
        <v>96.11</v>
      </c>
      <c r="X29">
        <v>96.11</v>
      </c>
    </row>
    <row r="30" spans="1:24">
      <c r="A30" t="s">
        <v>543</v>
      </c>
      <c r="B30" s="72">
        <v>45709</v>
      </c>
      <c r="C30" s="72">
        <v>45709</v>
      </c>
      <c r="D30" t="s">
        <v>544</v>
      </c>
      <c r="E30" t="s">
        <v>118</v>
      </c>
      <c r="F30" t="s">
        <v>2527</v>
      </c>
      <c r="G30">
        <v>51000174</v>
      </c>
      <c r="H30" t="s">
        <v>158</v>
      </c>
      <c r="I30" t="s">
        <v>159</v>
      </c>
      <c r="J30">
        <v>1</v>
      </c>
      <c r="K30" t="s">
        <v>37</v>
      </c>
      <c r="L30" t="s">
        <v>48</v>
      </c>
      <c r="M30" t="s">
        <v>58</v>
      </c>
      <c r="N30" t="s">
        <v>58</v>
      </c>
      <c r="O30">
        <v>1</v>
      </c>
      <c r="Q30" t="s">
        <v>4139</v>
      </c>
      <c r="R30" s="72">
        <v>45705</v>
      </c>
      <c r="V30" t="s">
        <v>546</v>
      </c>
      <c r="W30">
        <v>475.51</v>
      </c>
      <c r="X30">
        <v>475.51</v>
      </c>
    </row>
    <row r="31" spans="1:24">
      <c r="A31" t="s">
        <v>524</v>
      </c>
      <c r="B31" s="72">
        <v>45709</v>
      </c>
      <c r="C31" s="72">
        <v>45708</v>
      </c>
      <c r="D31" t="s">
        <v>525</v>
      </c>
      <c r="E31" t="s">
        <v>85</v>
      </c>
      <c r="F31" t="s">
        <v>2496</v>
      </c>
      <c r="G31">
        <v>50000260</v>
      </c>
      <c r="H31" t="s">
        <v>531</v>
      </c>
      <c r="I31" t="s">
        <v>532</v>
      </c>
      <c r="J31">
        <v>1</v>
      </c>
      <c r="K31" t="s">
        <v>67</v>
      </c>
      <c r="L31" t="s">
        <v>68</v>
      </c>
      <c r="M31" t="s">
        <v>88</v>
      </c>
      <c r="N31" t="s">
        <v>89</v>
      </c>
      <c r="O31">
        <v>0</v>
      </c>
      <c r="Q31" t="s">
        <v>37</v>
      </c>
      <c r="V31" t="s">
        <v>41</v>
      </c>
      <c r="W31">
        <v>24.61</v>
      </c>
      <c r="X31">
        <v>24.61</v>
      </c>
    </row>
    <row r="32" spans="1:24">
      <c r="A32" t="s">
        <v>524</v>
      </c>
      <c r="B32" s="72">
        <v>45709</v>
      </c>
      <c r="C32" s="72">
        <v>45708</v>
      </c>
      <c r="D32" t="s">
        <v>525</v>
      </c>
      <c r="E32" t="s">
        <v>85</v>
      </c>
      <c r="F32" t="s">
        <v>2496</v>
      </c>
      <c r="G32">
        <v>50000260</v>
      </c>
      <c r="H32" t="s">
        <v>94</v>
      </c>
      <c r="I32" t="s">
        <v>530</v>
      </c>
      <c r="J32">
        <v>3</v>
      </c>
      <c r="K32" t="s">
        <v>37</v>
      </c>
      <c r="L32" t="s">
        <v>68</v>
      </c>
      <c r="M32" t="s">
        <v>58</v>
      </c>
      <c r="N32" t="s">
        <v>58</v>
      </c>
      <c r="O32">
        <v>3</v>
      </c>
      <c r="Q32" t="s">
        <v>4150</v>
      </c>
      <c r="R32" s="72">
        <v>45707</v>
      </c>
      <c r="V32" t="s">
        <v>41</v>
      </c>
      <c r="W32">
        <v>177.88</v>
      </c>
      <c r="X32">
        <v>533.64</v>
      </c>
    </row>
    <row r="33" spans="1:24">
      <c r="A33" t="s">
        <v>524</v>
      </c>
      <c r="B33" s="72">
        <v>45709</v>
      </c>
      <c r="C33" s="72">
        <v>45708</v>
      </c>
      <c r="D33" t="s">
        <v>525</v>
      </c>
      <c r="E33" t="s">
        <v>85</v>
      </c>
      <c r="F33" t="s">
        <v>2496</v>
      </c>
      <c r="G33">
        <v>50000260</v>
      </c>
      <c r="H33" t="s">
        <v>529</v>
      </c>
      <c r="I33" t="s">
        <v>187</v>
      </c>
      <c r="J33">
        <v>1</v>
      </c>
      <c r="K33" t="s">
        <v>37</v>
      </c>
      <c r="L33" t="s">
        <v>68</v>
      </c>
      <c r="M33" t="s">
        <v>58</v>
      </c>
      <c r="N33" t="s">
        <v>58</v>
      </c>
      <c r="O33">
        <v>1</v>
      </c>
      <c r="Q33" t="s">
        <v>37</v>
      </c>
      <c r="R33" s="72">
        <v>45707</v>
      </c>
      <c r="V33" t="s">
        <v>41</v>
      </c>
      <c r="W33">
        <v>11.43</v>
      </c>
      <c r="X33">
        <v>11.43</v>
      </c>
    </row>
    <row r="34" spans="1:24">
      <c r="A34" t="s">
        <v>524</v>
      </c>
      <c r="B34" s="72">
        <v>45709</v>
      </c>
      <c r="C34" s="72">
        <v>45708</v>
      </c>
      <c r="D34" t="s">
        <v>525</v>
      </c>
      <c r="E34" t="s">
        <v>85</v>
      </c>
      <c r="F34" t="s">
        <v>2496</v>
      </c>
      <c r="G34">
        <v>50000260</v>
      </c>
      <c r="H34" t="s">
        <v>527</v>
      </c>
      <c r="I34" t="s">
        <v>528</v>
      </c>
      <c r="J34">
        <v>1</v>
      </c>
      <c r="K34" t="s">
        <v>37</v>
      </c>
      <c r="L34" t="s">
        <v>68</v>
      </c>
      <c r="M34" t="s">
        <v>58</v>
      </c>
      <c r="N34" t="s">
        <v>58</v>
      </c>
      <c r="O34">
        <v>1</v>
      </c>
      <c r="Q34" t="s">
        <v>4150</v>
      </c>
      <c r="R34" s="72">
        <v>45707</v>
      </c>
      <c r="V34" t="s">
        <v>41</v>
      </c>
      <c r="W34">
        <v>273.58</v>
      </c>
      <c r="X34">
        <v>273.58</v>
      </c>
    </row>
    <row r="35" spans="1:24">
      <c r="A35" t="s">
        <v>524</v>
      </c>
      <c r="B35" s="72">
        <v>45709</v>
      </c>
      <c r="C35" s="72">
        <v>45708</v>
      </c>
      <c r="D35" t="s">
        <v>525</v>
      </c>
      <c r="E35" t="s">
        <v>85</v>
      </c>
      <c r="F35" t="s">
        <v>2496</v>
      </c>
      <c r="G35">
        <v>50000260</v>
      </c>
      <c r="H35" t="s">
        <v>245</v>
      </c>
      <c r="I35" t="s">
        <v>526</v>
      </c>
      <c r="J35">
        <v>3</v>
      </c>
      <c r="K35" t="s">
        <v>67</v>
      </c>
      <c r="L35" t="s">
        <v>68</v>
      </c>
      <c r="M35" t="s">
        <v>88</v>
      </c>
      <c r="N35" t="s">
        <v>89</v>
      </c>
      <c r="O35">
        <v>0</v>
      </c>
      <c r="P35" t="s">
        <v>247</v>
      </c>
      <c r="Q35" t="s">
        <v>37</v>
      </c>
      <c r="V35" t="s">
        <v>41</v>
      </c>
      <c r="W35">
        <v>80.180000000000007</v>
      </c>
      <c r="X35">
        <v>240.54000000000002</v>
      </c>
    </row>
    <row r="36" spans="1:24">
      <c r="A36" t="s">
        <v>519</v>
      </c>
      <c r="B36" s="72">
        <v>45709</v>
      </c>
      <c r="C36" s="72">
        <v>45708</v>
      </c>
      <c r="D36" t="s">
        <v>520</v>
      </c>
      <c r="E36" t="s">
        <v>202</v>
      </c>
      <c r="F36" t="s">
        <v>203</v>
      </c>
      <c r="G36">
        <v>60002072</v>
      </c>
      <c r="H36" t="s">
        <v>521</v>
      </c>
      <c r="I36" t="s">
        <v>522</v>
      </c>
      <c r="J36">
        <v>1</v>
      </c>
      <c r="K36" t="s">
        <v>67</v>
      </c>
      <c r="L36" t="s">
        <v>346</v>
      </c>
      <c r="M36" t="s">
        <v>88</v>
      </c>
      <c r="N36" t="s">
        <v>89</v>
      </c>
      <c r="O36">
        <v>0</v>
      </c>
      <c r="Q36" t="s">
        <v>4144</v>
      </c>
      <c r="W36">
        <v>2531.29</v>
      </c>
      <c r="X36">
        <v>2531.29</v>
      </c>
    </row>
    <row r="37" spans="1:24">
      <c r="A37" t="s">
        <v>513</v>
      </c>
      <c r="B37" s="72">
        <v>45708</v>
      </c>
      <c r="C37" s="72">
        <v>45708</v>
      </c>
      <c r="D37" t="s">
        <v>514</v>
      </c>
      <c r="E37" t="s">
        <v>515</v>
      </c>
      <c r="F37" t="s">
        <v>516</v>
      </c>
      <c r="G37">
        <v>61000037</v>
      </c>
      <c r="H37" t="s">
        <v>517</v>
      </c>
      <c r="I37" t="s">
        <v>518</v>
      </c>
      <c r="J37">
        <v>1</v>
      </c>
      <c r="K37" t="s">
        <v>67</v>
      </c>
      <c r="L37" t="s">
        <v>48</v>
      </c>
      <c r="M37" t="s">
        <v>88</v>
      </c>
      <c r="N37" t="s">
        <v>89</v>
      </c>
      <c r="O37">
        <v>0</v>
      </c>
      <c r="Q37" t="s">
        <v>4151</v>
      </c>
      <c r="W37">
        <v>60590.21</v>
      </c>
      <c r="X37">
        <v>60590.21</v>
      </c>
    </row>
    <row r="38" spans="1:24">
      <c r="A38" t="s">
        <v>509</v>
      </c>
      <c r="B38" s="72">
        <v>45708</v>
      </c>
      <c r="C38" s="72">
        <v>45707</v>
      </c>
      <c r="D38" t="s">
        <v>510</v>
      </c>
      <c r="E38" t="s">
        <v>93</v>
      </c>
      <c r="F38" t="s">
        <v>2496</v>
      </c>
      <c r="G38">
        <v>50000202</v>
      </c>
      <c r="H38" t="s">
        <v>511</v>
      </c>
      <c r="I38" t="s">
        <v>512</v>
      </c>
      <c r="J38">
        <v>1</v>
      </c>
      <c r="K38" t="s">
        <v>37</v>
      </c>
      <c r="L38" t="s">
        <v>48</v>
      </c>
      <c r="M38" t="s">
        <v>58</v>
      </c>
      <c r="N38" t="s">
        <v>58</v>
      </c>
      <c r="O38">
        <v>1</v>
      </c>
      <c r="Q38" t="s">
        <v>3970</v>
      </c>
      <c r="R38" s="72">
        <v>45699</v>
      </c>
      <c r="V38" t="s">
        <v>473</v>
      </c>
      <c r="W38">
        <v>1721.28</v>
      </c>
      <c r="X38">
        <v>1721.28</v>
      </c>
    </row>
    <row r="39" spans="1:24">
      <c r="A39" t="s">
        <v>502</v>
      </c>
      <c r="B39" s="72">
        <v>45708</v>
      </c>
      <c r="C39" s="72">
        <v>45707</v>
      </c>
      <c r="D39" t="s">
        <v>503</v>
      </c>
      <c r="E39" t="s">
        <v>33</v>
      </c>
      <c r="F39" t="s">
        <v>2491</v>
      </c>
      <c r="G39">
        <v>50110193</v>
      </c>
      <c r="H39" t="s">
        <v>507</v>
      </c>
      <c r="I39" t="s">
        <v>508</v>
      </c>
      <c r="J39">
        <v>1</v>
      </c>
      <c r="K39" t="s">
        <v>37</v>
      </c>
      <c r="L39" t="s">
        <v>48</v>
      </c>
      <c r="M39" t="s">
        <v>58</v>
      </c>
      <c r="N39" t="s">
        <v>58</v>
      </c>
      <c r="O39">
        <v>1</v>
      </c>
      <c r="Q39" t="s">
        <v>37</v>
      </c>
      <c r="R39" s="72">
        <v>45708</v>
      </c>
      <c r="V39" t="s">
        <v>41</v>
      </c>
      <c r="W39">
        <v>85.17</v>
      </c>
      <c r="X39">
        <v>85.17</v>
      </c>
    </row>
    <row r="40" spans="1:24">
      <c r="A40" t="s">
        <v>502</v>
      </c>
      <c r="B40" s="72">
        <v>45708</v>
      </c>
      <c r="C40" s="72">
        <v>45707</v>
      </c>
      <c r="D40" t="s">
        <v>503</v>
      </c>
      <c r="E40" t="s">
        <v>33</v>
      </c>
      <c r="F40" t="s">
        <v>2491</v>
      </c>
      <c r="G40">
        <v>50110193</v>
      </c>
      <c r="H40" t="s">
        <v>504</v>
      </c>
      <c r="I40" t="s">
        <v>505</v>
      </c>
      <c r="J40">
        <v>1</v>
      </c>
      <c r="K40" t="s">
        <v>37</v>
      </c>
      <c r="L40" t="s">
        <v>48</v>
      </c>
      <c r="M40" t="s">
        <v>88</v>
      </c>
      <c r="N40" t="s">
        <v>89</v>
      </c>
      <c r="O40">
        <v>0</v>
      </c>
      <c r="Q40" t="s">
        <v>37</v>
      </c>
      <c r="V40" t="s">
        <v>41</v>
      </c>
      <c r="W40">
        <v>511.16</v>
      </c>
      <c r="X40">
        <v>511.16</v>
      </c>
    </row>
    <row r="41" spans="1:24">
      <c r="A41" t="s">
        <v>498</v>
      </c>
      <c r="B41" s="72">
        <v>45708</v>
      </c>
      <c r="C41" s="72">
        <v>45707</v>
      </c>
      <c r="D41" t="s">
        <v>499</v>
      </c>
      <c r="E41" t="s">
        <v>33</v>
      </c>
      <c r="F41" t="s">
        <v>2491</v>
      </c>
      <c r="G41">
        <v>50110193</v>
      </c>
      <c r="H41" t="s">
        <v>500</v>
      </c>
      <c r="I41" t="s">
        <v>501</v>
      </c>
      <c r="J41">
        <v>1</v>
      </c>
      <c r="K41" t="s">
        <v>37</v>
      </c>
      <c r="L41" t="s">
        <v>48</v>
      </c>
      <c r="M41" t="s">
        <v>39</v>
      </c>
      <c r="N41" t="s">
        <v>58</v>
      </c>
      <c r="O41">
        <v>1</v>
      </c>
      <c r="Q41" t="s">
        <v>37</v>
      </c>
      <c r="R41" s="72">
        <v>45708</v>
      </c>
      <c r="V41" t="s">
        <v>41</v>
      </c>
      <c r="W41">
        <v>10.19</v>
      </c>
      <c r="X41">
        <v>10.19</v>
      </c>
    </row>
    <row r="42" spans="1:24">
      <c r="A42" t="s">
        <v>493</v>
      </c>
      <c r="B42" s="72">
        <v>45708</v>
      </c>
      <c r="C42" s="72">
        <v>45707</v>
      </c>
      <c r="D42" t="s">
        <v>494</v>
      </c>
      <c r="E42" t="s">
        <v>103</v>
      </c>
      <c r="F42" t="s">
        <v>2527</v>
      </c>
      <c r="G42">
        <v>51000323</v>
      </c>
      <c r="H42" t="s">
        <v>130</v>
      </c>
      <c r="I42" t="s">
        <v>4021</v>
      </c>
      <c r="J42">
        <v>2</v>
      </c>
      <c r="K42" t="s">
        <v>37</v>
      </c>
      <c r="L42" t="s">
        <v>48</v>
      </c>
      <c r="M42" t="s">
        <v>39</v>
      </c>
      <c r="N42" t="s">
        <v>58</v>
      </c>
      <c r="O42">
        <v>2</v>
      </c>
      <c r="Q42" t="s">
        <v>37</v>
      </c>
      <c r="R42" s="72">
        <v>45707</v>
      </c>
      <c r="V42" t="s">
        <v>41</v>
      </c>
      <c r="W42">
        <v>17.28</v>
      </c>
      <c r="X42">
        <v>34.56</v>
      </c>
    </row>
    <row r="43" spans="1:24">
      <c r="A43" t="s">
        <v>493</v>
      </c>
      <c r="B43" s="72">
        <v>45708</v>
      </c>
      <c r="C43" s="72">
        <v>45707</v>
      </c>
      <c r="D43" t="s">
        <v>494</v>
      </c>
      <c r="E43" t="s">
        <v>103</v>
      </c>
      <c r="F43" t="s">
        <v>2527</v>
      </c>
      <c r="G43">
        <v>51000323</v>
      </c>
      <c r="H43" t="s">
        <v>495</v>
      </c>
      <c r="I43" t="s">
        <v>496</v>
      </c>
      <c r="J43">
        <v>1</v>
      </c>
      <c r="K43" t="s">
        <v>37</v>
      </c>
      <c r="L43" t="s">
        <v>48</v>
      </c>
      <c r="M43" t="s">
        <v>88</v>
      </c>
      <c r="N43" t="s">
        <v>89</v>
      </c>
      <c r="O43">
        <v>0</v>
      </c>
      <c r="Q43" t="s">
        <v>37</v>
      </c>
      <c r="V43" t="s">
        <v>41</v>
      </c>
      <c r="W43">
        <v>7.35</v>
      </c>
      <c r="X43">
        <v>7.35</v>
      </c>
    </row>
    <row r="44" spans="1:24">
      <c r="A44" t="s">
        <v>438</v>
      </c>
      <c r="B44" s="72">
        <v>45708</v>
      </c>
      <c r="C44" s="72">
        <v>45708</v>
      </c>
      <c r="D44" t="s">
        <v>439</v>
      </c>
      <c r="E44" t="s">
        <v>225</v>
      </c>
      <c r="F44" t="s">
        <v>226</v>
      </c>
      <c r="G44">
        <v>43000422</v>
      </c>
      <c r="H44" t="s">
        <v>440</v>
      </c>
      <c r="I44" t="s">
        <v>441</v>
      </c>
      <c r="J44">
        <v>1</v>
      </c>
      <c r="K44" t="s">
        <v>37</v>
      </c>
      <c r="L44" t="s">
        <v>48</v>
      </c>
      <c r="M44" t="s">
        <v>58</v>
      </c>
      <c r="N44" t="s">
        <v>58</v>
      </c>
      <c r="O44">
        <v>1</v>
      </c>
      <c r="P44" t="s">
        <v>335</v>
      </c>
      <c r="Q44" t="s">
        <v>37</v>
      </c>
      <c r="R44" s="72">
        <v>45693</v>
      </c>
      <c r="V44" t="s">
        <v>442</v>
      </c>
      <c r="W44">
        <v>79.989999999999995</v>
      </c>
      <c r="X44">
        <v>79.989999999999995</v>
      </c>
    </row>
    <row r="45" spans="1:24">
      <c r="A45" t="s">
        <v>491</v>
      </c>
      <c r="B45" s="72">
        <v>45707</v>
      </c>
      <c r="E45" t="s">
        <v>33</v>
      </c>
      <c r="F45" t="s">
        <v>2491</v>
      </c>
      <c r="G45">
        <v>50110193</v>
      </c>
      <c r="H45" t="s">
        <v>4152</v>
      </c>
      <c r="I45" t="s">
        <v>4153</v>
      </c>
      <c r="J45">
        <v>1</v>
      </c>
      <c r="M45" t="s">
        <v>384</v>
      </c>
      <c r="N45" t="s">
        <v>384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486</v>
      </c>
      <c r="B46" s="72">
        <v>45707</v>
      </c>
      <c r="C46" s="72">
        <v>45707</v>
      </c>
      <c r="D46" t="s">
        <v>487</v>
      </c>
      <c r="E46" t="s">
        <v>63</v>
      </c>
      <c r="F46" t="s">
        <v>64</v>
      </c>
      <c r="G46">
        <v>48000432</v>
      </c>
      <c r="H46" t="s">
        <v>488</v>
      </c>
      <c r="I46" t="s">
        <v>489</v>
      </c>
      <c r="J46">
        <v>1</v>
      </c>
      <c r="K46" t="s">
        <v>37</v>
      </c>
      <c r="L46" t="s">
        <v>48</v>
      </c>
      <c r="M46" t="s">
        <v>58</v>
      </c>
      <c r="N46" t="s">
        <v>58</v>
      </c>
      <c r="O46">
        <v>1</v>
      </c>
      <c r="Q46" t="s">
        <v>3970</v>
      </c>
      <c r="R46" s="72">
        <v>45700</v>
      </c>
      <c r="V46" t="s">
        <v>490</v>
      </c>
      <c r="W46">
        <v>453.02</v>
      </c>
      <c r="X46">
        <v>453.02</v>
      </c>
    </row>
    <row r="47" spans="1:24">
      <c r="A47" t="s">
        <v>482</v>
      </c>
      <c r="B47" s="72">
        <v>45707</v>
      </c>
      <c r="C47" s="72">
        <v>45707</v>
      </c>
      <c r="D47" t="s">
        <v>483</v>
      </c>
      <c r="E47" t="s">
        <v>33</v>
      </c>
      <c r="F47" t="s">
        <v>2491</v>
      </c>
      <c r="G47">
        <v>50110193</v>
      </c>
      <c r="H47" t="s">
        <v>484</v>
      </c>
      <c r="I47" t="s">
        <v>485</v>
      </c>
      <c r="J47">
        <v>1</v>
      </c>
      <c r="K47" t="s">
        <v>37</v>
      </c>
      <c r="L47" t="s">
        <v>48</v>
      </c>
      <c r="M47" t="s">
        <v>58</v>
      </c>
      <c r="N47" t="s">
        <v>58</v>
      </c>
      <c r="O47">
        <v>1</v>
      </c>
      <c r="Q47" t="s">
        <v>37</v>
      </c>
      <c r="R47" s="72">
        <v>45701</v>
      </c>
      <c r="V47" t="s">
        <v>41</v>
      </c>
      <c r="W47">
        <v>125.99</v>
      </c>
      <c r="X47">
        <v>125.99</v>
      </c>
    </row>
    <row r="48" spans="1:24">
      <c r="A48" t="s">
        <v>477</v>
      </c>
      <c r="B48" s="72">
        <v>45707</v>
      </c>
      <c r="C48" s="72">
        <v>45339</v>
      </c>
      <c r="D48" t="s">
        <v>478</v>
      </c>
      <c r="E48" t="s">
        <v>3997</v>
      </c>
      <c r="F48" t="s">
        <v>2491</v>
      </c>
      <c r="G48" t="s">
        <v>182</v>
      </c>
      <c r="H48" t="s">
        <v>479</v>
      </c>
      <c r="I48" t="s">
        <v>480</v>
      </c>
      <c r="J48">
        <v>1</v>
      </c>
      <c r="K48" t="s">
        <v>37</v>
      </c>
      <c r="L48" t="s">
        <v>38</v>
      </c>
      <c r="M48" t="s">
        <v>58</v>
      </c>
      <c r="N48" t="s">
        <v>58</v>
      </c>
      <c r="O48">
        <v>1</v>
      </c>
      <c r="P48" t="s">
        <v>481</v>
      </c>
      <c r="Q48" t="s">
        <v>3970</v>
      </c>
      <c r="R48" s="72">
        <v>45692</v>
      </c>
      <c r="V48" t="s">
        <v>41</v>
      </c>
      <c r="W48">
        <v>6075.1</v>
      </c>
      <c r="X48">
        <v>6075.1</v>
      </c>
    </row>
    <row r="49" spans="1:24">
      <c r="A49" t="s">
        <v>474</v>
      </c>
      <c r="B49" s="72">
        <v>45707</v>
      </c>
      <c r="C49" s="72">
        <v>45705</v>
      </c>
      <c r="D49" t="s">
        <v>475</v>
      </c>
      <c r="E49" t="s">
        <v>4016</v>
      </c>
      <c r="F49" t="s">
        <v>173</v>
      </c>
      <c r="G49">
        <v>48300375</v>
      </c>
      <c r="H49" t="s">
        <v>280</v>
      </c>
      <c r="I49" t="s">
        <v>318</v>
      </c>
      <c r="J49">
        <v>1</v>
      </c>
      <c r="K49" t="s">
        <v>37</v>
      </c>
      <c r="L49" t="s">
        <v>217</v>
      </c>
      <c r="M49" t="s">
        <v>58</v>
      </c>
      <c r="N49" t="s">
        <v>58</v>
      </c>
      <c r="O49">
        <v>1</v>
      </c>
      <c r="Q49" t="s">
        <v>3970</v>
      </c>
      <c r="R49" s="72">
        <v>45636</v>
      </c>
      <c r="V49" t="s">
        <v>476</v>
      </c>
      <c r="W49">
        <v>431.82</v>
      </c>
      <c r="X49">
        <v>431.82</v>
      </c>
    </row>
    <row r="50" spans="1:24">
      <c r="A50" t="s">
        <v>468</v>
      </c>
      <c r="B50" s="72">
        <v>45707</v>
      </c>
      <c r="C50" s="72">
        <v>45705</v>
      </c>
      <c r="D50" t="s">
        <v>469</v>
      </c>
      <c r="E50" t="s">
        <v>93</v>
      </c>
      <c r="F50" t="s">
        <v>2496</v>
      </c>
      <c r="G50">
        <v>50000202</v>
      </c>
      <c r="H50" t="s">
        <v>470</v>
      </c>
      <c r="I50" t="s">
        <v>4020</v>
      </c>
      <c r="J50">
        <v>1</v>
      </c>
      <c r="K50" t="s">
        <v>37</v>
      </c>
      <c r="L50" t="s">
        <v>96</v>
      </c>
      <c r="M50" t="s">
        <v>58</v>
      </c>
      <c r="N50" t="s">
        <v>58</v>
      </c>
      <c r="O50">
        <v>1</v>
      </c>
      <c r="P50" t="s">
        <v>472</v>
      </c>
      <c r="Q50" t="s">
        <v>3970</v>
      </c>
      <c r="R50" s="72">
        <v>45705</v>
      </c>
      <c r="V50" t="s">
        <v>473</v>
      </c>
      <c r="W50">
        <v>826.34</v>
      </c>
      <c r="X50">
        <v>826.34</v>
      </c>
    </row>
    <row r="51" spans="1:24">
      <c r="A51" t="s">
        <v>461</v>
      </c>
      <c r="B51" s="72">
        <v>45707</v>
      </c>
      <c r="C51" s="72">
        <v>45705</v>
      </c>
      <c r="D51" t="s">
        <v>462</v>
      </c>
      <c r="E51" t="s">
        <v>202</v>
      </c>
      <c r="F51" t="s">
        <v>203</v>
      </c>
      <c r="G51">
        <v>60002072</v>
      </c>
      <c r="H51" t="s">
        <v>464</v>
      </c>
      <c r="I51" t="s">
        <v>465</v>
      </c>
      <c r="J51">
        <v>1</v>
      </c>
      <c r="K51" t="s">
        <v>37</v>
      </c>
      <c r="L51" t="s">
        <v>346</v>
      </c>
      <c r="M51" t="s">
        <v>58</v>
      </c>
      <c r="N51" t="s">
        <v>58</v>
      </c>
      <c r="O51">
        <v>1</v>
      </c>
      <c r="Q51" t="s">
        <v>4139</v>
      </c>
      <c r="R51" s="72">
        <v>45693</v>
      </c>
      <c r="W51">
        <v>359.28</v>
      </c>
      <c r="X51">
        <v>359.28</v>
      </c>
    </row>
    <row r="52" spans="1:24">
      <c r="A52" t="s">
        <v>461</v>
      </c>
      <c r="B52" s="72">
        <v>45707</v>
      </c>
      <c r="C52" s="72">
        <v>45705</v>
      </c>
      <c r="D52" t="s">
        <v>462</v>
      </c>
      <c r="E52" t="s">
        <v>202</v>
      </c>
      <c r="F52" t="s">
        <v>203</v>
      </c>
      <c r="G52">
        <v>60002072</v>
      </c>
      <c r="H52" t="s">
        <v>114</v>
      </c>
      <c r="I52" t="s">
        <v>463</v>
      </c>
      <c r="J52">
        <v>1</v>
      </c>
      <c r="K52" t="s">
        <v>37</v>
      </c>
      <c r="L52" t="s">
        <v>346</v>
      </c>
      <c r="M52" t="s">
        <v>58</v>
      </c>
      <c r="N52" t="s">
        <v>58</v>
      </c>
      <c r="O52">
        <v>1</v>
      </c>
      <c r="Q52" t="s">
        <v>37</v>
      </c>
      <c r="R52" s="72">
        <v>45693</v>
      </c>
      <c r="W52">
        <v>77.98</v>
      </c>
      <c r="X52">
        <v>77.98</v>
      </c>
    </row>
    <row r="53" spans="1:24">
      <c r="A53" t="s">
        <v>466</v>
      </c>
      <c r="B53" s="72">
        <v>45706</v>
      </c>
      <c r="E53" t="s">
        <v>192</v>
      </c>
      <c r="F53" t="s">
        <v>4147</v>
      </c>
      <c r="G53">
        <v>51000129</v>
      </c>
      <c r="H53" t="s">
        <v>4154</v>
      </c>
      <c r="I53" t="s">
        <v>4155</v>
      </c>
      <c r="J53">
        <v>1</v>
      </c>
      <c r="M53" t="s">
        <v>384</v>
      </c>
      <c r="N53" t="s">
        <v>384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453</v>
      </c>
      <c r="B54" s="72">
        <v>45706</v>
      </c>
      <c r="C54" s="72">
        <v>45698</v>
      </c>
      <c r="D54" t="s">
        <v>454</v>
      </c>
      <c r="E54" t="s">
        <v>455</v>
      </c>
      <c r="F54" t="s">
        <v>456</v>
      </c>
      <c r="G54">
        <v>47200115</v>
      </c>
      <c r="H54" t="s">
        <v>457</v>
      </c>
      <c r="I54" t="s">
        <v>4019</v>
      </c>
      <c r="J54">
        <v>1</v>
      </c>
      <c r="K54" t="s">
        <v>37</v>
      </c>
      <c r="L54" t="s">
        <v>459</v>
      </c>
      <c r="M54" t="s">
        <v>58</v>
      </c>
      <c r="N54" t="s">
        <v>58</v>
      </c>
      <c r="O54">
        <v>1</v>
      </c>
      <c r="Q54" t="s">
        <v>4139</v>
      </c>
      <c r="R54" s="72">
        <v>45642</v>
      </c>
      <c r="V54" t="s">
        <v>460</v>
      </c>
      <c r="W54">
        <v>1317.91</v>
      </c>
      <c r="X54">
        <v>1317.91</v>
      </c>
    </row>
    <row r="55" spans="1:24">
      <c r="A55" t="s">
        <v>449</v>
      </c>
      <c r="B55" s="72">
        <v>45701</v>
      </c>
      <c r="C55" s="72">
        <v>45700</v>
      </c>
      <c r="D55" t="s">
        <v>450</v>
      </c>
      <c r="E55" t="s">
        <v>73</v>
      </c>
      <c r="F55" t="s">
        <v>203</v>
      </c>
      <c r="G55">
        <v>60002095</v>
      </c>
      <c r="H55" t="s">
        <v>451</v>
      </c>
      <c r="I55" t="s">
        <v>452</v>
      </c>
      <c r="J55">
        <v>1</v>
      </c>
      <c r="K55" t="s">
        <v>37</v>
      </c>
      <c r="L55" t="s">
        <v>96</v>
      </c>
      <c r="M55" t="s">
        <v>58</v>
      </c>
      <c r="N55" t="s">
        <v>58</v>
      </c>
      <c r="O55">
        <v>1</v>
      </c>
      <c r="Q55" t="s">
        <v>3970</v>
      </c>
      <c r="R55" s="72">
        <v>45701</v>
      </c>
      <c r="V55" t="s">
        <v>41</v>
      </c>
      <c r="W55">
        <v>1172.56</v>
      </c>
      <c r="X55">
        <v>1172.56</v>
      </c>
    </row>
    <row r="56" spans="1:24">
      <c r="A56" t="s">
        <v>443</v>
      </c>
      <c r="B56" s="72">
        <v>45699</v>
      </c>
      <c r="C56" s="72">
        <v>45691</v>
      </c>
      <c r="D56" t="s">
        <v>444</v>
      </c>
      <c r="E56" t="s">
        <v>445</v>
      </c>
      <c r="F56" t="s">
        <v>403</v>
      </c>
      <c r="G56">
        <v>50300097</v>
      </c>
      <c r="H56" t="s">
        <v>446</v>
      </c>
      <c r="I56" t="s">
        <v>4018</v>
      </c>
      <c r="J56">
        <v>1</v>
      </c>
      <c r="K56" t="s">
        <v>37</v>
      </c>
      <c r="L56" t="s">
        <v>294</v>
      </c>
      <c r="M56" t="s">
        <v>88</v>
      </c>
      <c r="N56" t="s">
        <v>58</v>
      </c>
      <c r="O56">
        <v>1</v>
      </c>
      <c r="Q56" t="s">
        <v>37</v>
      </c>
      <c r="R56" s="72">
        <v>45691</v>
      </c>
      <c r="V56" t="s">
        <v>448</v>
      </c>
      <c r="W56">
        <v>83.29</v>
      </c>
      <c r="X56">
        <v>83.29</v>
      </c>
    </row>
    <row r="57" spans="1:24">
      <c r="A57" t="s">
        <v>434</v>
      </c>
      <c r="B57" s="72">
        <v>45698</v>
      </c>
      <c r="C57" s="72">
        <v>45698</v>
      </c>
      <c r="D57" t="s">
        <v>435</v>
      </c>
      <c r="E57" t="s">
        <v>109</v>
      </c>
      <c r="F57" t="s">
        <v>2491</v>
      </c>
      <c r="G57">
        <v>50110229</v>
      </c>
      <c r="H57" t="s">
        <v>436</v>
      </c>
      <c r="I57" t="s">
        <v>437</v>
      </c>
      <c r="J57">
        <v>1</v>
      </c>
      <c r="K57" t="s">
        <v>67</v>
      </c>
      <c r="L57" t="s">
        <v>48</v>
      </c>
      <c r="M57" t="s">
        <v>88</v>
      </c>
      <c r="N57" t="s">
        <v>89</v>
      </c>
      <c r="O57">
        <v>0</v>
      </c>
      <c r="Q57" t="s">
        <v>37</v>
      </c>
      <c r="V57" t="s">
        <v>41</v>
      </c>
      <c r="W57">
        <v>248.73</v>
      </c>
      <c r="X57">
        <v>248.73</v>
      </c>
    </row>
    <row r="58" spans="1:24">
      <c r="A58" t="s">
        <v>431</v>
      </c>
      <c r="B58" s="72">
        <v>45698</v>
      </c>
      <c r="C58" s="72">
        <v>45698</v>
      </c>
      <c r="D58" t="s">
        <v>432</v>
      </c>
      <c r="E58" t="s">
        <v>73</v>
      </c>
      <c r="F58" t="s">
        <v>2491</v>
      </c>
      <c r="G58">
        <v>50110372</v>
      </c>
      <c r="H58" t="s">
        <v>80</v>
      </c>
      <c r="I58" t="s">
        <v>433</v>
      </c>
      <c r="J58">
        <v>1</v>
      </c>
      <c r="K58" t="s">
        <v>37</v>
      </c>
      <c r="L58" t="s">
        <v>48</v>
      </c>
      <c r="M58" t="s">
        <v>58</v>
      </c>
      <c r="N58" t="s">
        <v>58</v>
      </c>
      <c r="O58">
        <v>1</v>
      </c>
      <c r="Q58" t="s">
        <v>37</v>
      </c>
      <c r="R58" s="72">
        <v>45695</v>
      </c>
      <c r="V58" t="s">
        <v>41</v>
      </c>
      <c r="W58">
        <v>49.81</v>
      </c>
      <c r="X58">
        <v>49.81</v>
      </c>
    </row>
    <row r="59" spans="1:24">
      <c r="A59" t="s">
        <v>426</v>
      </c>
      <c r="B59" s="72">
        <v>45698</v>
      </c>
      <c r="C59" s="72">
        <v>45698</v>
      </c>
      <c r="D59" t="s">
        <v>427</v>
      </c>
      <c r="E59" t="s">
        <v>4016</v>
      </c>
      <c r="F59" t="s">
        <v>173</v>
      </c>
      <c r="G59">
        <v>48300375</v>
      </c>
      <c r="H59" t="s">
        <v>429</v>
      </c>
      <c r="I59" t="s">
        <v>4017</v>
      </c>
      <c r="J59">
        <v>1</v>
      </c>
      <c r="K59" t="s">
        <v>37</v>
      </c>
      <c r="L59" t="s">
        <v>48</v>
      </c>
      <c r="M59" t="s">
        <v>88</v>
      </c>
      <c r="N59" t="s">
        <v>89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424</v>
      </c>
      <c r="B60" s="72">
        <v>45698</v>
      </c>
      <c r="C60" s="72">
        <v>45692</v>
      </c>
      <c r="D60" t="s">
        <v>425</v>
      </c>
      <c r="E60" t="s">
        <v>73</v>
      </c>
      <c r="F60" t="s">
        <v>2496</v>
      </c>
      <c r="G60">
        <v>50000343</v>
      </c>
      <c r="H60" t="s">
        <v>330</v>
      </c>
      <c r="I60" t="s">
        <v>331</v>
      </c>
      <c r="J60">
        <v>1</v>
      </c>
      <c r="K60" t="s">
        <v>37</v>
      </c>
      <c r="L60" t="s">
        <v>48</v>
      </c>
      <c r="M60" t="s">
        <v>39</v>
      </c>
      <c r="N60" t="s">
        <v>39</v>
      </c>
      <c r="O60">
        <v>1</v>
      </c>
      <c r="Q60" t="s">
        <v>37</v>
      </c>
      <c r="R60" s="72">
        <v>45698</v>
      </c>
      <c r="V60" t="s">
        <v>41</v>
      </c>
      <c r="W60">
        <v>35.19</v>
      </c>
      <c r="X60">
        <v>35.19</v>
      </c>
    </row>
    <row r="61" spans="1:24">
      <c r="A61" t="s">
        <v>415</v>
      </c>
      <c r="B61" s="72">
        <v>45695</v>
      </c>
      <c r="C61" s="72">
        <v>45694</v>
      </c>
      <c r="D61" t="s">
        <v>416</v>
      </c>
      <c r="E61" t="s">
        <v>417</v>
      </c>
      <c r="F61" t="s">
        <v>55</v>
      </c>
      <c r="G61">
        <v>44000321</v>
      </c>
      <c r="H61" t="s">
        <v>422</v>
      </c>
      <c r="I61" t="s">
        <v>423</v>
      </c>
      <c r="J61">
        <v>1</v>
      </c>
      <c r="K61" t="s">
        <v>37</v>
      </c>
      <c r="L61" t="s">
        <v>412</v>
      </c>
      <c r="M61" t="s">
        <v>58</v>
      </c>
      <c r="N61" t="s">
        <v>58</v>
      </c>
      <c r="O61">
        <v>1</v>
      </c>
      <c r="Q61" t="s">
        <v>37</v>
      </c>
      <c r="R61" s="72">
        <v>45672</v>
      </c>
      <c r="V61" t="s">
        <v>421</v>
      </c>
      <c r="W61">
        <v>769.19</v>
      </c>
      <c r="X61">
        <v>769.19</v>
      </c>
    </row>
    <row r="62" spans="1:24">
      <c r="A62" t="s">
        <v>295</v>
      </c>
      <c r="B62" s="72">
        <v>45691</v>
      </c>
      <c r="C62" s="72">
        <v>45688</v>
      </c>
      <c r="D62" t="s">
        <v>296</v>
      </c>
      <c r="E62" t="s">
        <v>181</v>
      </c>
      <c r="F62" t="s">
        <v>2491</v>
      </c>
      <c r="G62">
        <v>50110057</v>
      </c>
      <c r="H62" t="s">
        <v>297</v>
      </c>
      <c r="I62" t="s">
        <v>4008</v>
      </c>
      <c r="J62">
        <v>1</v>
      </c>
      <c r="K62" t="s">
        <v>37</v>
      </c>
      <c r="L62" t="s">
        <v>96</v>
      </c>
      <c r="M62" t="s">
        <v>39</v>
      </c>
      <c r="N62" t="s">
        <v>39</v>
      </c>
      <c r="O62">
        <v>1</v>
      </c>
      <c r="Q62" t="s">
        <v>4141</v>
      </c>
      <c r="V62" t="s">
        <v>41</v>
      </c>
      <c r="W62">
        <v>15.33</v>
      </c>
      <c r="X62">
        <v>15.33</v>
      </c>
    </row>
    <row r="63" spans="1:24">
      <c r="A63" t="s">
        <v>300</v>
      </c>
      <c r="B63" s="72">
        <v>45691</v>
      </c>
      <c r="C63" s="72">
        <v>45688</v>
      </c>
      <c r="D63" t="s">
        <v>301</v>
      </c>
      <c r="E63" t="s">
        <v>225</v>
      </c>
      <c r="F63" t="s">
        <v>226</v>
      </c>
      <c r="G63">
        <v>43000422</v>
      </c>
      <c r="H63" t="s">
        <v>302</v>
      </c>
      <c r="I63" t="s">
        <v>4009</v>
      </c>
      <c r="J63">
        <v>1</v>
      </c>
      <c r="K63" t="s">
        <v>37</v>
      </c>
      <c r="L63" t="s">
        <v>48</v>
      </c>
      <c r="M63" t="s">
        <v>58</v>
      </c>
      <c r="N63" t="s">
        <v>58</v>
      </c>
      <c r="O63">
        <v>1</v>
      </c>
      <c r="P63" t="s">
        <v>304</v>
      </c>
      <c r="Q63" t="s">
        <v>4156</v>
      </c>
      <c r="R63" s="72">
        <v>45681</v>
      </c>
      <c r="V63" t="s">
        <v>305</v>
      </c>
      <c r="W63">
        <v>654.77</v>
      </c>
      <c r="X63">
        <v>654.77</v>
      </c>
    </row>
    <row r="64" spans="1:24">
      <c r="A64" t="s">
        <v>310</v>
      </c>
      <c r="B64" s="72">
        <v>45691</v>
      </c>
      <c r="C64" s="72">
        <v>45691</v>
      </c>
      <c r="D64" t="s">
        <v>311</v>
      </c>
      <c r="E64" t="s">
        <v>152</v>
      </c>
      <c r="F64" t="s">
        <v>64</v>
      </c>
      <c r="G64">
        <v>48000482</v>
      </c>
      <c r="H64" t="s">
        <v>312</v>
      </c>
      <c r="I64" t="s">
        <v>313</v>
      </c>
      <c r="J64">
        <v>1</v>
      </c>
      <c r="K64" t="s">
        <v>37</v>
      </c>
      <c r="L64" t="s">
        <v>48</v>
      </c>
      <c r="M64" t="s">
        <v>58</v>
      </c>
      <c r="N64" t="s">
        <v>58</v>
      </c>
      <c r="O64">
        <v>1</v>
      </c>
      <c r="P64" t="s">
        <v>314</v>
      </c>
      <c r="Q64" t="s">
        <v>37</v>
      </c>
      <c r="R64" s="72">
        <v>45691</v>
      </c>
      <c r="V64" t="s">
        <v>315</v>
      </c>
      <c r="W64">
        <v>159.5</v>
      </c>
      <c r="X64">
        <v>159.5</v>
      </c>
    </row>
    <row r="65" spans="1:24">
      <c r="A65" t="s">
        <v>316</v>
      </c>
      <c r="B65" s="72">
        <v>45691</v>
      </c>
      <c r="C65" s="72">
        <v>45691</v>
      </c>
      <c r="D65" t="s">
        <v>317</v>
      </c>
      <c r="E65" t="s">
        <v>152</v>
      </c>
      <c r="F65" t="s">
        <v>64</v>
      </c>
      <c r="G65">
        <v>48000482</v>
      </c>
      <c r="H65" t="s">
        <v>280</v>
      </c>
      <c r="I65" t="s">
        <v>4007</v>
      </c>
      <c r="J65">
        <v>1</v>
      </c>
      <c r="K65" t="s">
        <v>37</v>
      </c>
      <c r="L65" t="s">
        <v>48</v>
      </c>
      <c r="M65" t="s">
        <v>58</v>
      </c>
      <c r="N65" t="s">
        <v>58</v>
      </c>
      <c r="O65">
        <v>1</v>
      </c>
      <c r="Q65" t="s">
        <v>3970</v>
      </c>
      <c r="R65" s="72">
        <v>45672</v>
      </c>
      <c r="V65" t="s">
        <v>155</v>
      </c>
      <c r="W65">
        <v>431.82</v>
      </c>
      <c r="X65">
        <v>431.82</v>
      </c>
    </row>
    <row r="66" spans="1:24">
      <c r="A66" t="s">
        <v>319</v>
      </c>
      <c r="B66" s="72">
        <v>45691</v>
      </c>
      <c r="C66" s="72">
        <v>45691</v>
      </c>
      <c r="D66" t="s">
        <v>320</v>
      </c>
      <c r="E66" t="s">
        <v>79</v>
      </c>
      <c r="F66" t="s">
        <v>2496</v>
      </c>
      <c r="G66">
        <v>50000530</v>
      </c>
      <c r="H66" t="s">
        <v>321</v>
      </c>
      <c r="I66" t="s">
        <v>4010</v>
      </c>
      <c r="J66">
        <v>1</v>
      </c>
      <c r="K66" t="s">
        <v>67</v>
      </c>
      <c r="L66" t="s">
        <v>294</v>
      </c>
      <c r="M66" t="s">
        <v>58</v>
      </c>
      <c r="N66" t="s">
        <v>58</v>
      </c>
      <c r="O66">
        <v>1</v>
      </c>
      <c r="Q66" t="s">
        <v>4157</v>
      </c>
      <c r="R66" s="72">
        <v>45688</v>
      </c>
      <c r="V66" t="s">
        <v>323</v>
      </c>
      <c r="W66">
        <v>396.84</v>
      </c>
      <c r="X66">
        <v>396.84</v>
      </c>
    </row>
    <row r="67" spans="1:24">
      <c r="A67" t="s">
        <v>328</v>
      </c>
      <c r="B67" s="72">
        <v>45691</v>
      </c>
      <c r="C67" s="72">
        <v>45691</v>
      </c>
      <c r="D67" t="s">
        <v>329</v>
      </c>
      <c r="E67" t="s">
        <v>79</v>
      </c>
      <c r="F67" t="s">
        <v>2496</v>
      </c>
      <c r="G67">
        <v>50000530</v>
      </c>
      <c r="H67" t="s">
        <v>330</v>
      </c>
      <c r="I67" t="s">
        <v>331</v>
      </c>
      <c r="J67">
        <v>1</v>
      </c>
      <c r="K67" t="s">
        <v>37</v>
      </c>
      <c r="L67" t="s">
        <v>48</v>
      </c>
      <c r="M67" t="s">
        <v>58</v>
      </c>
      <c r="N67" t="s">
        <v>58</v>
      </c>
      <c r="O67">
        <v>1</v>
      </c>
      <c r="Q67" t="s">
        <v>37</v>
      </c>
      <c r="R67" s="72">
        <v>45688</v>
      </c>
      <c r="V67" t="s">
        <v>323</v>
      </c>
      <c r="W67">
        <v>35.19</v>
      </c>
      <c r="X67">
        <v>35.19</v>
      </c>
    </row>
    <row r="68" spans="1:24">
      <c r="A68" t="s">
        <v>332</v>
      </c>
      <c r="B68" s="72">
        <v>45691</v>
      </c>
      <c r="C68" s="72">
        <v>45691</v>
      </c>
      <c r="D68" t="s">
        <v>333</v>
      </c>
      <c r="E68" t="s">
        <v>334</v>
      </c>
      <c r="F68" t="s">
        <v>55</v>
      </c>
      <c r="G68">
        <v>44000010</v>
      </c>
      <c r="H68" t="s">
        <v>335</v>
      </c>
      <c r="I68" t="s">
        <v>4011</v>
      </c>
      <c r="J68">
        <v>1</v>
      </c>
      <c r="K68" t="s">
        <v>37</v>
      </c>
      <c r="L68" t="s">
        <v>48</v>
      </c>
      <c r="M68" t="s">
        <v>58</v>
      </c>
      <c r="N68" t="s">
        <v>58</v>
      </c>
      <c r="O68">
        <v>1</v>
      </c>
      <c r="Q68" t="s">
        <v>37</v>
      </c>
      <c r="R68" s="72">
        <v>45705</v>
      </c>
      <c r="V68" t="s">
        <v>337</v>
      </c>
      <c r="W68">
        <v>79.989999999999995</v>
      </c>
      <c r="X68">
        <v>79.989999999999995</v>
      </c>
    </row>
    <row r="69" spans="1:24">
      <c r="A69" t="s">
        <v>338</v>
      </c>
      <c r="B69" s="72">
        <v>45691</v>
      </c>
      <c r="C69" s="72">
        <v>45691</v>
      </c>
      <c r="D69" t="s">
        <v>339</v>
      </c>
      <c r="E69" t="s">
        <v>33</v>
      </c>
      <c r="F69" t="s">
        <v>2491</v>
      </c>
      <c r="G69">
        <v>50110193</v>
      </c>
      <c r="H69" t="s">
        <v>340</v>
      </c>
      <c r="I69" t="s">
        <v>341</v>
      </c>
      <c r="J69">
        <v>1</v>
      </c>
      <c r="K69" t="s">
        <v>37</v>
      </c>
      <c r="L69" t="s">
        <v>48</v>
      </c>
      <c r="M69" t="s">
        <v>39</v>
      </c>
      <c r="N69" t="s">
        <v>39</v>
      </c>
      <c r="O69">
        <v>1</v>
      </c>
      <c r="Q69" t="s">
        <v>37</v>
      </c>
      <c r="R69" s="72">
        <v>45693</v>
      </c>
      <c r="V69" t="s">
        <v>41</v>
      </c>
      <c r="W69">
        <v>37.229999999999997</v>
      </c>
      <c r="X69">
        <v>37.229999999999997</v>
      </c>
    </row>
    <row r="70" spans="1:24">
      <c r="A70" t="s">
        <v>324</v>
      </c>
      <c r="B70" s="72">
        <v>45692</v>
      </c>
      <c r="C70" s="72">
        <v>45691</v>
      </c>
      <c r="D70" t="s">
        <v>325</v>
      </c>
      <c r="E70" t="s">
        <v>63</v>
      </c>
      <c r="F70" t="s">
        <v>173</v>
      </c>
      <c r="G70">
        <v>48300301</v>
      </c>
      <c r="H70" t="s">
        <v>326</v>
      </c>
      <c r="I70" t="s">
        <v>4012</v>
      </c>
      <c r="J70">
        <v>1</v>
      </c>
      <c r="K70" t="s">
        <v>37</v>
      </c>
      <c r="L70" t="s">
        <v>48</v>
      </c>
      <c r="M70" t="s">
        <v>58</v>
      </c>
      <c r="N70" t="s">
        <v>58</v>
      </c>
      <c r="O70">
        <v>1</v>
      </c>
      <c r="Q70" t="s">
        <v>3970</v>
      </c>
      <c r="R70" s="72">
        <v>45679</v>
      </c>
      <c r="V70" t="s">
        <v>70</v>
      </c>
      <c r="W70">
        <v>882.69</v>
      </c>
      <c r="X70">
        <v>882.69</v>
      </c>
    </row>
    <row r="71" spans="1:24">
      <c r="A71" t="s">
        <v>348</v>
      </c>
      <c r="B71" s="72">
        <v>45692</v>
      </c>
      <c r="C71" s="72">
        <v>45691</v>
      </c>
      <c r="D71" t="s">
        <v>349</v>
      </c>
      <c r="E71" t="s">
        <v>202</v>
      </c>
      <c r="F71" t="s">
        <v>203</v>
      </c>
      <c r="G71">
        <v>60002072</v>
      </c>
      <c r="H71" t="s">
        <v>350</v>
      </c>
      <c r="I71" t="s">
        <v>351</v>
      </c>
      <c r="J71">
        <v>1</v>
      </c>
      <c r="K71" t="s">
        <v>37</v>
      </c>
      <c r="L71" t="s">
        <v>346</v>
      </c>
      <c r="M71" t="s">
        <v>58</v>
      </c>
      <c r="N71" t="s">
        <v>58</v>
      </c>
      <c r="O71">
        <v>1</v>
      </c>
      <c r="Q71" t="s">
        <v>3970</v>
      </c>
      <c r="R71" s="72">
        <v>45692</v>
      </c>
      <c r="W71">
        <v>886.36</v>
      </c>
      <c r="X71">
        <v>886.36</v>
      </c>
    </row>
    <row r="72" spans="1:24">
      <c r="A72" t="s">
        <v>352</v>
      </c>
      <c r="B72" s="72">
        <v>45692</v>
      </c>
      <c r="C72" s="72">
        <v>45688</v>
      </c>
      <c r="D72" t="s">
        <v>353</v>
      </c>
      <c r="E72" t="s">
        <v>73</v>
      </c>
      <c r="F72" t="s">
        <v>2496</v>
      </c>
      <c r="G72">
        <v>50000343</v>
      </c>
      <c r="H72" t="s">
        <v>354</v>
      </c>
      <c r="I72" t="s">
        <v>355</v>
      </c>
      <c r="J72">
        <v>1</v>
      </c>
      <c r="K72" t="s">
        <v>37</v>
      </c>
      <c r="L72" t="s">
        <v>48</v>
      </c>
      <c r="M72" t="s">
        <v>39</v>
      </c>
      <c r="N72" t="s">
        <v>39</v>
      </c>
      <c r="O72">
        <v>1</v>
      </c>
      <c r="Q72" t="s">
        <v>37</v>
      </c>
      <c r="R72" s="72">
        <v>45693</v>
      </c>
      <c r="V72" t="s">
        <v>41</v>
      </c>
      <c r="W72">
        <v>274.36</v>
      </c>
      <c r="X72">
        <v>274.36</v>
      </c>
    </row>
    <row r="73" spans="1:24">
      <c r="A73" t="s">
        <v>360</v>
      </c>
      <c r="B73" s="72">
        <v>45692</v>
      </c>
      <c r="C73" s="72">
        <v>45691</v>
      </c>
      <c r="D73" t="s">
        <v>361</v>
      </c>
      <c r="E73" t="s">
        <v>93</v>
      </c>
      <c r="F73" t="s">
        <v>2496</v>
      </c>
      <c r="G73">
        <v>50000202</v>
      </c>
      <c r="H73" t="s">
        <v>65</v>
      </c>
      <c r="I73" t="s">
        <v>362</v>
      </c>
      <c r="J73">
        <v>1</v>
      </c>
      <c r="K73" t="s">
        <v>37</v>
      </c>
      <c r="L73" t="s">
        <v>363</v>
      </c>
      <c r="M73" t="s">
        <v>58</v>
      </c>
      <c r="N73" t="s">
        <v>58</v>
      </c>
      <c r="O73">
        <v>1</v>
      </c>
      <c r="Q73" t="s">
        <v>3970</v>
      </c>
      <c r="R73" s="72">
        <v>45663</v>
      </c>
      <c r="V73" t="s">
        <v>97</v>
      </c>
      <c r="W73">
        <v>1427.32</v>
      </c>
      <c r="X73">
        <v>1427.32</v>
      </c>
    </row>
    <row r="74" spans="1:24">
      <c r="A74" t="s">
        <v>364</v>
      </c>
      <c r="B74" s="72">
        <v>45692</v>
      </c>
      <c r="C74" s="72">
        <v>45692</v>
      </c>
      <c r="D74" t="s">
        <v>365</v>
      </c>
      <c r="E74" t="s">
        <v>152</v>
      </c>
      <c r="F74" t="s">
        <v>64</v>
      </c>
      <c r="G74">
        <v>48000482</v>
      </c>
      <c r="H74" t="s">
        <v>335</v>
      </c>
      <c r="I74" t="s">
        <v>1136</v>
      </c>
      <c r="J74">
        <v>1</v>
      </c>
      <c r="K74" t="s">
        <v>37</v>
      </c>
      <c r="L74" t="s">
        <v>48</v>
      </c>
      <c r="M74" t="s">
        <v>88</v>
      </c>
      <c r="N74" t="s">
        <v>58</v>
      </c>
      <c r="O74">
        <v>1</v>
      </c>
      <c r="Q74" t="s">
        <v>37</v>
      </c>
      <c r="R74" s="72">
        <v>45705</v>
      </c>
      <c r="V74" t="s">
        <v>315</v>
      </c>
      <c r="W74">
        <v>79.989999999999995</v>
      </c>
      <c r="X74">
        <v>79.989999999999995</v>
      </c>
    </row>
    <row r="75" spans="1:24">
      <c r="A75" t="s">
        <v>367</v>
      </c>
      <c r="B75" s="72">
        <v>45692</v>
      </c>
      <c r="C75" s="72">
        <v>45692</v>
      </c>
      <c r="D75" t="s">
        <v>368</v>
      </c>
      <c r="E75" t="s">
        <v>63</v>
      </c>
      <c r="F75" t="s">
        <v>55</v>
      </c>
      <c r="G75">
        <v>44000059</v>
      </c>
      <c r="H75" t="s">
        <v>369</v>
      </c>
      <c r="I75" t="s">
        <v>370</v>
      </c>
      <c r="J75">
        <v>1</v>
      </c>
      <c r="K75" t="s">
        <v>37</v>
      </c>
      <c r="L75" t="s">
        <v>48</v>
      </c>
      <c r="M75" t="s">
        <v>58</v>
      </c>
      <c r="N75" t="s">
        <v>58</v>
      </c>
      <c r="O75">
        <v>1</v>
      </c>
      <c r="Q75" t="s">
        <v>3970</v>
      </c>
      <c r="R75" s="72">
        <v>45681</v>
      </c>
      <c r="V75" t="s">
        <v>70</v>
      </c>
      <c r="W75">
        <v>98.36</v>
      </c>
      <c r="X75">
        <v>98.36</v>
      </c>
    </row>
    <row r="76" spans="1:24">
      <c r="A76" t="s">
        <v>367</v>
      </c>
      <c r="B76" s="72">
        <v>45692</v>
      </c>
      <c r="C76" s="72">
        <v>45692</v>
      </c>
      <c r="D76" t="s">
        <v>368</v>
      </c>
      <c r="E76" t="s">
        <v>63</v>
      </c>
      <c r="F76" t="s">
        <v>55</v>
      </c>
      <c r="G76">
        <v>44000059</v>
      </c>
      <c r="H76" t="s">
        <v>371</v>
      </c>
      <c r="I76" t="s">
        <v>372</v>
      </c>
      <c r="J76">
        <v>1</v>
      </c>
      <c r="K76" t="s">
        <v>37</v>
      </c>
      <c r="L76" t="s">
        <v>48</v>
      </c>
      <c r="M76" t="s">
        <v>88</v>
      </c>
      <c r="N76" t="s">
        <v>89</v>
      </c>
      <c r="O76">
        <v>0</v>
      </c>
      <c r="Q76" t="s">
        <v>4141</v>
      </c>
      <c r="W76">
        <v>11.91</v>
      </c>
      <c r="X76">
        <v>11.91</v>
      </c>
    </row>
    <row r="77" spans="1:24">
      <c r="A77" t="s">
        <v>373</v>
      </c>
      <c r="B77" s="72">
        <v>45692</v>
      </c>
      <c r="C77" s="72">
        <v>45692</v>
      </c>
      <c r="D77" t="s">
        <v>374</v>
      </c>
      <c r="E77" t="s">
        <v>73</v>
      </c>
      <c r="F77" t="s">
        <v>2491</v>
      </c>
      <c r="G77">
        <v>50110372</v>
      </c>
      <c r="H77" t="s">
        <v>375</v>
      </c>
      <c r="I77" t="s">
        <v>4013</v>
      </c>
      <c r="J77">
        <v>1</v>
      </c>
      <c r="K77" t="s">
        <v>67</v>
      </c>
      <c r="L77" t="s">
        <v>217</v>
      </c>
      <c r="M77" t="s">
        <v>88</v>
      </c>
      <c r="N77" t="s">
        <v>89</v>
      </c>
      <c r="O77">
        <v>0</v>
      </c>
      <c r="Q77" t="s">
        <v>4141</v>
      </c>
      <c r="V77" t="s">
        <v>41</v>
      </c>
      <c r="W77">
        <v>4764.91</v>
      </c>
      <c r="X77">
        <v>4764.91</v>
      </c>
    </row>
    <row r="78" spans="1:24">
      <c r="A78" t="s">
        <v>373</v>
      </c>
      <c r="B78" s="72">
        <v>45692</v>
      </c>
      <c r="C78" s="72">
        <v>45326</v>
      </c>
      <c r="D78" t="s">
        <v>374</v>
      </c>
      <c r="E78" t="s">
        <v>73</v>
      </c>
      <c r="F78" t="s">
        <v>2491</v>
      </c>
      <c r="G78">
        <v>50110372</v>
      </c>
      <c r="H78" t="s">
        <v>378</v>
      </c>
      <c r="I78" t="s">
        <v>379</v>
      </c>
      <c r="J78">
        <v>1</v>
      </c>
      <c r="K78" t="s">
        <v>67</v>
      </c>
      <c r="L78" t="s">
        <v>217</v>
      </c>
      <c r="M78" t="s">
        <v>58</v>
      </c>
      <c r="N78" t="s">
        <v>58</v>
      </c>
      <c r="O78">
        <v>1</v>
      </c>
      <c r="Q78" t="s">
        <v>37</v>
      </c>
      <c r="R78" s="72">
        <v>45692</v>
      </c>
      <c r="V78" t="s">
        <v>41</v>
      </c>
      <c r="W78">
        <v>254.87</v>
      </c>
      <c r="X78">
        <v>254.87</v>
      </c>
    </row>
    <row r="79" spans="1:24">
      <c r="A79" t="s">
        <v>306</v>
      </c>
      <c r="B79" s="72">
        <v>45693</v>
      </c>
      <c r="C79" s="72">
        <v>45691</v>
      </c>
      <c r="D79" t="s">
        <v>307</v>
      </c>
      <c r="E79" t="s">
        <v>103</v>
      </c>
      <c r="F79" t="s">
        <v>2527</v>
      </c>
      <c r="G79">
        <v>51000136</v>
      </c>
      <c r="H79" t="s">
        <v>308</v>
      </c>
      <c r="I79" t="s">
        <v>309</v>
      </c>
      <c r="J79">
        <v>1</v>
      </c>
      <c r="K79" t="s">
        <v>37</v>
      </c>
      <c r="L79" t="s">
        <v>48</v>
      </c>
      <c r="M79" t="s">
        <v>88</v>
      </c>
      <c r="N79" t="s">
        <v>89</v>
      </c>
      <c r="O79">
        <v>0</v>
      </c>
      <c r="Q79" t="s">
        <v>37</v>
      </c>
      <c r="V79" t="s">
        <v>41</v>
      </c>
      <c r="W79">
        <v>20.87</v>
      </c>
      <c r="X79">
        <v>20.87</v>
      </c>
    </row>
    <row r="80" spans="1:24">
      <c r="A80" t="s">
        <v>380</v>
      </c>
      <c r="B80" s="72">
        <v>45693</v>
      </c>
      <c r="C80" s="72">
        <v>45326</v>
      </c>
      <c r="E80" t="s">
        <v>381</v>
      </c>
      <c r="H80" t="s">
        <v>4158</v>
      </c>
      <c r="I80" t="s">
        <v>383</v>
      </c>
      <c r="J80">
        <v>17</v>
      </c>
      <c r="M80" t="s">
        <v>384</v>
      </c>
      <c r="N80" t="s">
        <v>384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387</v>
      </c>
      <c r="B81" s="72">
        <v>45693</v>
      </c>
      <c r="C81" s="72">
        <v>45327</v>
      </c>
      <c r="E81" t="s">
        <v>381</v>
      </c>
      <c r="H81" t="s">
        <v>4159</v>
      </c>
      <c r="I81" t="s">
        <v>389</v>
      </c>
      <c r="J81">
        <v>5</v>
      </c>
      <c r="M81" t="s">
        <v>384</v>
      </c>
      <c r="N81" t="s">
        <v>384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391</v>
      </c>
      <c r="B82" s="72">
        <v>45693</v>
      </c>
      <c r="C82" s="72">
        <v>45327</v>
      </c>
      <c r="E82" t="s">
        <v>381</v>
      </c>
      <c r="H82" t="s">
        <v>392</v>
      </c>
      <c r="I82" t="s">
        <v>4160</v>
      </c>
      <c r="J82">
        <v>3</v>
      </c>
      <c r="M82" t="s">
        <v>384</v>
      </c>
      <c r="N82" t="s">
        <v>384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342</v>
      </c>
      <c r="B83" s="72">
        <v>45694</v>
      </c>
      <c r="C83" s="72">
        <v>45687</v>
      </c>
      <c r="D83" t="s">
        <v>343</v>
      </c>
      <c r="E83" t="s">
        <v>73</v>
      </c>
      <c r="F83" t="s">
        <v>203</v>
      </c>
      <c r="G83">
        <v>60002095</v>
      </c>
      <c r="H83" t="s">
        <v>344</v>
      </c>
      <c r="I83" t="s">
        <v>4161</v>
      </c>
      <c r="J83">
        <v>1</v>
      </c>
      <c r="K83" t="s">
        <v>37</v>
      </c>
      <c r="L83" t="s">
        <v>346</v>
      </c>
      <c r="M83" t="s">
        <v>88</v>
      </c>
      <c r="N83" t="s">
        <v>89</v>
      </c>
      <c r="O83">
        <v>0</v>
      </c>
      <c r="P83" t="s">
        <v>4162</v>
      </c>
      <c r="Q83" t="s">
        <v>4144</v>
      </c>
      <c r="V83" t="s">
        <v>41</v>
      </c>
      <c r="W83">
        <v>986.75</v>
      </c>
      <c r="X83">
        <v>986.75</v>
      </c>
    </row>
    <row r="84" spans="1:24">
      <c r="A84" t="s">
        <v>395</v>
      </c>
      <c r="B84" s="72">
        <v>45694</v>
      </c>
      <c r="C84" s="72">
        <v>45692</v>
      </c>
      <c r="D84" t="s">
        <v>396</v>
      </c>
      <c r="E84" t="s">
        <v>73</v>
      </c>
      <c r="F84" t="s">
        <v>2496</v>
      </c>
      <c r="G84">
        <v>50000343</v>
      </c>
      <c r="H84" t="s">
        <v>397</v>
      </c>
      <c r="I84" t="s">
        <v>4014</v>
      </c>
      <c r="J84">
        <v>1</v>
      </c>
      <c r="K84" t="s">
        <v>37</v>
      </c>
      <c r="L84" t="s">
        <v>96</v>
      </c>
      <c r="M84" t="s">
        <v>58</v>
      </c>
      <c r="N84" t="s">
        <v>58</v>
      </c>
      <c r="O84">
        <v>1</v>
      </c>
      <c r="Q84" t="s">
        <v>3970</v>
      </c>
      <c r="R84" s="72">
        <v>45692</v>
      </c>
      <c r="V84" t="s">
        <v>399</v>
      </c>
      <c r="W84">
        <v>601.41999999999996</v>
      </c>
      <c r="X84">
        <v>601.41999999999996</v>
      </c>
    </row>
    <row r="85" spans="1:24">
      <c r="A85" t="s">
        <v>400</v>
      </c>
      <c r="B85" s="72">
        <v>45694</v>
      </c>
      <c r="C85" s="72">
        <v>45693</v>
      </c>
      <c r="D85" t="s">
        <v>401</v>
      </c>
      <c r="E85" t="s">
        <v>402</v>
      </c>
      <c r="F85" t="s">
        <v>403</v>
      </c>
      <c r="G85" t="s">
        <v>404</v>
      </c>
      <c r="H85" t="s">
        <v>405</v>
      </c>
      <c r="I85" t="s">
        <v>4015</v>
      </c>
      <c r="J85">
        <v>1</v>
      </c>
      <c r="K85" t="s">
        <v>37</v>
      </c>
      <c r="L85" t="s">
        <v>363</v>
      </c>
      <c r="M85" t="s">
        <v>58</v>
      </c>
      <c r="N85" t="s">
        <v>58</v>
      </c>
      <c r="O85">
        <v>1</v>
      </c>
      <c r="Q85" t="s">
        <v>37</v>
      </c>
      <c r="R85" s="72">
        <v>45693</v>
      </c>
      <c r="V85" t="s">
        <v>229</v>
      </c>
      <c r="W85">
        <v>20</v>
      </c>
      <c r="X85">
        <v>20</v>
      </c>
    </row>
    <row r="86" spans="1:24">
      <c r="A86" t="s">
        <v>356</v>
      </c>
      <c r="B86" s="72">
        <v>45695</v>
      </c>
      <c r="C86" s="72">
        <v>45695</v>
      </c>
      <c r="D86" t="s">
        <v>357</v>
      </c>
      <c r="E86" t="s">
        <v>73</v>
      </c>
      <c r="F86" t="s">
        <v>203</v>
      </c>
      <c r="G86">
        <v>60002095</v>
      </c>
      <c r="H86" t="s">
        <v>358</v>
      </c>
      <c r="I86" t="s">
        <v>359</v>
      </c>
      <c r="J86">
        <v>1</v>
      </c>
      <c r="K86" t="s">
        <v>67</v>
      </c>
      <c r="L86" t="s">
        <v>96</v>
      </c>
      <c r="M86" t="s">
        <v>88</v>
      </c>
      <c r="N86" t="s">
        <v>89</v>
      </c>
      <c r="O86">
        <v>0</v>
      </c>
      <c r="Q86" t="s">
        <v>37</v>
      </c>
      <c r="V86" t="s">
        <v>41</v>
      </c>
      <c r="W86">
        <v>1407.73</v>
      </c>
      <c r="X86">
        <v>1407.73</v>
      </c>
    </row>
    <row r="87" spans="1:24">
      <c r="A87" t="s">
        <v>407</v>
      </c>
      <c r="B87" s="72">
        <v>45695</v>
      </c>
      <c r="C87" s="72">
        <v>45694</v>
      </c>
      <c r="D87" t="s">
        <v>408</v>
      </c>
      <c r="E87" t="s">
        <v>334</v>
      </c>
      <c r="F87" t="s">
        <v>55</v>
      </c>
      <c r="G87" t="s">
        <v>409</v>
      </c>
      <c r="H87" t="s">
        <v>410</v>
      </c>
      <c r="I87" t="s">
        <v>411</v>
      </c>
      <c r="J87">
        <v>1</v>
      </c>
      <c r="K87" t="s">
        <v>37</v>
      </c>
      <c r="L87" t="s">
        <v>412</v>
      </c>
      <c r="M87" t="s">
        <v>58</v>
      </c>
      <c r="N87" t="s">
        <v>58</v>
      </c>
      <c r="O87">
        <v>1</v>
      </c>
      <c r="P87" t="s">
        <v>413</v>
      </c>
      <c r="Q87" t="s">
        <v>3970</v>
      </c>
      <c r="R87" s="72">
        <v>45677</v>
      </c>
      <c r="V87" t="s">
        <v>414</v>
      </c>
      <c r="W87">
        <v>2377.7800000000002</v>
      </c>
      <c r="X87">
        <v>2377.7800000000002</v>
      </c>
    </row>
    <row r="88" spans="1:24">
      <c r="A88" t="s">
        <v>415</v>
      </c>
      <c r="B88" s="72">
        <v>45695</v>
      </c>
      <c r="C88" s="72">
        <v>45694</v>
      </c>
      <c r="D88" t="s">
        <v>416</v>
      </c>
      <c r="E88" t="s">
        <v>417</v>
      </c>
      <c r="F88" t="s">
        <v>55</v>
      </c>
      <c r="G88">
        <v>44000321</v>
      </c>
      <c r="H88" t="s">
        <v>418</v>
      </c>
      <c r="I88" t="s">
        <v>419</v>
      </c>
      <c r="J88">
        <v>1</v>
      </c>
      <c r="K88" t="s">
        <v>37</v>
      </c>
      <c r="L88" t="s">
        <v>412</v>
      </c>
      <c r="M88" t="s">
        <v>58</v>
      </c>
      <c r="N88" t="s">
        <v>58</v>
      </c>
      <c r="O88">
        <v>1</v>
      </c>
      <c r="Q88" t="s">
        <v>37</v>
      </c>
      <c r="R88" s="72">
        <v>45672</v>
      </c>
      <c r="V88" t="s">
        <v>421</v>
      </c>
      <c r="W88">
        <v>449.1</v>
      </c>
      <c r="X88">
        <v>449.1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F240-3207-444B-9F36-5A0831F49C3F}">
  <sheetPr>
    <tabColor theme="8" tint="0.59999389629810485"/>
  </sheetPr>
  <dimension ref="A1:H5"/>
  <sheetViews>
    <sheetView workbookViewId="0">
      <selection activeCell="P8" sqref="P8"/>
    </sheetView>
  </sheetViews>
  <sheetFormatPr defaultRowHeight="14.45"/>
  <cols>
    <col min="1" max="1" width="18.28515625" bestFit="1" customWidth="1"/>
    <col min="2" max="2" width="21.7109375" bestFit="1" customWidth="1"/>
    <col min="6" max="6" width="23.42578125" bestFit="1" customWidth="1"/>
    <col min="7" max="7" width="25.42578125" bestFit="1" customWidth="1"/>
  </cols>
  <sheetData>
    <row r="1" spans="1:8">
      <c r="A1" s="381" t="s">
        <v>4165</v>
      </c>
      <c r="B1" s="381"/>
      <c r="C1" s="381"/>
      <c r="F1" s="382" t="s">
        <v>4166</v>
      </c>
      <c r="G1" s="382"/>
      <c r="H1" s="382"/>
    </row>
    <row r="2" spans="1:8">
      <c r="A2" s="381"/>
      <c r="B2" s="381"/>
      <c r="C2" s="381"/>
      <c r="F2" s="382"/>
      <c r="G2" s="382"/>
      <c r="H2" s="382"/>
    </row>
    <row r="3" spans="1:8">
      <c r="A3" t="s">
        <v>4167</v>
      </c>
      <c r="B3" t="s">
        <v>4168</v>
      </c>
    </row>
    <row r="4" spans="1:8">
      <c r="C4" s="8" t="e">
        <f>GETPIVOTDATA("Sum of QTD ESTOQUE CP",$A$3)/GETPIVOTDATA("Sum of QUANTIDADE",$A$3)</f>
        <v>#DIV/0!</v>
      </c>
      <c r="F4" t="s">
        <v>4169</v>
      </c>
      <c r="G4" t="s">
        <v>4170</v>
      </c>
    </row>
    <row r="5" spans="1:8">
      <c r="H5" s="8" t="e">
        <f>GETPIVOTDATA("Sum of Quantity Supported",Detalhes4!L244:L305)/GETPIVOTDATA("Sum of Quantity Ordered",$F$4)</f>
        <v>#REF!</v>
      </c>
    </row>
  </sheetData>
  <mergeCells count="2">
    <mergeCell ref="A1:C2"/>
    <mergeCell ref="F1:H2"/>
  </mergeCells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E2BB17FF29546BA2F12860C5E009B" ma:contentTypeVersion="16" ma:contentTypeDescription="Crie um novo documento." ma:contentTypeScope="" ma:versionID="cb08da2bdd98842a505fb43d52114025">
  <xsd:schema xmlns:xsd="http://www.w3.org/2001/XMLSchema" xmlns:xs="http://www.w3.org/2001/XMLSchema" xmlns:p="http://schemas.microsoft.com/office/2006/metadata/properties" xmlns:ns2="d4806585-20ee-4b20-ad33-e76db373baca" xmlns:ns3="bf4d574e-a599-47ef-926c-b9a54423d79a" targetNamespace="http://schemas.microsoft.com/office/2006/metadata/properties" ma:root="true" ma:fieldsID="542c90cdb8059e9188141f1e530f10c0" ns2:_="" ns3:_="">
    <xsd:import namespace="d4806585-20ee-4b20-ad33-e76db373baca"/>
    <xsd:import namespace="bf4d574e-a599-47ef-926c-b9a54423d7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Tamanho" minOccurs="0"/>
                <xsd:element ref="ns2:MediaServiceBillingMetadata" minOccurs="0"/>
                <xsd:element ref="ns2:Caminh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06585-20ee-4b20-ad33-e76db373ba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706e60d-27ae-4bf4-ab86-c00775360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Tamanho" ma:index="21" nillable="true" ma:displayName="Tamanho" ma:format="Dropdown" ma:internalName="Tamanho" ma:percentage="FALSE">
      <xsd:simpleType>
        <xsd:restriction base="dms:Number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minho" ma:index="23" nillable="true" ma:displayName="Caminho" ma:format="Dropdown" ma:internalName="Caminh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574e-a599-47ef-926c-b9a54423d7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52d9d79-4bad-4fb0-a1ac-25d9dbf0e414}" ma:internalName="TaxCatchAll" ma:showField="CatchAllData" ma:web="bf4d574e-a599-47ef-926c-b9a54423d7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d574e-a599-47ef-926c-b9a54423d79a" xsi:nil="true"/>
    <Tamanho xmlns="d4806585-20ee-4b20-ad33-e76db373baca" xsi:nil="true"/>
    <lcf76f155ced4ddcb4097134ff3c332f xmlns="d4806585-20ee-4b20-ad33-e76db373baca">
      <Terms xmlns="http://schemas.microsoft.com/office/infopath/2007/PartnerControls"/>
    </lcf76f155ced4ddcb4097134ff3c332f>
    <Caminho xmlns="d4806585-20ee-4b20-ad33-e76db373baca" xsi:nil="true"/>
  </documentManagement>
</p:properties>
</file>

<file path=customXml/itemProps1.xml><?xml version="1.0" encoding="utf-8"?>
<ds:datastoreItem xmlns:ds="http://schemas.openxmlformats.org/officeDocument/2006/customXml" ds:itemID="{3579CAF5-417E-4237-ADD1-F0725F039843}"/>
</file>

<file path=customXml/itemProps2.xml><?xml version="1.0" encoding="utf-8"?>
<ds:datastoreItem xmlns:ds="http://schemas.openxmlformats.org/officeDocument/2006/customXml" ds:itemID="{AFC17D1B-8D50-4770-A124-2489E936C624}"/>
</file>

<file path=customXml/itemProps3.xml><?xml version="1.0" encoding="utf-8"?>
<ds:datastoreItem xmlns:ds="http://schemas.openxmlformats.org/officeDocument/2006/customXml" ds:itemID="{919614E2-80E7-42D1-A0B1-A8A6CDAFD19C}"/>
</file>

<file path=customXml/itemProps4.xml><?xml version="1.0" encoding="utf-8"?>
<ds:datastoreItem xmlns:ds="http://schemas.openxmlformats.org/officeDocument/2006/customXml" ds:itemID="{CD337D2D-94EF-4E16-A1D3-51AC7AE7B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Romao</dc:creator>
  <cp:keywords/>
  <dc:description/>
  <cp:lastModifiedBy>Ricardo Almeida</cp:lastModifiedBy>
  <cp:revision/>
  <dcterms:created xsi:type="dcterms:W3CDTF">2024-12-09T17:55:35Z</dcterms:created>
  <dcterms:modified xsi:type="dcterms:W3CDTF">2026-07-29T15:21:47Z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0x010100C47E2BB17FF29546BA2F12860C5E009B</vt:lpwstr>
  </property>
  <property fmtid="{D5CDD505-2E9C-101B-9397-08002B2CF9AE}" pid="3" name="MediaServiceImageTags">
    <vt:lpwstr/>
  </property>
</Properties>
</file>